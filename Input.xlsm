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"/>
    </mc:Choice>
  </mc:AlternateContent>
  <bookViews>
    <workbookView xWindow="0" yWindow="0" windowWidth="23040" windowHeight="8970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Undispatch!$G$1</definedName>
    <definedName name="names">Machines!$B:$B</definedName>
    <definedName name="pricerange">Prices!$J$1</definedName>
    <definedName name="profstart">Demand!$D$3</definedName>
    <definedName name="rangeread">DATA!$I$2</definedName>
    <definedName name="storstart">'Stor&amp;Net'!$A$3</definedName>
    <definedName name="tdur">Demand!$C$1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8" l="1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4" i="8"/>
  <c r="G5" i="2"/>
  <c r="G10" i="2"/>
  <c r="J5" i="4"/>
  <c r="J4" i="4"/>
  <c r="E28" i="2"/>
  <c r="E27" i="2"/>
  <c r="E26" i="2"/>
  <c r="E25" i="2"/>
  <c r="G24" i="2"/>
  <c r="F24" i="2"/>
  <c r="E24" i="2"/>
  <c r="E13" i="2"/>
  <c r="E10" i="2"/>
  <c r="E7" i="2"/>
  <c r="E5" i="2"/>
  <c r="J1" i="8"/>
  <c r="G1" i="3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646" i="8"/>
  <c r="Q647" i="8"/>
  <c r="Q648" i="8"/>
  <c r="Q649" i="8"/>
  <c r="Q650" i="8"/>
  <c r="Q651" i="8"/>
  <c r="Q652" i="8"/>
  <c r="Q653" i="8"/>
  <c r="Q654" i="8"/>
  <c r="Q655" i="8"/>
  <c r="Q656" i="8"/>
  <c r="Q657" i="8"/>
  <c r="Q658" i="8"/>
  <c r="Q659" i="8"/>
  <c r="Q660" i="8"/>
  <c r="Q661" i="8"/>
  <c r="Q662" i="8"/>
  <c r="Q663" i="8"/>
  <c r="Q664" i="8"/>
  <c r="Q665" i="8"/>
  <c r="Q666" i="8"/>
  <c r="Q667" i="8"/>
  <c r="Q668" i="8"/>
  <c r="Q669" i="8"/>
  <c r="Q670" i="8"/>
  <c r="Q671" i="8"/>
  <c r="Q672" i="8"/>
  <c r="Q673" i="8"/>
  <c r="Q674" i="8"/>
  <c r="Q675" i="8"/>
  <c r="Q676" i="8"/>
  <c r="Q677" i="8"/>
  <c r="Q678" i="8"/>
  <c r="Q679" i="8"/>
  <c r="Q680" i="8"/>
  <c r="Q681" i="8"/>
  <c r="Q682" i="8"/>
  <c r="Q683" i="8"/>
  <c r="Q684" i="8"/>
  <c r="Q685" i="8"/>
  <c r="Q686" i="8"/>
  <c r="Q687" i="8"/>
  <c r="Q688" i="8"/>
  <c r="Q689" i="8"/>
  <c r="Q690" i="8"/>
  <c r="Q691" i="8"/>
  <c r="Q692" i="8"/>
  <c r="Q693" i="8"/>
  <c r="Q694" i="8"/>
  <c r="Q695" i="8"/>
  <c r="Q696" i="8"/>
  <c r="Q697" i="8"/>
  <c r="Q698" i="8"/>
  <c r="Q699" i="8"/>
  <c r="Q700" i="8"/>
  <c r="Q701" i="8"/>
  <c r="Q702" i="8"/>
  <c r="Q703" i="8"/>
  <c r="Q704" i="8"/>
  <c r="Q705" i="8"/>
  <c r="Q706" i="8"/>
  <c r="Q707" i="8"/>
  <c r="Q708" i="8"/>
  <c r="Q709" i="8"/>
  <c r="Q710" i="8"/>
  <c r="Q711" i="8"/>
  <c r="Q712" i="8"/>
  <c r="Q713" i="8"/>
  <c r="Q714" i="8"/>
  <c r="Q715" i="8"/>
  <c r="Q716" i="8"/>
  <c r="Q717" i="8"/>
  <c r="Q718" i="8"/>
  <c r="Q719" i="8"/>
  <c r="Q720" i="8"/>
  <c r="Q721" i="8"/>
  <c r="Q722" i="8"/>
  <c r="Q723" i="8"/>
  <c r="Q724" i="8"/>
  <c r="Q725" i="8"/>
  <c r="Q726" i="8"/>
  <c r="Q727" i="8"/>
  <c r="Q728" i="8"/>
  <c r="Q729" i="8"/>
  <c r="Q730" i="8"/>
  <c r="Q731" i="8"/>
  <c r="Q732" i="8"/>
  <c r="Q733" i="8"/>
  <c r="Q734" i="8"/>
  <c r="Q735" i="8"/>
  <c r="Q736" i="8"/>
  <c r="Q737" i="8"/>
  <c r="Q738" i="8"/>
  <c r="Q739" i="8"/>
  <c r="Q740" i="8"/>
  <c r="Q741" i="8"/>
  <c r="Q742" i="8"/>
  <c r="Q743" i="8"/>
  <c r="Q744" i="8"/>
  <c r="Q745" i="8"/>
  <c r="Q746" i="8"/>
  <c r="Q747" i="8"/>
  <c r="Q748" i="8"/>
  <c r="Q749" i="8"/>
  <c r="Q750" i="8"/>
  <c r="Q751" i="8"/>
  <c r="Q752" i="8"/>
  <c r="Q753" i="8"/>
  <c r="Q754" i="8"/>
  <c r="Q755" i="8"/>
  <c r="Q756" i="8"/>
  <c r="Q757" i="8"/>
  <c r="Q758" i="8"/>
  <c r="Q759" i="8"/>
  <c r="Q760" i="8"/>
  <c r="Q761" i="8"/>
  <c r="Q762" i="8"/>
  <c r="Q763" i="8"/>
  <c r="Q764" i="8"/>
  <c r="Q765" i="8"/>
  <c r="Q766" i="8"/>
  <c r="Q767" i="8"/>
  <c r="Q768" i="8"/>
  <c r="Q769" i="8"/>
  <c r="Q770" i="8"/>
  <c r="Q771" i="8"/>
  <c r="Q772" i="8"/>
  <c r="Q773" i="8"/>
  <c r="Q774" i="8"/>
  <c r="Q775" i="8"/>
  <c r="Q776" i="8"/>
  <c r="Q777" i="8"/>
  <c r="Q778" i="8"/>
  <c r="Q779" i="8"/>
  <c r="Q780" i="8"/>
  <c r="Q781" i="8"/>
  <c r="Q782" i="8"/>
  <c r="Q783" i="8"/>
  <c r="Q784" i="8"/>
  <c r="Q785" i="8"/>
  <c r="Q786" i="8"/>
  <c r="Q787" i="8"/>
  <c r="Q788" i="8"/>
  <c r="Q789" i="8"/>
  <c r="Q790" i="8"/>
  <c r="Q791" i="8"/>
  <c r="Q792" i="8"/>
  <c r="Q793" i="8"/>
  <c r="Q794" i="8"/>
  <c r="Q795" i="8"/>
  <c r="Q796" i="8"/>
  <c r="Q797" i="8"/>
  <c r="Q798" i="8"/>
  <c r="Q799" i="8"/>
  <c r="Q800" i="8"/>
  <c r="Q801" i="8"/>
  <c r="Q802" i="8"/>
  <c r="Q803" i="8"/>
  <c r="Q804" i="8"/>
  <c r="Q805" i="8"/>
  <c r="Q806" i="8"/>
  <c r="Q807" i="8"/>
  <c r="Q808" i="8"/>
  <c r="Q809" i="8"/>
  <c r="Q810" i="8"/>
  <c r="Q811" i="8"/>
  <c r="Q812" i="8"/>
  <c r="Q813" i="8"/>
  <c r="Q814" i="8"/>
  <c r="Q815" i="8"/>
  <c r="Q816" i="8"/>
  <c r="Q817" i="8"/>
  <c r="Q818" i="8"/>
  <c r="Q819" i="8"/>
  <c r="Q820" i="8"/>
  <c r="Q821" i="8"/>
  <c r="Q822" i="8"/>
  <c r="Q823" i="8"/>
  <c r="Q824" i="8"/>
  <c r="Q825" i="8"/>
  <c r="Q826" i="8"/>
  <c r="Q827" i="8"/>
  <c r="Q828" i="8"/>
  <c r="Q829" i="8"/>
  <c r="Q830" i="8"/>
  <c r="Q831" i="8"/>
  <c r="Q832" i="8"/>
  <c r="Q833" i="8"/>
  <c r="Q834" i="8"/>
  <c r="Q835" i="8"/>
  <c r="Q836" i="8"/>
  <c r="Q837" i="8"/>
  <c r="Q838" i="8"/>
  <c r="Q839" i="8"/>
  <c r="Q840" i="8"/>
  <c r="Q841" i="8"/>
  <c r="Q842" i="8"/>
  <c r="Q843" i="8"/>
  <c r="Q844" i="8"/>
  <c r="Q845" i="8"/>
  <c r="Q846" i="8"/>
  <c r="Q847" i="8"/>
  <c r="Q848" i="8"/>
  <c r="Q849" i="8"/>
  <c r="Q850" i="8"/>
  <c r="Q851" i="8"/>
  <c r="Q852" i="8"/>
  <c r="Q853" i="8"/>
  <c r="Q854" i="8"/>
  <c r="Q855" i="8"/>
  <c r="Q856" i="8"/>
  <c r="Q857" i="8"/>
  <c r="Q858" i="8"/>
  <c r="Q859" i="8"/>
  <c r="Q860" i="8"/>
  <c r="Q861" i="8"/>
  <c r="Q862" i="8"/>
  <c r="Q863" i="8"/>
  <c r="Q864" i="8"/>
  <c r="Q865" i="8"/>
  <c r="Q866" i="8"/>
  <c r="Q867" i="8"/>
  <c r="Q868" i="8"/>
  <c r="Q869" i="8"/>
  <c r="Q870" i="8"/>
  <c r="Q871" i="8"/>
  <c r="Q872" i="8"/>
  <c r="Q873" i="8"/>
  <c r="Q874" i="8"/>
  <c r="Q875" i="8"/>
  <c r="Q876" i="8"/>
  <c r="Q877" i="8"/>
  <c r="Q878" i="8"/>
  <c r="Q879" i="8"/>
  <c r="Q880" i="8"/>
  <c r="Q881" i="8"/>
  <c r="Q882" i="8"/>
  <c r="Q883" i="8"/>
  <c r="Q884" i="8"/>
  <c r="Q885" i="8"/>
  <c r="Q886" i="8"/>
  <c r="Q887" i="8"/>
  <c r="Q888" i="8"/>
  <c r="Q889" i="8"/>
  <c r="Q890" i="8"/>
  <c r="Q891" i="8"/>
  <c r="Q892" i="8"/>
  <c r="Q893" i="8"/>
  <c r="Q894" i="8"/>
  <c r="Q895" i="8"/>
  <c r="Q896" i="8"/>
  <c r="Q897" i="8"/>
  <c r="Q898" i="8"/>
  <c r="Q899" i="8"/>
  <c r="Q900" i="8"/>
  <c r="Q901" i="8"/>
  <c r="Q902" i="8"/>
  <c r="Q903" i="8"/>
  <c r="Q904" i="8"/>
  <c r="Q905" i="8"/>
  <c r="Q906" i="8"/>
  <c r="Q907" i="8"/>
  <c r="Q908" i="8"/>
  <c r="Q909" i="8"/>
  <c r="Q910" i="8"/>
  <c r="Q911" i="8"/>
  <c r="Q912" i="8"/>
  <c r="Q913" i="8"/>
  <c r="Q914" i="8"/>
  <c r="Q915" i="8"/>
  <c r="Q916" i="8"/>
  <c r="Q917" i="8"/>
  <c r="Q918" i="8"/>
  <c r="Q919" i="8"/>
  <c r="Q920" i="8"/>
  <c r="Q921" i="8"/>
  <c r="Q922" i="8"/>
  <c r="Q923" i="8"/>
  <c r="Q924" i="8"/>
  <c r="Q925" i="8"/>
  <c r="Q926" i="8"/>
  <c r="Q927" i="8"/>
  <c r="Q928" i="8"/>
  <c r="Q929" i="8"/>
  <c r="Q930" i="8"/>
  <c r="Q931" i="8"/>
  <c r="Q932" i="8"/>
  <c r="Q933" i="8"/>
  <c r="Q934" i="8"/>
  <c r="Q935" i="8"/>
  <c r="Q936" i="8"/>
  <c r="Q937" i="8"/>
  <c r="Q938" i="8"/>
  <c r="Q939" i="8"/>
  <c r="Q940" i="8"/>
  <c r="Q941" i="8"/>
  <c r="Q942" i="8"/>
  <c r="Q943" i="8"/>
  <c r="Q944" i="8"/>
  <c r="Q945" i="8"/>
  <c r="Q946" i="8"/>
  <c r="Q947" i="8"/>
  <c r="Q948" i="8"/>
  <c r="Q949" i="8"/>
  <c r="Q950" i="8"/>
  <c r="Q951" i="8"/>
  <c r="Q952" i="8"/>
  <c r="Q953" i="8"/>
  <c r="Q954" i="8"/>
  <c r="Q955" i="8"/>
  <c r="Q956" i="8"/>
  <c r="Q957" i="8"/>
  <c r="Q958" i="8"/>
  <c r="Q959" i="8"/>
  <c r="Q960" i="8"/>
  <c r="Q961" i="8"/>
  <c r="Q962" i="8"/>
  <c r="Q963" i="8"/>
  <c r="Q964" i="8"/>
  <c r="Q965" i="8"/>
  <c r="Q966" i="8"/>
  <c r="Q967" i="8"/>
  <c r="Q968" i="8"/>
  <c r="Q969" i="8"/>
  <c r="Q970" i="8"/>
  <c r="Q971" i="8"/>
  <c r="Q972" i="8"/>
  <c r="Q973" i="8"/>
  <c r="Q974" i="8"/>
  <c r="Q975" i="8"/>
  <c r="Q976" i="8"/>
  <c r="Q977" i="8"/>
  <c r="Q978" i="8"/>
  <c r="Q979" i="8"/>
  <c r="Q980" i="8"/>
  <c r="Q981" i="8"/>
  <c r="Q982" i="8"/>
  <c r="Q983" i="8"/>
  <c r="Q984" i="8"/>
  <c r="Q985" i="8"/>
  <c r="Q986" i="8"/>
  <c r="Q987" i="8"/>
  <c r="Q988" i="8"/>
  <c r="Q989" i="8"/>
  <c r="Q990" i="8"/>
  <c r="Q991" i="8"/>
  <c r="Q992" i="8"/>
  <c r="Q993" i="8"/>
  <c r="Q994" i="8"/>
  <c r="Q995" i="8"/>
  <c r="Q996" i="8"/>
  <c r="Q997" i="8"/>
  <c r="Q998" i="8"/>
  <c r="Q999" i="8"/>
  <c r="Q1000" i="8"/>
  <c r="Q1001" i="8"/>
  <c r="Q1002" i="8"/>
  <c r="Q1003" i="8"/>
  <c r="Q1004" i="8"/>
  <c r="Q1005" i="8"/>
  <c r="Q1006" i="8"/>
  <c r="Q1007" i="8"/>
  <c r="Q1008" i="8"/>
  <c r="Q1009" i="8"/>
  <c r="Q1010" i="8"/>
  <c r="Q1011" i="8"/>
  <c r="Q1012" i="8"/>
  <c r="Q1013" i="8"/>
  <c r="Q1014" i="8"/>
  <c r="Q1015" i="8"/>
  <c r="Q1016" i="8"/>
  <c r="Q1017" i="8"/>
  <c r="Q1018" i="8"/>
  <c r="Q1019" i="8"/>
  <c r="Q1020" i="8"/>
  <c r="Q1021" i="8"/>
  <c r="Q1022" i="8"/>
  <c r="Q1023" i="8"/>
  <c r="Q1024" i="8"/>
  <c r="Q1025" i="8"/>
  <c r="Q1026" i="8"/>
  <c r="Q1027" i="8"/>
  <c r="Q1028" i="8"/>
  <c r="Q1029" i="8"/>
  <c r="Q1030" i="8"/>
  <c r="Q1031" i="8"/>
  <c r="Q1032" i="8"/>
  <c r="Q1033" i="8"/>
  <c r="Q1034" i="8"/>
  <c r="Q1035" i="8"/>
  <c r="Q1036" i="8"/>
  <c r="Q1037" i="8"/>
  <c r="Q1038" i="8"/>
  <c r="Q1039" i="8"/>
  <c r="Q1040" i="8"/>
  <c r="Q1041" i="8"/>
  <c r="Q1042" i="8"/>
  <c r="Q1043" i="8"/>
  <c r="Q1044" i="8"/>
  <c r="Q1045" i="8"/>
  <c r="Q1046" i="8"/>
  <c r="Q1047" i="8"/>
  <c r="Q1048" i="8"/>
  <c r="Q1049" i="8"/>
  <c r="Q1050" i="8"/>
  <c r="Q1051" i="8"/>
  <c r="Q1052" i="8"/>
  <c r="Q1053" i="8"/>
  <c r="Q1054" i="8"/>
  <c r="Q1055" i="8"/>
  <c r="Q1056" i="8"/>
  <c r="Q1057" i="8"/>
  <c r="Q1058" i="8"/>
  <c r="Q1059" i="8"/>
  <c r="Q1060" i="8"/>
  <c r="Q1061" i="8"/>
  <c r="Q1062" i="8"/>
  <c r="Q1063" i="8"/>
  <c r="Q1064" i="8"/>
  <c r="Q1065" i="8"/>
  <c r="Q1066" i="8"/>
  <c r="Q1067" i="8"/>
  <c r="Q1068" i="8"/>
  <c r="Q1069" i="8"/>
  <c r="Q1070" i="8"/>
  <c r="Q1071" i="8"/>
  <c r="Q1072" i="8"/>
  <c r="Q1073" i="8"/>
  <c r="Q1074" i="8"/>
  <c r="Q1075" i="8"/>
  <c r="Q1076" i="8"/>
  <c r="Q1077" i="8"/>
  <c r="Q1078" i="8"/>
  <c r="Q1079" i="8"/>
  <c r="Q1080" i="8"/>
  <c r="Q1081" i="8"/>
  <c r="Q1082" i="8"/>
  <c r="Q1083" i="8"/>
  <c r="Q1084" i="8"/>
  <c r="Q1085" i="8"/>
  <c r="Q1086" i="8"/>
  <c r="Q1087" i="8"/>
  <c r="Q1088" i="8"/>
  <c r="Q1089" i="8"/>
  <c r="Q1090" i="8"/>
  <c r="Q1091" i="8"/>
  <c r="Q1092" i="8"/>
  <c r="Q1093" i="8"/>
  <c r="Q1094" i="8"/>
  <c r="Q1095" i="8"/>
  <c r="Q1096" i="8"/>
  <c r="Q1097" i="8"/>
  <c r="Q1098" i="8"/>
  <c r="Q1099" i="8"/>
  <c r="Q1100" i="8"/>
  <c r="Q1101" i="8"/>
  <c r="Q1102" i="8"/>
  <c r="Q1103" i="8"/>
  <c r="Q1104" i="8"/>
  <c r="Q1105" i="8"/>
  <c r="Q1106" i="8"/>
  <c r="Q1107" i="8"/>
  <c r="Q1108" i="8"/>
  <c r="Q1109" i="8"/>
  <c r="Q1110" i="8"/>
  <c r="Q1111" i="8"/>
  <c r="Q1112" i="8"/>
  <c r="Q1113" i="8"/>
  <c r="Q1114" i="8"/>
  <c r="Q1115" i="8"/>
  <c r="Q1116" i="8"/>
  <c r="Q1117" i="8"/>
  <c r="Q1118" i="8"/>
  <c r="Q1119" i="8"/>
  <c r="Q1120" i="8"/>
  <c r="Q1121" i="8"/>
  <c r="Q1122" i="8"/>
  <c r="Q1123" i="8"/>
  <c r="Q1124" i="8"/>
  <c r="Q1125" i="8"/>
  <c r="Q1126" i="8"/>
  <c r="Q1127" i="8"/>
  <c r="Q1128" i="8"/>
  <c r="Q1129" i="8"/>
  <c r="Q1130" i="8"/>
  <c r="Q1131" i="8"/>
  <c r="Q1132" i="8"/>
  <c r="Q1133" i="8"/>
  <c r="Q1134" i="8"/>
  <c r="Q1135" i="8"/>
  <c r="Q1136" i="8"/>
  <c r="Q1137" i="8"/>
  <c r="Q1138" i="8"/>
  <c r="Q1139" i="8"/>
  <c r="Q1140" i="8"/>
  <c r="Q1141" i="8"/>
  <c r="Q1142" i="8"/>
  <c r="Q1143" i="8"/>
  <c r="Q1144" i="8"/>
  <c r="Q1145" i="8"/>
  <c r="Q1146" i="8"/>
  <c r="Q1147" i="8"/>
  <c r="Q1148" i="8"/>
  <c r="Q1149" i="8"/>
  <c r="Q1150" i="8"/>
  <c r="Q1151" i="8"/>
  <c r="Q1152" i="8"/>
  <c r="Q1153" i="8"/>
  <c r="Q1154" i="8"/>
  <c r="Q1155" i="8"/>
  <c r="Q1156" i="8"/>
  <c r="Q1157" i="8"/>
  <c r="Q1158" i="8"/>
  <c r="Q1159" i="8"/>
  <c r="Q1160" i="8"/>
  <c r="Q1161" i="8"/>
  <c r="Q1162" i="8"/>
  <c r="Q1163" i="8"/>
  <c r="Q1164" i="8"/>
  <c r="Q1165" i="8"/>
  <c r="Q1166" i="8"/>
  <c r="Q1167" i="8"/>
  <c r="Q1168" i="8"/>
  <c r="Q1169" i="8"/>
  <c r="Q1170" i="8"/>
  <c r="Q1171" i="8"/>
  <c r="Q1172" i="8"/>
  <c r="Q1173" i="8"/>
  <c r="Q1174" i="8"/>
  <c r="Q1175" i="8"/>
  <c r="Q1176" i="8"/>
  <c r="Q1177" i="8"/>
  <c r="Q1178" i="8"/>
  <c r="Q1179" i="8"/>
  <c r="Q1180" i="8"/>
  <c r="Q1181" i="8"/>
  <c r="Q1182" i="8"/>
  <c r="Q1183" i="8"/>
  <c r="Q1184" i="8"/>
  <c r="Q1185" i="8"/>
  <c r="Q1186" i="8"/>
  <c r="Q1187" i="8"/>
  <c r="Q1188" i="8"/>
  <c r="Q1189" i="8"/>
  <c r="Q1190" i="8"/>
  <c r="Q1191" i="8"/>
  <c r="Q1192" i="8"/>
  <c r="Q1193" i="8"/>
  <c r="Q1194" i="8"/>
  <c r="Q1195" i="8"/>
  <c r="Q1196" i="8"/>
  <c r="Q1197" i="8"/>
  <c r="Q1198" i="8"/>
  <c r="Q1199" i="8"/>
  <c r="Q1200" i="8"/>
  <c r="Q1201" i="8"/>
  <c r="Q1202" i="8"/>
  <c r="Q1203" i="8"/>
  <c r="Q1204" i="8"/>
  <c r="Q1205" i="8"/>
  <c r="Q1206" i="8"/>
  <c r="Q1207" i="8"/>
  <c r="Q1208" i="8"/>
  <c r="Q1209" i="8"/>
  <c r="Q1210" i="8"/>
  <c r="Q1211" i="8"/>
  <c r="Q1212" i="8"/>
  <c r="Q1213" i="8"/>
  <c r="Q1214" i="8"/>
  <c r="Q1215" i="8"/>
  <c r="Q1216" i="8"/>
  <c r="Q1217" i="8"/>
  <c r="Q1218" i="8"/>
  <c r="Q1219" i="8"/>
  <c r="Q1220" i="8"/>
  <c r="Q1221" i="8"/>
  <c r="Q1222" i="8"/>
  <c r="Q1223" i="8"/>
  <c r="Q1224" i="8"/>
  <c r="Q1225" i="8"/>
  <c r="Q1226" i="8"/>
  <c r="Q1227" i="8"/>
  <c r="Q1228" i="8"/>
  <c r="Q1229" i="8"/>
  <c r="Q1230" i="8"/>
  <c r="Q1231" i="8"/>
  <c r="Q1232" i="8"/>
  <c r="Q1233" i="8"/>
  <c r="Q1234" i="8"/>
  <c r="Q1235" i="8"/>
  <c r="Q1236" i="8"/>
  <c r="Q1237" i="8"/>
  <c r="Q1238" i="8"/>
  <c r="Q1239" i="8"/>
  <c r="Q1240" i="8"/>
  <c r="Q1241" i="8"/>
  <c r="Q1242" i="8"/>
  <c r="Q1243" i="8"/>
  <c r="Q1244" i="8"/>
  <c r="Q1245" i="8"/>
  <c r="Q1246" i="8"/>
  <c r="Q1247" i="8"/>
  <c r="Q1248" i="8"/>
  <c r="Q1249" i="8"/>
  <c r="Q1250" i="8"/>
  <c r="Q1251" i="8"/>
  <c r="Q1252" i="8"/>
  <c r="Q1253" i="8"/>
  <c r="Q1254" i="8"/>
  <c r="Q1255" i="8"/>
  <c r="Q1256" i="8"/>
  <c r="Q1257" i="8"/>
  <c r="Q1258" i="8"/>
  <c r="Q1259" i="8"/>
  <c r="Q1260" i="8"/>
  <c r="Q1261" i="8"/>
  <c r="Q1262" i="8"/>
  <c r="Q1263" i="8"/>
  <c r="Q1264" i="8"/>
  <c r="Q1265" i="8"/>
  <c r="Q1266" i="8"/>
  <c r="Q1267" i="8"/>
  <c r="Q1268" i="8"/>
  <c r="Q1269" i="8"/>
  <c r="Q1270" i="8"/>
  <c r="Q1271" i="8"/>
  <c r="Q1272" i="8"/>
  <c r="Q1273" i="8"/>
  <c r="Q1274" i="8"/>
  <c r="Q1275" i="8"/>
  <c r="Q1276" i="8"/>
  <c r="Q1277" i="8"/>
  <c r="Q1278" i="8"/>
  <c r="Q1279" i="8"/>
  <c r="Q1280" i="8"/>
  <c r="Q1281" i="8"/>
  <c r="Q1282" i="8"/>
  <c r="Q1283" i="8"/>
  <c r="Q1284" i="8"/>
  <c r="Q1285" i="8"/>
  <c r="Q1286" i="8"/>
  <c r="Q1287" i="8"/>
  <c r="Q1288" i="8"/>
  <c r="Q1289" i="8"/>
  <c r="Q1290" i="8"/>
  <c r="Q1291" i="8"/>
  <c r="Q1292" i="8"/>
  <c r="Q1293" i="8"/>
  <c r="Q1294" i="8"/>
  <c r="Q1295" i="8"/>
  <c r="Q1296" i="8"/>
  <c r="Q1297" i="8"/>
  <c r="Q1298" i="8"/>
  <c r="Q1299" i="8"/>
  <c r="Q1300" i="8"/>
  <c r="Q1301" i="8"/>
  <c r="Q1302" i="8"/>
  <c r="Q1303" i="8"/>
  <c r="Q1304" i="8"/>
  <c r="Q1305" i="8"/>
  <c r="Q1306" i="8"/>
  <c r="Q1307" i="8"/>
  <c r="Q1308" i="8"/>
  <c r="Q1309" i="8"/>
  <c r="Q1310" i="8"/>
  <c r="Q1311" i="8"/>
  <c r="Q1312" i="8"/>
  <c r="Q1313" i="8"/>
  <c r="Q1314" i="8"/>
  <c r="Q1315" i="8"/>
  <c r="Q1316" i="8"/>
  <c r="Q1317" i="8"/>
  <c r="Q1318" i="8"/>
  <c r="Q1319" i="8"/>
  <c r="Q1320" i="8"/>
  <c r="Q1321" i="8"/>
  <c r="Q1322" i="8"/>
  <c r="Q1323" i="8"/>
  <c r="Q1324" i="8"/>
  <c r="Q1325" i="8"/>
  <c r="Q1326" i="8"/>
  <c r="Q1327" i="8"/>
  <c r="Q1328" i="8"/>
  <c r="Q1329" i="8"/>
  <c r="Q1330" i="8"/>
  <c r="Q1331" i="8"/>
  <c r="Q1332" i="8"/>
  <c r="Q1333" i="8"/>
  <c r="Q1334" i="8"/>
  <c r="Q1335" i="8"/>
  <c r="Q1336" i="8"/>
  <c r="Q1337" i="8"/>
  <c r="Q1338" i="8"/>
  <c r="Q1339" i="8"/>
  <c r="Q1340" i="8"/>
  <c r="Q1341" i="8"/>
  <c r="Q1342" i="8"/>
  <c r="Q1343" i="8"/>
  <c r="Q1344" i="8"/>
  <c r="Q1345" i="8"/>
  <c r="Q1346" i="8"/>
  <c r="Q1347" i="8"/>
  <c r="Q1348" i="8"/>
  <c r="Q1349" i="8"/>
  <c r="Q1350" i="8"/>
  <c r="Q1351" i="8"/>
  <c r="Q1352" i="8"/>
  <c r="Q1353" i="8"/>
  <c r="Q1354" i="8"/>
  <c r="Q1355" i="8"/>
  <c r="Q1356" i="8"/>
  <c r="Q1357" i="8"/>
  <c r="Q1358" i="8"/>
  <c r="Q1359" i="8"/>
  <c r="Q1360" i="8"/>
  <c r="Q1361" i="8"/>
  <c r="Q1362" i="8"/>
  <c r="Q1363" i="8"/>
  <c r="Q1364" i="8"/>
  <c r="Q1365" i="8"/>
  <c r="Q1366" i="8"/>
  <c r="Q1367" i="8"/>
  <c r="Q1368" i="8"/>
  <c r="Q1369" i="8"/>
  <c r="Q1370" i="8"/>
  <c r="Q1371" i="8"/>
  <c r="Q1372" i="8"/>
  <c r="Q1373" i="8"/>
  <c r="Q1374" i="8"/>
  <c r="Q1375" i="8"/>
  <c r="Q1376" i="8"/>
  <c r="Q1377" i="8"/>
  <c r="Q1378" i="8"/>
  <c r="Q1379" i="8"/>
  <c r="Q1380" i="8"/>
  <c r="Q1381" i="8"/>
  <c r="Q1382" i="8"/>
  <c r="Q1383" i="8"/>
  <c r="Q1384" i="8"/>
  <c r="Q1385" i="8"/>
  <c r="Q1386" i="8"/>
  <c r="Q1387" i="8"/>
  <c r="Q1388" i="8"/>
  <c r="Q1389" i="8"/>
  <c r="Q1390" i="8"/>
  <c r="Q1391" i="8"/>
  <c r="Q1392" i="8"/>
  <c r="Q1393" i="8"/>
  <c r="Q1394" i="8"/>
  <c r="Q1395" i="8"/>
  <c r="Q1396" i="8"/>
  <c r="Q1397" i="8"/>
  <c r="Q1398" i="8"/>
  <c r="Q1399" i="8"/>
  <c r="Q1400" i="8"/>
  <c r="Q1401" i="8"/>
  <c r="Q1402" i="8"/>
  <c r="Q1403" i="8"/>
  <c r="Q1404" i="8"/>
  <c r="Q1405" i="8"/>
  <c r="Q1406" i="8"/>
  <c r="Q1407" i="8"/>
  <c r="Q1408" i="8"/>
  <c r="Q1409" i="8"/>
  <c r="Q1410" i="8"/>
  <c r="Q1411" i="8"/>
  <c r="Q1412" i="8"/>
  <c r="Q1413" i="8"/>
  <c r="Q1414" i="8"/>
  <c r="Q1415" i="8"/>
  <c r="Q1416" i="8"/>
  <c r="Q1417" i="8"/>
  <c r="Q1418" i="8"/>
  <c r="Q1419" i="8"/>
  <c r="Q1420" i="8"/>
  <c r="Q1421" i="8"/>
  <c r="Q1422" i="8"/>
  <c r="Q1423" i="8"/>
  <c r="Q1424" i="8"/>
  <c r="Q1425" i="8"/>
  <c r="Q1426" i="8"/>
  <c r="Q1427" i="8"/>
  <c r="Q1428" i="8"/>
  <c r="Q1429" i="8"/>
  <c r="Q1430" i="8"/>
  <c r="Q1431" i="8"/>
  <c r="Q1432" i="8"/>
  <c r="Q1433" i="8"/>
  <c r="Q1434" i="8"/>
  <c r="Q1435" i="8"/>
  <c r="Q1436" i="8"/>
  <c r="Q1437" i="8"/>
  <c r="Q1438" i="8"/>
  <c r="Q1439" i="8"/>
  <c r="Q1440" i="8"/>
  <c r="Q1441" i="8"/>
  <c r="Q1442" i="8"/>
  <c r="Q1443" i="8"/>
  <c r="Q1444" i="8"/>
  <c r="Q1445" i="8"/>
  <c r="Q1446" i="8"/>
  <c r="Q1447" i="8"/>
  <c r="Q1448" i="8"/>
  <c r="Q1449" i="8"/>
  <c r="Q1450" i="8"/>
  <c r="Q1451" i="8"/>
  <c r="Q1452" i="8"/>
  <c r="Q1453" i="8"/>
  <c r="Q1454" i="8"/>
  <c r="Q1455" i="8"/>
  <c r="Q1456" i="8"/>
  <c r="Q1457" i="8"/>
  <c r="Q1458" i="8"/>
  <c r="Q1459" i="8"/>
  <c r="Q1460" i="8"/>
  <c r="Q1461" i="8"/>
  <c r="Q1462" i="8"/>
  <c r="Q1463" i="8"/>
  <c r="Q1464" i="8"/>
  <c r="Q1465" i="8"/>
  <c r="Q1466" i="8"/>
  <c r="Q1467" i="8"/>
  <c r="Q1468" i="8"/>
  <c r="Q1469" i="8"/>
  <c r="Q1470" i="8"/>
  <c r="Q1471" i="8"/>
  <c r="Q1472" i="8"/>
  <c r="Q1473" i="8"/>
  <c r="Q1474" i="8"/>
  <c r="Q1475" i="8"/>
  <c r="Q1476" i="8"/>
  <c r="Q1477" i="8"/>
  <c r="Q1478" i="8"/>
  <c r="Q1479" i="8"/>
  <c r="Q1480" i="8"/>
  <c r="Q1481" i="8"/>
  <c r="Q1482" i="8"/>
  <c r="Q1483" i="8"/>
  <c r="Q1484" i="8"/>
  <c r="Q1485" i="8"/>
  <c r="Q1486" i="8"/>
  <c r="Q1487" i="8"/>
  <c r="Q1488" i="8"/>
  <c r="Q1489" i="8"/>
  <c r="Q1490" i="8"/>
  <c r="Q1491" i="8"/>
  <c r="Q1492" i="8"/>
  <c r="Q1493" i="8"/>
  <c r="Q1494" i="8"/>
  <c r="Q1495" i="8"/>
  <c r="Q1496" i="8"/>
  <c r="Q1497" i="8"/>
  <c r="Q1498" i="8"/>
  <c r="Q1499" i="8"/>
  <c r="Q1500" i="8"/>
  <c r="Q1501" i="8"/>
  <c r="Q1502" i="8"/>
  <c r="Q1503" i="8"/>
  <c r="Q1504" i="8"/>
  <c r="Q1505" i="8"/>
  <c r="Q1506" i="8"/>
  <c r="Q1507" i="8"/>
  <c r="Q1508" i="8"/>
  <c r="Q1509" i="8"/>
  <c r="Q1510" i="8"/>
  <c r="Q1511" i="8"/>
  <c r="Q1512" i="8"/>
  <c r="Q1513" i="8"/>
  <c r="Q1514" i="8"/>
  <c r="Q1515" i="8"/>
  <c r="Q1516" i="8"/>
  <c r="Q1517" i="8"/>
  <c r="Q1518" i="8"/>
  <c r="Q1519" i="8"/>
  <c r="Q1520" i="8"/>
  <c r="Q1521" i="8"/>
  <c r="Q1522" i="8"/>
  <c r="Q1523" i="8"/>
  <c r="Q1524" i="8"/>
  <c r="Q1525" i="8"/>
  <c r="Q1526" i="8"/>
  <c r="Q1527" i="8"/>
  <c r="Q1528" i="8"/>
  <c r="Q1529" i="8"/>
  <c r="Q1530" i="8"/>
  <c r="Q1531" i="8"/>
  <c r="Q1532" i="8"/>
  <c r="Q1533" i="8"/>
  <c r="Q1534" i="8"/>
  <c r="Q1535" i="8"/>
  <c r="Q1536" i="8"/>
  <c r="Q1537" i="8"/>
  <c r="Q1538" i="8"/>
  <c r="Q1539" i="8"/>
  <c r="Q1540" i="8"/>
  <c r="Q1541" i="8"/>
  <c r="Q1542" i="8"/>
  <c r="Q1543" i="8"/>
  <c r="Q1544" i="8"/>
  <c r="Q1545" i="8"/>
  <c r="Q1546" i="8"/>
  <c r="Q1547" i="8"/>
  <c r="Q1548" i="8"/>
  <c r="Q1549" i="8"/>
  <c r="Q1550" i="8"/>
  <c r="Q1551" i="8"/>
  <c r="Q1552" i="8"/>
  <c r="Q1553" i="8"/>
  <c r="Q1554" i="8"/>
  <c r="Q1555" i="8"/>
  <c r="Q1556" i="8"/>
  <c r="Q1557" i="8"/>
  <c r="Q1558" i="8"/>
  <c r="Q1559" i="8"/>
  <c r="Q1560" i="8"/>
  <c r="Q1561" i="8"/>
  <c r="Q1562" i="8"/>
  <c r="Q1563" i="8"/>
  <c r="Q1564" i="8"/>
  <c r="Q1565" i="8"/>
  <c r="Q1566" i="8"/>
  <c r="Q1567" i="8"/>
  <c r="Q1568" i="8"/>
  <c r="Q1569" i="8"/>
  <c r="Q1570" i="8"/>
  <c r="Q1571" i="8"/>
  <c r="Q1572" i="8"/>
  <c r="Q1573" i="8"/>
  <c r="Q1574" i="8"/>
  <c r="Q1575" i="8"/>
  <c r="Q1576" i="8"/>
  <c r="Q1577" i="8"/>
  <c r="Q1578" i="8"/>
  <c r="Q1579" i="8"/>
  <c r="Q1580" i="8"/>
  <c r="Q1581" i="8"/>
  <c r="Q1582" i="8"/>
  <c r="Q1583" i="8"/>
  <c r="Q1584" i="8"/>
  <c r="Q1585" i="8"/>
  <c r="Q1586" i="8"/>
  <c r="Q1587" i="8"/>
  <c r="Q1588" i="8"/>
  <c r="Q1589" i="8"/>
  <c r="Q1590" i="8"/>
  <c r="Q1591" i="8"/>
  <c r="Q1592" i="8"/>
  <c r="Q1593" i="8"/>
  <c r="Q1594" i="8"/>
  <c r="Q1595" i="8"/>
  <c r="Q1596" i="8"/>
  <c r="Q1597" i="8"/>
  <c r="Q1598" i="8"/>
  <c r="Q1599" i="8"/>
  <c r="Q1600" i="8"/>
  <c r="Q1601" i="8"/>
  <c r="Q1602" i="8"/>
  <c r="Q1603" i="8"/>
  <c r="Q1604" i="8"/>
  <c r="Q1605" i="8"/>
  <c r="Q1606" i="8"/>
  <c r="Q1607" i="8"/>
  <c r="Q1608" i="8"/>
  <c r="Q1609" i="8"/>
  <c r="Q1610" i="8"/>
  <c r="Q1611" i="8"/>
  <c r="Q1612" i="8"/>
  <c r="Q1613" i="8"/>
  <c r="Q1614" i="8"/>
  <c r="Q1615" i="8"/>
  <c r="Q1616" i="8"/>
  <c r="Q1617" i="8"/>
  <c r="Q1618" i="8"/>
  <c r="Q1619" i="8"/>
  <c r="Q1620" i="8"/>
  <c r="Q1621" i="8"/>
  <c r="Q1622" i="8"/>
  <c r="Q1623" i="8"/>
  <c r="Q1624" i="8"/>
  <c r="Q1625" i="8"/>
  <c r="Q1626" i="8"/>
  <c r="Q1627" i="8"/>
  <c r="Q1628" i="8"/>
  <c r="Q1629" i="8"/>
  <c r="Q1630" i="8"/>
  <c r="Q1631" i="8"/>
  <c r="Q1632" i="8"/>
  <c r="Q1633" i="8"/>
  <c r="Q1634" i="8"/>
  <c r="Q1635" i="8"/>
  <c r="Q1636" i="8"/>
  <c r="Q1637" i="8"/>
  <c r="Q1638" i="8"/>
  <c r="Q1639" i="8"/>
  <c r="Q1640" i="8"/>
  <c r="Q1641" i="8"/>
  <c r="Q1642" i="8"/>
  <c r="Q1643" i="8"/>
  <c r="Q1644" i="8"/>
  <c r="Q1645" i="8"/>
  <c r="Q1646" i="8"/>
  <c r="Q1647" i="8"/>
  <c r="Q1648" i="8"/>
  <c r="Q1649" i="8"/>
  <c r="Q1650" i="8"/>
  <c r="Q1651" i="8"/>
  <c r="Q1652" i="8"/>
  <c r="Q1653" i="8"/>
  <c r="Q1654" i="8"/>
  <c r="Q1655" i="8"/>
  <c r="Q1656" i="8"/>
  <c r="Q1657" i="8"/>
  <c r="Q1658" i="8"/>
  <c r="Q1659" i="8"/>
  <c r="Q1660" i="8"/>
  <c r="Q1661" i="8"/>
  <c r="Q1662" i="8"/>
  <c r="Q1663" i="8"/>
  <c r="Q1664" i="8"/>
  <c r="Q1665" i="8"/>
  <c r="Q1666" i="8"/>
  <c r="Q1667" i="8"/>
  <c r="Q1668" i="8"/>
  <c r="Q1669" i="8"/>
  <c r="Q1670" i="8"/>
  <c r="Q1671" i="8"/>
  <c r="Q1672" i="8"/>
  <c r="Q1673" i="8"/>
  <c r="Q1674" i="8"/>
  <c r="Q1675" i="8"/>
  <c r="Q1676" i="8"/>
  <c r="Q1677" i="8"/>
  <c r="Q1678" i="8"/>
  <c r="Q1679" i="8"/>
  <c r="Q1680" i="8"/>
  <c r="Q1681" i="8"/>
  <c r="Q1682" i="8"/>
  <c r="Q1683" i="8"/>
  <c r="Q1684" i="8"/>
  <c r="Q1685" i="8"/>
  <c r="Q1686" i="8"/>
  <c r="Q1687" i="8"/>
  <c r="Q1688" i="8"/>
  <c r="Q1689" i="8"/>
  <c r="Q1690" i="8"/>
  <c r="Q1691" i="8"/>
  <c r="Q1692" i="8"/>
  <c r="Q1693" i="8"/>
  <c r="Q1694" i="8"/>
  <c r="Q1695" i="8"/>
  <c r="Q1696" i="8"/>
  <c r="Q1697" i="8"/>
  <c r="Q1698" i="8"/>
  <c r="Q1699" i="8"/>
  <c r="Q1700" i="8"/>
  <c r="Q1701" i="8"/>
  <c r="Q1702" i="8"/>
  <c r="Q1703" i="8"/>
  <c r="Q1704" i="8"/>
  <c r="Q1705" i="8"/>
  <c r="Q1706" i="8"/>
  <c r="Q1707" i="8"/>
  <c r="Q1708" i="8"/>
  <c r="Q1709" i="8"/>
  <c r="Q1710" i="8"/>
  <c r="Q1711" i="8"/>
  <c r="Q1712" i="8"/>
  <c r="Q1713" i="8"/>
  <c r="Q1714" i="8"/>
  <c r="Q1715" i="8"/>
  <c r="Q1716" i="8"/>
  <c r="Q1717" i="8"/>
  <c r="Q1718" i="8"/>
  <c r="Q1719" i="8"/>
  <c r="Q1720" i="8"/>
  <c r="Q1721" i="8"/>
  <c r="Q1722" i="8"/>
  <c r="Q1723" i="8"/>
  <c r="Q1724" i="8"/>
  <c r="Q1725" i="8"/>
  <c r="Q1726" i="8"/>
  <c r="Q1727" i="8"/>
  <c r="Q1728" i="8"/>
  <c r="Q1729" i="8"/>
  <c r="Q1730" i="8"/>
  <c r="Q1731" i="8"/>
  <c r="Q1732" i="8"/>
  <c r="Q1733" i="8"/>
  <c r="Q1734" i="8"/>
  <c r="Q1735" i="8"/>
  <c r="Q1736" i="8"/>
  <c r="Q1737" i="8"/>
  <c r="Q1738" i="8"/>
  <c r="Q1739" i="8"/>
  <c r="Q1740" i="8"/>
  <c r="Q1741" i="8"/>
  <c r="Q1742" i="8"/>
  <c r="Q1743" i="8"/>
  <c r="Q1744" i="8"/>
  <c r="Q1745" i="8"/>
  <c r="Q1746" i="8"/>
  <c r="Q1747" i="8"/>
  <c r="Q1748" i="8"/>
  <c r="Q1749" i="8"/>
  <c r="Q1750" i="8"/>
  <c r="Q1751" i="8"/>
  <c r="Q1752" i="8"/>
  <c r="Q1753" i="8"/>
  <c r="Q1754" i="8"/>
  <c r="Q1755" i="8"/>
  <c r="Q1756" i="8"/>
  <c r="Q1757" i="8"/>
  <c r="Q1758" i="8"/>
  <c r="Q1759" i="8"/>
  <c r="Q1760" i="8"/>
  <c r="Q1761" i="8"/>
  <c r="Q1762" i="8"/>
  <c r="Q1763" i="8"/>
  <c r="Q1764" i="8"/>
  <c r="Q1765" i="8"/>
  <c r="Q1766" i="8"/>
  <c r="Q1767" i="8"/>
  <c r="Q1768" i="8"/>
  <c r="Q1769" i="8"/>
  <c r="Q1770" i="8"/>
  <c r="Q1771" i="8"/>
  <c r="Q1772" i="8"/>
  <c r="Q1773" i="8"/>
  <c r="Q1774" i="8"/>
  <c r="Q1775" i="8"/>
  <c r="Q1776" i="8"/>
  <c r="Q1777" i="8"/>
  <c r="Q1778" i="8"/>
  <c r="Q1779" i="8"/>
  <c r="Q1780" i="8"/>
  <c r="Q1781" i="8"/>
  <c r="Q1782" i="8"/>
  <c r="Q1783" i="8"/>
  <c r="Q1784" i="8"/>
  <c r="Q1785" i="8"/>
  <c r="Q1786" i="8"/>
  <c r="Q1787" i="8"/>
  <c r="Q1788" i="8"/>
  <c r="Q1789" i="8"/>
  <c r="Q1790" i="8"/>
  <c r="Q1791" i="8"/>
  <c r="Q1792" i="8"/>
  <c r="Q1793" i="8"/>
  <c r="Q1794" i="8"/>
  <c r="Q1795" i="8"/>
  <c r="Q1796" i="8"/>
  <c r="Q1797" i="8"/>
  <c r="Q1798" i="8"/>
  <c r="Q1799" i="8"/>
  <c r="Q1800" i="8"/>
  <c r="Q1801" i="8"/>
  <c r="Q1802" i="8"/>
  <c r="Q1803" i="8"/>
  <c r="Q1804" i="8"/>
  <c r="Q1805" i="8"/>
  <c r="Q1806" i="8"/>
  <c r="Q1807" i="8"/>
  <c r="Q1808" i="8"/>
  <c r="Q1809" i="8"/>
  <c r="Q1810" i="8"/>
  <c r="Q1811" i="8"/>
  <c r="Q1812" i="8"/>
  <c r="Q1813" i="8"/>
  <c r="Q1814" i="8"/>
  <c r="Q1815" i="8"/>
  <c r="Q1816" i="8"/>
  <c r="Q1817" i="8"/>
  <c r="Q1818" i="8"/>
  <c r="Q1819" i="8"/>
  <c r="Q1820" i="8"/>
  <c r="Q1821" i="8"/>
  <c r="Q1822" i="8"/>
  <c r="Q1823" i="8"/>
  <c r="Q1824" i="8"/>
  <c r="Q1825" i="8"/>
  <c r="Q1826" i="8"/>
  <c r="Q1827" i="8"/>
  <c r="Q1828" i="8"/>
  <c r="Q1829" i="8"/>
  <c r="Q1830" i="8"/>
  <c r="Q1831" i="8"/>
  <c r="Q1832" i="8"/>
  <c r="Q1833" i="8"/>
  <c r="Q1834" i="8"/>
  <c r="Q1835" i="8"/>
  <c r="Q1836" i="8"/>
  <c r="Q1837" i="8"/>
  <c r="Q1838" i="8"/>
  <c r="Q1839" i="8"/>
  <c r="Q1840" i="8"/>
  <c r="Q1841" i="8"/>
  <c r="Q1842" i="8"/>
  <c r="Q1843" i="8"/>
  <c r="Q1844" i="8"/>
  <c r="Q1845" i="8"/>
  <c r="Q1846" i="8"/>
  <c r="Q1847" i="8"/>
  <c r="Q1848" i="8"/>
  <c r="Q1849" i="8"/>
  <c r="Q1850" i="8"/>
  <c r="Q1851" i="8"/>
  <c r="Q1852" i="8"/>
  <c r="Q1853" i="8"/>
  <c r="Q1854" i="8"/>
  <c r="Q1855" i="8"/>
  <c r="Q1856" i="8"/>
  <c r="Q1857" i="8"/>
  <c r="Q1858" i="8"/>
  <c r="Q1859" i="8"/>
  <c r="Q1860" i="8"/>
  <c r="Q1861" i="8"/>
  <c r="Q1862" i="8"/>
  <c r="Q1863" i="8"/>
  <c r="Q1864" i="8"/>
  <c r="Q1865" i="8"/>
  <c r="Q1866" i="8"/>
  <c r="Q1867" i="8"/>
  <c r="Q1868" i="8"/>
  <c r="Q1869" i="8"/>
  <c r="Q1870" i="8"/>
  <c r="Q1871" i="8"/>
  <c r="Q1872" i="8"/>
  <c r="Q1873" i="8"/>
  <c r="Q1874" i="8"/>
  <c r="Q1875" i="8"/>
  <c r="Q1876" i="8"/>
  <c r="Q1877" i="8"/>
  <c r="Q1878" i="8"/>
  <c r="Q1879" i="8"/>
  <c r="Q1880" i="8"/>
  <c r="Q1881" i="8"/>
  <c r="Q1882" i="8"/>
  <c r="Q1883" i="8"/>
  <c r="Q1884" i="8"/>
  <c r="Q1885" i="8"/>
  <c r="Q1886" i="8"/>
  <c r="Q1887" i="8"/>
  <c r="Q1888" i="8"/>
  <c r="Q1889" i="8"/>
  <c r="Q1890" i="8"/>
  <c r="Q1891" i="8"/>
  <c r="Q1892" i="8"/>
  <c r="Q1893" i="8"/>
  <c r="Q1894" i="8"/>
  <c r="Q1895" i="8"/>
  <c r="Q1896" i="8"/>
  <c r="Q1897" i="8"/>
  <c r="Q1898" i="8"/>
  <c r="Q1899" i="8"/>
  <c r="Q1900" i="8"/>
  <c r="Q1901" i="8"/>
  <c r="Q1902" i="8"/>
  <c r="Q1903" i="8"/>
  <c r="Q1904" i="8"/>
  <c r="Q1905" i="8"/>
  <c r="Q1906" i="8"/>
  <c r="Q1907" i="8"/>
  <c r="Q1908" i="8"/>
  <c r="Q1909" i="8"/>
  <c r="Q1910" i="8"/>
  <c r="Q1911" i="8"/>
  <c r="Q1912" i="8"/>
  <c r="Q1913" i="8"/>
  <c r="Q1914" i="8"/>
  <c r="Q1915" i="8"/>
  <c r="Q1916" i="8"/>
  <c r="Q1917" i="8"/>
  <c r="Q1918" i="8"/>
  <c r="Q1919" i="8"/>
  <c r="Q1920" i="8"/>
  <c r="Q1921" i="8"/>
  <c r="Q1922" i="8"/>
  <c r="Q1923" i="8"/>
  <c r="Q1924" i="8"/>
  <c r="Q1925" i="8"/>
  <c r="Q1926" i="8"/>
  <c r="Q1927" i="8"/>
  <c r="Q1928" i="8"/>
  <c r="Q1929" i="8"/>
  <c r="Q1930" i="8"/>
  <c r="Q1931" i="8"/>
  <c r="Q1932" i="8"/>
  <c r="Q1933" i="8"/>
  <c r="Q1934" i="8"/>
  <c r="Q1935" i="8"/>
  <c r="Q1936" i="8"/>
  <c r="Q1937" i="8"/>
  <c r="Q1938" i="8"/>
  <c r="Q1939" i="8"/>
  <c r="Q1940" i="8"/>
  <c r="Q1941" i="8"/>
  <c r="Q1942" i="8"/>
  <c r="Q1943" i="8"/>
  <c r="Q1944" i="8"/>
  <c r="Q1945" i="8"/>
  <c r="Q1946" i="8"/>
  <c r="Q1947" i="8"/>
  <c r="Q1948" i="8"/>
  <c r="Q1949" i="8"/>
  <c r="Q1950" i="8"/>
  <c r="Q1951" i="8"/>
  <c r="Q1952" i="8"/>
  <c r="Q1953" i="8"/>
  <c r="Q1954" i="8"/>
  <c r="Q1955" i="8"/>
  <c r="Q1956" i="8"/>
  <c r="Q1957" i="8"/>
  <c r="Q1958" i="8"/>
  <c r="Q1959" i="8"/>
  <c r="Q1960" i="8"/>
  <c r="Q1961" i="8"/>
  <c r="Q1962" i="8"/>
  <c r="Q1963" i="8"/>
  <c r="Q1964" i="8"/>
  <c r="Q1965" i="8"/>
  <c r="Q1966" i="8"/>
  <c r="Q1967" i="8"/>
  <c r="Q1968" i="8"/>
  <c r="Q1969" i="8"/>
  <c r="Q1970" i="8"/>
  <c r="Q1971" i="8"/>
  <c r="Q1972" i="8"/>
  <c r="Q1973" i="8"/>
  <c r="Q1974" i="8"/>
  <c r="Q1975" i="8"/>
  <c r="Q1976" i="8"/>
  <c r="Q1977" i="8"/>
  <c r="Q1978" i="8"/>
  <c r="Q1979" i="8"/>
  <c r="Q1980" i="8"/>
  <c r="Q1981" i="8"/>
  <c r="Q1982" i="8"/>
  <c r="Q1983" i="8"/>
  <c r="Q1984" i="8"/>
  <c r="Q1985" i="8"/>
  <c r="Q1986" i="8"/>
  <c r="Q1987" i="8"/>
  <c r="Q1988" i="8"/>
  <c r="Q1989" i="8"/>
  <c r="Q1990" i="8"/>
  <c r="Q1991" i="8"/>
  <c r="Q1992" i="8"/>
  <c r="Q1993" i="8"/>
  <c r="Q1994" i="8"/>
  <c r="Q1995" i="8"/>
  <c r="Q1996" i="8"/>
  <c r="Q1997" i="8"/>
  <c r="Q1998" i="8"/>
  <c r="Q1999" i="8"/>
  <c r="Q2000" i="8"/>
  <c r="Q2001" i="8"/>
  <c r="Q2002" i="8"/>
  <c r="Q2003" i="8"/>
  <c r="Q2004" i="8"/>
  <c r="Q2005" i="8"/>
  <c r="Q2006" i="8"/>
  <c r="Q2007" i="8"/>
  <c r="Q2008" i="8"/>
  <c r="Q2009" i="8"/>
  <c r="Q2010" i="8"/>
  <c r="Q2011" i="8"/>
  <c r="Q2012" i="8"/>
  <c r="Q2013" i="8"/>
  <c r="Q2014" i="8"/>
  <c r="Q2015" i="8"/>
  <c r="Q2016" i="8"/>
  <c r="Q2017" i="8"/>
  <c r="Q2018" i="8"/>
  <c r="Q2019" i="8"/>
  <c r="Q2020" i="8"/>
  <c r="Q2021" i="8"/>
  <c r="Q2022" i="8"/>
  <c r="Q2023" i="8"/>
  <c r="Q2024" i="8"/>
  <c r="Q2025" i="8"/>
  <c r="Q2026" i="8"/>
  <c r="Q2027" i="8"/>
  <c r="Q2028" i="8"/>
  <c r="Q2029" i="8"/>
  <c r="Q2030" i="8"/>
  <c r="Q2031" i="8"/>
  <c r="Q2032" i="8"/>
  <c r="Q2033" i="8"/>
  <c r="Q2034" i="8"/>
  <c r="Q2035" i="8"/>
  <c r="Q2036" i="8"/>
  <c r="Q2037" i="8"/>
  <c r="Q2038" i="8"/>
  <c r="Q2039" i="8"/>
  <c r="Q2040" i="8"/>
  <c r="Q2041" i="8"/>
  <c r="Q2042" i="8"/>
  <c r="Q2043" i="8"/>
  <c r="Q2044" i="8"/>
  <c r="Q2045" i="8"/>
  <c r="Q2046" i="8"/>
  <c r="Q2047" i="8"/>
  <c r="Q2048" i="8"/>
  <c r="Q2049" i="8"/>
  <c r="Q2050" i="8"/>
  <c r="Q2051" i="8"/>
  <c r="Q2052" i="8"/>
  <c r="Q2053" i="8"/>
  <c r="Q2054" i="8"/>
  <c r="Q2055" i="8"/>
  <c r="Q2056" i="8"/>
  <c r="Q2057" i="8"/>
  <c r="Q2058" i="8"/>
  <c r="Q2059" i="8"/>
  <c r="Q2060" i="8"/>
  <c r="Q2061" i="8"/>
  <c r="Q2062" i="8"/>
  <c r="Q2063" i="8"/>
  <c r="Q2064" i="8"/>
  <c r="Q2065" i="8"/>
  <c r="Q2066" i="8"/>
  <c r="Q2067" i="8"/>
  <c r="Q2068" i="8"/>
  <c r="Q2069" i="8"/>
  <c r="Q2070" i="8"/>
  <c r="Q2071" i="8"/>
  <c r="Q2072" i="8"/>
  <c r="Q2073" i="8"/>
  <c r="Q2074" i="8"/>
  <c r="Q2075" i="8"/>
  <c r="Q2076" i="8"/>
  <c r="Q2077" i="8"/>
  <c r="Q2078" i="8"/>
  <c r="Q2079" i="8"/>
  <c r="Q2080" i="8"/>
  <c r="Q2081" i="8"/>
  <c r="Q2082" i="8"/>
  <c r="Q2083" i="8"/>
  <c r="Q2084" i="8"/>
  <c r="Q2085" i="8"/>
  <c r="Q2086" i="8"/>
  <c r="Q2087" i="8"/>
  <c r="Q2088" i="8"/>
  <c r="Q2089" i="8"/>
  <c r="Q2090" i="8"/>
  <c r="Q2091" i="8"/>
  <c r="Q2092" i="8"/>
  <c r="Q2093" i="8"/>
  <c r="Q2094" i="8"/>
  <c r="Q2095" i="8"/>
  <c r="Q2096" i="8"/>
  <c r="Q2097" i="8"/>
  <c r="Q2098" i="8"/>
  <c r="Q2099" i="8"/>
  <c r="Q2100" i="8"/>
  <c r="Q2101" i="8"/>
  <c r="Q2102" i="8"/>
  <c r="Q2103" i="8"/>
  <c r="Q2104" i="8"/>
  <c r="Q2105" i="8"/>
  <c r="Q2106" i="8"/>
  <c r="Q2107" i="8"/>
  <c r="Q2108" i="8"/>
  <c r="Q2109" i="8"/>
  <c r="Q2110" i="8"/>
  <c r="Q2111" i="8"/>
  <c r="Q2112" i="8"/>
  <c r="Q2113" i="8"/>
  <c r="Q2114" i="8"/>
  <c r="Q2115" i="8"/>
  <c r="Q2116" i="8"/>
  <c r="Q2117" i="8"/>
  <c r="Q2118" i="8"/>
  <c r="Q2119" i="8"/>
  <c r="Q2120" i="8"/>
  <c r="Q2121" i="8"/>
  <c r="Q2122" i="8"/>
  <c r="Q2123" i="8"/>
  <c r="Q2124" i="8"/>
  <c r="Q2125" i="8"/>
  <c r="Q2126" i="8"/>
  <c r="Q2127" i="8"/>
  <c r="Q2128" i="8"/>
  <c r="Q2129" i="8"/>
  <c r="Q2130" i="8"/>
  <c r="Q2131" i="8"/>
  <c r="Q2132" i="8"/>
  <c r="Q2133" i="8"/>
  <c r="Q2134" i="8"/>
  <c r="Q2135" i="8"/>
  <c r="Q2136" i="8"/>
  <c r="Q2137" i="8"/>
  <c r="Q2138" i="8"/>
  <c r="Q2139" i="8"/>
  <c r="Q2140" i="8"/>
  <c r="Q2141" i="8"/>
  <c r="Q2142" i="8"/>
  <c r="Q2143" i="8"/>
  <c r="Q2144" i="8"/>
  <c r="Q2145" i="8"/>
  <c r="Q2146" i="8"/>
  <c r="Q2147" i="8"/>
  <c r="Q2148" i="8"/>
  <c r="Q2149" i="8"/>
  <c r="Q2150" i="8"/>
  <c r="Q2151" i="8"/>
  <c r="Q2152" i="8"/>
  <c r="Q2153" i="8"/>
  <c r="Q2154" i="8"/>
  <c r="Q2155" i="8"/>
  <c r="Q2156" i="8"/>
  <c r="Q2157" i="8"/>
  <c r="Q2158" i="8"/>
  <c r="Q2159" i="8"/>
  <c r="Q2160" i="8"/>
  <c r="Q2161" i="8"/>
  <c r="Q2162" i="8"/>
  <c r="Q2163" i="8"/>
  <c r="Q2164" i="8"/>
  <c r="Q2165" i="8"/>
  <c r="Q2166" i="8"/>
  <c r="Q2167" i="8"/>
  <c r="Q2168" i="8"/>
  <c r="Q2169" i="8"/>
  <c r="Q2170" i="8"/>
  <c r="Q2171" i="8"/>
  <c r="Q2172" i="8"/>
  <c r="Q2173" i="8"/>
  <c r="Q2174" i="8"/>
  <c r="Q2175" i="8"/>
  <c r="Q2176" i="8"/>
  <c r="Q2177" i="8"/>
  <c r="Q2178" i="8"/>
  <c r="Q2179" i="8"/>
  <c r="Q2180" i="8"/>
  <c r="Q2181" i="8"/>
  <c r="Q2182" i="8"/>
  <c r="Q2183" i="8"/>
  <c r="Q2184" i="8"/>
  <c r="Q2185" i="8"/>
  <c r="Q2186" i="8"/>
  <c r="Q2187" i="8"/>
  <c r="Q2188" i="8"/>
  <c r="Q2189" i="8"/>
  <c r="Q2190" i="8"/>
  <c r="Q2191" i="8"/>
  <c r="Q2192" i="8"/>
  <c r="Q2193" i="8"/>
  <c r="Q2194" i="8"/>
  <c r="Q2195" i="8"/>
  <c r="Q2196" i="8"/>
  <c r="Q2197" i="8"/>
  <c r="Q2198" i="8"/>
  <c r="Q2199" i="8"/>
  <c r="Q2200" i="8"/>
  <c r="Q2201" i="8"/>
  <c r="Q2202" i="8"/>
  <c r="Q2203" i="8"/>
  <c r="Q2204" i="8"/>
  <c r="Q2205" i="8"/>
  <c r="Q2206" i="8"/>
  <c r="Q2207" i="8"/>
  <c r="Q2208" i="8"/>
  <c r="Q2209" i="8"/>
  <c r="Q2210" i="8"/>
  <c r="Q2211" i="8"/>
  <c r="Q2212" i="8"/>
  <c r="Q2213" i="8"/>
  <c r="Q2214" i="8"/>
  <c r="Q2215" i="8"/>
  <c r="Q2216" i="8"/>
  <c r="Q2217" i="8"/>
  <c r="Q2218" i="8"/>
  <c r="Q2219" i="8"/>
  <c r="Q2220" i="8"/>
  <c r="Q2221" i="8"/>
  <c r="Q2222" i="8"/>
  <c r="Q2223" i="8"/>
  <c r="Q2224" i="8"/>
  <c r="Q2225" i="8"/>
  <c r="Q2226" i="8"/>
  <c r="Q2227" i="8"/>
  <c r="Q2228" i="8"/>
  <c r="Q2229" i="8"/>
  <c r="Q2230" i="8"/>
  <c r="Q2231" i="8"/>
  <c r="Q2232" i="8"/>
  <c r="Q2233" i="8"/>
  <c r="Q2234" i="8"/>
  <c r="Q2235" i="8"/>
  <c r="Q2236" i="8"/>
  <c r="Q2237" i="8"/>
  <c r="Q2238" i="8"/>
  <c r="Q2239" i="8"/>
  <c r="Q2240" i="8"/>
  <c r="Q2241" i="8"/>
  <c r="Q2242" i="8"/>
  <c r="Q2243" i="8"/>
  <c r="Q2244" i="8"/>
  <c r="Q2245" i="8"/>
  <c r="Q2246" i="8"/>
  <c r="Q2247" i="8"/>
  <c r="Q2248" i="8"/>
  <c r="Q2249" i="8"/>
  <c r="Q2250" i="8"/>
  <c r="Q2251" i="8"/>
  <c r="Q2252" i="8"/>
  <c r="Q2253" i="8"/>
  <c r="Q2254" i="8"/>
  <c r="Q2255" i="8"/>
  <c r="Q2256" i="8"/>
  <c r="Q2257" i="8"/>
  <c r="Q2258" i="8"/>
  <c r="Q2259" i="8"/>
  <c r="Q2260" i="8"/>
  <c r="Q2261" i="8"/>
  <c r="Q2262" i="8"/>
  <c r="Q2263" i="8"/>
  <c r="Q2264" i="8"/>
  <c r="Q2265" i="8"/>
  <c r="Q2266" i="8"/>
  <c r="Q2267" i="8"/>
  <c r="Q2268" i="8"/>
  <c r="Q2269" i="8"/>
  <c r="Q2270" i="8"/>
  <c r="Q2271" i="8"/>
  <c r="Q2272" i="8"/>
  <c r="Q2273" i="8"/>
  <c r="Q2274" i="8"/>
  <c r="Q2275" i="8"/>
  <c r="Q2276" i="8"/>
  <c r="Q2277" i="8"/>
  <c r="Q2278" i="8"/>
  <c r="Q2279" i="8"/>
  <c r="Q2280" i="8"/>
  <c r="Q2281" i="8"/>
  <c r="Q2282" i="8"/>
  <c r="Q2283" i="8"/>
  <c r="Q2284" i="8"/>
  <c r="Q2285" i="8"/>
  <c r="Q2286" i="8"/>
  <c r="Q2287" i="8"/>
  <c r="Q2288" i="8"/>
  <c r="Q2289" i="8"/>
  <c r="Q2290" i="8"/>
  <c r="Q2291" i="8"/>
  <c r="Q2292" i="8"/>
  <c r="Q2293" i="8"/>
  <c r="Q2294" i="8"/>
  <c r="Q2295" i="8"/>
  <c r="Q2296" i="8"/>
  <c r="Q2297" i="8"/>
  <c r="Q2298" i="8"/>
  <c r="Q2299" i="8"/>
  <c r="Q2300" i="8"/>
  <c r="Q2301" i="8"/>
  <c r="Q2302" i="8"/>
  <c r="Q2303" i="8"/>
  <c r="Q2304" i="8"/>
  <c r="Q2305" i="8"/>
  <c r="Q2306" i="8"/>
  <c r="Q2307" i="8"/>
  <c r="Q2308" i="8"/>
  <c r="Q2309" i="8"/>
  <c r="Q2310" i="8"/>
  <c r="Q2311" i="8"/>
  <c r="Q2312" i="8"/>
  <c r="Q2313" i="8"/>
  <c r="Q2314" i="8"/>
  <c r="Q2315" i="8"/>
  <c r="Q2316" i="8"/>
  <c r="Q2317" i="8"/>
  <c r="Q2318" i="8"/>
  <c r="Q2319" i="8"/>
  <c r="Q2320" i="8"/>
  <c r="Q2321" i="8"/>
  <c r="Q2322" i="8"/>
  <c r="Q2323" i="8"/>
  <c r="Q2324" i="8"/>
  <c r="Q2325" i="8"/>
  <c r="Q2326" i="8"/>
  <c r="Q2327" i="8"/>
  <c r="Q2328" i="8"/>
  <c r="Q2329" i="8"/>
  <c r="Q2330" i="8"/>
  <c r="Q2331" i="8"/>
  <c r="Q2332" i="8"/>
  <c r="Q2333" i="8"/>
  <c r="Q2334" i="8"/>
  <c r="Q2335" i="8"/>
  <c r="Q2336" i="8"/>
  <c r="Q2337" i="8"/>
  <c r="Q2338" i="8"/>
  <c r="Q2339" i="8"/>
  <c r="Q2340" i="8"/>
  <c r="Q2341" i="8"/>
  <c r="Q2342" i="8"/>
  <c r="Q2343" i="8"/>
  <c r="Q2344" i="8"/>
  <c r="Q2345" i="8"/>
  <c r="Q2346" i="8"/>
  <c r="Q2347" i="8"/>
  <c r="Q2348" i="8"/>
  <c r="Q2349" i="8"/>
  <c r="Q2350" i="8"/>
  <c r="Q2351" i="8"/>
  <c r="Q2352" i="8"/>
  <c r="Q2353" i="8"/>
  <c r="Q2354" i="8"/>
  <c r="Q2355" i="8"/>
  <c r="Q2356" i="8"/>
  <c r="Q2357" i="8"/>
  <c r="Q2358" i="8"/>
  <c r="Q2359" i="8"/>
  <c r="Q2360" i="8"/>
  <c r="Q2361" i="8"/>
  <c r="Q2362" i="8"/>
  <c r="Q2363" i="8"/>
  <c r="Q2364" i="8"/>
  <c r="Q2365" i="8"/>
  <c r="Q2366" i="8"/>
  <c r="Q2367" i="8"/>
  <c r="Q2368" i="8"/>
  <c r="Q2369" i="8"/>
  <c r="Q2370" i="8"/>
  <c r="Q2371" i="8"/>
  <c r="Q2372" i="8"/>
  <c r="Q2373" i="8"/>
  <c r="Q2374" i="8"/>
  <c r="Q2375" i="8"/>
  <c r="Q2376" i="8"/>
  <c r="Q2377" i="8"/>
  <c r="Q2378" i="8"/>
  <c r="Q2379" i="8"/>
  <c r="Q2380" i="8"/>
  <c r="Q2381" i="8"/>
  <c r="Q2382" i="8"/>
  <c r="Q2383" i="8"/>
  <c r="Q2384" i="8"/>
  <c r="Q2385" i="8"/>
  <c r="Q2386" i="8"/>
  <c r="Q2387" i="8"/>
  <c r="Q2388" i="8"/>
  <c r="Q2389" i="8"/>
  <c r="Q2390" i="8"/>
  <c r="Q2391" i="8"/>
  <c r="Q2392" i="8"/>
  <c r="Q2393" i="8"/>
  <c r="Q2394" i="8"/>
  <c r="Q2395" i="8"/>
  <c r="Q2396" i="8"/>
  <c r="Q2397" i="8"/>
  <c r="Q2398" i="8"/>
  <c r="Q2399" i="8"/>
  <c r="Q2400" i="8"/>
  <c r="Q2401" i="8"/>
  <c r="Q2402" i="8"/>
  <c r="Q2403" i="8"/>
  <c r="Q2404" i="8"/>
  <c r="Q2405" i="8"/>
  <c r="Q2406" i="8"/>
  <c r="Q2407" i="8"/>
  <c r="Q2408" i="8"/>
  <c r="Q2409" i="8"/>
  <c r="Q2410" i="8"/>
  <c r="Q2411" i="8"/>
  <c r="Q2412" i="8"/>
  <c r="Q2413" i="8"/>
  <c r="Q2414" i="8"/>
  <c r="Q2415" i="8"/>
  <c r="Q2416" i="8"/>
  <c r="Q2417" i="8"/>
  <c r="Q2418" i="8"/>
  <c r="Q2419" i="8"/>
  <c r="Q2420" i="8"/>
  <c r="Q2421" i="8"/>
  <c r="Q2422" i="8"/>
  <c r="Q2423" i="8"/>
  <c r="Q2424" i="8"/>
  <c r="Q2425" i="8"/>
  <c r="Q2426" i="8"/>
  <c r="Q2427" i="8"/>
  <c r="Q2428" i="8"/>
  <c r="Q2429" i="8"/>
  <c r="Q2430" i="8"/>
  <c r="Q2431" i="8"/>
  <c r="Q2432" i="8"/>
  <c r="Q2433" i="8"/>
  <c r="Q2434" i="8"/>
  <c r="Q2435" i="8"/>
  <c r="Q2436" i="8"/>
  <c r="Q2437" i="8"/>
  <c r="Q2438" i="8"/>
  <c r="Q2439" i="8"/>
  <c r="Q2440" i="8"/>
  <c r="Q2441" i="8"/>
  <c r="Q2442" i="8"/>
  <c r="Q2443" i="8"/>
  <c r="Q2444" i="8"/>
  <c r="Q2445" i="8"/>
  <c r="Q2446" i="8"/>
  <c r="Q2447" i="8"/>
  <c r="Q2448" i="8"/>
  <c r="Q2449" i="8"/>
  <c r="Q2450" i="8"/>
  <c r="Q2451" i="8"/>
  <c r="Q2452" i="8"/>
  <c r="Q2453" i="8"/>
  <c r="Q2454" i="8"/>
  <c r="Q2455" i="8"/>
  <c r="Q2456" i="8"/>
  <c r="Q2457" i="8"/>
  <c r="Q2458" i="8"/>
  <c r="Q2459" i="8"/>
  <c r="Q2460" i="8"/>
  <c r="Q2461" i="8"/>
  <c r="Q2462" i="8"/>
  <c r="Q2463" i="8"/>
  <c r="Q2464" i="8"/>
  <c r="Q2465" i="8"/>
  <c r="Q2466" i="8"/>
  <c r="Q2467" i="8"/>
  <c r="Q2468" i="8"/>
  <c r="Q2469" i="8"/>
  <c r="Q2470" i="8"/>
  <c r="Q2471" i="8"/>
  <c r="Q2472" i="8"/>
  <c r="Q2473" i="8"/>
  <c r="Q2474" i="8"/>
  <c r="Q2475" i="8"/>
  <c r="Q2476" i="8"/>
  <c r="Q2477" i="8"/>
  <c r="Q2478" i="8"/>
  <c r="Q2479" i="8"/>
  <c r="Q2480" i="8"/>
  <c r="Q2481" i="8"/>
  <c r="Q2482" i="8"/>
  <c r="Q2483" i="8"/>
  <c r="Q2484" i="8"/>
  <c r="Q2485" i="8"/>
  <c r="Q2486" i="8"/>
  <c r="Q2487" i="8"/>
  <c r="Q2488" i="8"/>
  <c r="Q2489" i="8"/>
  <c r="Q2490" i="8"/>
  <c r="Q2491" i="8"/>
  <c r="Q2492" i="8"/>
  <c r="Q2493" i="8"/>
  <c r="Q2494" i="8"/>
  <c r="Q2495" i="8"/>
  <c r="Q2496" i="8"/>
  <c r="Q2497" i="8"/>
  <c r="Q2498" i="8"/>
  <c r="Q2499" i="8"/>
  <c r="Q2500" i="8"/>
  <c r="Q2501" i="8"/>
  <c r="Q2502" i="8"/>
  <c r="Q2503" i="8"/>
  <c r="Q2504" i="8"/>
  <c r="Q2505" i="8"/>
  <c r="Q2506" i="8"/>
  <c r="Q2507" i="8"/>
  <c r="Q2508" i="8"/>
  <c r="Q2509" i="8"/>
  <c r="Q2510" i="8"/>
  <c r="Q2511" i="8"/>
  <c r="Q2512" i="8"/>
  <c r="Q2513" i="8"/>
  <c r="Q2514" i="8"/>
  <c r="Q2515" i="8"/>
  <c r="Q2516" i="8"/>
  <c r="Q2517" i="8"/>
  <c r="Q2518" i="8"/>
  <c r="Q2519" i="8"/>
  <c r="Q2520" i="8"/>
  <c r="Q2521" i="8"/>
  <c r="Q2522" i="8"/>
  <c r="Q2523" i="8"/>
  <c r="Q2524" i="8"/>
  <c r="Q2525" i="8"/>
  <c r="Q2526" i="8"/>
  <c r="Q2527" i="8"/>
  <c r="Q2528" i="8"/>
  <c r="Q2529" i="8"/>
  <c r="Q2530" i="8"/>
  <c r="Q2531" i="8"/>
  <c r="Q2532" i="8"/>
  <c r="Q2533" i="8"/>
  <c r="Q2534" i="8"/>
  <c r="Q2535" i="8"/>
  <c r="Q2536" i="8"/>
  <c r="Q2537" i="8"/>
  <c r="Q2538" i="8"/>
  <c r="Q2539" i="8"/>
  <c r="Q2540" i="8"/>
  <c r="Q2541" i="8"/>
  <c r="Q2542" i="8"/>
  <c r="Q2543" i="8"/>
  <c r="Q2544" i="8"/>
  <c r="Q2545" i="8"/>
  <c r="Q2546" i="8"/>
  <c r="Q2547" i="8"/>
  <c r="Q2548" i="8"/>
  <c r="Q2549" i="8"/>
  <c r="Q2550" i="8"/>
  <c r="Q2551" i="8"/>
  <c r="Q2552" i="8"/>
  <c r="Q2553" i="8"/>
  <c r="Q2554" i="8"/>
  <c r="Q2555" i="8"/>
  <c r="Q2556" i="8"/>
  <c r="Q2557" i="8"/>
  <c r="Q2558" i="8"/>
  <c r="Q2559" i="8"/>
  <c r="Q2560" i="8"/>
  <c r="Q2561" i="8"/>
  <c r="Q2562" i="8"/>
  <c r="Q2563" i="8"/>
  <c r="Q2564" i="8"/>
  <c r="Q2565" i="8"/>
  <c r="Q2566" i="8"/>
  <c r="Q2567" i="8"/>
  <c r="Q2568" i="8"/>
  <c r="Q2569" i="8"/>
  <c r="Q2570" i="8"/>
  <c r="Q2571" i="8"/>
  <c r="Q2572" i="8"/>
  <c r="Q2573" i="8"/>
  <c r="Q2574" i="8"/>
  <c r="Q2575" i="8"/>
  <c r="Q2576" i="8"/>
  <c r="Q2577" i="8"/>
  <c r="Q2578" i="8"/>
  <c r="Q2579" i="8"/>
  <c r="Q2580" i="8"/>
  <c r="Q2581" i="8"/>
  <c r="Q2582" i="8"/>
  <c r="Q2583" i="8"/>
  <c r="Q2584" i="8"/>
  <c r="Q2585" i="8"/>
  <c r="Q2586" i="8"/>
  <c r="Q2587" i="8"/>
  <c r="Q2588" i="8"/>
  <c r="Q2589" i="8"/>
  <c r="Q2590" i="8"/>
  <c r="Q2591" i="8"/>
  <c r="Q2592" i="8"/>
  <c r="Q2593" i="8"/>
  <c r="Q2594" i="8"/>
  <c r="Q2595" i="8"/>
  <c r="Q2596" i="8"/>
  <c r="Q2597" i="8"/>
  <c r="Q2598" i="8"/>
  <c r="Q2599" i="8"/>
  <c r="Q2600" i="8"/>
  <c r="Q2601" i="8"/>
  <c r="Q2602" i="8"/>
  <c r="Q2603" i="8"/>
  <c r="Q2604" i="8"/>
  <c r="Q2605" i="8"/>
  <c r="Q2606" i="8"/>
  <c r="Q2607" i="8"/>
  <c r="Q2608" i="8"/>
  <c r="Q2609" i="8"/>
  <c r="Q2610" i="8"/>
  <c r="Q2611" i="8"/>
  <c r="Q2612" i="8"/>
  <c r="Q2613" i="8"/>
  <c r="Q2614" i="8"/>
  <c r="Q2615" i="8"/>
  <c r="Q2616" i="8"/>
  <c r="Q2617" i="8"/>
  <c r="Q2618" i="8"/>
  <c r="Q2619" i="8"/>
  <c r="Q2620" i="8"/>
  <c r="Q2621" i="8"/>
  <c r="Q2622" i="8"/>
  <c r="Q2623" i="8"/>
  <c r="Q2624" i="8"/>
  <c r="Q2625" i="8"/>
  <c r="Q2626" i="8"/>
  <c r="Q2627" i="8"/>
  <c r="Q2628" i="8"/>
  <c r="Q2629" i="8"/>
  <c r="Q2630" i="8"/>
  <c r="Q2631" i="8"/>
  <c r="Q2632" i="8"/>
  <c r="Q2633" i="8"/>
  <c r="Q2634" i="8"/>
  <c r="Q2635" i="8"/>
  <c r="Q2636" i="8"/>
  <c r="Q2637" i="8"/>
  <c r="Q2638" i="8"/>
  <c r="Q2639" i="8"/>
  <c r="Q2640" i="8"/>
  <c r="Q2641" i="8"/>
  <c r="Q2642" i="8"/>
  <c r="Q2643" i="8"/>
  <c r="Q2644" i="8"/>
  <c r="Q2645" i="8"/>
  <c r="Q2646" i="8"/>
  <c r="Q2647" i="8"/>
  <c r="Q2648" i="8"/>
  <c r="Q2649" i="8"/>
  <c r="Q2650" i="8"/>
  <c r="Q2651" i="8"/>
  <c r="Q2652" i="8"/>
  <c r="Q2653" i="8"/>
  <c r="Q2654" i="8"/>
  <c r="Q2655" i="8"/>
  <c r="Q2656" i="8"/>
  <c r="Q2657" i="8"/>
  <c r="Q2658" i="8"/>
  <c r="Q2659" i="8"/>
  <c r="Q2660" i="8"/>
  <c r="Q2661" i="8"/>
  <c r="Q2662" i="8"/>
  <c r="Q2663" i="8"/>
  <c r="Q2664" i="8"/>
  <c r="Q2665" i="8"/>
  <c r="Q2666" i="8"/>
  <c r="Q2667" i="8"/>
  <c r="Q2668" i="8"/>
  <c r="Q2669" i="8"/>
  <c r="Q2670" i="8"/>
  <c r="Q2671" i="8"/>
  <c r="Q2672" i="8"/>
  <c r="Q2673" i="8"/>
  <c r="Q2674" i="8"/>
  <c r="Q2675" i="8"/>
  <c r="Q2676" i="8"/>
  <c r="Q2677" i="8"/>
  <c r="Q2678" i="8"/>
  <c r="Q2679" i="8"/>
  <c r="Q2680" i="8"/>
  <c r="Q2681" i="8"/>
  <c r="Q2682" i="8"/>
  <c r="Q2683" i="8"/>
  <c r="Q2684" i="8"/>
  <c r="Q2685" i="8"/>
  <c r="Q2686" i="8"/>
  <c r="Q2687" i="8"/>
  <c r="Q2688" i="8"/>
  <c r="Q2689" i="8"/>
  <c r="Q2690" i="8"/>
  <c r="Q2691" i="8"/>
  <c r="Q2692" i="8"/>
  <c r="Q2693" i="8"/>
  <c r="Q2694" i="8"/>
  <c r="Q2695" i="8"/>
  <c r="Q2696" i="8"/>
  <c r="Q2697" i="8"/>
  <c r="Q2698" i="8"/>
  <c r="Q2699" i="8"/>
  <c r="Q2700" i="8"/>
  <c r="Q2701" i="8"/>
  <c r="Q2702" i="8"/>
  <c r="Q2703" i="8"/>
  <c r="Q2704" i="8"/>
  <c r="Q2705" i="8"/>
  <c r="Q2706" i="8"/>
  <c r="Q2707" i="8"/>
  <c r="Q2708" i="8"/>
  <c r="Q2709" i="8"/>
  <c r="Q2710" i="8"/>
  <c r="Q2711" i="8"/>
  <c r="Q2712" i="8"/>
  <c r="Q2713" i="8"/>
  <c r="Q2714" i="8"/>
  <c r="Q2715" i="8"/>
  <c r="Q2716" i="8"/>
  <c r="Q2717" i="8"/>
  <c r="Q2718" i="8"/>
  <c r="Q2719" i="8"/>
  <c r="Q2720" i="8"/>
  <c r="Q2721" i="8"/>
  <c r="Q2722" i="8"/>
  <c r="Q2723" i="8"/>
  <c r="Q2724" i="8"/>
  <c r="Q2725" i="8"/>
  <c r="Q2726" i="8"/>
  <c r="Q2727" i="8"/>
  <c r="Q2728" i="8"/>
  <c r="Q2729" i="8"/>
  <c r="Q2730" i="8"/>
  <c r="Q2731" i="8"/>
  <c r="Q2732" i="8"/>
  <c r="Q2733" i="8"/>
  <c r="Q2734" i="8"/>
  <c r="Q2735" i="8"/>
  <c r="Q2736" i="8"/>
  <c r="Q2737" i="8"/>
  <c r="Q2738" i="8"/>
  <c r="Q2739" i="8"/>
  <c r="Q2740" i="8"/>
  <c r="Q2741" i="8"/>
  <c r="Q2742" i="8"/>
  <c r="Q2743" i="8"/>
  <c r="Q2744" i="8"/>
  <c r="Q2745" i="8"/>
  <c r="Q2746" i="8"/>
  <c r="Q2747" i="8"/>
  <c r="Q2748" i="8"/>
  <c r="Q2749" i="8"/>
  <c r="Q2750" i="8"/>
  <c r="Q2751" i="8"/>
  <c r="Q2752" i="8"/>
  <c r="Q2753" i="8"/>
  <c r="Q2754" i="8"/>
  <c r="Q2755" i="8"/>
  <c r="Q2756" i="8"/>
  <c r="Q2757" i="8"/>
  <c r="Q2758" i="8"/>
  <c r="Q2759" i="8"/>
  <c r="Q2760" i="8"/>
  <c r="Q2761" i="8"/>
  <c r="Q2762" i="8"/>
  <c r="Q2763" i="8"/>
  <c r="Q2764" i="8"/>
  <c r="Q2765" i="8"/>
  <c r="Q2766" i="8"/>
  <c r="Q2767" i="8"/>
  <c r="Q2768" i="8"/>
  <c r="Q2769" i="8"/>
  <c r="Q2770" i="8"/>
  <c r="Q2771" i="8"/>
  <c r="Q2772" i="8"/>
  <c r="Q2773" i="8"/>
  <c r="Q2774" i="8"/>
  <c r="Q2775" i="8"/>
  <c r="Q2776" i="8"/>
  <c r="Q2777" i="8"/>
  <c r="Q2778" i="8"/>
  <c r="Q2779" i="8"/>
  <c r="Q2780" i="8"/>
  <c r="Q2781" i="8"/>
  <c r="Q2782" i="8"/>
  <c r="Q2783" i="8"/>
  <c r="Q2784" i="8"/>
  <c r="Q2785" i="8"/>
  <c r="Q2786" i="8"/>
  <c r="Q2787" i="8"/>
  <c r="Q2788" i="8"/>
  <c r="Q2789" i="8"/>
  <c r="Q2790" i="8"/>
  <c r="Q2791" i="8"/>
  <c r="Q2792" i="8"/>
  <c r="Q2793" i="8"/>
  <c r="Q2794" i="8"/>
  <c r="Q2795" i="8"/>
  <c r="Q2796" i="8"/>
  <c r="Q2797" i="8"/>
  <c r="Q2798" i="8"/>
  <c r="Q2799" i="8"/>
  <c r="Q2800" i="8"/>
  <c r="Q2801" i="8"/>
  <c r="Q2802" i="8"/>
  <c r="Q2803" i="8"/>
  <c r="Q2804" i="8"/>
  <c r="Q2805" i="8"/>
  <c r="Q2806" i="8"/>
  <c r="Q2807" i="8"/>
  <c r="Q2808" i="8"/>
  <c r="Q2809" i="8"/>
  <c r="Q2810" i="8"/>
  <c r="Q2811" i="8"/>
  <c r="Q2812" i="8"/>
  <c r="Q2813" i="8"/>
  <c r="Q2814" i="8"/>
  <c r="Q2815" i="8"/>
  <c r="Q2816" i="8"/>
  <c r="Q2817" i="8"/>
  <c r="Q2818" i="8"/>
  <c r="Q2819" i="8"/>
  <c r="Q2820" i="8"/>
  <c r="Q2821" i="8"/>
  <c r="Q2822" i="8"/>
  <c r="Q2823" i="8"/>
  <c r="Q2824" i="8"/>
  <c r="Q2825" i="8"/>
  <c r="Q2826" i="8"/>
  <c r="Q2827" i="8"/>
  <c r="Q2828" i="8"/>
  <c r="Q2829" i="8"/>
  <c r="Q2830" i="8"/>
  <c r="Q2831" i="8"/>
  <c r="Q2832" i="8"/>
  <c r="Q2833" i="8"/>
  <c r="Q2834" i="8"/>
  <c r="Q2835" i="8"/>
  <c r="Q2836" i="8"/>
  <c r="Q2837" i="8"/>
  <c r="Q2838" i="8"/>
  <c r="Q2839" i="8"/>
  <c r="Q2840" i="8"/>
  <c r="Q2841" i="8"/>
  <c r="Q2842" i="8"/>
  <c r="Q2843" i="8"/>
  <c r="Q2844" i="8"/>
  <c r="Q2845" i="8"/>
  <c r="Q2846" i="8"/>
  <c r="Q2847" i="8"/>
  <c r="Q2848" i="8"/>
  <c r="Q2849" i="8"/>
  <c r="Q2850" i="8"/>
  <c r="Q2851" i="8"/>
  <c r="Q2852" i="8"/>
  <c r="Q2853" i="8"/>
  <c r="Q2854" i="8"/>
  <c r="Q2855" i="8"/>
  <c r="Q2856" i="8"/>
  <c r="Q2857" i="8"/>
  <c r="Q2858" i="8"/>
  <c r="Q2859" i="8"/>
  <c r="Q2860" i="8"/>
  <c r="Q2861" i="8"/>
  <c r="Q2862" i="8"/>
  <c r="Q2863" i="8"/>
  <c r="Q2864" i="8"/>
  <c r="Q2865" i="8"/>
  <c r="Q2866" i="8"/>
  <c r="Q2867" i="8"/>
  <c r="Q2868" i="8"/>
  <c r="Q2869" i="8"/>
  <c r="Q2870" i="8"/>
  <c r="Q2871" i="8"/>
  <c r="Q2872" i="8"/>
  <c r="Q2873" i="8"/>
  <c r="Q2874" i="8"/>
  <c r="Q2875" i="8"/>
  <c r="Q2876" i="8"/>
  <c r="Q2877" i="8"/>
  <c r="Q2878" i="8"/>
  <c r="Q2879" i="8"/>
  <c r="Q2880" i="8"/>
  <c r="Q2881" i="8"/>
  <c r="Q2882" i="8"/>
  <c r="Q2883" i="8"/>
  <c r="Q2884" i="8"/>
  <c r="Q2885" i="8"/>
  <c r="Q2886" i="8"/>
  <c r="Q2887" i="8"/>
  <c r="Q2888" i="8"/>
  <c r="Q2889" i="8"/>
  <c r="Q2890" i="8"/>
  <c r="Q2891" i="8"/>
  <c r="Q2892" i="8"/>
  <c r="Q2893" i="8"/>
  <c r="Q2894" i="8"/>
  <c r="Q2895" i="8"/>
  <c r="Q2896" i="8"/>
  <c r="Q2897" i="8"/>
  <c r="Q2898" i="8"/>
  <c r="Q2899" i="8"/>
  <c r="Q2900" i="8"/>
  <c r="Q2901" i="8"/>
  <c r="Q2902" i="8"/>
  <c r="Q2903" i="8"/>
  <c r="Q2904" i="8"/>
  <c r="Q2905" i="8"/>
  <c r="Q2906" i="8"/>
  <c r="Q2907" i="8"/>
  <c r="Q2908" i="8"/>
  <c r="Q2909" i="8"/>
  <c r="Q2910" i="8"/>
  <c r="Q2911" i="8"/>
  <c r="Q2912" i="8"/>
  <c r="Q2913" i="8"/>
  <c r="Q2914" i="8"/>
  <c r="Q2915" i="8"/>
  <c r="Q2916" i="8"/>
  <c r="Q2917" i="8"/>
  <c r="Q2918" i="8"/>
  <c r="Q2919" i="8"/>
  <c r="Q2920" i="8"/>
  <c r="Q2921" i="8"/>
  <c r="Q2922" i="8"/>
  <c r="Q2923" i="8"/>
  <c r="Q2924" i="8"/>
  <c r="Q2925" i="8"/>
  <c r="Q2926" i="8"/>
  <c r="Q2927" i="8"/>
  <c r="Q2928" i="8"/>
  <c r="Q2929" i="8"/>
  <c r="Q2930" i="8"/>
  <c r="Q2931" i="8"/>
  <c r="Q2932" i="8"/>
  <c r="Q2933" i="8"/>
  <c r="Q2934" i="8"/>
  <c r="Q2935" i="8"/>
  <c r="Q2936" i="8"/>
  <c r="Q2937" i="8"/>
  <c r="Q2938" i="8"/>
  <c r="Q2939" i="8"/>
  <c r="Q2940" i="8"/>
  <c r="Q2941" i="8"/>
  <c r="Q2942" i="8"/>
  <c r="Q2943" i="8"/>
  <c r="Q2944" i="8"/>
  <c r="Q2945" i="8"/>
  <c r="Q2946" i="8"/>
  <c r="Q2947" i="8"/>
  <c r="Q2948" i="8"/>
  <c r="Q2949" i="8"/>
  <c r="Q2950" i="8"/>
  <c r="Q2951" i="8"/>
  <c r="Q2952" i="8"/>
  <c r="Q2953" i="8"/>
  <c r="Q2954" i="8"/>
  <c r="Q2955" i="8"/>
  <c r="Q2956" i="8"/>
  <c r="Q2957" i="8"/>
  <c r="Q2958" i="8"/>
  <c r="Q2959" i="8"/>
  <c r="Q2960" i="8"/>
  <c r="Q2961" i="8"/>
  <c r="Q2962" i="8"/>
  <c r="Q2963" i="8"/>
  <c r="Q2964" i="8"/>
  <c r="Q2965" i="8"/>
  <c r="Q2966" i="8"/>
  <c r="Q2967" i="8"/>
  <c r="Q2968" i="8"/>
  <c r="Q2969" i="8"/>
  <c r="Q2970" i="8"/>
  <c r="Q2971" i="8"/>
  <c r="Q2972" i="8"/>
  <c r="Q2973" i="8"/>
  <c r="Q2974" i="8"/>
  <c r="Q2975" i="8"/>
  <c r="Q2976" i="8"/>
  <c r="Q2977" i="8"/>
  <c r="Q2978" i="8"/>
  <c r="Q2979" i="8"/>
  <c r="Q2980" i="8"/>
  <c r="Q2981" i="8"/>
  <c r="Q2982" i="8"/>
  <c r="Q2983" i="8"/>
  <c r="Q2984" i="8"/>
  <c r="Q2985" i="8"/>
  <c r="Q2986" i="8"/>
  <c r="Q2987" i="8"/>
  <c r="Q2988" i="8"/>
  <c r="Q2989" i="8"/>
  <c r="Q2990" i="8"/>
  <c r="Q2991" i="8"/>
  <c r="Q2992" i="8"/>
  <c r="Q2993" i="8"/>
  <c r="Q2994" i="8"/>
  <c r="Q2995" i="8"/>
  <c r="Q2996" i="8"/>
  <c r="Q2997" i="8"/>
  <c r="Q2998" i="8"/>
  <c r="Q2999" i="8"/>
  <c r="Q3000" i="8"/>
  <c r="Q3001" i="8"/>
  <c r="Q3002" i="8"/>
  <c r="Q3003" i="8"/>
  <c r="Q3004" i="8"/>
  <c r="Q3005" i="8"/>
  <c r="Q3006" i="8"/>
  <c r="Q3007" i="8"/>
  <c r="Q3008" i="8"/>
  <c r="Q3009" i="8"/>
  <c r="Q3010" i="8"/>
  <c r="Q3011" i="8"/>
  <c r="Q3012" i="8"/>
  <c r="Q3013" i="8"/>
  <c r="Q3014" i="8"/>
  <c r="Q3015" i="8"/>
  <c r="Q3016" i="8"/>
  <c r="Q3017" i="8"/>
  <c r="Q3018" i="8"/>
  <c r="Q3019" i="8"/>
  <c r="Q3020" i="8"/>
  <c r="Q3021" i="8"/>
  <c r="Q3022" i="8"/>
  <c r="Q3023" i="8"/>
  <c r="Q3024" i="8"/>
  <c r="Q3025" i="8"/>
  <c r="Q3026" i="8"/>
  <c r="Q3027" i="8"/>
  <c r="Q3028" i="8"/>
  <c r="Q3029" i="8"/>
  <c r="Q3030" i="8"/>
  <c r="Q3031" i="8"/>
  <c r="Q3032" i="8"/>
  <c r="Q3033" i="8"/>
  <c r="Q3034" i="8"/>
  <c r="Q3035" i="8"/>
  <c r="Q3036" i="8"/>
  <c r="Q3037" i="8"/>
  <c r="Q3038" i="8"/>
  <c r="Q3039" i="8"/>
  <c r="Q3040" i="8"/>
  <c r="Q3041" i="8"/>
  <c r="Q3042" i="8"/>
  <c r="Q3043" i="8"/>
  <c r="Q3044" i="8"/>
  <c r="Q3045" i="8"/>
  <c r="Q3046" i="8"/>
  <c r="Q3047" i="8"/>
  <c r="Q3048" i="8"/>
  <c r="Q3049" i="8"/>
  <c r="Q3050" i="8"/>
  <c r="Q3051" i="8"/>
  <c r="Q3052" i="8"/>
  <c r="Q3053" i="8"/>
  <c r="Q3054" i="8"/>
  <c r="Q3055" i="8"/>
  <c r="Q3056" i="8"/>
  <c r="Q3057" i="8"/>
  <c r="Q3058" i="8"/>
  <c r="Q3059" i="8"/>
  <c r="Q3060" i="8"/>
  <c r="Q3061" i="8"/>
  <c r="Q3062" i="8"/>
  <c r="Q3063" i="8"/>
  <c r="Q3064" i="8"/>
  <c r="Q3065" i="8"/>
  <c r="Q3066" i="8"/>
  <c r="Q3067" i="8"/>
  <c r="Q3068" i="8"/>
  <c r="Q3069" i="8"/>
  <c r="Q3070" i="8"/>
  <c r="Q3071" i="8"/>
  <c r="Q3072" i="8"/>
  <c r="Q3073" i="8"/>
  <c r="Q3074" i="8"/>
  <c r="Q3075" i="8"/>
  <c r="Q3076" i="8"/>
  <c r="Q3077" i="8"/>
  <c r="Q3078" i="8"/>
  <c r="Q3079" i="8"/>
  <c r="Q3080" i="8"/>
  <c r="Q3081" i="8"/>
  <c r="Q3082" i="8"/>
  <c r="Q3083" i="8"/>
  <c r="Q3084" i="8"/>
  <c r="Q3085" i="8"/>
  <c r="Q3086" i="8"/>
  <c r="Q3087" i="8"/>
  <c r="Q3088" i="8"/>
  <c r="Q3089" i="8"/>
  <c r="Q3090" i="8"/>
  <c r="Q3091" i="8"/>
  <c r="Q3092" i="8"/>
  <c r="Q3093" i="8"/>
  <c r="Q3094" i="8"/>
  <c r="Q3095" i="8"/>
  <c r="Q3096" i="8"/>
  <c r="Q3097" i="8"/>
  <c r="Q3098" i="8"/>
  <c r="Q3099" i="8"/>
  <c r="Q3100" i="8"/>
  <c r="Q3101" i="8"/>
  <c r="Q3102" i="8"/>
  <c r="Q3103" i="8"/>
  <c r="Q3104" i="8"/>
  <c r="Q3105" i="8"/>
  <c r="Q3106" i="8"/>
  <c r="Q3107" i="8"/>
  <c r="Q3108" i="8"/>
  <c r="Q3109" i="8"/>
  <c r="Q3110" i="8"/>
  <c r="Q3111" i="8"/>
  <c r="Q3112" i="8"/>
  <c r="Q3113" i="8"/>
  <c r="Q3114" i="8"/>
  <c r="Q3115" i="8"/>
  <c r="Q3116" i="8"/>
  <c r="Q3117" i="8"/>
  <c r="Q3118" i="8"/>
  <c r="Q3119" i="8"/>
  <c r="Q3120" i="8"/>
  <c r="Q3121" i="8"/>
  <c r="Q3122" i="8"/>
  <c r="Q3123" i="8"/>
  <c r="Q3124" i="8"/>
  <c r="Q3125" i="8"/>
  <c r="Q3126" i="8"/>
  <c r="Q3127" i="8"/>
  <c r="Q3128" i="8"/>
  <c r="Q3129" i="8"/>
  <c r="Q3130" i="8"/>
  <c r="Q3131" i="8"/>
  <c r="Q3132" i="8"/>
  <c r="Q3133" i="8"/>
  <c r="Q3134" i="8"/>
  <c r="Q3135" i="8"/>
  <c r="Q3136" i="8"/>
  <c r="Q3137" i="8"/>
  <c r="Q3138" i="8"/>
  <c r="Q3139" i="8"/>
  <c r="Q3140" i="8"/>
  <c r="Q3141" i="8"/>
  <c r="Q3142" i="8"/>
  <c r="Q3143" i="8"/>
  <c r="Q3144" i="8"/>
  <c r="Q3145" i="8"/>
  <c r="Q3146" i="8"/>
  <c r="Q3147" i="8"/>
  <c r="Q3148" i="8"/>
  <c r="Q3149" i="8"/>
  <c r="Q3150" i="8"/>
  <c r="Q3151" i="8"/>
  <c r="Q3152" i="8"/>
  <c r="Q3153" i="8"/>
  <c r="Q3154" i="8"/>
  <c r="Q3155" i="8"/>
  <c r="Q3156" i="8"/>
  <c r="Q3157" i="8"/>
  <c r="Q3158" i="8"/>
  <c r="Q3159" i="8"/>
  <c r="Q3160" i="8"/>
  <c r="Q3161" i="8"/>
  <c r="Q3162" i="8"/>
  <c r="Q3163" i="8"/>
  <c r="Q3164" i="8"/>
  <c r="Q3165" i="8"/>
  <c r="Q3166" i="8"/>
  <c r="Q3167" i="8"/>
  <c r="Q3168" i="8"/>
  <c r="Q3169" i="8"/>
  <c r="Q3170" i="8"/>
  <c r="Q3171" i="8"/>
  <c r="Q3172" i="8"/>
  <c r="Q3173" i="8"/>
  <c r="Q3174" i="8"/>
  <c r="Q3175" i="8"/>
  <c r="Q3176" i="8"/>
  <c r="Q3177" i="8"/>
  <c r="Q3178" i="8"/>
  <c r="Q3179" i="8"/>
  <c r="Q3180" i="8"/>
  <c r="Q3181" i="8"/>
  <c r="Q3182" i="8"/>
  <c r="Q3183" i="8"/>
  <c r="Q3184" i="8"/>
  <c r="Q3185" i="8"/>
  <c r="Q3186" i="8"/>
  <c r="Q3187" i="8"/>
  <c r="Q3188" i="8"/>
  <c r="Q3189" i="8"/>
  <c r="Q3190" i="8"/>
  <c r="Q3191" i="8"/>
  <c r="Q3192" i="8"/>
  <c r="Q3193" i="8"/>
  <c r="Q3194" i="8"/>
  <c r="Q3195" i="8"/>
  <c r="Q3196" i="8"/>
  <c r="Q3197" i="8"/>
  <c r="Q3198" i="8"/>
  <c r="Q3199" i="8"/>
  <c r="Q3200" i="8"/>
  <c r="Q3201" i="8"/>
  <c r="Q3202" i="8"/>
  <c r="Q3203" i="8"/>
  <c r="Q3204" i="8"/>
  <c r="Q3205" i="8"/>
  <c r="Q3206" i="8"/>
  <c r="Q3207" i="8"/>
  <c r="Q3208" i="8"/>
  <c r="Q3209" i="8"/>
  <c r="Q3210" i="8"/>
  <c r="Q3211" i="8"/>
  <c r="Q3212" i="8"/>
  <c r="Q3213" i="8"/>
  <c r="Q3214" i="8"/>
  <c r="Q3215" i="8"/>
  <c r="Q3216" i="8"/>
  <c r="Q3217" i="8"/>
  <c r="Q3218" i="8"/>
  <c r="Q3219" i="8"/>
  <c r="Q3220" i="8"/>
  <c r="Q3221" i="8"/>
  <c r="Q3222" i="8"/>
  <c r="Q3223" i="8"/>
  <c r="Q3224" i="8"/>
  <c r="Q3225" i="8"/>
  <c r="Q3226" i="8"/>
  <c r="Q3227" i="8"/>
  <c r="Q3228" i="8"/>
  <c r="Q3229" i="8"/>
  <c r="Q3230" i="8"/>
  <c r="Q3231" i="8"/>
  <c r="Q3232" i="8"/>
  <c r="Q3233" i="8"/>
  <c r="Q3234" i="8"/>
  <c r="Q3235" i="8"/>
  <c r="Q3236" i="8"/>
  <c r="Q3237" i="8"/>
  <c r="Q3238" i="8"/>
  <c r="Q3239" i="8"/>
  <c r="Q3240" i="8"/>
  <c r="Q3241" i="8"/>
  <c r="Q3242" i="8"/>
  <c r="Q3243" i="8"/>
  <c r="Q3244" i="8"/>
  <c r="Q3245" i="8"/>
  <c r="Q3246" i="8"/>
  <c r="Q3247" i="8"/>
  <c r="Q3248" i="8"/>
  <c r="Q3249" i="8"/>
  <c r="Q3250" i="8"/>
  <c r="Q3251" i="8"/>
  <c r="Q3252" i="8"/>
  <c r="Q3253" i="8"/>
  <c r="Q3254" i="8"/>
  <c r="Q3255" i="8"/>
  <c r="Q3256" i="8"/>
  <c r="Q3257" i="8"/>
  <c r="Q3258" i="8"/>
  <c r="Q3259" i="8"/>
  <c r="Q3260" i="8"/>
  <c r="Q3261" i="8"/>
  <c r="Q3262" i="8"/>
  <c r="Q3263" i="8"/>
  <c r="Q3264" i="8"/>
  <c r="Q3265" i="8"/>
  <c r="Q3266" i="8"/>
  <c r="Q3267" i="8"/>
  <c r="Q3268" i="8"/>
  <c r="Q3269" i="8"/>
  <c r="Q3270" i="8"/>
  <c r="Q3271" i="8"/>
  <c r="Q3272" i="8"/>
  <c r="Q3273" i="8"/>
  <c r="Q3274" i="8"/>
  <c r="Q3275" i="8"/>
  <c r="Q3276" i="8"/>
  <c r="Q3277" i="8"/>
  <c r="Q3278" i="8"/>
  <c r="Q3279" i="8"/>
  <c r="Q3280" i="8"/>
  <c r="Q3281" i="8"/>
  <c r="Q3282" i="8"/>
  <c r="Q3283" i="8"/>
  <c r="Q3284" i="8"/>
  <c r="Q3285" i="8"/>
  <c r="Q3286" i="8"/>
  <c r="Q3287" i="8"/>
  <c r="Q3288" i="8"/>
  <c r="Q3289" i="8"/>
  <c r="Q3290" i="8"/>
  <c r="Q3291" i="8"/>
  <c r="Q3292" i="8"/>
  <c r="Q3293" i="8"/>
  <c r="Q3294" i="8"/>
  <c r="Q3295" i="8"/>
  <c r="Q3296" i="8"/>
  <c r="Q3297" i="8"/>
  <c r="Q3298" i="8"/>
  <c r="Q3299" i="8"/>
  <c r="Q3300" i="8"/>
  <c r="Q3301" i="8"/>
  <c r="Q3302" i="8"/>
  <c r="Q3303" i="8"/>
  <c r="Q3304" i="8"/>
  <c r="Q3305" i="8"/>
  <c r="Q3306" i="8"/>
  <c r="Q3307" i="8"/>
  <c r="Q3308" i="8"/>
  <c r="Q3309" i="8"/>
  <c r="Q3310" i="8"/>
  <c r="Q3311" i="8"/>
  <c r="Q3312" i="8"/>
  <c r="Q3313" i="8"/>
  <c r="Q3314" i="8"/>
  <c r="Q3315" i="8"/>
  <c r="Q3316" i="8"/>
  <c r="Q3317" i="8"/>
  <c r="Q3318" i="8"/>
  <c r="Q3319" i="8"/>
  <c r="Q3320" i="8"/>
  <c r="Q3321" i="8"/>
  <c r="Q3322" i="8"/>
  <c r="Q3323" i="8"/>
  <c r="Q3324" i="8"/>
  <c r="Q3325" i="8"/>
  <c r="Q3326" i="8"/>
  <c r="Q3327" i="8"/>
  <c r="Q3328" i="8"/>
  <c r="Q3329" i="8"/>
  <c r="Q3330" i="8"/>
  <c r="Q3331" i="8"/>
  <c r="Q3332" i="8"/>
  <c r="Q3333" i="8"/>
  <c r="Q3334" i="8"/>
  <c r="Q3335" i="8"/>
  <c r="Q3336" i="8"/>
  <c r="Q3337" i="8"/>
  <c r="Q3338" i="8"/>
  <c r="Q3339" i="8"/>
  <c r="Q3340" i="8"/>
  <c r="Q3341" i="8"/>
  <c r="Q3342" i="8"/>
  <c r="Q3343" i="8"/>
  <c r="Q3344" i="8"/>
  <c r="Q3345" i="8"/>
  <c r="Q3346" i="8"/>
  <c r="Q3347" i="8"/>
  <c r="Q3348" i="8"/>
  <c r="Q3349" i="8"/>
  <c r="Q3350" i="8"/>
  <c r="Q3351" i="8"/>
  <c r="Q3352" i="8"/>
  <c r="Q3353" i="8"/>
  <c r="Q3354" i="8"/>
  <c r="Q3355" i="8"/>
  <c r="Q3356" i="8"/>
  <c r="Q3357" i="8"/>
  <c r="Q3358" i="8"/>
  <c r="Q3359" i="8"/>
  <c r="Q3360" i="8"/>
  <c r="Q3361" i="8"/>
  <c r="Q3362" i="8"/>
  <c r="Q3363" i="8"/>
  <c r="Q3364" i="8"/>
  <c r="Q3365" i="8"/>
  <c r="Q3366" i="8"/>
  <c r="Q3367" i="8"/>
  <c r="Q3368" i="8"/>
  <c r="Q3369" i="8"/>
  <c r="Q3370" i="8"/>
  <c r="Q3371" i="8"/>
  <c r="Q3372" i="8"/>
  <c r="Q3373" i="8"/>
  <c r="Q3374" i="8"/>
  <c r="Q3375" i="8"/>
  <c r="Q3376" i="8"/>
  <c r="Q3377" i="8"/>
  <c r="Q3378" i="8"/>
  <c r="Q3379" i="8"/>
  <c r="Q3380" i="8"/>
  <c r="Q3381" i="8"/>
  <c r="Q3382" i="8"/>
  <c r="Q3383" i="8"/>
  <c r="Q3384" i="8"/>
  <c r="Q3385" i="8"/>
  <c r="Q3386" i="8"/>
  <c r="Q3387" i="8"/>
  <c r="Q3388" i="8"/>
  <c r="Q3389" i="8"/>
  <c r="Q3390" i="8"/>
  <c r="Q3391" i="8"/>
  <c r="Q3392" i="8"/>
  <c r="Q3393" i="8"/>
  <c r="Q3394" i="8"/>
  <c r="Q3395" i="8"/>
  <c r="Q3396" i="8"/>
  <c r="Q3397" i="8"/>
  <c r="Q3398" i="8"/>
  <c r="Q3399" i="8"/>
  <c r="Q3400" i="8"/>
  <c r="Q3401" i="8"/>
  <c r="Q3402" i="8"/>
  <c r="Q3403" i="8"/>
  <c r="Q3404" i="8"/>
  <c r="Q3405" i="8"/>
  <c r="Q3406" i="8"/>
  <c r="Q3407" i="8"/>
  <c r="Q3408" i="8"/>
  <c r="Q3409" i="8"/>
  <c r="Q3410" i="8"/>
  <c r="Q3411" i="8"/>
  <c r="Q3412" i="8"/>
  <c r="Q3413" i="8"/>
  <c r="Q3414" i="8"/>
  <c r="Q3415" i="8"/>
  <c r="Q3416" i="8"/>
  <c r="Q3417" i="8"/>
  <c r="Q3418" i="8"/>
  <c r="Q3419" i="8"/>
  <c r="Q3420" i="8"/>
  <c r="Q3421" i="8"/>
  <c r="Q3422" i="8"/>
  <c r="Q3423" i="8"/>
  <c r="Q3424" i="8"/>
  <c r="Q3425" i="8"/>
  <c r="Q3426" i="8"/>
  <c r="Q3427" i="8"/>
  <c r="Q3428" i="8"/>
  <c r="Q3429" i="8"/>
  <c r="Q3430" i="8"/>
  <c r="Q3431" i="8"/>
  <c r="Q3432" i="8"/>
  <c r="Q3433" i="8"/>
  <c r="Q3434" i="8"/>
  <c r="Q3435" i="8"/>
  <c r="Q3436" i="8"/>
  <c r="Q3437" i="8"/>
  <c r="Q3438" i="8"/>
  <c r="Q3439" i="8"/>
  <c r="Q3440" i="8"/>
  <c r="Q3441" i="8"/>
  <c r="Q3442" i="8"/>
  <c r="Q3443" i="8"/>
  <c r="Q3444" i="8"/>
  <c r="Q3445" i="8"/>
  <c r="Q3446" i="8"/>
  <c r="Q3447" i="8"/>
  <c r="Q3448" i="8"/>
  <c r="Q3449" i="8"/>
  <c r="Q3450" i="8"/>
  <c r="Q3451" i="8"/>
  <c r="Q3452" i="8"/>
  <c r="Q3453" i="8"/>
  <c r="Q3454" i="8"/>
  <c r="Q3455" i="8"/>
  <c r="Q3456" i="8"/>
  <c r="Q3457" i="8"/>
  <c r="Q3458" i="8"/>
  <c r="Q3459" i="8"/>
  <c r="Q3460" i="8"/>
  <c r="Q3461" i="8"/>
  <c r="Q3462" i="8"/>
  <c r="Q3463" i="8"/>
  <c r="Q3464" i="8"/>
  <c r="Q3465" i="8"/>
  <c r="Q3466" i="8"/>
  <c r="Q3467" i="8"/>
  <c r="Q3468" i="8"/>
  <c r="Q3469" i="8"/>
  <c r="Q3470" i="8"/>
  <c r="Q3471" i="8"/>
  <c r="Q3472" i="8"/>
  <c r="Q3473" i="8"/>
  <c r="Q3474" i="8"/>
  <c r="Q3475" i="8"/>
  <c r="Q3476" i="8"/>
  <c r="Q3477" i="8"/>
  <c r="Q3478" i="8"/>
  <c r="Q3479" i="8"/>
  <c r="Q3480" i="8"/>
  <c r="Q3481" i="8"/>
  <c r="Q3482" i="8"/>
  <c r="Q3483" i="8"/>
  <c r="Q3484" i="8"/>
  <c r="Q3485" i="8"/>
  <c r="Q3486" i="8"/>
  <c r="Q3487" i="8"/>
  <c r="Q3488" i="8"/>
  <c r="Q3489" i="8"/>
  <c r="Q3490" i="8"/>
  <c r="Q3491" i="8"/>
  <c r="Q3492" i="8"/>
  <c r="Q3493" i="8"/>
  <c r="Q3494" i="8"/>
  <c r="Q3495" i="8"/>
  <c r="Q3496" i="8"/>
  <c r="Q3497" i="8"/>
  <c r="Q3498" i="8"/>
  <c r="Q3499" i="8"/>
  <c r="Q3500" i="8"/>
  <c r="Q3501" i="8"/>
  <c r="Q3502" i="8"/>
  <c r="Q3503" i="8"/>
  <c r="Q3504" i="8"/>
  <c r="Q3505" i="8"/>
  <c r="Q3506" i="8"/>
  <c r="Q3507" i="8"/>
  <c r="Q3508" i="8"/>
  <c r="Q3509" i="8"/>
  <c r="Q3510" i="8"/>
  <c r="Q3511" i="8"/>
  <c r="Q3512" i="8"/>
  <c r="Q3513" i="8"/>
  <c r="Q3514" i="8"/>
  <c r="Q3515" i="8"/>
  <c r="Q3516" i="8"/>
  <c r="Q3517" i="8"/>
  <c r="Q3518" i="8"/>
  <c r="Q3519" i="8"/>
  <c r="Q3520" i="8"/>
  <c r="Q3521" i="8"/>
  <c r="Q3522" i="8"/>
  <c r="Q3523" i="8"/>
  <c r="Q3524" i="8"/>
  <c r="Q3525" i="8"/>
  <c r="Q3526" i="8"/>
  <c r="Q3527" i="8"/>
  <c r="Q3528" i="8"/>
  <c r="Q3529" i="8"/>
  <c r="Q3530" i="8"/>
  <c r="Q3531" i="8"/>
  <c r="Q3532" i="8"/>
  <c r="Q3533" i="8"/>
  <c r="Q3534" i="8"/>
  <c r="Q3535" i="8"/>
  <c r="Q3536" i="8"/>
  <c r="Q3537" i="8"/>
  <c r="Q3538" i="8"/>
  <c r="Q3539" i="8"/>
  <c r="Q3540" i="8"/>
  <c r="Q3541" i="8"/>
  <c r="Q3542" i="8"/>
  <c r="Q3543" i="8"/>
  <c r="Q3544" i="8"/>
  <c r="Q3545" i="8"/>
  <c r="Q3546" i="8"/>
  <c r="Q3547" i="8"/>
  <c r="Q3548" i="8"/>
  <c r="Q3549" i="8"/>
  <c r="Q3550" i="8"/>
  <c r="Q3551" i="8"/>
  <c r="Q3552" i="8"/>
  <c r="Q3553" i="8"/>
  <c r="Q3554" i="8"/>
  <c r="Q3555" i="8"/>
  <c r="Q3556" i="8"/>
  <c r="Q3557" i="8"/>
  <c r="Q3558" i="8"/>
  <c r="Q3559" i="8"/>
  <c r="Q3560" i="8"/>
  <c r="Q3561" i="8"/>
  <c r="Q3562" i="8"/>
  <c r="Q3563" i="8"/>
  <c r="Q3564" i="8"/>
  <c r="Q3565" i="8"/>
  <c r="Q3566" i="8"/>
  <c r="Q3567" i="8"/>
  <c r="Q3568" i="8"/>
  <c r="Q3569" i="8"/>
  <c r="Q3570" i="8"/>
  <c r="Q3571" i="8"/>
  <c r="Q3572" i="8"/>
  <c r="Q3573" i="8"/>
  <c r="Q3574" i="8"/>
  <c r="Q3575" i="8"/>
  <c r="Q3576" i="8"/>
  <c r="Q3577" i="8"/>
  <c r="Q3578" i="8"/>
  <c r="Q3579" i="8"/>
  <c r="Q3580" i="8"/>
  <c r="Q3581" i="8"/>
  <c r="Q3582" i="8"/>
  <c r="Q3583" i="8"/>
  <c r="Q3584" i="8"/>
  <c r="Q3585" i="8"/>
  <c r="Q3586" i="8"/>
  <c r="Q3587" i="8"/>
  <c r="Q3588" i="8"/>
  <c r="Q3589" i="8"/>
  <c r="Q3590" i="8"/>
  <c r="Q3591" i="8"/>
  <c r="Q3592" i="8"/>
  <c r="Q3593" i="8"/>
  <c r="Q3594" i="8"/>
  <c r="Q3595" i="8"/>
  <c r="Q3596" i="8"/>
  <c r="Q3597" i="8"/>
  <c r="Q3598" i="8"/>
  <c r="Q3599" i="8"/>
  <c r="Q3600" i="8"/>
  <c r="Q3601" i="8"/>
  <c r="Q3602" i="8"/>
  <c r="Q3603" i="8"/>
  <c r="Q3604" i="8"/>
  <c r="Q3605" i="8"/>
  <c r="Q3606" i="8"/>
  <c r="Q3607" i="8"/>
  <c r="Q3608" i="8"/>
  <c r="Q3609" i="8"/>
  <c r="Q3610" i="8"/>
  <c r="Q3611" i="8"/>
  <c r="Q3612" i="8"/>
  <c r="Q3613" i="8"/>
  <c r="Q3614" i="8"/>
  <c r="Q3615" i="8"/>
  <c r="Q3616" i="8"/>
  <c r="Q3617" i="8"/>
  <c r="Q3618" i="8"/>
  <c r="Q3619" i="8"/>
  <c r="Q3620" i="8"/>
  <c r="Q3621" i="8"/>
  <c r="Q3622" i="8"/>
  <c r="Q3623" i="8"/>
  <c r="Q3624" i="8"/>
  <c r="Q3625" i="8"/>
  <c r="Q3626" i="8"/>
  <c r="Q3627" i="8"/>
  <c r="Q3628" i="8"/>
  <c r="Q3629" i="8"/>
  <c r="Q3630" i="8"/>
  <c r="Q3631" i="8"/>
  <c r="Q3632" i="8"/>
  <c r="Q3633" i="8"/>
  <c r="Q3634" i="8"/>
  <c r="Q3635" i="8"/>
  <c r="Q3636" i="8"/>
  <c r="Q3637" i="8"/>
  <c r="Q3638" i="8"/>
  <c r="Q3639" i="8"/>
  <c r="Q3640" i="8"/>
  <c r="Q3641" i="8"/>
  <c r="Q3642" i="8"/>
  <c r="Q3643" i="8"/>
  <c r="Q3644" i="8"/>
  <c r="Q3645" i="8"/>
  <c r="Q3646" i="8"/>
  <c r="Q3647" i="8"/>
  <c r="Q3648" i="8"/>
  <c r="Q3649" i="8"/>
  <c r="Q3650" i="8"/>
  <c r="Q3651" i="8"/>
  <c r="Q3652" i="8"/>
  <c r="Q3653" i="8"/>
  <c r="Q3654" i="8"/>
  <c r="Q3655" i="8"/>
  <c r="Q3656" i="8"/>
  <c r="Q3657" i="8"/>
  <c r="Q3658" i="8"/>
  <c r="Q3659" i="8"/>
  <c r="Q3660" i="8"/>
  <c r="Q3661" i="8"/>
  <c r="Q3662" i="8"/>
  <c r="Q3663" i="8"/>
  <c r="Q3664" i="8"/>
  <c r="Q3665" i="8"/>
  <c r="Q3666" i="8"/>
  <c r="Q3667" i="8"/>
  <c r="Q3668" i="8"/>
  <c r="Q3669" i="8"/>
  <c r="Q3670" i="8"/>
  <c r="Q3671" i="8"/>
  <c r="Q3672" i="8"/>
  <c r="Q3673" i="8"/>
  <c r="Q3674" i="8"/>
  <c r="Q3675" i="8"/>
  <c r="Q3676" i="8"/>
  <c r="Q3677" i="8"/>
  <c r="Q3678" i="8"/>
  <c r="Q3679" i="8"/>
  <c r="Q3680" i="8"/>
  <c r="Q3681" i="8"/>
  <c r="Q3682" i="8"/>
  <c r="Q3683" i="8"/>
  <c r="Q3684" i="8"/>
  <c r="Q3685" i="8"/>
  <c r="Q3686" i="8"/>
  <c r="Q3687" i="8"/>
  <c r="Q3688" i="8"/>
  <c r="Q3689" i="8"/>
  <c r="Q3690" i="8"/>
  <c r="Q3691" i="8"/>
  <c r="Q3692" i="8"/>
  <c r="Q3693" i="8"/>
  <c r="Q3694" i="8"/>
  <c r="Q3695" i="8"/>
  <c r="Q3696" i="8"/>
  <c r="Q3697" i="8"/>
  <c r="Q3698" i="8"/>
  <c r="Q3699" i="8"/>
  <c r="Q3700" i="8"/>
  <c r="Q3701" i="8"/>
  <c r="Q3702" i="8"/>
  <c r="Q3703" i="8"/>
  <c r="Q3704" i="8"/>
  <c r="Q3705" i="8"/>
  <c r="Q3706" i="8"/>
  <c r="Q3707" i="8"/>
  <c r="Q3708" i="8"/>
  <c r="Q3709" i="8"/>
  <c r="Q3710" i="8"/>
  <c r="Q3711" i="8"/>
  <c r="Q3712" i="8"/>
  <c r="Q3713" i="8"/>
  <c r="Q3714" i="8"/>
  <c r="Q3715" i="8"/>
  <c r="Q3716" i="8"/>
  <c r="Q3717" i="8"/>
  <c r="Q3718" i="8"/>
  <c r="Q3719" i="8"/>
  <c r="Q3720" i="8"/>
  <c r="Q3721" i="8"/>
  <c r="Q3722" i="8"/>
  <c r="Q3723" i="8"/>
  <c r="Q3724" i="8"/>
  <c r="Q3725" i="8"/>
  <c r="Q3726" i="8"/>
  <c r="Q3727" i="8"/>
  <c r="Q3728" i="8"/>
  <c r="Q3729" i="8"/>
  <c r="Q3730" i="8"/>
  <c r="Q3731" i="8"/>
  <c r="Q3732" i="8"/>
  <c r="Q3733" i="8"/>
  <c r="Q3734" i="8"/>
  <c r="Q3735" i="8"/>
  <c r="Q3736" i="8"/>
  <c r="Q3737" i="8"/>
  <c r="Q3738" i="8"/>
  <c r="Q3739" i="8"/>
  <c r="Q3740" i="8"/>
  <c r="Q3741" i="8"/>
  <c r="Q3742" i="8"/>
  <c r="Q3743" i="8"/>
  <c r="Q3744" i="8"/>
  <c r="Q3745" i="8"/>
  <c r="Q3746" i="8"/>
  <c r="Q3747" i="8"/>
  <c r="Q3748" i="8"/>
  <c r="Q3749" i="8"/>
  <c r="Q3750" i="8"/>
  <c r="Q3751" i="8"/>
  <c r="Q3752" i="8"/>
  <c r="Q3753" i="8"/>
  <c r="Q3754" i="8"/>
  <c r="Q3755" i="8"/>
  <c r="Q3756" i="8"/>
  <c r="Q3757" i="8"/>
  <c r="Q3758" i="8"/>
  <c r="Q3759" i="8"/>
  <c r="Q3760" i="8"/>
  <c r="Q3761" i="8"/>
  <c r="Q3762" i="8"/>
  <c r="Q3763" i="8"/>
  <c r="Q3764" i="8"/>
  <c r="Q3765" i="8"/>
  <c r="Q3766" i="8"/>
  <c r="Q3767" i="8"/>
  <c r="Q3768" i="8"/>
  <c r="Q3769" i="8"/>
  <c r="Q3770" i="8"/>
  <c r="Q3771" i="8"/>
  <c r="Q3772" i="8"/>
  <c r="Q3773" i="8"/>
  <c r="Q3774" i="8"/>
  <c r="Q3775" i="8"/>
  <c r="Q3776" i="8"/>
  <c r="Q3777" i="8"/>
  <c r="Q3778" i="8"/>
  <c r="Q3779" i="8"/>
  <c r="Q3780" i="8"/>
  <c r="Q3781" i="8"/>
  <c r="Q3782" i="8"/>
  <c r="Q3783" i="8"/>
  <c r="Q3784" i="8"/>
  <c r="Q3785" i="8"/>
  <c r="Q3786" i="8"/>
  <c r="Q3787" i="8"/>
  <c r="Q3788" i="8"/>
  <c r="Q3789" i="8"/>
  <c r="Q3790" i="8"/>
  <c r="Q3791" i="8"/>
  <c r="Q3792" i="8"/>
  <c r="Q3793" i="8"/>
  <c r="Q3794" i="8"/>
  <c r="Q3795" i="8"/>
  <c r="Q3796" i="8"/>
  <c r="Q3797" i="8"/>
  <c r="Q3798" i="8"/>
  <c r="Q3799" i="8"/>
  <c r="Q3800" i="8"/>
  <c r="Q3801" i="8"/>
  <c r="Q3802" i="8"/>
  <c r="Q3803" i="8"/>
  <c r="Q3804" i="8"/>
  <c r="Q3805" i="8"/>
  <c r="Q3806" i="8"/>
  <c r="Q3807" i="8"/>
  <c r="Q3808" i="8"/>
  <c r="Q3809" i="8"/>
  <c r="Q3810" i="8"/>
  <c r="Q3811" i="8"/>
  <c r="Q3812" i="8"/>
  <c r="Q3813" i="8"/>
  <c r="Q3814" i="8"/>
  <c r="Q3815" i="8"/>
  <c r="Q3816" i="8"/>
  <c r="Q3817" i="8"/>
  <c r="Q3818" i="8"/>
  <c r="Q3819" i="8"/>
  <c r="Q3820" i="8"/>
  <c r="Q3821" i="8"/>
  <c r="Q3822" i="8"/>
  <c r="Q3823" i="8"/>
  <c r="Q3824" i="8"/>
  <c r="Q3825" i="8"/>
  <c r="Q3826" i="8"/>
  <c r="Q3827" i="8"/>
  <c r="Q3828" i="8"/>
  <c r="Q3829" i="8"/>
  <c r="Q3830" i="8"/>
  <c r="Q3831" i="8"/>
  <c r="Q3832" i="8"/>
  <c r="Q3833" i="8"/>
  <c r="Q3834" i="8"/>
  <c r="Q3835" i="8"/>
  <c r="Q3836" i="8"/>
  <c r="Q3837" i="8"/>
  <c r="Q3838" i="8"/>
  <c r="Q3839" i="8"/>
  <c r="Q3840" i="8"/>
  <c r="Q3841" i="8"/>
  <c r="Q3842" i="8"/>
  <c r="Q3843" i="8"/>
  <c r="Q3844" i="8"/>
  <c r="Q3845" i="8"/>
  <c r="Q3846" i="8"/>
  <c r="Q3847" i="8"/>
  <c r="Q3848" i="8"/>
  <c r="Q3849" i="8"/>
  <c r="Q3850" i="8"/>
  <c r="Q3851" i="8"/>
  <c r="Q3852" i="8"/>
  <c r="Q3853" i="8"/>
  <c r="Q3854" i="8"/>
  <c r="Q3855" i="8"/>
  <c r="Q3856" i="8"/>
  <c r="Q3857" i="8"/>
  <c r="Q3858" i="8"/>
  <c r="Q3859" i="8"/>
  <c r="Q3860" i="8"/>
  <c r="Q3861" i="8"/>
  <c r="Q3862" i="8"/>
  <c r="Q3863" i="8"/>
  <c r="Q3864" i="8"/>
  <c r="Q3865" i="8"/>
  <c r="Q3866" i="8"/>
  <c r="Q3867" i="8"/>
  <c r="Q3868" i="8"/>
  <c r="Q3869" i="8"/>
  <c r="Q3870" i="8"/>
  <c r="Q3871" i="8"/>
  <c r="Q3872" i="8"/>
  <c r="Q3873" i="8"/>
  <c r="Q3874" i="8"/>
  <c r="Q3875" i="8"/>
  <c r="Q3876" i="8"/>
  <c r="Q3877" i="8"/>
  <c r="Q3878" i="8"/>
  <c r="Q3879" i="8"/>
  <c r="Q3880" i="8"/>
  <c r="Q3881" i="8"/>
  <c r="Q3882" i="8"/>
  <c r="Q3883" i="8"/>
  <c r="Q3884" i="8"/>
  <c r="Q3885" i="8"/>
  <c r="Q3886" i="8"/>
  <c r="Q3887" i="8"/>
  <c r="Q3888" i="8"/>
  <c r="Q3889" i="8"/>
  <c r="Q3890" i="8"/>
  <c r="Q3891" i="8"/>
  <c r="Q3892" i="8"/>
  <c r="Q3893" i="8"/>
  <c r="Q3894" i="8"/>
  <c r="Q3895" i="8"/>
  <c r="Q3896" i="8"/>
  <c r="Q3897" i="8"/>
  <c r="Q3898" i="8"/>
  <c r="Q3899" i="8"/>
  <c r="Q3900" i="8"/>
  <c r="Q3901" i="8"/>
  <c r="Q3902" i="8"/>
  <c r="Q3903" i="8"/>
  <c r="Q3904" i="8"/>
  <c r="Q3905" i="8"/>
  <c r="Q3906" i="8"/>
  <c r="Q3907" i="8"/>
  <c r="Q3908" i="8"/>
  <c r="Q3909" i="8"/>
  <c r="Q3910" i="8"/>
  <c r="Q3911" i="8"/>
  <c r="Q3912" i="8"/>
  <c r="Q3913" i="8"/>
  <c r="Q3914" i="8"/>
  <c r="Q3915" i="8"/>
  <c r="Q3916" i="8"/>
  <c r="Q3917" i="8"/>
  <c r="Q3918" i="8"/>
  <c r="Q3919" i="8"/>
  <c r="Q3920" i="8"/>
  <c r="Q3921" i="8"/>
  <c r="Q3922" i="8"/>
  <c r="Q3923" i="8"/>
  <c r="Q3924" i="8"/>
  <c r="Q3925" i="8"/>
  <c r="Q3926" i="8"/>
  <c r="Q3927" i="8"/>
  <c r="Q3928" i="8"/>
  <c r="Q3929" i="8"/>
  <c r="Q3930" i="8"/>
  <c r="Q3931" i="8"/>
  <c r="Q3932" i="8"/>
  <c r="Q3933" i="8"/>
  <c r="Q3934" i="8"/>
  <c r="Q3935" i="8"/>
  <c r="Q3936" i="8"/>
  <c r="Q3937" i="8"/>
  <c r="Q3938" i="8"/>
  <c r="Q3939" i="8"/>
  <c r="Q3940" i="8"/>
  <c r="Q3941" i="8"/>
  <c r="Q3942" i="8"/>
  <c r="Q3943" i="8"/>
  <c r="Q3944" i="8"/>
  <c r="Q3945" i="8"/>
  <c r="Q3946" i="8"/>
  <c r="Q3947" i="8"/>
  <c r="Q3948" i="8"/>
  <c r="Q3949" i="8"/>
  <c r="Q3950" i="8"/>
  <c r="Q3951" i="8"/>
  <c r="Q3952" i="8"/>
  <c r="Q3953" i="8"/>
  <c r="Q3954" i="8"/>
  <c r="Q3955" i="8"/>
  <c r="Q3956" i="8"/>
  <c r="Q3957" i="8"/>
  <c r="Q3958" i="8"/>
  <c r="Q3959" i="8"/>
  <c r="Q3960" i="8"/>
  <c r="Q3961" i="8"/>
  <c r="Q3962" i="8"/>
  <c r="Q3963" i="8"/>
  <c r="Q3964" i="8"/>
  <c r="Q3965" i="8"/>
  <c r="Q3966" i="8"/>
  <c r="Q3967" i="8"/>
  <c r="Q3968" i="8"/>
  <c r="Q3969" i="8"/>
  <c r="Q3970" i="8"/>
  <c r="Q3971" i="8"/>
  <c r="Q3972" i="8"/>
  <c r="Q3973" i="8"/>
  <c r="Q3974" i="8"/>
  <c r="Q3975" i="8"/>
  <c r="Q3976" i="8"/>
  <c r="Q3977" i="8"/>
  <c r="Q3978" i="8"/>
  <c r="Q3979" i="8"/>
  <c r="Q3980" i="8"/>
  <c r="Q3981" i="8"/>
  <c r="Q3982" i="8"/>
  <c r="Q3983" i="8"/>
  <c r="Q3984" i="8"/>
  <c r="Q3985" i="8"/>
  <c r="Q3986" i="8"/>
  <c r="Q3987" i="8"/>
  <c r="Q3988" i="8"/>
  <c r="Q3989" i="8"/>
  <c r="Q3990" i="8"/>
  <c r="Q3991" i="8"/>
  <c r="Q3992" i="8"/>
  <c r="Q3993" i="8"/>
  <c r="Q3994" i="8"/>
  <c r="Q3995" i="8"/>
  <c r="Q3996" i="8"/>
  <c r="Q3997" i="8"/>
  <c r="Q3998" i="8"/>
  <c r="Q3999" i="8"/>
  <c r="Q4000" i="8"/>
  <c r="Q4001" i="8"/>
  <c r="Q4002" i="8"/>
  <c r="Q4003" i="8"/>
  <c r="Q4004" i="8"/>
  <c r="Q4005" i="8"/>
  <c r="Q4006" i="8"/>
  <c r="Q4007" i="8"/>
  <c r="Q4008" i="8"/>
  <c r="Q4009" i="8"/>
  <c r="Q4010" i="8"/>
  <c r="Q4011" i="8"/>
  <c r="Q4012" i="8"/>
  <c r="Q4013" i="8"/>
  <c r="Q4014" i="8"/>
  <c r="Q4015" i="8"/>
  <c r="Q4016" i="8"/>
  <c r="Q4017" i="8"/>
  <c r="Q4018" i="8"/>
  <c r="Q4019" i="8"/>
  <c r="Q4020" i="8"/>
  <c r="Q4021" i="8"/>
  <c r="Q4022" i="8"/>
  <c r="Q4023" i="8"/>
  <c r="Q4024" i="8"/>
  <c r="Q4025" i="8"/>
  <c r="Q4026" i="8"/>
  <c r="Q4027" i="8"/>
  <c r="Q4028" i="8"/>
  <c r="Q4029" i="8"/>
  <c r="Q4030" i="8"/>
  <c r="Q4031" i="8"/>
  <c r="Q4032" i="8"/>
  <c r="Q4033" i="8"/>
  <c r="Q4034" i="8"/>
  <c r="Q4035" i="8"/>
  <c r="Q4036" i="8"/>
  <c r="Q4037" i="8"/>
  <c r="Q4038" i="8"/>
  <c r="Q4039" i="8"/>
  <c r="Q4040" i="8"/>
  <c r="Q4041" i="8"/>
  <c r="Q4042" i="8"/>
  <c r="Q4043" i="8"/>
  <c r="Q4044" i="8"/>
  <c r="Q4045" i="8"/>
  <c r="Q4046" i="8"/>
  <c r="Q4047" i="8"/>
  <c r="Q4048" i="8"/>
  <c r="Q4049" i="8"/>
  <c r="Q4050" i="8"/>
  <c r="Q4051" i="8"/>
  <c r="Q4052" i="8"/>
  <c r="Q4053" i="8"/>
  <c r="Q4054" i="8"/>
  <c r="Q4055" i="8"/>
  <c r="Q4056" i="8"/>
  <c r="Q4057" i="8"/>
  <c r="Q4058" i="8"/>
  <c r="Q4059" i="8"/>
  <c r="Q4060" i="8"/>
  <c r="Q4061" i="8"/>
  <c r="Q4062" i="8"/>
  <c r="Q4063" i="8"/>
  <c r="Q4064" i="8"/>
  <c r="Q4065" i="8"/>
  <c r="Q4066" i="8"/>
  <c r="Q4067" i="8"/>
  <c r="Q4068" i="8"/>
  <c r="Q4069" i="8"/>
  <c r="Q4070" i="8"/>
  <c r="Q4071" i="8"/>
  <c r="Q4072" i="8"/>
  <c r="Q4073" i="8"/>
  <c r="Q4074" i="8"/>
  <c r="Q4075" i="8"/>
  <c r="Q4076" i="8"/>
  <c r="Q4077" i="8"/>
  <c r="Q4078" i="8"/>
  <c r="Q4079" i="8"/>
  <c r="Q4080" i="8"/>
  <c r="Q4081" i="8"/>
  <c r="Q4082" i="8"/>
  <c r="Q4083" i="8"/>
  <c r="Q4084" i="8"/>
  <c r="Q4085" i="8"/>
  <c r="Q4086" i="8"/>
  <c r="Q4087" i="8"/>
  <c r="Q4088" i="8"/>
  <c r="Q4089" i="8"/>
  <c r="Q4090" i="8"/>
  <c r="Q4091" i="8"/>
  <c r="Q4092" i="8"/>
  <c r="Q4093" i="8"/>
  <c r="Q4094" i="8"/>
  <c r="Q4095" i="8"/>
  <c r="Q4096" i="8"/>
  <c r="Q4097" i="8"/>
  <c r="Q4098" i="8"/>
  <c r="Q4099" i="8"/>
  <c r="Q4100" i="8"/>
  <c r="Q4101" i="8"/>
  <c r="Q4102" i="8"/>
  <c r="Q4103" i="8"/>
  <c r="Q4104" i="8"/>
  <c r="Q4105" i="8"/>
  <c r="Q4106" i="8"/>
  <c r="Q4107" i="8"/>
  <c r="Q4108" i="8"/>
  <c r="Q4109" i="8"/>
  <c r="Q4110" i="8"/>
  <c r="Q4111" i="8"/>
  <c r="Q4112" i="8"/>
  <c r="Q4113" i="8"/>
  <c r="Q4114" i="8"/>
  <c r="Q4115" i="8"/>
  <c r="Q4116" i="8"/>
  <c r="Q4117" i="8"/>
  <c r="Q4118" i="8"/>
  <c r="Q4119" i="8"/>
  <c r="Q4120" i="8"/>
  <c r="Q4121" i="8"/>
  <c r="Q4122" i="8"/>
  <c r="Q4123" i="8"/>
  <c r="Q4124" i="8"/>
  <c r="Q4125" i="8"/>
  <c r="Q4126" i="8"/>
  <c r="Q4127" i="8"/>
  <c r="Q4128" i="8"/>
  <c r="Q4129" i="8"/>
  <c r="Q4130" i="8"/>
  <c r="Q4131" i="8"/>
  <c r="Q4132" i="8"/>
  <c r="Q4133" i="8"/>
  <c r="Q4134" i="8"/>
  <c r="Q4135" i="8"/>
  <c r="Q4136" i="8"/>
  <c r="Q4137" i="8"/>
  <c r="Q4138" i="8"/>
  <c r="Q4139" i="8"/>
  <c r="Q4140" i="8"/>
  <c r="Q4141" i="8"/>
  <c r="Q4142" i="8"/>
  <c r="Q4143" i="8"/>
  <c r="Q4144" i="8"/>
  <c r="Q4145" i="8"/>
  <c r="Q4146" i="8"/>
  <c r="Q4147" i="8"/>
  <c r="Q4148" i="8"/>
  <c r="Q4149" i="8"/>
  <c r="Q4150" i="8"/>
  <c r="Q4151" i="8"/>
  <c r="Q4152" i="8"/>
  <c r="Q4153" i="8"/>
  <c r="Q4154" i="8"/>
  <c r="Q4155" i="8"/>
  <c r="Q4156" i="8"/>
  <c r="Q4157" i="8"/>
  <c r="Q4158" i="8"/>
  <c r="Q4159" i="8"/>
  <c r="Q4160" i="8"/>
  <c r="Q4161" i="8"/>
  <c r="Q4162" i="8"/>
  <c r="Q4163" i="8"/>
  <c r="Q4164" i="8"/>
  <c r="Q4165" i="8"/>
  <c r="Q4166" i="8"/>
  <c r="Q4167" i="8"/>
  <c r="Q4168" i="8"/>
  <c r="Q4169" i="8"/>
  <c r="Q4170" i="8"/>
  <c r="Q4171" i="8"/>
  <c r="Q4172" i="8"/>
  <c r="Q4173" i="8"/>
  <c r="Q4174" i="8"/>
  <c r="Q4175" i="8"/>
  <c r="Q4176" i="8"/>
  <c r="Q4177" i="8"/>
  <c r="Q4178" i="8"/>
  <c r="Q4179" i="8"/>
  <c r="Q4180" i="8"/>
  <c r="Q4181" i="8"/>
  <c r="Q4182" i="8"/>
  <c r="Q4183" i="8"/>
  <c r="Q4184" i="8"/>
  <c r="Q4185" i="8"/>
  <c r="Q4186" i="8"/>
  <c r="Q4187" i="8"/>
  <c r="Q4188" i="8"/>
  <c r="Q4189" i="8"/>
  <c r="Q4190" i="8"/>
  <c r="Q4191" i="8"/>
  <c r="Q4192" i="8"/>
  <c r="Q4193" i="8"/>
  <c r="Q4194" i="8"/>
  <c r="Q4195" i="8"/>
  <c r="Q4196" i="8"/>
  <c r="Q4197" i="8"/>
  <c r="Q4198" i="8"/>
  <c r="Q4199" i="8"/>
  <c r="Q4200" i="8"/>
  <c r="Q4201" i="8"/>
  <c r="Q4202" i="8"/>
  <c r="Q4203" i="8"/>
  <c r="Q4204" i="8"/>
  <c r="Q4205" i="8"/>
  <c r="Q4206" i="8"/>
  <c r="Q4207" i="8"/>
  <c r="Q4208" i="8"/>
  <c r="Q4209" i="8"/>
  <c r="Q4210" i="8"/>
  <c r="Q4211" i="8"/>
  <c r="Q4212" i="8"/>
  <c r="Q4213" i="8"/>
  <c r="Q4214" i="8"/>
  <c r="Q4215" i="8"/>
  <c r="Q4216" i="8"/>
  <c r="Q4217" i="8"/>
  <c r="Q4218" i="8"/>
  <c r="Q4219" i="8"/>
  <c r="Q4220" i="8"/>
  <c r="Q4221" i="8"/>
  <c r="Q4222" i="8"/>
  <c r="Q4223" i="8"/>
  <c r="Q4224" i="8"/>
  <c r="Q4225" i="8"/>
  <c r="Q4226" i="8"/>
  <c r="Q4227" i="8"/>
  <c r="Q4228" i="8"/>
  <c r="Q4229" i="8"/>
  <c r="Q4230" i="8"/>
  <c r="Q4231" i="8"/>
  <c r="Q4232" i="8"/>
  <c r="Q4233" i="8"/>
  <c r="Q4234" i="8"/>
  <c r="Q4235" i="8"/>
  <c r="Q4236" i="8"/>
  <c r="Q4237" i="8"/>
  <c r="Q4238" i="8"/>
  <c r="Q4239" i="8"/>
  <c r="Q4240" i="8"/>
  <c r="Q4241" i="8"/>
  <c r="Q4242" i="8"/>
  <c r="Q4243" i="8"/>
  <c r="Q4244" i="8"/>
  <c r="Q4245" i="8"/>
  <c r="Q4246" i="8"/>
  <c r="Q4247" i="8"/>
  <c r="Q4248" i="8"/>
  <c r="Q4249" i="8"/>
  <c r="Q4250" i="8"/>
  <c r="Q4251" i="8"/>
  <c r="Q4252" i="8"/>
  <c r="Q4253" i="8"/>
  <c r="Q4254" i="8"/>
  <c r="Q4255" i="8"/>
  <c r="Q4256" i="8"/>
  <c r="Q4257" i="8"/>
  <c r="Q4258" i="8"/>
  <c r="Q4259" i="8"/>
  <c r="Q4260" i="8"/>
  <c r="Q4261" i="8"/>
  <c r="Q4262" i="8"/>
  <c r="Q4263" i="8"/>
  <c r="Q4264" i="8"/>
  <c r="Q4265" i="8"/>
  <c r="Q4266" i="8"/>
  <c r="Q4267" i="8"/>
  <c r="Q4268" i="8"/>
  <c r="Q4269" i="8"/>
  <c r="Q4270" i="8"/>
  <c r="Q4271" i="8"/>
  <c r="Q4272" i="8"/>
  <c r="Q4273" i="8"/>
  <c r="Q4274" i="8"/>
  <c r="Q4275" i="8"/>
  <c r="Q4276" i="8"/>
  <c r="Q4277" i="8"/>
  <c r="Q4278" i="8"/>
  <c r="Q4279" i="8"/>
  <c r="Q4280" i="8"/>
  <c r="Q4281" i="8"/>
  <c r="Q4282" i="8"/>
  <c r="Q4283" i="8"/>
  <c r="Q4284" i="8"/>
  <c r="Q4285" i="8"/>
  <c r="Q4286" i="8"/>
  <c r="Q4287" i="8"/>
  <c r="Q4288" i="8"/>
  <c r="Q4289" i="8"/>
  <c r="Q4290" i="8"/>
  <c r="Q4291" i="8"/>
  <c r="Q4292" i="8"/>
  <c r="Q4293" i="8"/>
  <c r="Q4294" i="8"/>
  <c r="Q4295" i="8"/>
  <c r="Q4296" i="8"/>
  <c r="Q4297" i="8"/>
  <c r="Q4298" i="8"/>
  <c r="Q4299" i="8"/>
  <c r="Q4300" i="8"/>
  <c r="Q4301" i="8"/>
  <c r="Q4302" i="8"/>
  <c r="Q4303" i="8"/>
  <c r="Q4304" i="8"/>
  <c r="Q4305" i="8"/>
  <c r="Q4306" i="8"/>
  <c r="Q4307" i="8"/>
  <c r="Q4308" i="8"/>
  <c r="Q4309" i="8"/>
  <c r="Q4310" i="8"/>
  <c r="Q4311" i="8"/>
  <c r="Q4312" i="8"/>
  <c r="Q4313" i="8"/>
  <c r="Q4314" i="8"/>
  <c r="Q4315" i="8"/>
  <c r="Q4316" i="8"/>
  <c r="Q4317" i="8"/>
  <c r="Q4318" i="8"/>
  <c r="Q4319" i="8"/>
  <c r="Q4320" i="8"/>
  <c r="Q4321" i="8"/>
  <c r="Q4322" i="8"/>
  <c r="Q4323" i="8"/>
  <c r="Q4324" i="8"/>
  <c r="Q4325" i="8"/>
  <c r="Q4326" i="8"/>
  <c r="Q4327" i="8"/>
  <c r="Q4328" i="8"/>
  <c r="Q4329" i="8"/>
  <c r="Q4330" i="8"/>
  <c r="Q4331" i="8"/>
  <c r="Q4332" i="8"/>
  <c r="Q4333" i="8"/>
  <c r="Q4334" i="8"/>
  <c r="Q4335" i="8"/>
  <c r="Q4336" i="8"/>
  <c r="Q4337" i="8"/>
  <c r="Q4338" i="8"/>
  <c r="Q4339" i="8"/>
  <c r="Q4340" i="8"/>
  <c r="Q4341" i="8"/>
  <c r="Q4342" i="8"/>
  <c r="Q4343" i="8"/>
  <c r="Q4344" i="8"/>
  <c r="Q4345" i="8"/>
  <c r="Q4346" i="8"/>
  <c r="Q4347" i="8"/>
  <c r="Q4348" i="8"/>
  <c r="Q4349" i="8"/>
  <c r="Q4350" i="8"/>
  <c r="Q4351" i="8"/>
  <c r="Q4352" i="8"/>
  <c r="Q4353" i="8"/>
  <c r="Q4354" i="8"/>
  <c r="Q4355" i="8"/>
  <c r="Q4356" i="8"/>
  <c r="Q4357" i="8"/>
  <c r="Q4358" i="8"/>
  <c r="Q4359" i="8"/>
  <c r="Q4360" i="8"/>
  <c r="Q4361" i="8"/>
  <c r="Q4362" i="8"/>
  <c r="Q4363" i="8"/>
  <c r="Q4364" i="8"/>
  <c r="Q4365" i="8"/>
  <c r="Q4366" i="8"/>
  <c r="Q4367" i="8"/>
  <c r="Q4368" i="8"/>
  <c r="Q4369" i="8"/>
  <c r="Q4370" i="8"/>
  <c r="Q4371" i="8"/>
  <c r="Q4372" i="8"/>
  <c r="Q4373" i="8"/>
  <c r="Q4374" i="8"/>
  <c r="Q4375" i="8"/>
  <c r="Q4376" i="8"/>
  <c r="Q4377" i="8"/>
  <c r="Q4378" i="8"/>
  <c r="Q4379" i="8"/>
  <c r="Q4380" i="8"/>
  <c r="Q4381" i="8"/>
  <c r="Q4382" i="8"/>
  <c r="Q4383" i="8"/>
  <c r="Q4384" i="8"/>
  <c r="Q4385" i="8"/>
  <c r="Q4386" i="8"/>
  <c r="Q4387" i="8"/>
  <c r="Q4388" i="8"/>
  <c r="Q4389" i="8"/>
  <c r="Q4390" i="8"/>
  <c r="Q4391" i="8"/>
  <c r="Q4392" i="8"/>
  <c r="Q4393" i="8"/>
  <c r="Q4394" i="8"/>
  <c r="Q4395" i="8"/>
  <c r="Q4396" i="8"/>
  <c r="Q4397" i="8"/>
  <c r="Q4398" i="8"/>
  <c r="Q4399" i="8"/>
  <c r="Q4400" i="8"/>
  <c r="Q4401" i="8"/>
  <c r="Q4402" i="8"/>
  <c r="Q4403" i="8"/>
  <c r="Q4404" i="8"/>
  <c r="Q4405" i="8"/>
  <c r="Q4406" i="8"/>
  <c r="Q4407" i="8"/>
  <c r="Q4408" i="8"/>
  <c r="Q4409" i="8"/>
  <c r="Q4410" i="8"/>
  <c r="Q4411" i="8"/>
  <c r="Q4412" i="8"/>
  <c r="Q4413" i="8"/>
  <c r="Q4414" i="8"/>
  <c r="Q4415" i="8"/>
  <c r="Q4416" i="8"/>
  <c r="Q4417" i="8"/>
  <c r="Q4418" i="8"/>
  <c r="Q4419" i="8"/>
  <c r="Q4420" i="8"/>
  <c r="Q4421" i="8"/>
  <c r="Q4422" i="8"/>
  <c r="Q4423" i="8"/>
  <c r="Q4424" i="8"/>
  <c r="Q4425" i="8"/>
  <c r="Q4426" i="8"/>
  <c r="Q4427" i="8"/>
  <c r="Q4428" i="8"/>
  <c r="Q4429" i="8"/>
  <c r="Q4430" i="8"/>
  <c r="Q4431" i="8"/>
  <c r="Q4432" i="8"/>
  <c r="Q4433" i="8"/>
  <c r="Q4434" i="8"/>
  <c r="Q4435" i="8"/>
  <c r="Q4436" i="8"/>
  <c r="Q4437" i="8"/>
  <c r="Q4438" i="8"/>
  <c r="Q4439" i="8"/>
  <c r="Q4440" i="8"/>
  <c r="Q4441" i="8"/>
  <c r="Q4442" i="8"/>
  <c r="Q4443" i="8"/>
  <c r="Q4444" i="8"/>
  <c r="Q4445" i="8"/>
  <c r="Q4446" i="8"/>
  <c r="Q4447" i="8"/>
  <c r="Q4448" i="8"/>
  <c r="Q4449" i="8"/>
  <c r="Q4450" i="8"/>
  <c r="Q4451" i="8"/>
  <c r="Q4452" i="8"/>
  <c r="Q4453" i="8"/>
  <c r="Q4454" i="8"/>
  <c r="Q4455" i="8"/>
  <c r="Q4456" i="8"/>
  <c r="Q4457" i="8"/>
  <c r="Q4458" i="8"/>
  <c r="Q4459" i="8"/>
  <c r="Q4460" i="8"/>
  <c r="Q4461" i="8"/>
  <c r="Q4462" i="8"/>
  <c r="Q4463" i="8"/>
  <c r="Q4464" i="8"/>
  <c r="Q4465" i="8"/>
  <c r="Q4466" i="8"/>
  <c r="Q4467" i="8"/>
  <c r="Q4468" i="8"/>
  <c r="Q4469" i="8"/>
  <c r="Q4470" i="8"/>
  <c r="Q4471" i="8"/>
  <c r="Q4472" i="8"/>
  <c r="Q4473" i="8"/>
  <c r="Q4474" i="8"/>
  <c r="Q4475" i="8"/>
  <c r="Q4476" i="8"/>
  <c r="Q4477" i="8"/>
  <c r="Q4478" i="8"/>
  <c r="Q4479" i="8"/>
  <c r="Q4480" i="8"/>
  <c r="Q4481" i="8"/>
  <c r="Q4482" i="8"/>
  <c r="Q4483" i="8"/>
  <c r="Q4484" i="8"/>
  <c r="Q4485" i="8"/>
  <c r="Q4486" i="8"/>
  <c r="Q4487" i="8"/>
  <c r="Q4488" i="8"/>
  <c r="Q4489" i="8"/>
  <c r="Q4490" i="8"/>
  <c r="Q4491" i="8"/>
  <c r="Q4492" i="8"/>
  <c r="Q4493" i="8"/>
  <c r="Q4494" i="8"/>
  <c r="Q4495" i="8"/>
  <c r="Q4496" i="8"/>
  <c r="Q4497" i="8"/>
  <c r="Q4498" i="8"/>
  <c r="Q4499" i="8"/>
  <c r="Q4500" i="8"/>
  <c r="Q4501" i="8"/>
  <c r="Q4502" i="8"/>
  <c r="Q4503" i="8"/>
  <c r="Q4504" i="8"/>
  <c r="Q4505" i="8"/>
  <c r="Q4506" i="8"/>
  <c r="Q4507" i="8"/>
  <c r="Q4508" i="8"/>
  <c r="Q4509" i="8"/>
  <c r="Q4510" i="8"/>
  <c r="Q4511" i="8"/>
  <c r="Q4512" i="8"/>
  <c r="Q4513" i="8"/>
  <c r="Q4514" i="8"/>
  <c r="Q4515" i="8"/>
  <c r="Q4516" i="8"/>
  <c r="Q4517" i="8"/>
  <c r="Q4518" i="8"/>
  <c r="Q4519" i="8"/>
  <c r="Q4520" i="8"/>
  <c r="Q4521" i="8"/>
  <c r="Q4522" i="8"/>
  <c r="Q4523" i="8"/>
  <c r="Q4524" i="8"/>
  <c r="Q4525" i="8"/>
  <c r="Q4526" i="8"/>
  <c r="Q4527" i="8"/>
  <c r="Q4528" i="8"/>
  <c r="Q4529" i="8"/>
  <c r="Q4530" i="8"/>
  <c r="Q4531" i="8"/>
  <c r="Q4532" i="8"/>
  <c r="Q4533" i="8"/>
  <c r="Q4534" i="8"/>
  <c r="Q4535" i="8"/>
  <c r="Q4536" i="8"/>
  <c r="Q4537" i="8"/>
  <c r="Q4538" i="8"/>
  <c r="Q4539" i="8"/>
  <c r="Q4540" i="8"/>
  <c r="Q4541" i="8"/>
  <c r="Q4542" i="8"/>
  <c r="Q4543" i="8"/>
  <c r="Q4544" i="8"/>
  <c r="Q4545" i="8"/>
  <c r="Q4546" i="8"/>
  <c r="Q4547" i="8"/>
  <c r="Q4548" i="8"/>
  <c r="Q4549" i="8"/>
  <c r="Q4550" i="8"/>
  <c r="Q4551" i="8"/>
  <c r="Q4552" i="8"/>
  <c r="Q4553" i="8"/>
  <c r="Q4554" i="8"/>
  <c r="Q4555" i="8"/>
  <c r="Q4556" i="8"/>
  <c r="Q4557" i="8"/>
  <c r="Q4558" i="8"/>
  <c r="Q4559" i="8"/>
  <c r="Q4560" i="8"/>
  <c r="Q4561" i="8"/>
  <c r="Q4562" i="8"/>
  <c r="Q4563" i="8"/>
  <c r="Q4564" i="8"/>
  <c r="Q4565" i="8"/>
  <c r="Q4566" i="8"/>
  <c r="Q4567" i="8"/>
  <c r="Q4568" i="8"/>
  <c r="Q4569" i="8"/>
  <c r="Q4570" i="8"/>
  <c r="Q4571" i="8"/>
  <c r="Q4572" i="8"/>
  <c r="Q4573" i="8"/>
  <c r="Q4574" i="8"/>
  <c r="Q4575" i="8"/>
  <c r="Q4576" i="8"/>
  <c r="Q4577" i="8"/>
  <c r="Q4578" i="8"/>
  <c r="Q4579" i="8"/>
  <c r="Q4580" i="8"/>
  <c r="Q4581" i="8"/>
  <c r="Q4582" i="8"/>
  <c r="Q4583" i="8"/>
  <c r="Q4584" i="8"/>
  <c r="Q4585" i="8"/>
  <c r="Q4586" i="8"/>
  <c r="Q4587" i="8"/>
  <c r="Q4588" i="8"/>
  <c r="Q4589" i="8"/>
  <c r="Q4590" i="8"/>
  <c r="Q4591" i="8"/>
  <c r="Q4592" i="8"/>
  <c r="Q4593" i="8"/>
  <c r="Q4594" i="8"/>
  <c r="Q4595" i="8"/>
  <c r="Q4596" i="8"/>
  <c r="Q4597" i="8"/>
  <c r="Q4598" i="8"/>
  <c r="Q4599" i="8"/>
  <c r="Q4600" i="8"/>
  <c r="Q4601" i="8"/>
  <c r="Q4602" i="8"/>
  <c r="Q4603" i="8"/>
  <c r="Q4604" i="8"/>
  <c r="Q4605" i="8"/>
  <c r="Q4606" i="8"/>
  <c r="Q4607" i="8"/>
  <c r="Q4608" i="8"/>
  <c r="Q4609" i="8"/>
  <c r="Q4610" i="8"/>
  <c r="Q4611" i="8"/>
  <c r="Q4612" i="8"/>
  <c r="Q4613" i="8"/>
  <c r="Q4614" i="8"/>
  <c r="Q4615" i="8"/>
  <c r="Q4616" i="8"/>
  <c r="Q4617" i="8"/>
  <c r="Q4618" i="8"/>
  <c r="Q4619" i="8"/>
  <c r="Q4620" i="8"/>
  <c r="Q4621" i="8"/>
  <c r="Q4622" i="8"/>
  <c r="Q4623" i="8"/>
  <c r="Q4624" i="8"/>
  <c r="Q4625" i="8"/>
  <c r="Q4626" i="8"/>
  <c r="Q4627" i="8"/>
  <c r="Q4628" i="8"/>
  <c r="Q4629" i="8"/>
  <c r="Q4630" i="8"/>
  <c r="Q4631" i="8"/>
  <c r="Q4632" i="8"/>
  <c r="Q4633" i="8"/>
  <c r="Q4634" i="8"/>
  <c r="Q4635" i="8"/>
  <c r="Q4636" i="8"/>
  <c r="Q4637" i="8"/>
  <c r="Q4638" i="8"/>
  <c r="Q4639" i="8"/>
  <c r="Q4640" i="8"/>
  <c r="Q4641" i="8"/>
  <c r="Q4642" i="8"/>
  <c r="Q4643" i="8"/>
  <c r="Q4644" i="8"/>
  <c r="Q4645" i="8"/>
  <c r="Q4646" i="8"/>
  <c r="Q4647" i="8"/>
  <c r="Q4648" i="8"/>
  <c r="Q4649" i="8"/>
  <c r="Q4650" i="8"/>
  <c r="Q4651" i="8"/>
  <c r="Q4652" i="8"/>
  <c r="Q4653" i="8"/>
  <c r="Q4654" i="8"/>
  <c r="Q4655" i="8"/>
  <c r="Q4656" i="8"/>
  <c r="Q4657" i="8"/>
  <c r="Q4658" i="8"/>
  <c r="Q4659" i="8"/>
  <c r="Q4660" i="8"/>
  <c r="Q4661" i="8"/>
  <c r="Q4662" i="8"/>
  <c r="Q4663" i="8"/>
  <c r="Q4664" i="8"/>
  <c r="Q4665" i="8"/>
  <c r="Q4666" i="8"/>
  <c r="Q4667" i="8"/>
  <c r="Q4668" i="8"/>
  <c r="Q4669" i="8"/>
  <c r="Q4670" i="8"/>
  <c r="Q4671" i="8"/>
  <c r="Q4672" i="8"/>
  <c r="Q4673" i="8"/>
  <c r="Q4674" i="8"/>
  <c r="Q4675" i="8"/>
  <c r="Q4676" i="8"/>
  <c r="Q4677" i="8"/>
  <c r="Q4678" i="8"/>
  <c r="Q4679" i="8"/>
  <c r="Q4680" i="8"/>
  <c r="Q4681" i="8"/>
  <c r="Q4682" i="8"/>
  <c r="Q4683" i="8"/>
  <c r="Q4684" i="8"/>
  <c r="Q4685" i="8"/>
  <c r="Q4686" i="8"/>
  <c r="Q4687" i="8"/>
  <c r="Q4688" i="8"/>
  <c r="Q4689" i="8"/>
  <c r="Q4690" i="8"/>
  <c r="Q4691" i="8"/>
  <c r="Q4692" i="8"/>
  <c r="Q4693" i="8"/>
  <c r="Q4694" i="8"/>
  <c r="Q4695" i="8"/>
  <c r="Q4696" i="8"/>
  <c r="Q4697" i="8"/>
  <c r="Q4698" i="8"/>
  <c r="Q4699" i="8"/>
  <c r="Q4700" i="8"/>
  <c r="Q4701" i="8"/>
  <c r="Q4702" i="8"/>
  <c r="Q4703" i="8"/>
  <c r="Q4704" i="8"/>
  <c r="Q4705" i="8"/>
  <c r="Q4706" i="8"/>
  <c r="Q4707" i="8"/>
  <c r="Q4708" i="8"/>
  <c r="Q4709" i="8"/>
  <c r="Q4710" i="8"/>
  <c r="Q4711" i="8"/>
  <c r="Q4712" i="8"/>
  <c r="Q4713" i="8"/>
  <c r="Q4714" i="8"/>
  <c r="Q4715" i="8"/>
  <c r="Q4716" i="8"/>
  <c r="Q4717" i="8"/>
  <c r="Q4718" i="8"/>
  <c r="Q4719" i="8"/>
  <c r="Q4720" i="8"/>
  <c r="Q4721" i="8"/>
  <c r="Q4722" i="8"/>
  <c r="Q4723" i="8"/>
  <c r="Q4724" i="8"/>
  <c r="Q4725" i="8"/>
  <c r="Q4726" i="8"/>
  <c r="Q4727" i="8"/>
  <c r="Q4728" i="8"/>
  <c r="Q4729" i="8"/>
  <c r="Q4730" i="8"/>
  <c r="Q4731" i="8"/>
  <c r="Q4732" i="8"/>
  <c r="Q4733" i="8"/>
  <c r="Q4734" i="8"/>
  <c r="Q4735" i="8"/>
  <c r="Q4736" i="8"/>
  <c r="Q4737" i="8"/>
  <c r="Q4738" i="8"/>
  <c r="Q4739" i="8"/>
  <c r="Q4740" i="8"/>
  <c r="Q4741" i="8"/>
  <c r="Q4742" i="8"/>
  <c r="Q4743" i="8"/>
  <c r="Q4744" i="8"/>
  <c r="Q4745" i="8"/>
  <c r="Q4746" i="8"/>
  <c r="Q4747" i="8"/>
  <c r="Q4748" i="8"/>
  <c r="Q4749" i="8"/>
  <c r="Q4750" i="8"/>
  <c r="Q4751" i="8"/>
  <c r="Q4752" i="8"/>
  <c r="Q4753" i="8"/>
  <c r="Q4754" i="8"/>
  <c r="Q4755" i="8"/>
  <c r="Q4756" i="8"/>
  <c r="Q4757" i="8"/>
  <c r="Q4758" i="8"/>
  <c r="Q4759" i="8"/>
  <c r="Q4760" i="8"/>
  <c r="Q4761" i="8"/>
  <c r="Q4762" i="8"/>
  <c r="Q4763" i="8"/>
  <c r="Q4764" i="8"/>
  <c r="Q4765" i="8"/>
  <c r="Q4766" i="8"/>
  <c r="Q4767" i="8"/>
  <c r="Q4768" i="8"/>
  <c r="Q4769" i="8"/>
  <c r="Q4770" i="8"/>
  <c r="Q4771" i="8"/>
  <c r="Q4772" i="8"/>
  <c r="Q4773" i="8"/>
  <c r="Q4774" i="8"/>
  <c r="Q4775" i="8"/>
  <c r="Q4776" i="8"/>
  <c r="Q4777" i="8"/>
  <c r="Q4778" i="8"/>
  <c r="Q4779" i="8"/>
  <c r="Q4780" i="8"/>
  <c r="Q4781" i="8"/>
  <c r="Q4782" i="8"/>
  <c r="Q4783" i="8"/>
  <c r="Q4784" i="8"/>
  <c r="Q4785" i="8"/>
  <c r="Q4786" i="8"/>
  <c r="Q4787" i="8"/>
  <c r="Q4788" i="8"/>
  <c r="Q4789" i="8"/>
  <c r="Q4790" i="8"/>
  <c r="Q4791" i="8"/>
  <c r="Q4792" i="8"/>
  <c r="Q4793" i="8"/>
  <c r="Q4794" i="8"/>
  <c r="Q4795" i="8"/>
  <c r="Q4796" i="8"/>
  <c r="Q4797" i="8"/>
  <c r="Q4798" i="8"/>
  <c r="Q4799" i="8"/>
  <c r="Q4800" i="8"/>
  <c r="Q4801" i="8"/>
  <c r="Q4802" i="8"/>
  <c r="Q4803" i="8"/>
  <c r="Q4804" i="8"/>
  <c r="Q4805" i="8"/>
  <c r="Q4806" i="8"/>
  <c r="Q4807" i="8"/>
  <c r="Q4808" i="8"/>
  <c r="Q4809" i="8"/>
  <c r="Q4810" i="8"/>
  <c r="Q4811" i="8"/>
  <c r="Q4812" i="8"/>
  <c r="Q4813" i="8"/>
  <c r="Q4814" i="8"/>
  <c r="Q4815" i="8"/>
  <c r="Q4816" i="8"/>
  <c r="Q4817" i="8"/>
  <c r="Q4818" i="8"/>
  <c r="Q4819" i="8"/>
  <c r="Q4820" i="8"/>
  <c r="Q4821" i="8"/>
  <c r="Q4822" i="8"/>
  <c r="Q4823" i="8"/>
  <c r="Q4824" i="8"/>
  <c r="Q4825" i="8"/>
  <c r="Q4826" i="8"/>
  <c r="Q4827" i="8"/>
  <c r="Q4828" i="8"/>
  <c r="Q4829" i="8"/>
  <c r="Q4830" i="8"/>
  <c r="Q4831" i="8"/>
  <c r="Q4832" i="8"/>
  <c r="Q4833" i="8"/>
  <c r="Q4834" i="8"/>
  <c r="Q4835" i="8"/>
  <c r="Q4836" i="8"/>
  <c r="Q4837" i="8"/>
  <c r="Q4838" i="8"/>
  <c r="Q4839" i="8"/>
  <c r="Q4840" i="8"/>
  <c r="Q4841" i="8"/>
  <c r="Q4842" i="8"/>
  <c r="Q4843" i="8"/>
  <c r="Q4844" i="8"/>
  <c r="Q4845" i="8"/>
  <c r="Q4846" i="8"/>
  <c r="Q4847" i="8"/>
  <c r="Q4848" i="8"/>
  <c r="Q4849" i="8"/>
  <c r="Q4850" i="8"/>
  <c r="Q4851" i="8"/>
  <c r="Q4852" i="8"/>
  <c r="Q4853" i="8"/>
  <c r="Q4854" i="8"/>
  <c r="Q4855" i="8"/>
  <c r="Q4856" i="8"/>
  <c r="Q4857" i="8"/>
  <c r="Q4858" i="8"/>
  <c r="Q4859" i="8"/>
  <c r="Q4860" i="8"/>
  <c r="Q4861" i="8"/>
  <c r="Q4862" i="8"/>
  <c r="Q4863" i="8"/>
  <c r="Q4864" i="8"/>
  <c r="Q4865" i="8"/>
  <c r="Q4866" i="8"/>
  <c r="Q4867" i="8"/>
  <c r="Q4868" i="8"/>
  <c r="Q4869" i="8"/>
  <c r="Q4870" i="8"/>
  <c r="Q4871" i="8"/>
  <c r="Q4872" i="8"/>
  <c r="Q4873" i="8"/>
  <c r="Q4874" i="8"/>
  <c r="Q4875" i="8"/>
  <c r="Q4876" i="8"/>
  <c r="Q4877" i="8"/>
  <c r="Q4878" i="8"/>
  <c r="Q4879" i="8"/>
  <c r="Q4880" i="8"/>
  <c r="Q4881" i="8"/>
  <c r="Q4882" i="8"/>
  <c r="Q4883" i="8"/>
  <c r="Q4884" i="8"/>
  <c r="Q4885" i="8"/>
  <c r="Q4886" i="8"/>
  <c r="Q4887" i="8"/>
  <c r="Q4888" i="8"/>
  <c r="Q4889" i="8"/>
  <c r="Q4890" i="8"/>
  <c r="Q4891" i="8"/>
  <c r="Q4892" i="8"/>
  <c r="Q4893" i="8"/>
  <c r="Q4894" i="8"/>
  <c r="Q4895" i="8"/>
  <c r="Q4896" i="8"/>
  <c r="Q4897" i="8"/>
  <c r="Q4898" i="8"/>
  <c r="Q4899" i="8"/>
  <c r="Q4900" i="8"/>
  <c r="Q4901" i="8"/>
  <c r="Q4902" i="8"/>
  <c r="Q4903" i="8"/>
  <c r="Q4904" i="8"/>
  <c r="Q4905" i="8"/>
  <c r="Q4906" i="8"/>
  <c r="Q4907" i="8"/>
  <c r="Q4908" i="8"/>
  <c r="Q4909" i="8"/>
  <c r="Q4910" i="8"/>
  <c r="Q4911" i="8"/>
  <c r="Q4912" i="8"/>
  <c r="Q4913" i="8"/>
  <c r="Q4914" i="8"/>
  <c r="Q4915" i="8"/>
  <c r="Q4916" i="8"/>
  <c r="Q4917" i="8"/>
  <c r="Q4918" i="8"/>
  <c r="Q4919" i="8"/>
  <c r="Q4920" i="8"/>
  <c r="Q4921" i="8"/>
  <c r="Q4922" i="8"/>
  <c r="Q4923" i="8"/>
  <c r="Q4924" i="8"/>
  <c r="Q4925" i="8"/>
  <c r="Q4926" i="8"/>
  <c r="Q4927" i="8"/>
  <c r="Q4928" i="8"/>
  <c r="Q4929" i="8"/>
  <c r="Q4930" i="8"/>
  <c r="Q4931" i="8"/>
  <c r="Q4932" i="8"/>
  <c r="Q4933" i="8"/>
  <c r="Q4934" i="8"/>
  <c r="Q4935" i="8"/>
  <c r="Q4936" i="8"/>
  <c r="Q4937" i="8"/>
  <c r="Q4938" i="8"/>
  <c r="Q4939" i="8"/>
  <c r="Q4940" i="8"/>
  <c r="Q4941" i="8"/>
  <c r="Q4942" i="8"/>
  <c r="Q4943" i="8"/>
  <c r="Q4944" i="8"/>
  <c r="Q4945" i="8"/>
  <c r="Q4946" i="8"/>
  <c r="Q4947" i="8"/>
  <c r="Q4948" i="8"/>
  <c r="Q4949" i="8"/>
  <c r="Q4950" i="8"/>
  <c r="Q4951" i="8"/>
  <c r="Q4952" i="8"/>
  <c r="Q4953" i="8"/>
  <c r="Q4954" i="8"/>
  <c r="Q4955" i="8"/>
  <c r="Q4956" i="8"/>
  <c r="Q4957" i="8"/>
  <c r="Q4958" i="8"/>
  <c r="Q4959" i="8"/>
  <c r="Q4960" i="8"/>
  <c r="Q4961" i="8"/>
  <c r="Q4962" i="8"/>
  <c r="Q4963" i="8"/>
  <c r="Q4964" i="8"/>
  <c r="Q4965" i="8"/>
  <c r="Q4966" i="8"/>
  <c r="Q4967" i="8"/>
  <c r="Q4968" i="8"/>
  <c r="Q4969" i="8"/>
  <c r="Q4970" i="8"/>
  <c r="Q4971" i="8"/>
  <c r="Q4972" i="8"/>
  <c r="Q4973" i="8"/>
  <c r="Q4974" i="8"/>
  <c r="Q4975" i="8"/>
  <c r="Q4976" i="8"/>
  <c r="Q4977" i="8"/>
  <c r="Q4978" i="8"/>
  <c r="Q4979" i="8"/>
  <c r="Q4980" i="8"/>
  <c r="Q4981" i="8"/>
  <c r="Q4982" i="8"/>
  <c r="Q4983" i="8"/>
  <c r="Q4984" i="8"/>
  <c r="Q4985" i="8"/>
  <c r="Q4986" i="8"/>
  <c r="Q4987" i="8"/>
  <c r="Q4988" i="8"/>
  <c r="Q4989" i="8"/>
  <c r="Q4990" i="8"/>
  <c r="Q4991" i="8"/>
  <c r="Q4992" i="8"/>
  <c r="Q4993" i="8"/>
  <c r="Q4994" i="8"/>
  <c r="Q4995" i="8"/>
  <c r="Q4996" i="8"/>
  <c r="Q4997" i="8"/>
  <c r="Q4998" i="8"/>
  <c r="Q4999" i="8"/>
  <c r="Q5000" i="8"/>
  <c r="Q5001" i="8"/>
  <c r="Q5002" i="8"/>
  <c r="Q5003" i="8"/>
  <c r="Q5004" i="8"/>
  <c r="Q5005" i="8"/>
  <c r="Q5006" i="8"/>
  <c r="Q5007" i="8"/>
  <c r="Q5008" i="8"/>
  <c r="Q5009" i="8"/>
  <c r="Q5010" i="8"/>
  <c r="Q5011" i="8"/>
  <c r="Q5012" i="8"/>
  <c r="Q5013" i="8"/>
  <c r="Q5014" i="8"/>
  <c r="Q5015" i="8"/>
  <c r="Q5016" i="8"/>
  <c r="Q5017" i="8"/>
  <c r="Q5018" i="8"/>
  <c r="Q5019" i="8"/>
  <c r="Q5020" i="8"/>
  <c r="Q5021" i="8"/>
  <c r="Q5022" i="8"/>
  <c r="Q5023" i="8"/>
  <c r="Q5024" i="8"/>
  <c r="Q5025" i="8"/>
  <c r="Q5026" i="8"/>
  <c r="Q5027" i="8"/>
  <c r="Q5028" i="8"/>
  <c r="Q5029" i="8"/>
  <c r="Q5030" i="8"/>
  <c r="Q5031" i="8"/>
  <c r="Q5032" i="8"/>
  <c r="Q5033" i="8"/>
  <c r="Q5034" i="8"/>
  <c r="Q5035" i="8"/>
  <c r="Q5036" i="8"/>
  <c r="Q5037" i="8"/>
  <c r="Q5038" i="8"/>
  <c r="Q5039" i="8"/>
  <c r="Q5040" i="8"/>
  <c r="Q5041" i="8"/>
  <c r="Q5042" i="8"/>
  <c r="Q5043" i="8"/>
  <c r="Q5044" i="8"/>
  <c r="Q5045" i="8"/>
  <c r="Q5046" i="8"/>
  <c r="Q5047" i="8"/>
  <c r="Q5048" i="8"/>
  <c r="Q5049" i="8"/>
  <c r="Q5050" i="8"/>
  <c r="Q5051" i="8"/>
  <c r="Q5052" i="8"/>
  <c r="Q5053" i="8"/>
  <c r="Q5054" i="8"/>
  <c r="Q5055" i="8"/>
  <c r="Q5056" i="8"/>
  <c r="Q5057" i="8"/>
  <c r="Q5058" i="8"/>
  <c r="Q5059" i="8"/>
  <c r="Q5060" i="8"/>
  <c r="Q5061" i="8"/>
  <c r="Q5062" i="8"/>
  <c r="Q5063" i="8"/>
  <c r="Q5064" i="8"/>
  <c r="Q5065" i="8"/>
  <c r="Q5066" i="8"/>
  <c r="Q5067" i="8"/>
  <c r="Q5068" i="8"/>
  <c r="Q5069" i="8"/>
  <c r="Q5070" i="8"/>
  <c r="Q5071" i="8"/>
  <c r="Q5072" i="8"/>
  <c r="Q5073" i="8"/>
  <c r="Q5074" i="8"/>
  <c r="Q5075" i="8"/>
  <c r="Q5076" i="8"/>
  <c r="Q5077" i="8"/>
  <c r="Q5078" i="8"/>
  <c r="Q5079" i="8"/>
  <c r="Q5080" i="8"/>
  <c r="Q5081" i="8"/>
  <c r="Q5082" i="8"/>
  <c r="Q5083" i="8"/>
  <c r="Q5084" i="8"/>
  <c r="Q5085" i="8"/>
  <c r="Q5086" i="8"/>
  <c r="Q5087" i="8"/>
  <c r="Q5088" i="8"/>
  <c r="Q5089" i="8"/>
  <c r="Q5090" i="8"/>
  <c r="Q5091" i="8"/>
  <c r="Q5092" i="8"/>
  <c r="Q5093" i="8"/>
  <c r="Q5094" i="8"/>
  <c r="Q5095" i="8"/>
  <c r="Q5096" i="8"/>
  <c r="Q5097" i="8"/>
  <c r="Q5098" i="8"/>
  <c r="Q5099" i="8"/>
  <c r="Q5100" i="8"/>
  <c r="Q5101" i="8"/>
  <c r="Q5102" i="8"/>
  <c r="Q5103" i="8"/>
  <c r="Q5104" i="8"/>
  <c r="Q5105" i="8"/>
  <c r="Q5106" i="8"/>
  <c r="Q5107" i="8"/>
  <c r="Q5108" i="8"/>
  <c r="Q5109" i="8"/>
  <c r="Q5110" i="8"/>
  <c r="Q5111" i="8"/>
  <c r="Q5112" i="8"/>
  <c r="Q5113" i="8"/>
  <c r="Q5114" i="8"/>
  <c r="Q5115" i="8"/>
  <c r="Q5116" i="8"/>
  <c r="Q5117" i="8"/>
  <c r="Q5118" i="8"/>
  <c r="Q5119" i="8"/>
  <c r="Q5120" i="8"/>
  <c r="Q5121" i="8"/>
  <c r="Q5122" i="8"/>
  <c r="Q5123" i="8"/>
  <c r="Q5124" i="8"/>
  <c r="Q5125" i="8"/>
  <c r="Q5126" i="8"/>
  <c r="Q5127" i="8"/>
  <c r="Q5128" i="8"/>
  <c r="Q5129" i="8"/>
  <c r="Q5130" i="8"/>
  <c r="Q5131" i="8"/>
  <c r="Q5132" i="8"/>
  <c r="Q5133" i="8"/>
  <c r="Q5134" i="8"/>
  <c r="Q5135" i="8"/>
  <c r="Q5136" i="8"/>
  <c r="Q5137" i="8"/>
  <c r="Q5138" i="8"/>
  <c r="Q5139" i="8"/>
  <c r="Q5140" i="8"/>
  <c r="Q5141" i="8"/>
  <c r="Q5142" i="8"/>
  <c r="Q5143" i="8"/>
  <c r="Q5144" i="8"/>
  <c r="Q5145" i="8"/>
  <c r="Q5146" i="8"/>
  <c r="Q5147" i="8"/>
  <c r="Q5148" i="8"/>
  <c r="Q5149" i="8"/>
  <c r="Q5150" i="8"/>
  <c r="Q5151" i="8"/>
  <c r="Q5152" i="8"/>
  <c r="Q5153" i="8"/>
  <c r="Q5154" i="8"/>
  <c r="Q5155" i="8"/>
  <c r="Q5156" i="8"/>
  <c r="Q5157" i="8"/>
  <c r="Q5158" i="8"/>
  <c r="Q5159" i="8"/>
  <c r="Q5160" i="8"/>
  <c r="Q5161" i="8"/>
  <c r="Q5162" i="8"/>
  <c r="Q5163" i="8"/>
  <c r="Q5164" i="8"/>
  <c r="Q5165" i="8"/>
  <c r="Q5166" i="8"/>
  <c r="Q5167" i="8"/>
  <c r="Q5168" i="8"/>
  <c r="Q5169" i="8"/>
  <c r="Q5170" i="8"/>
  <c r="Q5171" i="8"/>
  <c r="Q5172" i="8"/>
  <c r="Q5173" i="8"/>
  <c r="Q5174" i="8"/>
  <c r="Q5175" i="8"/>
  <c r="Q5176" i="8"/>
  <c r="Q5177" i="8"/>
  <c r="Q5178" i="8"/>
  <c r="Q5179" i="8"/>
  <c r="Q5180" i="8"/>
  <c r="Q5181" i="8"/>
  <c r="Q5182" i="8"/>
  <c r="Q5183" i="8"/>
  <c r="Q5184" i="8"/>
  <c r="Q5185" i="8"/>
  <c r="Q5186" i="8"/>
  <c r="Q5187" i="8"/>
  <c r="Q5188" i="8"/>
  <c r="Q5189" i="8"/>
  <c r="Q5190" i="8"/>
  <c r="Q5191" i="8"/>
  <c r="Q5192" i="8"/>
  <c r="Q5193" i="8"/>
  <c r="Q5194" i="8"/>
  <c r="Q5195" i="8"/>
  <c r="Q5196" i="8"/>
  <c r="Q5197" i="8"/>
  <c r="Q5198" i="8"/>
  <c r="Q5199" i="8"/>
  <c r="Q5200" i="8"/>
  <c r="Q5201" i="8"/>
  <c r="Q5202" i="8"/>
  <c r="Q5203" i="8"/>
  <c r="Q5204" i="8"/>
  <c r="Q5205" i="8"/>
  <c r="Q5206" i="8"/>
  <c r="Q5207" i="8"/>
  <c r="Q5208" i="8"/>
  <c r="Q5209" i="8"/>
  <c r="Q5210" i="8"/>
  <c r="Q5211" i="8"/>
  <c r="Q5212" i="8"/>
  <c r="Q5213" i="8"/>
  <c r="Q5214" i="8"/>
  <c r="Q5215" i="8"/>
  <c r="Q5216" i="8"/>
  <c r="Q5217" i="8"/>
  <c r="Q5218" i="8"/>
  <c r="Q5219" i="8"/>
  <c r="Q5220" i="8"/>
  <c r="Q5221" i="8"/>
  <c r="Q5222" i="8"/>
  <c r="Q5223" i="8"/>
  <c r="Q5224" i="8"/>
  <c r="Q5225" i="8"/>
  <c r="Q5226" i="8"/>
  <c r="Q5227" i="8"/>
  <c r="Q5228" i="8"/>
  <c r="Q5229" i="8"/>
  <c r="Q5230" i="8"/>
  <c r="Q5231" i="8"/>
  <c r="Q5232" i="8"/>
  <c r="Q5233" i="8"/>
  <c r="Q5234" i="8"/>
  <c r="Q5235" i="8"/>
  <c r="Q5236" i="8"/>
  <c r="Q5237" i="8"/>
  <c r="Q5238" i="8"/>
  <c r="Q5239" i="8"/>
  <c r="Q5240" i="8"/>
  <c r="Q5241" i="8"/>
  <c r="Q5242" i="8"/>
  <c r="Q5243" i="8"/>
  <c r="Q5244" i="8"/>
  <c r="Q5245" i="8"/>
  <c r="Q5246" i="8"/>
  <c r="Q5247" i="8"/>
  <c r="Q5248" i="8"/>
  <c r="Q5249" i="8"/>
  <c r="Q5250" i="8"/>
  <c r="Q5251" i="8"/>
  <c r="Q5252" i="8"/>
  <c r="Q5253" i="8"/>
  <c r="Q5254" i="8"/>
  <c r="Q5255" i="8"/>
  <c r="Q5256" i="8"/>
  <c r="Q5257" i="8"/>
  <c r="Q5258" i="8"/>
  <c r="Q5259" i="8"/>
  <c r="Q5260" i="8"/>
  <c r="Q5261" i="8"/>
  <c r="Q5262" i="8"/>
  <c r="Q5263" i="8"/>
  <c r="Q5264" i="8"/>
  <c r="Q5265" i="8"/>
  <c r="Q5266" i="8"/>
  <c r="Q5267" i="8"/>
  <c r="Q5268" i="8"/>
  <c r="Q5269" i="8"/>
  <c r="Q5270" i="8"/>
  <c r="Q5271" i="8"/>
  <c r="Q5272" i="8"/>
  <c r="Q5273" i="8"/>
  <c r="Q5274" i="8"/>
  <c r="Q5275" i="8"/>
  <c r="Q5276" i="8"/>
  <c r="Q5277" i="8"/>
  <c r="Q5278" i="8"/>
  <c r="Q5279" i="8"/>
  <c r="Q5280" i="8"/>
  <c r="Q5281" i="8"/>
  <c r="Q5282" i="8"/>
  <c r="Q5283" i="8"/>
  <c r="Q5284" i="8"/>
  <c r="Q5285" i="8"/>
  <c r="Q5286" i="8"/>
  <c r="Q5287" i="8"/>
  <c r="Q5288" i="8"/>
  <c r="Q5289" i="8"/>
  <c r="Q5290" i="8"/>
  <c r="Q5291" i="8"/>
  <c r="Q5292" i="8"/>
  <c r="Q5293" i="8"/>
  <c r="Q5294" i="8"/>
  <c r="Q5295" i="8"/>
  <c r="Q5296" i="8"/>
  <c r="Q5297" i="8"/>
  <c r="Q5298" i="8"/>
  <c r="Q5299" i="8"/>
  <c r="Q5300" i="8"/>
  <c r="Q5301" i="8"/>
  <c r="Q5302" i="8"/>
  <c r="Q5303" i="8"/>
  <c r="Q5304" i="8"/>
  <c r="Q5305" i="8"/>
  <c r="Q5306" i="8"/>
  <c r="Q5307" i="8"/>
  <c r="Q5308" i="8"/>
  <c r="Q5309" i="8"/>
  <c r="Q5310" i="8"/>
  <c r="Q5311" i="8"/>
  <c r="Q5312" i="8"/>
  <c r="Q5313" i="8"/>
  <c r="Q5314" i="8"/>
  <c r="Q5315" i="8"/>
  <c r="Q5316" i="8"/>
  <c r="Q5317" i="8"/>
  <c r="Q5318" i="8"/>
  <c r="Q5319" i="8"/>
  <c r="Q5320" i="8"/>
  <c r="Q5321" i="8"/>
  <c r="Q5322" i="8"/>
  <c r="Q5323" i="8"/>
  <c r="Q5324" i="8"/>
  <c r="Q5325" i="8"/>
  <c r="Q5326" i="8"/>
  <c r="Q5327" i="8"/>
  <c r="Q5328" i="8"/>
  <c r="Q5329" i="8"/>
  <c r="Q5330" i="8"/>
  <c r="Q5331" i="8"/>
  <c r="Q5332" i="8"/>
  <c r="Q5333" i="8"/>
  <c r="Q5334" i="8"/>
  <c r="Q5335" i="8"/>
  <c r="Q5336" i="8"/>
  <c r="Q5337" i="8"/>
  <c r="Q5338" i="8"/>
  <c r="Q5339" i="8"/>
  <c r="Q5340" i="8"/>
  <c r="Q5341" i="8"/>
  <c r="Q5342" i="8"/>
  <c r="Q5343" i="8"/>
  <c r="Q5344" i="8"/>
  <c r="Q5345" i="8"/>
  <c r="Q5346" i="8"/>
  <c r="Q5347" i="8"/>
  <c r="Q5348" i="8"/>
  <c r="Q5349" i="8"/>
  <c r="Q5350" i="8"/>
  <c r="Q5351" i="8"/>
  <c r="Q5352" i="8"/>
  <c r="Q5353" i="8"/>
  <c r="Q5354" i="8"/>
  <c r="Q5355" i="8"/>
  <c r="Q5356" i="8"/>
  <c r="Q5357" i="8"/>
  <c r="Q5358" i="8"/>
  <c r="Q5359" i="8"/>
  <c r="Q5360" i="8"/>
  <c r="Q5361" i="8"/>
  <c r="Q5362" i="8"/>
  <c r="Q5363" i="8"/>
  <c r="Q5364" i="8"/>
  <c r="Q5365" i="8"/>
  <c r="Q5366" i="8"/>
  <c r="Q5367" i="8"/>
  <c r="Q5368" i="8"/>
  <c r="Q5369" i="8"/>
  <c r="Q5370" i="8"/>
  <c r="Q5371" i="8"/>
  <c r="Q5372" i="8"/>
  <c r="Q5373" i="8"/>
  <c r="Q5374" i="8"/>
  <c r="Q5375" i="8"/>
  <c r="Q5376" i="8"/>
  <c r="Q5377" i="8"/>
  <c r="Q5378" i="8"/>
  <c r="Q5379" i="8"/>
  <c r="Q5380" i="8"/>
  <c r="Q5381" i="8"/>
  <c r="Q5382" i="8"/>
  <c r="Q5383" i="8"/>
  <c r="Q5384" i="8"/>
  <c r="Q5385" i="8"/>
  <c r="Q5386" i="8"/>
  <c r="Q5387" i="8"/>
  <c r="Q5388" i="8"/>
  <c r="Q5389" i="8"/>
  <c r="Q5390" i="8"/>
  <c r="Q5391" i="8"/>
  <c r="Q5392" i="8"/>
  <c r="Q5393" i="8"/>
  <c r="Q5394" i="8"/>
  <c r="Q5395" i="8"/>
  <c r="Q5396" i="8"/>
  <c r="Q5397" i="8"/>
  <c r="Q5398" i="8"/>
  <c r="Q5399" i="8"/>
  <c r="Q5400" i="8"/>
  <c r="Q5401" i="8"/>
  <c r="Q5402" i="8"/>
  <c r="Q5403" i="8"/>
  <c r="Q5404" i="8"/>
  <c r="Q5405" i="8"/>
  <c r="Q5406" i="8"/>
  <c r="Q5407" i="8"/>
  <c r="Q5408" i="8"/>
  <c r="Q5409" i="8"/>
  <c r="Q5410" i="8"/>
  <c r="Q5411" i="8"/>
  <c r="Q5412" i="8"/>
  <c r="Q5413" i="8"/>
  <c r="Q5414" i="8"/>
  <c r="Q5415" i="8"/>
  <c r="Q5416" i="8"/>
  <c r="Q5417" i="8"/>
  <c r="Q5418" i="8"/>
  <c r="Q5419" i="8"/>
  <c r="Q5420" i="8"/>
  <c r="Q5421" i="8"/>
  <c r="Q5422" i="8"/>
  <c r="Q5423" i="8"/>
  <c r="Q5424" i="8"/>
  <c r="Q5425" i="8"/>
  <c r="Q5426" i="8"/>
  <c r="Q5427" i="8"/>
  <c r="Q5428" i="8"/>
  <c r="Q5429" i="8"/>
  <c r="Q5430" i="8"/>
  <c r="Q5431" i="8"/>
  <c r="Q5432" i="8"/>
  <c r="Q5433" i="8"/>
  <c r="Q5434" i="8"/>
  <c r="Q5435" i="8"/>
  <c r="Q5436" i="8"/>
  <c r="Q5437" i="8"/>
  <c r="Q5438" i="8"/>
  <c r="Q5439" i="8"/>
  <c r="Q5440" i="8"/>
  <c r="Q5441" i="8"/>
  <c r="Q5442" i="8"/>
  <c r="Q5443" i="8"/>
  <c r="Q5444" i="8"/>
  <c r="Q5445" i="8"/>
  <c r="Q5446" i="8"/>
  <c r="Q5447" i="8"/>
  <c r="Q5448" i="8"/>
  <c r="Q5449" i="8"/>
  <c r="Q5450" i="8"/>
  <c r="Q5451" i="8"/>
  <c r="Q5452" i="8"/>
  <c r="Q5453" i="8"/>
  <c r="Q5454" i="8"/>
  <c r="Q5455" i="8"/>
  <c r="Q5456" i="8"/>
  <c r="Q5457" i="8"/>
  <c r="Q5458" i="8"/>
  <c r="Q5459" i="8"/>
  <c r="Q5460" i="8"/>
  <c r="Q5461" i="8"/>
  <c r="Q5462" i="8"/>
  <c r="Q5463" i="8"/>
  <c r="Q5464" i="8"/>
  <c r="Q5465" i="8"/>
  <c r="Q5466" i="8"/>
  <c r="Q5467" i="8"/>
  <c r="Q5468" i="8"/>
  <c r="Q5469" i="8"/>
  <c r="Q5470" i="8"/>
  <c r="Q5471" i="8"/>
  <c r="Q5472" i="8"/>
  <c r="Q5473" i="8"/>
  <c r="Q5474" i="8"/>
  <c r="Q5475" i="8"/>
  <c r="Q5476" i="8"/>
  <c r="Q5477" i="8"/>
  <c r="Q5478" i="8"/>
  <c r="Q5479" i="8"/>
  <c r="Q5480" i="8"/>
  <c r="Q5481" i="8"/>
  <c r="Q5482" i="8"/>
  <c r="Q5483" i="8"/>
  <c r="Q5484" i="8"/>
  <c r="Q5485" i="8"/>
  <c r="Q5486" i="8"/>
  <c r="Q5487" i="8"/>
  <c r="Q5488" i="8"/>
  <c r="Q5489" i="8"/>
  <c r="Q5490" i="8"/>
  <c r="Q5491" i="8"/>
  <c r="Q5492" i="8"/>
  <c r="Q5493" i="8"/>
  <c r="Q5494" i="8"/>
  <c r="Q5495" i="8"/>
  <c r="Q5496" i="8"/>
  <c r="Q5497" i="8"/>
  <c r="Q5498" i="8"/>
  <c r="Q5499" i="8"/>
  <c r="Q5500" i="8"/>
  <c r="Q5501" i="8"/>
  <c r="Q5502" i="8"/>
  <c r="Q5503" i="8"/>
  <c r="Q5504" i="8"/>
  <c r="Q5505" i="8"/>
  <c r="Q5506" i="8"/>
  <c r="Q5507" i="8"/>
  <c r="Q5508" i="8"/>
  <c r="Q5509" i="8"/>
  <c r="Q5510" i="8"/>
  <c r="Q5511" i="8"/>
  <c r="Q5512" i="8"/>
  <c r="Q5513" i="8"/>
  <c r="Q5514" i="8"/>
  <c r="Q5515" i="8"/>
  <c r="Q5516" i="8"/>
  <c r="Q5517" i="8"/>
  <c r="Q5518" i="8"/>
  <c r="Q5519" i="8"/>
  <c r="Q5520" i="8"/>
  <c r="Q5521" i="8"/>
  <c r="Q5522" i="8"/>
  <c r="Q5523" i="8"/>
  <c r="Q5524" i="8"/>
  <c r="Q5525" i="8"/>
  <c r="Q5526" i="8"/>
  <c r="Q5527" i="8"/>
  <c r="Q5528" i="8"/>
  <c r="Q5529" i="8"/>
  <c r="Q5530" i="8"/>
  <c r="Q5531" i="8"/>
  <c r="Q5532" i="8"/>
  <c r="Q5533" i="8"/>
  <c r="Q5534" i="8"/>
  <c r="Q5535" i="8"/>
  <c r="Q5536" i="8"/>
  <c r="Q5537" i="8"/>
  <c r="Q5538" i="8"/>
  <c r="Q5539" i="8"/>
  <c r="Q5540" i="8"/>
  <c r="Q5541" i="8"/>
  <c r="Q5542" i="8"/>
  <c r="Q5543" i="8"/>
  <c r="Q5544" i="8"/>
  <c r="Q5545" i="8"/>
  <c r="Q5546" i="8"/>
  <c r="Q5547" i="8"/>
  <c r="Q5548" i="8"/>
  <c r="Q5549" i="8"/>
  <c r="Q5550" i="8"/>
  <c r="Q5551" i="8"/>
  <c r="Q5552" i="8"/>
  <c r="Q5553" i="8"/>
  <c r="Q5554" i="8"/>
  <c r="Q5555" i="8"/>
  <c r="Q5556" i="8"/>
  <c r="Q5557" i="8"/>
  <c r="Q5558" i="8"/>
  <c r="Q5559" i="8"/>
  <c r="Q5560" i="8"/>
  <c r="Q5561" i="8"/>
  <c r="Q5562" i="8"/>
  <c r="Q5563" i="8"/>
  <c r="Q5564" i="8"/>
  <c r="Q5565" i="8"/>
  <c r="Q5566" i="8"/>
  <c r="Q5567" i="8"/>
  <c r="Q5568" i="8"/>
  <c r="Q5569" i="8"/>
  <c r="Q5570" i="8"/>
  <c r="Q5571" i="8"/>
  <c r="Q5572" i="8"/>
  <c r="Q5573" i="8"/>
  <c r="Q5574" i="8"/>
  <c r="Q5575" i="8"/>
  <c r="Q5576" i="8"/>
  <c r="Q5577" i="8"/>
  <c r="Q5578" i="8"/>
  <c r="Q5579" i="8"/>
  <c r="Q5580" i="8"/>
  <c r="Q5581" i="8"/>
  <c r="Q5582" i="8"/>
  <c r="Q5583" i="8"/>
  <c r="Q5584" i="8"/>
  <c r="Q5585" i="8"/>
  <c r="Q5586" i="8"/>
  <c r="Q5587" i="8"/>
  <c r="Q5588" i="8"/>
  <c r="Q5589" i="8"/>
  <c r="Q5590" i="8"/>
  <c r="Q5591" i="8"/>
  <c r="Q5592" i="8"/>
  <c r="Q5593" i="8"/>
  <c r="Q5594" i="8"/>
  <c r="Q5595" i="8"/>
  <c r="Q5596" i="8"/>
  <c r="Q5597" i="8"/>
  <c r="Q5598" i="8"/>
  <c r="Q5599" i="8"/>
  <c r="Q5600" i="8"/>
  <c r="Q5601" i="8"/>
  <c r="Q5602" i="8"/>
  <c r="Q5603" i="8"/>
  <c r="Q5604" i="8"/>
  <c r="Q5605" i="8"/>
  <c r="Q5606" i="8"/>
  <c r="Q5607" i="8"/>
  <c r="Q5608" i="8"/>
  <c r="Q5609" i="8"/>
  <c r="Q5610" i="8"/>
  <c r="Q5611" i="8"/>
  <c r="Q5612" i="8"/>
  <c r="Q5613" i="8"/>
  <c r="Q5614" i="8"/>
  <c r="Q5615" i="8"/>
  <c r="Q5616" i="8"/>
  <c r="Q5617" i="8"/>
  <c r="Q5618" i="8"/>
  <c r="Q5619" i="8"/>
  <c r="Q5620" i="8"/>
  <c r="Q5621" i="8"/>
  <c r="Q5622" i="8"/>
  <c r="Q5623" i="8"/>
  <c r="Q5624" i="8"/>
  <c r="Q5625" i="8"/>
  <c r="Q5626" i="8"/>
  <c r="Q5627" i="8"/>
  <c r="Q5628" i="8"/>
  <c r="Q5629" i="8"/>
  <c r="Q5630" i="8"/>
  <c r="Q5631" i="8"/>
  <c r="Q5632" i="8"/>
  <c r="Q5633" i="8"/>
  <c r="Q5634" i="8"/>
  <c r="Q5635" i="8"/>
  <c r="Q5636" i="8"/>
  <c r="Q5637" i="8"/>
  <c r="Q5638" i="8"/>
  <c r="Q5639" i="8"/>
  <c r="Q5640" i="8"/>
  <c r="Q5641" i="8"/>
  <c r="Q5642" i="8"/>
  <c r="Q5643" i="8"/>
  <c r="Q5644" i="8"/>
  <c r="Q5645" i="8"/>
  <c r="Q5646" i="8"/>
  <c r="Q5647" i="8"/>
  <c r="Q5648" i="8"/>
  <c r="Q5649" i="8"/>
  <c r="Q5650" i="8"/>
  <c r="Q5651" i="8"/>
  <c r="Q5652" i="8"/>
  <c r="Q5653" i="8"/>
  <c r="Q5654" i="8"/>
  <c r="Q5655" i="8"/>
  <c r="Q5656" i="8"/>
  <c r="Q5657" i="8"/>
  <c r="Q5658" i="8"/>
  <c r="Q5659" i="8"/>
  <c r="Q5660" i="8"/>
  <c r="Q5661" i="8"/>
  <c r="Q5662" i="8"/>
  <c r="Q5663" i="8"/>
  <c r="Q5664" i="8"/>
  <c r="Q5665" i="8"/>
  <c r="Q5666" i="8"/>
  <c r="Q5667" i="8"/>
  <c r="Q5668" i="8"/>
  <c r="Q5669" i="8"/>
  <c r="Q5670" i="8"/>
  <c r="Q5671" i="8"/>
  <c r="Q5672" i="8"/>
  <c r="Q5673" i="8"/>
  <c r="Q5674" i="8"/>
  <c r="Q5675" i="8"/>
  <c r="Q5676" i="8"/>
  <c r="Q5677" i="8"/>
  <c r="Q5678" i="8"/>
  <c r="Q5679" i="8"/>
  <c r="Q5680" i="8"/>
  <c r="Q5681" i="8"/>
  <c r="Q5682" i="8"/>
  <c r="Q5683" i="8"/>
  <c r="Q5684" i="8"/>
  <c r="Q5685" i="8"/>
  <c r="Q5686" i="8"/>
  <c r="Q5687" i="8"/>
  <c r="Q5688" i="8"/>
  <c r="Q5689" i="8"/>
  <c r="Q5690" i="8"/>
  <c r="Q5691" i="8"/>
  <c r="Q5692" i="8"/>
  <c r="Q5693" i="8"/>
  <c r="Q5694" i="8"/>
  <c r="Q5695" i="8"/>
  <c r="Q5696" i="8"/>
  <c r="Q5697" i="8"/>
  <c r="Q5698" i="8"/>
  <c r="Q5699" i="8"/>
  <c r="Q5700" i="8"/>
  <c r="Q5701" i="8"/>
  <c r="Q5702" i="8"/>
  <c r="Q5703" i="8"/>
  <c r="Q5704" i="8"/>
  <c r="Q5705" i="8"/>
  <c r="Q5706" i="8"/>
  <c r="Q5707" i="8"/>
  <c r="Q5708" i="8"/>
  <c r="Q5709" i="8"/>
  <c r="Q5710" i="8"/>
  <c r="Q5711" i="8"/>
  <c r="Q5712" i="8"/>
  <c r="Q5713" i="8"/>
  <c r="Q5714" i="8"/>
  <c r="Q5715" i="8"/>
  <c r="Q5716" i="8"/>
  <c r="Q5717" i="8"/>
  <c r="Q5718" i="8"/>
  <c r="Q5719" i="8"/>
  <c r="Q5720" i="8"/>
  <c r="Q5721" i="8"/>
  <c r="Q5722" i="8"/>
  <c r="Q5723" i="8"/>
  <c r="Q5724" i="8"/>
  <c r="Q5725" i="8"/>
  <c r="Q5726" i="8"/>
  <c r="Q5727" i="8"/>
  <c r="Q5728" i="8"/>
  <c r="Q5729" i="8"/>
  <c r="Q5730" i="8"/>
  <c r="Q5731" i="8"/>
  <c r="Q5732" i="8"/>
  <c r="Q5733" i="8"/>
  <c r="Q5734" i="8"/>
  <c r="Q5735" i="8"/>
  <c r="Q5736" i="8"/>
  <c r="Q5737" i="8"/>
  <c r="Q5738" i="8"/>
  <c r="Q5739" i="8"/>
  <c r="Q5740" i="8"/>
  <c r="Q5741" i="8"/>
  <c r="Q5742" i="8"/>
  <c r="Q5743" i="8"/>
  <c r="Q5744" i="8"/>
  <c r="Q5745" i="8"/>
  <c r="Q5746" i="8"/>
  <c r="Q5747" i="8"/>
  <c r="Q5748" i="8"/>
  <c r="Q5749" i="8"/>
  <c r="Q5750" i="8"/>
  <c r="Q5751" i="8"/>
  <c r="Q5752" i="8"/>
  <c r="Q5753" i="8"/>
  <c r="Q5754" i="8"/>
  <c r="Q5755" i="8"/>
  <c r="Q5756" i="8"/>
  <c r="Q5757" i="8"/>
  <c r="Q5758" i="8"/>
  <c r="Q5759" i="8"/>
  <c r="Q5760" i="8"/>
  <c r="Q5761" i="8"/>
  <c r="Q5762" i="8"/>
  <c r="Q5763" i="8"/>
  <c r="Q5764" i="8"/>
  <c r="Q5765" i="8"/>
  <c r="Q5766" i="8"/>
  <c r="Q5767" i="8"/>
  <c r="Q5768" i="8"/>
  <c r="Q5769" i="8"/>
  <c r="Q5770" i="8"/>
  <c r="Q5771" i="8"/>
  <c r="Q5772" i="8"/>
  <c r="Q5773" i="8"/>
  <c r="Q5774" i="8"/>
  <c r="Q5775" i="8"/>
  <c r="Q5776" i="8"/>
  <c r="Q5777" i="8"/>
  <c r="Q5778" i="8"/>
  <c r="Q5779" i="8"/>
  <c r="Q5780" i="8"/>
  <c r="Q5781" i="8"/>
  <c r="Q5782" i="8"/>
  <c r="Q5783" i="8"/>
  <c r="Q5784" i="8"/>
  <c r="Q5785" i="8"/>
  <c r="Q5786" i="8"/>
  <c r="Q5787" i="8"/>
  <c r="Q5788" i="8"/>
  <c r="Q5789" i="8"/>
  <c r="Q5790" i="8"/>
  <c r="Q5791" i="8"/>
  <c r="Q5792" i="8"/>
  <c r="Q5793" i="8"/>
  <c r="Q5794" i="8"/>
  <c r="Q5795" i="8"/>
  <c r="Q5796" i="8"/>
  <c r="Q5797" i="8"/>
  <c r="Q5798" i="8"/>
  <c r="Q5799" i="8"/>
  <c r="Q5800" i="8"/>
  <c r="Q5801" i="8"/>
  <c r="Q5802" i="8"/>
  <c r="Q5803" i="8"/>
  <c r="Q5804" i="8"/>
  <c r="Q5805" i="8"/>
  <c r="Q5806" i="8"/>
  <c r="Q5807" i="8"/>
  <c r="Q5808" i="8"/>
  <c r="Q5809" i="8"/>
  <c r="Q5810" i="8"/>
  <c r="Q5811" i="8"/>
  <c r="Q5812" i="8"/>
  <c r="Q5813" i="8"/>
  <c r="Q5814" i="8"/>
  <c r="Q5815" i="8"/>
  <c r="Q5816" i="8"/>
  <c r="Q5817" i="8"/>
  <c r="Q5818" i="8"/>
  <c r="Q5819" i="8"/>
  <c r="Q5820" i="8"/>
  <c r="Q5821" i="8"/>
  <c r="Q5822" i="8"/>
  <c r="Q5823" i="8"/>
  <c r="Q5824" i="8"/>
  <c r="Q5825" i="8"/>
  <c r="Q5826" i="8"/>
  <c r="Q5827" i="8"/>
  <c r="Q5828" i="8"/>
  <c r="Q5829" i="8"/>
  <c r="Q5830" i="8"/>
  <c r="Q5831" i="8"/>
  <c r="Q5832" i="8"/>
  <c r="Q5833" i="8"/>
  <c r="Q5834" i="8"/>
  <c r="Q5835" i="8"/>
  <c r="Q5836" i="8"/>
  <c r="Q5837" i="8"/>
  <c r="Q5838" i="8"/>
  <c r="Q5839" i="8"/>
  <c r="Q5840" i="8"/>
  <c r="Q5841" i="8"/>
  <c r="Q5842" i="8"/>
  <c r="Q5843" i="8"/>
  <c r="Q5844" i="8"/>
  <c r="Q5845" i="8"/>
  <c r="Q5846" i="8"/>
  <c r="Q5847" i="8"/>
  <c r="Q5848" i="8"/>
  <c r="Q5849" i="8"/>
  <c r="Q5850" i="8"/>
  <c r="Q5851" i="8"/>
  <c r="Q5852" i="8"/>
  <c r="Q5853" i="8"/>
  <c r="Q5854" i="8"/>
  <c r="Q5855" i="8"/>
  <c r="Q5856" i="8"/>
  <c r="Q5857" i="8"/>
  <c r="Q5858" i="8"/>
  <c r="Q5859" i="8"/>
  <c r="Q5860" i="8"/>
  <c r="Q5861" i="8"/>
  <c r="Q5862" i="8"/>
  <c r="Q5863" i="8"/>
  <c r="Q5864" i="8"/>
  <c r="Q5865" i="8"/>
  <c r="Q5866" i="8"/>
  <c r="Q5867" i="8"/>
  <c r="Q5868" i="8"/>
  <c r="Q5869" i="8"/>
  <c r="Q5870" i="8"/>
  <c r="Q5871" i="8"/>
  <c r="Q5872" i="8"/>
  <c r="Q5873" i="8"/>
  <c r="Q5874" i="8"/>
  <c r="Q5875" i="8"/>
  <c r="Q5876" i="8"/>
  <c r="Q5877" i="8"/>
  <c r="Q5878" i="8"/>
  <c r="Q5879" i="8"/>
  <c r="Q5880" i="8"/>
  <c r="Q5881" i="8"/>
  <c r="Q5882" i="8"/>
  <c r="Q5883" i="8"/>
  <c r="Q5884" i="8"/>
  <c r="Q5885" i="8"/>
  <c r="Q5886" i="8"/>
  <c r="Q5887" i="8"/>
  <c r="Q5888" i="8"/>
  <c r="Q5889" i="8"/>
  <c r="Q5890" i="8"/>
  <c r="Q5891" i="8"/>
  <c r="Q5892" i="8"/>
  <c r="Q5893" i="8"/>
  <c r="Q5894" i="8"/>
  <c r="Q5895" i="8"/>
  <c r="Q5896" i="8"/>
  <c r="Q5897" i="8"/>
  <c r="Q5898" i="8"/>
  <c r="Q5899" i="8"/>
  <c r="Q5900" i="8"/>
  <c r="Q5901" i="8"/>
  <c r="Q5902" i="8"/>
  <c r="Q5903" i="8"/>
  <c r="Q5904" i="8"/>
  <c r="Q5905" i="8"/>
  <c r="Q5906" i="8"/>
  <c r="Q5907" i="8"/>
  <c r="Q5908" i="8"/>
  <c r="Q5909" i="8"/>
  <c r="Q5910" i="8"/>
  <c r="Q5911" i="8"/>
  <c r="Q5912" i="8"/>
  <c r="Q5913" i="8"/>
  <c r="Q5914" i="8"/>
  <c r="Q5915" i="8"/>
  <c r="Q5916" i="8"/>
  <c r="Q5917" i="8"/>
  <c r="Q5918" i="8"/>
  <c r="Q5919" i="8"/>
  <c r="Q5920" i="8"/>
  <c r="Q5921" i="8"/>
  <c r="Q5922" i="8"/>
  <c r="Q5923" i="8"/>
  <c r="Q5924" i="8"/>
  <c r="Q5925" i="8"/>
  <c r="Q5926" i="8"/>
  <c r="Q5927" i="8"/>
  <c r="Q5928" i="8"/>
  <c r="Q5929" i="8"/>
  <c r="Q5930" i="8"/>
  <c r="Q5931" i="8"/>
  <c r="Q5932" i="8"/>
  <c r="Q5933" i="8"/>
  <c r="Q5934" i="8"/>
  <c r="Q5935" i="8"/>
  <c r="Q5936" i="8"/>
  <c r="Q5937" i="8"/>
  <c r="Q5938" i="8"/>
  <c r="Q5939" i="8"/>
  <c r="Q5940" i="8"/>
  <c r="Q5941" i="8"/>
  <c r="Q5942" i="8"/>
  <c r="Q5943" i="8"/>
  <c r="Q5944" i="8"/>
  <c r="Q5945" i="8"/>
  <c r="Q5946" i="8"/>
  <c r="Q5947" i="8"/>
  <c r="Q5948" i="8"/>
  <c r="Q5949" i="8"/>
  <c r="Q5950" i="8"/>
  <c r="Q5951" i="8"/>
  <c r="Q5952" i="8"/>
  <c r="Q5953" i="8"/>
  <c r="Q5954" i="8"/>
  <c r="Q5955" i="8"/>
  <c r="Q5956" i="8"/>
  <c r="Q5957" i="8"/>
  <c r="Q5958" i="8"/>
  <c r="Q5959" i="8"/>
  <c r="Q5960" i="8"/>
  <c r="Q5961" i="8"/>
  <c r="Q5962" i="8"/>
  <c r="Q5963" i="8"/>
  <c r="Q5964" i="8"/>
  <c r="Q5965" i="8"/>
  <c r="Q5966" i="8"/>
  <c r="Q5967" i="8"/>
  <c r="Q5968" i="8"/>
  <c r="Q5969" i="8"/>
  <c r="Q5970" i="8"/>
  <c r="Q5971" i="8"/>
  <c r="Q5972" i="8"/>
  <c r="Q5973" i="8"/>
  <c r="Q5974" i="8"/>
  <c r="Q5975" i="8"/>
  <c r="Q5976" i="8"/>
  <c r="Q5977" i="8"/>
  <c r="Q5978" i="8"/>
  <c r="Q5979" i="8"/>
  <c r="Q5980" i="8"/>
  <c r="Q5981" i="8"/>
  <c r="Q5982" i="8"/>
  <c r="Q5983" i="8"/>
  <c r="Q5984" i="8"/>
  <c r="Q5985" i="8"/>
  <c r="Q5986" i="8"/>
  <c r="Q5987" i="8"/>
  <c r="Q5988" i="8"/>
  <c r="Q5989" i="8"/>
  <c r="Q5990" i="8"/>
  <c r="Q5991" i="8"/>
  <c r="Q5992" i="8"/>
  <c r="Q5993" i="8"/>
  <c r="Q5994" i="8"/>
  <c r="Q5995" i="8"/>
  <c r="Q5996" i="8"/>
  <c r="Q5997" i="8"/>
  <c r="Q5998" i="8"/>
  <c r="Q5999" i="8"/>
  <c r="Q6000" i="8"/>
  <c r="Q6001" i="8"/>
  <c r="Q6002" i="8"/>
  <c r="Q6003" i="8"/>
  <c r="Q6004" i="8"/>
  <c r="Q6005" i="8"/>
  <c r="Q6006" i="8"/>
  <c r="Q6007" i="8"/>
  <c r="Q6008" i="8"/>
  <c r="Q6009" i="8"/>
  <c r="Q6010" i="8"/>
  <c r="Q6011" i="8"/>
  <c r="Q6012" i="8"/>
  <c r="Q6013" i="8"/>
  <c r="Q6014" i="8"/>
  <c r="Q6015" i="8"/>
  <c r="Q6016" i="8"/>
  <c r="Q6017" i="8"/>
  <c r="Q6018" i="8"/>
  <c r="Q6019" i="8"/>
  <c r="Q6020" i="8"/>
  <c r="Q6021" i="8"/>
  <c r="Q6022" i="8"/>
  <c r="Q6023" i="8"/>
  <c r="Q6024" i="8"/>
  <c r="Q6025" i="8"/>
  <c r="Q6026" i="8"/>
  <c r="Q6027" i="8"/>
  <c r="Q6028" i="8"/>
  <c r="Q6029" i="8"/>
  <c r="Q6030" i="8"/>
  <c r="Q6031" i="8"/>
  <c r="Q6032" i="8"/>
  <c r="Q6033" i="8"/>
  <c r="Q6034" i="8"/>
  <c r="Q6035" i="8"/>
  <c r="Q6036" i="8"/>
  <c r="Q6037" i="8"/>
  <c r="Q6038" i="8"/>
  <c r="Q6039" i="8"/>
  <c r="Q6040" i="8"/>
  <c r="Q6041" i="8"/>
  <c r="Q6042" i="8"/>
  <c r="Q6043" i="8"/>
  <c r="Q6044" i="8"/>
  <c r="Q6045" i="8"/>
  <c r="Q6046" i="8"/>
  <c r="Q6047" i="8"/>
  <c r="Q6048" i="8"/>
  <c r="Q6049" i="8"/>
  <c r="Q6050" i="8"/>
  <c r="Q6051" i="8"/>
  <c r="Q6052" i="8"/>
  <c r="Q6053" i="8"/>
  <c r="Q6054" i="8"/>
  <c r="Q6055" i="8"/>
  <c r="Q6056" i="8"/>
  <c r="Q6057" i="8"/>
  <c r="Q6058" i="8"/>
  <c r="Q6059" i="8"/>
  <c r="Q6060" i="8"/>
  <c r="Q6061" i="8"/>
  <c r="Q6062" i="8"/>
  <c r="Q6063" i="8"/>
  <c r="Q6064" i="8"/>
  <c r="Q6065" i="8"/>
  <c r="Q6066" i="8"/>
  <c r="Q6067" i="8"/>
  <c r="Q6068" i="8"/>
  <c r="Q6069" i="8"/>
  <c r="Q6070" i="8"/>
  <c r="Q6071" i="8"/>
  <c r="Q6072" i="8"/>
  <c r="Q6073" i="8"/>
  <c r="Q6074" i="8"/>
  <c r="Q6075" i="8"/>
  <c r="Q6076" i="8"/>
  <c r="Q6077" i="8"/>
  <c r="Q6078" i="8"/>
  <c r="Q6079" i="8"/>
  <c r="Q6080" i="8"/>
  <c r="Q6081" i="8"/>
  <c r="Q6082" i="8"/>
  <c r="Q6083" i="8"/>
  <c r="Q6084" i="8"/>
  <c r="Q6085" i="8"/>
  <c r="Q6086" i="8"/>
  <c r="Q6087" i="8"/>
  <c r="Q6088" i="8"/>
  <c r="Q6089" i="8"/>
  <c r="Q6090" i="8"/>
  <c r="Q6091" i="8"/>
  <c r="Q6092" i="8"/>
  <c r="Q6093" i="8"/>
  <c r="Q6094" i="8"/>
  <c r="Q6095" i="8"/>
  <c r="Q6096" i="8"/>
  <c r="Q6097" i="8"/>
  <c r="Q6098" i="8"/>
  <c r="Q6099" i="8"/>
  <c r="Q6100" i="8"/>
  <c r="Q6101" i="8"/>
  <c r="Q6102" i="8"/>
  <c r="Q6103" i="8"/>
  <c r="Q6104" i="8"/>
  <c r="Q6105" i="8"/>
  <c r="Q6106" i="8"/>
  <c r="Q6107" i="8"/>
  <c r="Q6108" i="8"/>
  <c r="Q6109" i="8"/>
  <c r="Q6110" i="8"/>
  <c r="Q6111" i="8"/>
  <c r="Q6112" i="8"/>
  <c r="Q6113" i="8"/>
  <c r="Q6114" i="8"/>
  <c r="Q6115" i="8"/>
  <c r="Q6116" i="8"/>
  <c r="Q6117" i="8"/>
  <c r="Q6118" i="8"/>
  <c r="Q6119" i="8"/>
  <c r="Q6120" i="8"/>
  <c r="Q6121" i="8"/>
  <c r="Q6122" i="8"/>
  <c r="Q6123" i="8"/>
  <c r="Q6124" i="8"/>
  <c r="Q6125" i="8"/>
  <c r="Q6126" i="8"/>
  <c r="Q6127" i="8"/>
  <c r="Q6128" i="8"/>
  <c r="Q6129" i="8"/>
  <c r="Q6130" i="8"/>
  <c r="Q6131" i="8"/>
  <c r="Q6132" i="8"/>
  <c r="Q6133" i="8"/>
  <c r="Q6134" i="8"/>
  <c r="Q6135" i="8"/>
  <c r="Q6136" i="8"/>
  <c r="Q6137" i="8"/>
  <c r="Q6138" i="8"/>
  <c r="Q6139" i="8"/>
  <c r="Q6140" i="8"/>
  <c r="Q6141" i="8"/>
  <c r="Q6142" i="8"/>
  <c r="Q6143" i="8"/>
  <c r="Q6144" i="8"/>
  <c r="Q6145" i="8"/>
  <c r="Q6146" i="8"/>
  <c r="Q6147" i="8"/>
  <c r="Q6148" i="8"/>
  <c r="Q6149" i="8"/>
  <c r="Q6150" i="8"/>
  <c r="Q6151" i="8"/>
  <c r="Q6152" i="8"/>
  <c r="Q6153" i="8"/>
  <c r="Q6154" i="8"/>
  <c r="Q6155" i="8"/>
  <c r="Q6156" i="8"/>
  <c r="Q6157" i="8"/>
  <c r="Q6158" i="8"/>
  <c r="Q6159" i="8"/>
  <c r="Q6160" i="8"/>
  <c r="Q6161" i="8"/>
  <c r="Q6162" i="8"/>
  <c r="Q6163" i="8"/>
  <c r="Q6164" i="8"/>
  <c r="Q6165" i="8"/>
  <c r="Q6166" i="8"/>
  <c r="Q6167" i="8"/>
  <c r="Q6168" i="8"/>
  <c r="Q6169" i="8"/>
  <c r="Q6170" i="8"/>
  <c r="Q6171" i="8"/>
  <c r="Q6172" i="8"/>
  <c r="Q6173" i="8"/>
  <c r="Q6174" i="8"/>
  <c r="Q6175" i="8"/>
  <c r="Q6176" i="8"/>
  <c r="Q6177" i="8"/>
  <c r="Q6178" i="8"/>
  <c r="Q6179" i="8"/>
  <c r="Q6180" i="8"/>
  <c r="Q6181" i="8"/>
  <c r="Q6182" i="8"/>
  <c r="Q6183" i="8"/>
  <c r="Q6184" i="8"/>
  <c r="Q6185" i="8"/>
  <c r="Q6186" i="8"/>
  <c r="Q6187" i="8"/>
  <c r="Q6188" i="8"/>
  <c r="Q6189" i="8"/>
  <c r="Q6190" i="8"/>
  <c r="Q6191" i="8"/>
  <c r="Q6192" i="8"/>
  <c r="Q6193" i="8"/>
  <c r="Q6194" i="8"/>
  <c r="Q6195" i="8"/>
  <c r="Q6196" i="8"/>
  <c r="Q6197" i="8"/>
  <c r="Q6198" i="8"/>
  <c r="Q6199" i="8"/>
  <c r="Q6200" i="8"/>
  <c r="Q6201" i="8"/>
  <c r="Q6202" i="8"/>
  <c r="Q6203" i="8"/>
  <c r="Q6204" i="8"/>
  <c r="Q6205" i="8"/>
  <c r="Q6206" i="8"/>
  <c r="Q6207" i="8"/>
  <c r="Q6208" i="8"/>
  <c r="Q6209" i="8"/>
  <c r="Q6210" i="8"/>
  <c r="Q6211" i="8"/>
  <c r="Q6212" i="8"/>
  <c r="Q6213" i="8"/>
  <c r="Q6214" i="8"/>
  <c r="Q6215" i="8"/>
  <c r="Q6216" i="8"/>
  <c r="Q6217" i="8"/>
  <c r="Q6218" i="8"/>
  <c r="Q6219" i="8"/>
  <c r="Q6220" i="8"/>
  <c r="Q6221" i="8"/>
  <c r="Q6222" i="8"/>
  <c r="Q6223" i="8"/>
  <c r="Q6224" i="8"/>
  <c r="Q6225" i="8"/>
  <c r="Q6226" i="8"/>
  <c r="Q6227" i="8"/>
  <c r="Q6228" i="8"/>
  <c r="Q6229" i="8"/>
  <c r="Q6230" i="8"/>
  <c r="Q6231" i="8"/>
  <c r="Q6232" i="8"/>
  <c r="Q6233" i="8"/>
  <c r="Q6234" i="8"/>
  <c r="Q6235" i="8"/>
  <c r="Q6236" i="8"/>
  <c r="Q6237" i="8"/>
  <c r="Q6238" i="8"/>
  <c r="Q6239" i="8"/>
  <c r="Q6240" i="8"/>
  <c r="Q6241" i="8"/>
  <c r="Q6242" i="8"/>
  <c r="Q6243" i="8"/>
  <c r="Q6244" i="8"/>
  <c r="Q6245" i="8"/>
  <c r="Q6246" i="8"/>
  <c r="Q6247" i="8"/>
  <c r="Q6248" i="8"/>
  <c r="Q6249" i="8"/>
  <c r="Q6250" i="8"/>
  <c r="Q6251" i="8"/>
  <c r="Q6252" i="8"/>
  <c r="Q6253" i="8"/>
  <c r="Q6254" i="8"/>
  <c r="Q6255" i="8"/>
  <c r="Q6256" i="8"/>
  <c r="Q6257" i="8"/>
  <c r="Q6258" i="8"/>
  <c r="Q6259" i="8"/>
  <c r="Q6260" i="8"/>
  <c r="Q6261" i="8"/>
  <c r="Q6262" i="8"/>
  <c r="Q6263" i="8"/>
  <c r="Q6264" i="8"/>
  <c r="Q6265" i="8"/>
  <c r="Q6266" i="8"/>
  <c r="Q6267" i="8"/>
  <c r="Q6268" i="8"/>
  <c r="Q6269" i="8"/>
  <c r="Q6270" i="8"/>
  <c r="Q6271" i="8"/>
  <c r="Q6272" i="8"/>
  <c r="Q6273" i="8"/>
  <c r="Q6274" i="8"/>
  <c r="Q6275" i="8"/>
  <c r="Q6276" i="8"/>
  <c r="Q6277" i="8"/>
  <c r="Q6278" i="8"/>
  <c r="Q6279" i="8"/>
  <c r="Q6280" i="8"/>
  <c r="Q6281" i="8"/>
  <c r="Q6282" i="8"/>
  <c r="Q6283" i="8"/>
  <c r="Q6284" i="8"/>
  <c r="Q6285" i="8"/>
  <c r="Q6286" i="8"/>
  <c r="Q6287" i="8"/>
  <c r="Q6288" i="8"/>
  <c r="Q6289" i="8"/>
  <c r="Q6290" i="8"/>
  <c r="Q6291" i="8"/>
  <c r="Q6292" i="8"/>
  <c r="Q6293" i="8"/>
  <c r="Q6294" i="8"/>
  <c r="Q6295" i="8"/>
  <c r="Q6296" i="8"/>
  <c r="Q6297" i="8"/>
  <c r="Q6298" i="8"/>
  <c r="Q6299" i="8"/>
  <c r="Q6300" i="8"/>
  <c r="Q6301" i="8"/>
  <c r="Q6302" i="8"/>
  <c r="Q6303" i="8"/>
  <c r="Q6304" i="8"/>
  <c r="Q6305" i="8"/>
  <c r="Q6306" i="8"/>
  <c r="Q6307" i="8"/>
  <c r="Q6308" i="8"/>
  <c r="Q6309" i="8"/>
  <c r="Q6310" i="8"/>
  <c r="Q6311" i="8"/>
  <c r="Q6312" i="8"/>
  <c r="Q6313" i="8"/>
  <c r="Q6314" i="8"/>
  <c r="Q6315" i="8"/>
  <c r="Q6316" i="8"/>
  <c r="Q6317" i="8"/>
  <c r="Q6318" i="8"/>
  <c r="Q6319" i="8"/>
  <c r="Q6320" i="8"/>
  <c r="Q6321" i="8"/>
  <c r="Q6322" i="8"/>
  <c r="Q6323" i="8"/>
  <c r="Q6324" i="8"/>
  <c r="Q6325" i="8"/>
  <c r="Q6326" i="8"/>
  <c r="Q6327" i="8"/>
  <c r="Q6328" i="8"/>
  <c r="Q6329" i="8"/>
  <c r="Q6330" i="8"/>
  <c r="Q6331" i="8"/>
  <c r="Q6332" i="8"/>
  <c r="Q6333" i="8"/>
  <c r="Q6334" i="8"/>
  <c r="Q6335" i="8"/>
  <c r="Q6336" i="8"/>
  <c r="Q6337" i="8"/>
  <c r="Q6338" i="8"/>
  <c r="Q6339" i="8"/>
  <c r="Q6340" i="8"/>
  <c r="Q6341" i="8"/>
  <c r="Q6342" i="8"/>
  <c r="Q6343" i="8"/>
  <c r="Q6344" i="8"/>
  <c r="Q6345" i="8"/>
  <c r="Q6346" i="8"/>
  <c r="Q6347" i="8"/>
  <c r="Q6348" i="8"/>
  <c r="Q6349" i="8"/>
  <c r="Q6350" i="8"/>
  <c r="Q6351" i="8"/>
  <c r="Q6352" i="8"/>
  <c r="Q6353" i="8"/>
  <c r="Q6354" i="8"/>
  <c r="Q6355" i="8"/>
  <c r="Q6356" i="8"/>
  <c r="Q6357" i="8"/>
  <c r="Q6358" i="8"/>
  <c r="Q6359" i="8"/>
  <c r="Q6360" i="8"/>
  <c r="Q6361" i="8"/>
  <c r="Q6362" i="8"/>
  <c r="Q6363" i="8"/>
  <c r="Q6364" i="8"/>
  <c r="Q6365" i="8"/>
  <c r="Q6366" i="8"/>
  <c r="Q6367" i="8"/>
  <c r="Q6368" i="8"/>
  <c r="Q6369" i="8"/>
  <c r="Q6370" i="8"/>
  <c r="Q6371" i="8"/>
  <c r="Q6372" i="8"/>
  <c r="Q6373" i="8"/>
  <c r="Q6374" i="8"/>
  <c r="Q6375" i="8"/>
  <c r="Q6376" i="8"/>
  <c r="Q6377" i="8"/>
  <c r="Q6378" i="8"/>
  <c r="Q6379" i="8"/>
  <c r="Q6380" i="8"/>
  <c r="Q6381" i="8"/>
  <c r="Q6382" i="8"/>
  <c r="Q6383" i="8"/>
  <c r="Q6384" i="8"/>
  <c r="Q6385" i="8"/>
  <c r="Q6386" i="8"/>
  <c r="Q6387" i="8"/>
  <c r="Q6388" i="8"/>
  <c r="Q6389" i="8"/>
  <c r="Q6390" i="8"/>
  <c r="Q6391" i="8"/>
  <c r="Q6392" i="8"/>
  <c r="Q6393" i="8"/>
  <c r="Q6394" i="8"/>
  <c r="Q6395" i="8"/>
  <c r="Q6396" i="8"/>
  <c r="Q6397" i="8"/>
  <c r="Q6398" i="8"/>
  <c r="Q6399" i="8"/>
  <c r="Q6400" i="8"/>
  <c r="Q6401" i="8"/>
  <c r="Q6402" i="8"/>
  <c r="Q6403" i="8"/>
  <c r="Q6404" i="8"/>
  <c r="Q6405" i="8"/>
  <c r="Q6406" i="8"/>
  <c r="Q6407" i="8"/>
  <c r="Q6408" i="8"/>
  <c r="Q6409" i="8"/>
  <c r="Q6410" i="8"/>
  <c r="Q6411" i="8"/>
  <c r="Q6412" i="8"/>
  <c r="Q6413" i="8"/>
  <c r="Q6414" i="8"/>
  <c r="Q6415" i="8"/>
  <c r="Q6416" i="8"/>
  <c r="Q6417" i="8"/>
  <c r="Q6418" i="8"/>
  <c r="Q6419" i="8"/>
  <c r="Q6420" i="8"/>
  <c r="Q6421" i="8"/>
  <c r="Q6422" i="8"/>
  <c r="Q6423" i="8"/>
  <c r="Q6424" i="8"/>
  <c r="Q6425" i="8"/>
  <c r="Q6426" i="8"/>
  <c r="Q6427" i="8"/>
  <c r="Q6428" i="8"/>
  <c r="Q6429" i="8"/>
  <c r="Q6430" i="8"/>
  <c r="Q6431" i="8"/>
  <c r="Q6432" i="8"/>
  <c r="Q6433" i="8"/>
  <c r="Q6434" i="8"/>
  <c r="Q6435" i="8"/>
  <c r="Q6436" i="8"/>
  <c r="Q6437" i="8"/>
  <c r="Q6438" i="8"/>
  <c r="Q6439" i="8"/>
  <c r="Q6440" i="8"/>
  <c r="Q6441" i="8"/>
  <c r="Q6442" i="8"/>
  <c r="Q6443" i="8"/>
  <c r="Q6444" i="8"/>
  <c r="Q6445" i="8"/>
  <c r="Q6446" i="8"/>
  <c r="Q6447" i="8"/>
  <c r="Q6448" i="8"/>
  <c r="Q6449" i="8"/>
  <c r="Q6450" i="8"/>
  <c r="Q6451" i="8"/>
  <c r="Q6452" i="8"/>
  <c r="Q6453" i="8"/>
  <c r="Q6454" i="8"/>
  <c r="Q6455" i="8"/>
  <c r="Q6456" i="8"/>
  <c r="Q6457" i="8"/>
  <c r="Q6458" i="8"/>
  <c r="Q6459" i="8"/>
  <c r="Q6460" i="8"/>
  <c r="Q6461" i="8"/>
  <c r="Q6462" i="8"/>
  <c r="Q6463" i="8"/>
  <c r="Q6464" i="8"/>
  <c r="Q6465" i="8"/>
  <c r="Q6466" i="8"/>
  <c r="Q6467" i="8"/>
  <c r="Q6468" i="8"/>
  <c r="Q6469" i="8"/>
  <c r="Q6470" i="8"/>
  <c r="Q6471" i="8"/>
  <c r="Q6472" i="8"/>
  <c r="Q6473" i="8"/>
  <c r="Q6474" i="8"/>
  <c r="Q6475" i="8"/>
  <c r="Q6476" i="8"/>
  <c r="Q6477" i="8"/>
  <c r="Q6478" i="8"/>
  <c r="Q6479" i="8"/>
  <c r="Q6480" i="8"/>
  <c r="Q6481" i="8"/>
  <c r="Q6482" i="8"/>
  <c r="Q6483" i="8"/>
  <c r="Q6484" i="8"/>
  <c r="Q6485" i="8"/>
  <c r="Q6486" i="8"/>
  <c r="Q6487" i="8"/>
  <c r="Q6488" i="8"/>
  <c r="Q6489" i="8"/>
  <c r="Q6490" i="8"/>
  <c r="Q6491" i="8"/>
  <c r="Q6492" i="8"/>
  <c r="Q6493" i="8"/>
  <c r="Q6494" i="8"/>
  <c r="Q6495" i="8"/>
  <c r="Q6496" i="8"/>
  <c r="Q6497" i="8"/>
  <c r="Q6498" i="8"/>
  <c r="Q6499" i="8"/>
  <c r="Q6500" i="8"/>
  <c r="Q6501" i="8"/>
  <c r="Q6502" i="8"/>
  <c r="Q6503" i="8"/>
  <c r="Q6504" i="8"/>
  <c r="Q6505" i="8"/>
  <c r="Q6506" i="8"/>
  <c r="Q6507" i="8"/>
  <c r="Q6508" i="8"/>
  <c r="Q6509" i="8"/>
  <c r="Q6510" i="8"/>
  <c r="Q6511" i="8"/>
  <c r="Q6512" i="8"/>
  <c r="Q6513" i="8"/>
  <c r="Q6514" i="8"/>
  <c r="Q6515" i="8"/>
  <c r="Q6516" i="8"/>
  <c r="Q6517" i="8"/>
  <c r="Q6518" i="8"/>
  <c r="Q6519" i="8"/>
  <c r="Q6520" i="8"/>
  <c r="Q6521" i="8"/>
  <c r="Q6522" i="8"/>
  <c r="Q6523" i="8"/>
  <c r="Q6524" i="8"/>
  <c r="Q6525" i="8"/>
  <c r="Q6526" i="8"/>
  <c r="Q6527" i="8"/>
  <c r="Q6528" i="8"/>
  <c r="Q6529" i="8"/>
  <c r="Q6530" i="8"/>
  <c r="Q6531" i="8"/>
  <c r="Q6532" i="8"/>
  <c r="Q6533" i="8"/>
  <c r="Q6534" i="8"/>
  <c r="Q6535" i="8"/>
  <c r="Q6536" i="8"/>
  <c r="Q6537" i="8"/>
  <c r="Q6538" i="8"/>
  <c r="Q6539" i="8"/>
  <c r="Q6540" i="8"/>
  <c r="Q6541" i="8"/>
  <c r="Q6542" i="8"/>
  <c r="Q6543" i="8"/>
  <c r="Q6544" i="8"/>
  <c r="Q6545" i="8"/>
  <c r="Q6546" i="8"/>
  <c r="Q6547" i="8"/>
  <c r="Q6548" i="8"/>
  <c r="Q6549" i="8"/>
  <c r="Q6550" i="8"/>
  <c r="Q6551" i="8"/>
  <c r="Q6552" i="8"/>
  <c r="Q6553" i="8"/>
  <c r="Q6554" i="8"/>
  <c r="Q6555" i="8"/>
  <c r="Q6556" i="8"/>
  <c r="Q6557" i="8"/>
  <c r="Q6558" i="8"/>
  <c r="Q6559" i="8"/>
  <c r="Q6560" i="8"/>
  <c r="Q6561" i="8"/>
  <c r="Q6562" i="8"/>
  <c r="Q6563" i="8"/>
  <c r="Q6564" i="8"/>
  <c r="Q6565" i="8"/>
  <c r="Q6566" i="8"/>
  <c r="Q6567" i="8"/>
  <c r="Q6568" i="8"/>
  <c r="Q6569" i="8"/>
  <c r="Q6570" i="8"/>
  <c r="Q6571" i="8"/>
  <c r="Q6572" i="8"/>
  <c r="Q6573" i="8"/>
  <c r="Q6574" i="8"/>
  <c r="Q6575" i="8"/>
  <c r="Q6576" i="8"/>
  <c r="Q6577" i="8"/>
  <c r="Q6578" i="8"/>
  <c r="Q6579" i="8"/>
  <c r="Q6580" i="8"/>
  <c r="Q6581" i="8"/>
  <c r="Q6582" i="8"/>
  <c r="Q6583" i="8"/>
  <c r="Q6584" i="8"/>
  <c r="Q6585" i="8"/>
  <c r="Q6586" i="8"/>
  <c r="Q6587" i="8"/>
  <c r="Q6588" i="8"/>
  <c r="Q6589" i="8"/>
  <c r="Q6590" i="8"/>
  <c r="Q6591" i="8"/>
  <c r="Q6592" i="8"/>
  <c r="Q6593" i="8"/>
  <c r="Q6594" i="8"/>
  <c r="Q6595" i="8"/>
  <c r="Q6596" i="8"/>
  <c r="Q6597" i="8"/>
  <c r="Q6598" i="8"/>
  <c r="Q6599" i="8"/>
  <c r="Q6600" i="8"/>
  <c r="Q6601" i="8"/>
  <c r="Q6602" i="8"/>
  <c r="Q6603" i="8"/>
  <c r="Q6604" i="8"/>
  <c r="Q6605" i="8"/>
  <c r="Q6606" i="8"/>
  <c r="Q6607" i="8"/>
  <c r="Q6608" i="8"/>
  <c r="Q6609" i="8"/>
  <c r="Q6610" i="8"/>
  <c r="Q6611" i="8"/>
  <c r="Q6612" i="8"/>
  <c r="Q6613" i="8"/>
  <c r="Q6614" i="8"/>
  <c r="Q6615" i="8"/>
  <c r="Q6616" i="8"/>
  <c r="Q6617" i="8"/>
  <c r="Q6618" i="8"/>
  <c r="Q6619" i="8"/>
  <c r="Q6620" i="8"/>
  <c r="Q6621" i="8"/>
  <c r="Q6622" i="8"/>
  <c r="Q6623" i="8"/>
  <c r="Q6624" i="8"/>
  <c r="Q6625" i="8"/>
  <c r="Q6626" i="8"/>
  <c r="Q6627" i="8"/>
  <c r="Q6628" i="8"/>
  <c r="Q6629" i="8"/>
  <c r="Q6630" i="8"/>
  <c r="Q6631" i="8"/>
  <c r="Q6632" i="8"/>
  <c r="Q6633" i="8"/>
  <c r="Q6634" i="8"/>
  <c r="Q6635" i="8"/>
  <c r="Q6636" i="8"/>
  <c r="Q6637" i="8"/>
  <c r="Q6638" i="8"/>
  <c r="Q6639" i="8"/>
  <c r="Q6640" i="8"/>
  <c r="Q6641" i="8"/>
  <c r="Q6642" i="8"/>
  <c r="Q6643" i="8"/>
  <c r="Q6644" i="8"/>
  <c r="Q6645" i="8"/>
  <c r="Q6646" i="8"/>
  <c r="Q6647" i="8"/>
  <c r="Q6648" i="8"/>
  <c r="Q6649" i="8"/>
  <c r="Q6650" i="8"/>
  <c r="Q6651" i="8"/>
  <c r="Q6652" i="8"/>
  <c r="Q6653" i="8"/>
  <c r="Q6654" i="8"/>
  <c r="Q6655" i="8"/>
  <c r="Q6656" i="8"/>
  <c r="Q6657" i="8"/>
  <c r="Q6658" i="8"/>
  <c r="Q6659" i="8"/>
  <c r="Q6660" i="8"/>
  <c r="Q6661" i="8"/>
  <c r="Q6662" i="8"/>
  <c r="Q6663" i="8"/>
  <c r="Q6664" i="8"/>
  <c r="Q6665" i="8"/>
  <c r="Q6666" i="8"/>
  <c r="Q6667" i="8"/>
  <c r="Q6668" i="8"/>
  <c r="Q6669" i="8"/>
  <c r="Q6670" i="8"/>
  <c r="Q6671" i="8"/>
  <c r="Q6672" i="8"/>
  <c r="Q6673" i="8"/>
  <c r="Q6674" i="8"/>
  <c r="Q6675" i="8"/>
  <c r="Q6676" i="8"/>
  <c r="Q6677" i="8"/>
  <c r="Q6678" i="8"/>
  <c r="Q6679" i="8"/>
  <c r="Q6680" i="8"/>
  <c r="Q6681" i="8"/>
  <c r="Q6682" i="8"/>
  <c r="Q6683" i="8"/>
  <c r="Q6684" i="8"/>
  <c r="Q6685" i="8"/>
  <c r="Q6686" i="8"/>
  <c r="Q6687" i="8"/>
  <c r="Q6688" i="8"/>
  <c r="Q6689" i="8"/>
  <c r="Q6690" i="8"/>
  <c r="Q6691" i="8"/>
  <c r="Q6692" i="8"/>
  <c r="Q6693" i="8"/>
  <c r="Q6694" i="8"/>
  <c r="Q6695" i="8"/>
  <c r="Q6696" i="8"/>
  <c r="Q6697" i="8"/>
  <c r="Q6698" i="8"/>
  <c r="Q6699" i="8"/>
  <c r="Q6700" i="8"/>
  <c r="Q6701" i="8"/>
  <c r="Q6702" i="8"/>
  <c r="Q6703" i="8"/>
  <c r="Q6704" i="8"/>
  <c r="Q6705" i="8"/>
  <c r="Q6706" i="8"/>
  <c r="Q6707" i="8"/>
  <c r="Q6708" i="8"/>
  <c r="Q6709" i="8"/>
  <c r="Q6710" i="8"/>
  <c r="Q6711" i="8"/>
  <c r="Q6712" i="8"/>
  <c r="Q6713" i="8"/>
  <c r="Q6714" i="8"/>
  <c r="Q6715" i="8"/>
  <c r="Q6716" i="8"/>
  <c r="Q6717" i="8"/>
  <c r="Q6718" i="8"/>
  <c r="Q6719" i="8"/>
  <c r="Q6720" i="8"/>
  <c r="Q6721" i="8"/>
  <c r="Q6722" i="8"/>
  <c r="Q6723" i="8"/>
  <c r="Q6724" i="8"/>
  <c r="Q6725" i="8"/>
  <c r="Q6726" i="8"/>
  <c r="Q6727" i="8"/>
  <c r="Q6728" i="8"/>
  <c r="Q6729" i="8"/>
  <c r="Q6730" i="8"/>
  <c r="Q6731" i="8"/>
  <c r="Q6732" i="8"/>
  <c r="Q6733" i="8"/>
  <c r="Q6734" i="8"/>
  <c r="Q6735" i="8"/>
  <c r="Q6736" i="8"/>
  <c r="Q6737" i="8"/>
  <c r="Q6738" i="8"/>
  <c r="Q6739" i="8"/>
  <c r="Q6740" i="8"/>
  <c r="Q6741" i="8"/>
  <c r="Q6742" i="8"/>
  <c r="Q6743" i="8"/>
  <c r="Q6744" i="8"/>
  <c r="Q6745" i="8"/>
  <c r="Q6746" i="8"/>
  <c r="Q6747" i="8"/>
  <c r="Q6748" i="8"/>
  <c r="Q6749" i="8"/>
  <c r="Q6750" i="8"/>
  <c r="Q6751" i="8"/>
  <c r="Q6752" i="8"/>
  <c r="Q6753" i="8"/>
  <c r="Q6754" i="8"/>
  <c r="Q6755" i="8"/>
  <c r="Q6756" i="8"/>
  <c r="Q6757" i="8"/>
  <c r="Q6758" i="8"/>
  <c r="Q6759" i="8"/>
  <c r="Q6760" i="8"/>
  <c r="Q6761" i="8"/>
  <c r="Q6762" i="8"/>
  <c r="Q6763" i="8"/>
  <c r="Q6764" i="8"/>
  <c r="Q6765" i="8"/>
  <c r="Q6766" i="8"/>
  <c r="Q6767" i="8"/>
  <c r="Q6768" i="8"/>
  <c r="Q6769" i="8"/>
  <c r="Q6770" i="8"/>
  <c r="Q6771" i="8"/>
  <c r="Q6772" i="8"/>
  <c r="Q6773" i="8"/>
  <c r="Q6774" i="8"/>
  <c r="Q6775" i="8"/>
  <c r="Q6776" i="8"/>
  <c r="Q6777" i="8"/>
  <c r="Q6778" i="8"/>
  <c r="Q6779" i="8"/>
  <c r="Q6780" i="8"/>
  <c r="Q6781" i="8"/>
  <c r="Q6782" i="8"/>
  <c r="Q6783" i="8"/>
  <c r="Q6784" i="8"/>
  <c r="Q6785" i="8"/>
  <c r="Q6786" i="8"/>
  <c r="Q6787" i="8"/>
  <c r="Q6788" i="8"/>
  <c r="Q6789" i="8"/>
  <c r="Q6790" i="8"/>
  <c r="Q6791" i="8"/>
  <c r="Q6792" i="8"/>
  <c r="Q6793" i="8"/>
  <c r="Q6794" i="8"/>
  <c r="Q6795" i="8"/>
  <c r="Q6796" i="8"/>
  <c r="Q6797" i="8"/>
  <c r="Q6798" i="8"/>
  <c r="Q6799" i="8"/>
  <c r="Q6800" i="8"/>
  <c r="Q6801" i="8"/>
  <c r="Q6802" i="8"/>
  <c r="Q6803" i="8"/>
  <c r="Q6804" i="8"/>
  <c r="Q6805" i="8"/>
  <c r="Q6806" i="8"/>
  <c r="Q6807" i="8"/>
  <c r="Q6808" i="8"/>
  <c r="Q6809" i="8"/>
  <c r="Q6810" i="8"/>
  <c r="Q6811" i="8"/>
  <c r="Q6812" i="8"/>
  <c r="Q6813" i="8"/>
  <c r="Q6814" i="8"/>
  <c r="Q6815" i="8"/>
  <c r="Q6816" i="8"/>
  <c r="Q6817" i="8"/>
  <c r="Q6818" i="8"/>
  <c r="Q6819" i="8"/>
  <c r="Q6820" i="8"/>
  <c r="Q6821" i="8"/>
  <c r="Q6822" i="8"/>
  <c r="Q6823" i="8"/>
  <c r="Q6824" i="8"/>
  <c r="Q6825" i="8"/>
  <c r="Q6826" i="8"/>
  <c r="Q6827" i="8"/>
  <c r="Q6828" i="8"/>
  <c r="Q6829" i="8"/>
  <c r="Q6830" i="8"/>
  <c r="Q6831" i="8"/>
  <c r="Q6832" i="8"/>
  <c r="Q6833" i="8"/>
  <c r="Q6834" i="8"/>
  <c r="Q6835" i="8"/>
  <c r="Q6836" i="8"/>
  <c r="Q6837" i="8"/>
  <c r="Q6838" i="8"/>
  <c r="Q6839" i="8"/>
  <c r="Q6840" i="8"/>
  <c r="Q6841" i="8"/>
  <c r="Q6842" i="8"/>
  <c r="Q6843" i="8"/>
  <c r="Q6844" i="8"/>
  <c r="Q6845" i="8"/>
  <c r="Q6846" i="8"/>
  <c r="Q6847" i="8"/>
  <c r="Q6848" i="8"/>
  <c r="Q6849" i="8"/>
  <c r="Q6850" i="8"/>
  <c r="Q6851" i="8"/>
  <c r="Q6852" i="8"/>
  <c r="Q6853" i="8"/>
  <c r="Q6854" i="8"/>
  <c r="Q6855" i="8"/>
  <c r="Q6856" i="8"/>
  <c r="Q6857" i="8"/>
  <c r="Q6858" i="8"/>
  <c r="Q6859" i="8"/>
  <c r="Q6860" i="8"/>
  <c r="Q6861" i="8"/>
  <c r="Q6862" i="8"/>
  <c r="Q6863" i="8"/>
  <c r="Q6864" i="8"/>
  <c r="Q6865" i="8"/>
  <c r="Q6866" i="8"/>
  <c r="Q6867" i="8"/>
  <c r="Q6868" i="8"/>
  <c r="Q6869" i="8"/>
  <c r="Q6870" i="8"/>
  <c r="Q6871" i="8"/>
  <c r="Q6872" i="8"/>
  <c r="Q6873" i="8"/>
  <c r="Q6874" i="8"/>
  <c r="Q6875" i="8"/>
  <c r="Q6876" i="8"/>
  <c r="Q6877" i="8"/>
  <c r="Q6878" i="8"/>
  <c r="Q6879" i="8"/>
  <c r="Q6880" i="8"/>
  <c r="Q6881" i="8"/>
  <c r="Q6882" i="8"/>
  <c r="Q6883" i="8"/>
  <c r="Q6884" i="8"/>
  <c r="Q6885" i="8"/>
  <c r="Q6886" i="8"/>
  <c r="Q6887" i="8"/>
  <c r="Q6888" i="8"/>
  <c r="Q6889" i="8"/>
  <c r="Q6890" i="8"/>
  <c r="Q6891" i="8"/>
  <c r="Q6892" i="8"/>
  <c r="Q6893" i="8"/>
  <c r="Q6894" i="8"/>
  <c r="Q6895" i="8"/>
  <c r="Q6896" i="8"/>
  <c r="Q6897" i="8"/>
  <c r="Q6898" i="8"/>
  <c r="Q6899" i="8"/>
  <c r="Q6900" i="8"/>
  <c r="Q6901" i="8"/>
  <c r="Q6902" i="8"/>
  <c r="Q6903" i="8"/>
  <c r="Q6904" i="8"/>
  <c r="Q6905" i="8"/>
  <c r="Q6906" i="8"/>
  <c r="Q6907" i="8"/>
  <c r="Q6908" i="8"/>
  <c r="Q6909" i="8"/>
  <c r="Q6910" i="8"/>
  <c r="Q6911" i="8"/>
  <c r="Q6912" i="8"/>
  <c r="Q6913" i="8"/>
  <c r="Q6914" i="8"/>
  <c r="Q6915" i="8"/>
  <c r="Q6916" i="8"/>
  <c r="Q6917" i="8"/>
  <c r="Q6918" i="8"/>
  <c r="Q6919" i="8"/>
  <c r="Q6920" i="8"/>
  <c r="Q6921" i="8"/>
  <c r="Q6922" i="8"/>
  <c r="Q6923" i="8"/>
  <c r="Q6924" i="8"/>
  <c r="Q6925" i="8"/>
  <c r="Q6926" i="8"/>
  <c r="Q6927" i="8"/>
  <c r="Q6928" i="8"/>
  <c r="Q6929" i="8"/>
  <c r="Q6930" i="8"/>
  <c r="Q6931" i="8"/>
  <c r="Q6932" i="8"/>
  <c r="Q6933" i="8"/>
  <c r="Q6934" i="8"/>
  <c r="Q6935" i="8"/>
  <c r="Q6936" i="8"/>
  <c r="Q6937" i="8"/>
  <c r="Q6938" i="8"/>
  <c r="Q6939" i="8"/>
  <c r="Q6940" i="8"/>
  <c r="Q6941" i="8"/>
  <c r="Q6942" i="8"/>
  <c r="Q6943" i="8"/>
  <c r="Q6944" i="8"/>
  <c r="Q6945" i="8"/>
  <c r="Q6946" i="8"/>
  <c r="Q6947" i="8"/>
  <c r="Q6948" i="8"/>
  <c r="Q6949" i="8"/>
  <c r="Q6950" i="8"/>
  <c r="Q6951" i="8"/>
  <c r="Q6952" i="8"/>
  <c r="Q6953" i="8"/>
  <c r="Q6954" i="8"/>
  <c r="Q6955" i="8"/>
  <c r="Q6956" i="8"/>
  <c r="Q6957" i="8"/>
  <c r="Q6958" i="8"/>
  <c r="Q6959" i="8"/>
  <c r="Q6960" i="8"/>
  <c r="Q6961" i="8"/>
  <c r="Q6962" i="8"/>
  <c r="Q6963" i="8"/>
  <c r="Q6964" i="8"/>
  <c r="Q6965" i="8"/>
  <c r="Q6966" i="8"/>
  <c r="Q6967" i="8"/>
  <c r="Q6968" i="8"/>
  <c r="Q6969" i="8"/>
  <c r="Q6970" i="8"/>
  <c r="Q6971" i="8"/>
  <c r="Q6972" i="8"/>
  <c r="Q6973" i="8"/>
  <c r="Q6974" i="8"/>
  <c r="Q6975" i="8"/>
  <c r="Q6976" i="8"/>
  <c r="Q6977" i="8"/>
  <c r="Q6978" i="8"/>
  <c r="Q6979" i="8"/>
  <c r="Q6980" i="8"/>
  <c r="Q6981" i="8"/>
  <c r="Q6982" i="8"/>
  <c r="Q6983" i="8"/>
  <c r="Q6984" i="8"/>
  <c r="Q6985" i="8"/>
  <c r="Q6986" i="8"/>
  <c r="Q6987" i="8"/>
  <c r="Q6988" i="8"/>
  <c r="Q6989" i="8"/>
  <c r="Q6990" i="8"/>
  <c r="Q6991" i="8"/>
  <c r="Q6992" i="8"/>
  <c r="Q6993" i="8"/>
  <c r="Q6994" i="8"/>
  <c r="Q6995" i="8"/>
  <c r="Q6996" i="8"/>
  <c r="Q6997" i="8"/>
  <c r="Q6998" i="8"/>
  <c r="Q6999" i="8"/>
  <c r="Q7000" i="8"/>
  <c r="Q7001" i="8"/>
  <c r="Q7002" i="8"/>
  <c r="Q7003" i="8"/>
  <c r="Q7004" i="8"/>
  <c r="Q7005" i="8"/>
  <c r="Q7006" i="8"/>
  <c r="Q7007" i="8"/>
  <c r="Q7008" i="8"/>
  <c r="Q7009" i="8"/>
  <c r="Q7010" i="8"/>
  <c r="Q7011" i="8"/>
  <c r="Q7012" i="8"/>
  <c r="Q7013" i="8"/>
  <c r="Q7014" i="8"/>
  <c r="Q7015" i="8"/>
  <c r="Q7016" i="8"/>
  <c r="Q7017" i="8"/>
  <c r="Q7018" i="8"/>
  <c r="Q7019" i="8"/>
  <c r="Q7020" i="8"/>
  <c r="Q7021" i="8"/>
  <c r="Q7022" i="8"/>
  <c r="Q7023" i="8"/>
  <c r="Q7024" i="8"/>
  <c r="Q7025" i="8"/>
  <c r="Q7026" i="8"/>
  <c r="Q7027" i="8"/>
  <c r="Q7028" i="8"/>
  <c r="Q7029" i="8"/>
  <c r="Q7030" i="8"/>
  <c r="Q7031" i="8"/>
  <c r="Q7032" i="8"/>
  <c r="Q7033" i="8"/>
  <c r="Q7034" i="8"/>
  <c r="Q7035" i="8"/>
  <c r="Q7036" i="8"/>
  <c r="Q7037" i="8"/>
  <c r="Q7038" i="8"/>
  <c r="Q7039" i="8"/>
  <c r="Q7040" i="8"/>
  <c r="Q7041" i="8"/>
  <c r="Q7042" i="8"/>
  <c r="Q7043" i="8"/>
  <c r="Q7044" i="8"/>
  <c r="Q7045" i="8"/>
  <c r="Q7046" i="8"/>
  <c r="Q7047" i="8"/>
  <c r="Q7048" i="8"/>
  <c r="Q7049" i="8"/>
  <c r="Q7050" i="8"/>
  <c r="Q7051" i="8"/>
  <c r="Q7052" i="8"/>
  <c r="Q7053" i="8"/>
  <c r="Q7054" i="8"/>
  <c r="Q7055" i="8"/>
  <c r="Q7056" i="8"/>
  <c r="Q7057" i="8"/>
  <c r="Q7058" i="8"/>
  <c r="Q7059" i="8"/>
  <c r="Q7060" i="8"/>
  <c r="Q7061" i="8"/>
  <c r="Q7062" i="8"/>
  <c r="Q7063" i="8"/>
  <c r="Q7064" i="8"/>
  <c r="Q7065" i="8"/>
  <c r="Q7066" i="8"/>
  <c r="Q7067" i="8"/>
  <c r="Q7068" i="8"/>
  <c r="Q7069" i="8"/>
  <c r="Q7070" i="8"/>
  <c r="Q7071" i="8"/>
  <c r="Q7072" i="8"/>
  <c r="Q7073" i="8"/>
  <c r="Q7074" i="8"/>
  <c r="Q7075" i="8"/>
  <c r="Q7076" i="8"/>
  <c r="Q7077" i="8"/>
  <c r="Q7078" i="8"/>
  <c r="Q7079" i="8"/>
  <c r="Q7080" i="8"/>
  <c r="Q7081" i="8"/>
  <c r="Q7082" i="8"/>
  <c r="Q7083" i="8"/>
  <c r="Q7084" i="8"/>
  <c r="Q7085" i="8"/>
  <c r="Q7086" i="8"/>
  <c r="Q7087" i="8"/>
  <c r="Q7088" i="8"/>
  <c r="Q7089" i="8"/>
  <c r="Q7090" i="8"/>
  <c r="Q7091" i="8"/>
  <c r="Q7092" i="8"/>
  <c r="Q7093" i="8"/>
  <c r="Q7094" i="8"/>
  <c r="Q7095" i="8"/>
  <c r="Q7096" i="8"/>
  <c r="Q7097" i="8"/>
  <c r="Q7098" i="8"/>
  <c r="Q7099" i="8"/>
  <c r="Q7100" i="8"/>
  <c r="Q7101" i="8"/>
  <c r="Q7102" i="8"/>
  <c r="Q7103" i="8"/>
  <c r="Q7104" i="8"/>
  <c r="Q7105" i="8"/>
  <c r="Q7106" i="8"/>
  <c r="Q7107" i="8"/>
  <c r="Q7108" i="8"/>
  <c r="Q7109" i="8"/>
  <c r="Q7110" i="8"/>
  <c r="Q7111" i="8"/>
  <c r="Q7112" i="8"/>
  <c r="Q7113" i="8"/>
  <c r="Q7114" i="8"/>
  <c r="Q7115" i="8"/>
  <c r="Q7116" i="8"/>
  <c r="Q7117" i="8"/>
  <c r="Q7118" i="8"/>
  <c r="Q7119" i="8"/>
  <c r="Q7120" i="8"/>
  <c r="Q7121" i="8"/>
  <c r="Q7122" i="8"/>
  <c r="Q7123" i="8"/>
  <c r="Q7124" i="8"/>
  <c r="Q7125" i="8"/>
  <c r="Q7126" i="8"/>
  <c r="Q7127" i="8"/>
  <c r="Q7128" i="8"/>
  <c r="Q7129" i="8"/>
  <c r="Q7130" i="8"/>
  <c r="Q7131" i="8"/>
  <c r="Q7132" i="8"/>
  <c r="Q7133" i="8"/>
  <c r="Q7134" i="8"/>
  <c r="Q7135" i="8"/>
  <c r="Q7136" i="8"/>
  <c r="Q7137" i="8"/>
  <c r="Q7138" i="8"/>
  <c r="Q7139" i="8"/>
  <c r="Q7140" i="8"/>
  <c r="Q7141" i="8"/>
  <c r="Q7142" i="8"/>
  <c r="Q7143" i="8"/>
  <c r="Q7144" i="8"/>
  <c r="Q7145" i="8"/>
  <c r="Q7146" i="8"/>
  <c r="Q7147" i="8"/>
  <c r="Q7148" i="8"/>
  <c r="Q7149" i="8"/>
  <c r="Q7150" i="8"/>
  <c r="Q7151" i="8"/>
  <c r="Q7152" i="8"/>
  <c r="Q7153" i="8"/>
  <c r="Q7154" i="8"/>
  <c r="Q7155" i="8"/>
  <c r="Q7156" i="8"/>
  <c r="Q7157" i="8"/>
  <c r="Q7158" i="8"/>
  <c r="Q7159" i="8"/>
  <c r="Q7160" i="8"/>
  <c r="Q7161" i="8"/>
  <c r="Q7162" i="8"/>
  <c r="Q7163" i="8"/>
  <c r="Q7164" i="8"/>
  <c r="Q7165" i="8"/>
  <c r="Q7166" i="8"/>
  <c r="Q7167" i="8"/>
  <c r="Q7168" i="8"/>
  <c r="Q7169" i="8"/>
  <c r="Q7170" i="8"/>
  <c r="Q7171" i="8"/>
  <c r="Q7172" i="8"/>
  <c r="Q7173" i="8"/>
  <c r="Q7174" i="8"/>
  <c r="Q7175" i="8"/>
  <c r="Q7176" i="8"/>
  <c r="Q7177" i="8"/>
  <c r="Q7178" i="8"/>
  <c r="Q7179" i="8"/>
  <c r="Q7180" i="8"/>
  <c r="Q7181" i="8"/>
  <c r="Q7182" i="8"/>
  <c r="Q7183" i="8"/>
  <c r="Q7184" i="8"/>
  <c r="Q7185" i="8"/>
  <c r="Q7186" i="8"/>
  <c r="Q7187" i="8"/>
  <c r="Q7188" i="8"/>
  <c r="Q7189" i="8"/>
  <c r="Q7190" i="8"/>
  <c r="Q7191" i="8"/>
  <c r="Q7192" i="8"/>
  <c r="Q7193" i="8"/>
  <c r="Q7194" i="8"/>
  <c r="Q7195" i="8"/>
  <c r="Q7196" i="8"/>
  <c r="Q7197" i="8"/>
  <c r="Q7198" i="8"/>
  <c r="Q7199" i="8"/>
  <c r="Q7200" i="8"/>
  <c r="Q7201" i="8"/>
  <c r="Q7202" i="8"/>
  <c r="Q7203" i="8"/>
  <c r="Q7204" i="8"/>
  <c r="Q7205" i="8"/>
  <c r="Q7206" i="8"/>
  <c r="Q7207" i="8"/>
  <c r="Q7208" i="8"/>
  <c r="Q7209" i="8"/>
  <c r="Q7210" i="8"/>
  <c r="Q7211" i="8"/>
  <c r="Q7212" i="8"/>
  <c r="Q7213" i="8"/>
  <c r="Q7214" i="8"/>
  <c r="Q7215" i="8"/>
  <c r="Q7216" i="8"/>
  <c r="Q7217" i="8"/>
  <c r="Q7218" i="8"/>
  <c r="Q7219" i="8"/>
  <c r="Q7220" i="8"/>
  <c r="Q7221" i="8"/>
  <c r="Q7222" i="8"/>
  <c r="Q7223" i="8"/>
  <c r="Q7224" i="8"/>
  <c r="Q7225" i="8"/>
  <c r="Q7226" i="8"/>
  <c r="Q7227" i="8"/>
  <c r="Q7228" i="8"/>
  <c r="Q7229" i="8"/>
  <c r="Q7230" i="8"/>
  <c r="Q7231" i="8"/>
  <c r="Q7232" i="8"/>
  <c r="Q7233" i="8"/>
  <c r="Q7234" i="8"/>
  <c r="Q7235" i="8"/>
  <c r="Q7236" i="8"/>
  <c r="Q7237" i="8"/>
  <c r="Q7238" i="8"/>
  <c r="Q7239" i="8"/>
  <c r="Q7240" i="8"/>
  <c r="Q7241" i="8"/>
  <c r="Q7242" i="8"/>
  <c r="Q7243" i="8"/>
  <c r="Q7244" i="8"/>
  <c r="Q7245" i="8"/>
  <c r="Q7246" i="8"/>
  <c r="Q7247" i="8"/>
  <c r="Q7248" i="8"/>
  <c r="Q7249" i="8"/>
  <c r="Q7250" i="8"/>
  <c r="Q7251" i="8"/>
  <c r="Q7252" i="8"/>
  <c r="Q7253" i="8"/>
  <c r="Q7254" i="8"/>
  <c r="Q7255" i="8"/>
  <c r="Q7256" i="8"/>
  <c r="Q7257" i="8"/>
  <c r="Q7258" i="8"/>
  <c r="Q7259" i="8"/>
  <c r="Q7260" i="8"/>
  <c r="Q7261" i="8"/>
  <c r="Q7262" i="8"/>
  <c r="Q7263" i="8"/>
  <c r="Q7264" i="8"/>
  <c r="Q7265" i="8"/>
  <c r="Q7266" i="8"/>
  <c r="Q7267" i="8"/>
  <c r="Q7268" i="8"/>
  <c r="Q7269" i="8"/>
  <c r="Q7270" i="8"/>
  <c r="Q7271" i="8"/>
  <c r="Q7272" i="8"/>
  <c r="Q7273" i="8"/>
  <c r="Q7274" i="8"/>
  <c r="Q7275" i="8"/>
  <c r="Q7276" i="8"/>
  <c r="Q7277" i="8"/>
  <c r="Q7278" i="8"/>
  <c r="Q7279" i="8"/>
  <c r="Q7280" i="8"/>
  <c r="Q7281" i="8"/>
  <c r="Q7282" i="8"/>
  <c r="Q7283" i="8"/>
  <c r="Q7284" i="8"/>
  <c r="Q7285" i="8"/>
  <c r="Q7286" i="8"/>
  <c r="Q7287" i="8"/>
  <c r="Q7288" i="8"/>
  <c r="Q7289" i="8"/>
  <c r="Q7290" i="8"/>
  <c r="Q7291" i="8"/>
  <c r="Q7292" i="8"/>
  <c r="Q7293" i="8"/>
  <c r="Q7294" i="8"/>
  <c r="Q7295" i="8"/>
  <c r="Q7296" i="8"/>
  <c r="Q7297" i="8"/>
  <c r="Q7298" i="8"/>
  <c r="Q7299" i="8"/>
  <c r="Q7300" i="8"/>
  <c r="Q7301" i="8"/>
  <c r="Q7302" i="8"/>
  <c r="Q7303" i="8"/>
  <c r="Q7304" i="8"/>
  <c r="Q7305" i="8"/>
  <c r="Q7306" i="8"/>
  <c r="Q7307" i="8"/>
  <c r="Q7308" i="8"/>
  <c r="Q7309" i="8"/>
  <c r="Q7310" i="8"/>
  <c r="Q7311" i="8"/>
  <c r="Q7312" i="8"/>
  <c r="Q7313" i="8"/>
  <c r="Q7314" i="8"/>
  <c r="Q7315" i="8"/>
  <c r="Q7316" i="8"/>
  <c r="Q7317" i="8"/>
  <c r="Q7318" i="8"/>
  <c r="Q7319" i="8"/>
  <c r="Q7320" i="8"/>
  <c r="Q7321" i="8"/>
  <c r="Q7322" i="8"/>
  <c r="Q7323" i="8"/>
  <c r="Q7324" i="8"/>
  <c r="Q7325" i="8"/>
  <c r="Q7326" i="8"/>
  <c r="Q7327" i="8"/>
  <c r="Q7328" i="8"/>
  <c r="Q7329" i="8"/>
  <c r="Q7330" i="8"/>
  <c r="Q7331" i="8"/>
  <c r="Q7332" i="8"/>
  <c r="Q7333" i="8"/>
  <c r="Q7334" i="8"/>
  <c r="Q7335" i="8"/>
  <c r="Q7336" i="8"/>
  <c r="Q7337" i="8"/>
  <c r="Q7338" i="8"/>
  <c r="Q7339" i="8"/>
  <c r="Q7340" i="8"/>
  <c r="Q7341" i="8"/>
  <c r="Q7342" i="8"/>
  <c r="Q7343" i="8"/>
  <c r="Q7344" i="8"/>
  <c r="Q7345" i="8"/>
  <c r="Q7346" i="8"/>
  <c r="Q7347" i="8"/>
  <c r="Q7348" i="8"/>
  <c r="Q7349" i="8"/>
  <c r="Q7350" i="8"/>
  <c r="Q7351" i="8"/>
  <c r="Q7352" i="8"/>
  <c r="Q7353" i="8"/>
  <c r="Q7354" i="8"/>
  <c r="Q7355" i="8"/>
  <c r="Q7356" i="8"/>
  <c r="Q7357" i="8"/>
  <c r="Q7358" i="8"/>
  <c r="Q7359" i="8"/>
  <c r="Q7360" i="8"/>
  <c r="Q7361" i="8"/>
  <c r="Q7362" i="8"/>
  <c r="Q7363" i="8"/>
  <c r="Q7364" i="8"/>
  <c r="Q7365" i="8"/>
  <c r="Q7366" i="8"/>
  <c r="Q7367" i="8"/>
  <c r="Q7368" i="8"/>
  <c r="Q7369" i="8"/>
  <c r="Q7370" i="8"/>
  <c r="Q7371" i="8"/>
  <c r="Q7372" i="8"/>
  <c r="Q7373" i="8"/>
  <c r="Q7374" i="8"/>
  <c r="Q7375" i="8"/>
  <c r="Q7376" i="8"/>
  <c r="Q7377" i="8"/>
  <c r="Q7378" i="8"/>
  <c r="Q7379" i="8"/>
  <c r="Q7380" i="8"/>
  <c r="Q7381" i="8"/>
  <c r="Q7382" i="8"/>
  <c r="Q7383" i="8"/>
  <c r="Q7384" i="8"/>
  <c r="Q7385" i="8"/>
  <c r="Q7386" i="8"/>
  <c r="Q7387" i="8"/>
  <c r="Q7388" i="8"/>
  <c r="Q7389" i="8"/>
  <c r="Q7390" i="8"/>
  <c r="Q7391" i="8"/>
  <c r="Q7392" i="8"/>
  <c r="Q7393" i="8"/>
  <c r="Q7394" i="8"/>
  <c r="Q7395" i="8"/>
  <c r="Q7396" i="8"/>
  <c r="Q7397" i="8"/>
  <c r="Q7398" i="8"/>
  <c r="Q7399" i="8"/>
  <c r="Q7400" i="8"/>
  <c r="Q7401" i="8"/>
  <c r="Q7402" i="8"/>
  <c r="Q7403" i="8"/>
  <c r="Q7404" i="8"/>
  <c r="Q7405" i="8"/>
  <c r="Q7406" i="8"/>
  <c r="Q7407" i="8"/>
  <c r="Q7408" i="8"/>
  <c r="Q7409" i="8"/>
  <c r="Q7410" i="8"/>
  <c r="Q7411" i="8"/>
  <c r="Q7412" i="8"/>
  <c r="Q7413" i="8"/>
  <c r="Q7414" i="8"/>
  <c r="Q7415" i="8"/>
  <c r="Q7416" i="8"/>
  <c r="Q7417" i="8"/>
  <c r="Q7418" i="8"/>
  <c r="Q7419" i="8"/>
  <c r="Q7420" i="8"/>
  <c r="Q7421" i="8"/>
  <c r="Q7422" i="8"/>
  <c r="Q7423" i="8"/>
  <c r="Q7424" i="8"/>
  <c r="Q7425" i="8"/>
  <c r="Q7426" i="8"/>
  <c r="Q7427" i="8"/>
  <c r="Q7428" i="8"/>
  <c r="Q7429" i="8"/>
  <c r="Q7430" i="8"/>
  <c r="Q7431" i="8"/>
  <c r="Q7432" i="8"/>
  <c r="Q7433" i="8"/>
  <c r="Q7434" i="8"/>
  <c r="Q7435" i="8"/>
  <c r="Q7436" i="8"/>
  <c r="Q7437" i="8"/>
  <c r="Q7438" i="8"/>
  <c r="Q7439" i="8"/>
  <c r="Q7440" i="8"/>
  <c r="Q7441" i="8"/>
  <c r="Q7442" i="8"/>
  <c r="Q7443" i="8"/>
  <c r="Q7444" i="8"/>
  <c r="Q7445" i="8"/>
  <c r="Q7446" i="8"/>
  <c r="Q7447" i="8"/>
  <c r="Q7448" i="8"/>
  <c r="Q7449" i="8"/>
  <c r="Q7450" i="8"/>
  <c r="Q7451" i="8"/>
  <c r="Q7452" i="8"/>
  <c r="Q7453" i="8"/>
  <c r="Q7454" i="8"/>
  <c r="Q7455" i="8"/>
  <c r="Q7456" i="8"/>
  <c r="Q7457" i="8"/>
  <c r="Q7458" i="8"/>
  <c r="Q7459" i="8"/>
  <c r="Q7460" i="8"/>
  <c r="Q7461" i="8"/>
  <c r="Q7462" i="8"/>
  <c r="Q7463" i="8"/>
  <c r="Q7464" i="8"/>
  <c r="Q7465" i="8"/>
  <c r="Q7466" i="8"/>
  <c r="Q7467" i="8"/>
  <c r="Q7468" i="8"/>
  <c r="Q7469" i="8"/>
  <c r="Q7470" i="8"/>
  <c r="Q7471" i="8"/>
  <c r="Q7472" i="8"/>
  <c r="Q7473" i="8"/>
  <c r="Q7474" i="8"/>
  <c r="Q7475" i="8"/>
  <c r="Q7476" i="8"/>
  <c r="Q7477" i="8"/>
  <c r="Q7478" i="8"/>
  <c r="Q7479" i="8"/>
  <c r="Q7480" i="8"/>
  <c r="Q7481" i="8"/>
  <c r="Q7482" i="8"/>
  <c r="Q7483" i="8"/>
  <c r="Q7484" i="8"/>
  <c r="Q7485" i="8"/>
  <c r="Q7486" i="8"/>
  <c r="Q7487" i="8"/>
  <c r="Q7488" i="8"/>
  <c r="Q7489" i="8"/>
  <c r="Q7490" i="8"/>
  <c r="Q7491" i="8"/>
  <c r="Q7492" i="8"/>
  <c r="Q7493" i="8"/>
  <c r="Q7494" i="8"/>
  <c r="Q7495" i="8"/>
  <c r="Q7496" i="8"/>
  <c r="Q7497" i="8"/>
  <c r="Q7498" i="8"/>
  <c r="Q7499" i="8"/>
  <c r="Q7500" i="8"/>
  <c r="Q7501" i="8"/>
  <c r="Q7502" i="8"/>
  <c r="Q7503" i="8"/>
  <c r="Q7504" i="8"/>
  <c r="Q7505" i="8"/>
  <c r="Q7506" i="8"/>
  <c r="Q7507" i="8"/>
  <c r="Q7508" i="8"/>
  <c r="Q7509" i="8"/>
  <c r="Q7510" i="8"/>
  <c r="Q7511" i="8"/>
  <c r="Q7512" i="8"/>
  <c r="Q7513" i="8"/>
  <c r="Q7514" i="8"/>
  <c r="Q7515" i="8"/>
  <c r="Q7516" i="8"/>
  <c r="Q7517" i="8"/>
  <c r="Q7518" i="8"/>
  <c r="Q7519" i="8"/>
  <c r="Q7520" i="8"/>
  <c r="Q7521" i="8"/>
  <c r="Q7522" i="8"/>
  <c r="Q7523" i="8"/>
  <c r="Q7524" i="8"/>
  <c r="Q7525" i="8"/>
  <c r="Q7526" i="8"/>
  <c r="Q7527" i="8"/>
  <c r="Q7528" i="8"/>
  <c r="Q7529" i="8"/>
  <c r="Q7530" i="8"/>
  <c r="Q7531" i="8"/>
  <c r="Q7532" i="8"/>
  <c r="Q7533" i="8"/>
  <c r="Q7534" i="8"/>
  <c r="Q7535" i="8"/>
  <c r="Q7536" i="8"/>
  <c r="Q7537" i="8"/>
  <c r="Q7538" i="8"/>
  <c r="Q7539" i="8"/>
  <c r="Q7540" i="8"/>
  <c r="Q7541" i="8"/>
  <c r="Q7542" i="8"/>
  <c r="Q7543" i="8"/>
  <c r="Q7544" i="8"/>
  <c r="Q7545" i="8"/>
  <c r="Q7546" i="8"/>
  <c r="Q7547" i="8"/>
  <c r="Q7548" i="8"/>
  <c r="Q7549" i="8"/>
  <c r="Q7550" i="8"/>
  <c r="Q7551" i="8"/>
  <c r="Q7552" i="8"/>
  <c r="Q7553" i="8"/>
  <c r="Q7554" i="8"/>
  <c r="Q7555" i="8"/>
  <c r="Q7556" i="8"/>
  <c r="Q7557" i="8"/>
  <c r="Q7558" i="8"/>
  <c r="Q7559" i="8"/>
  <c r="Q7560" i="8"/>
  <c r="Q7561" i="8"/>
  <c r="Q7562" i="8"/>
  <c r="Q7563" i="8"/>
  <c r="Q7564" i="8"/>
  <c r="Q7565" i="8"/>
  <c r="Q7566" i="8"/>
  <c r="Q7567" i="8"/>
  <c r="Q7568" i="8"/>
  <c r="Q7569" i="8"/>
  <c r="Q7570" i="8"/>
  <c r="Q7571" i="8"/>
  <c r="Q7572" i="8"/>
  <c r="Q7573" i="8"/>
  <c r="Q7574" i="8"/>
  <c r="Q7575" i="8"/>
  <c r="Q7576" i="8"/>
  <c r="Q7577" i="8"/>
  <c r="Q7578" i="8"/>
  <c r="Q7579" i="8"/>
  <c r="Q7580" i="8"/>
  <c r="Q7581" i="8"/>
  <c r="Q7582" i="8"/>
  <c r="Q7583" i="8"/>
  <c r="Q7584" i="8"/>
  <c r="Q7585" i="8"/>
  <c r="Q7586" i="8"/>
  <c r="Q7587" i="8"/>
  <c r="Q7588" i="8"/>
  <c r="Q7589" i="8"/>
  <c r="Q7590" i="8"/>
  <c r="Q7591" i="8"/>
  <c r="Q7592" i="8"/>
  <c r="Q7593" i="8"/>
  <c r="Q7594" i="8"/>
  <c r="Q7595" i="8"/>
  <c r="Q7596" i="8"/>
  <c r="Q7597" i="8"/>
  <c r="Q7598" i="8"/>
  <c r="Q7599" i="8"/>
  <c r="Q7600" i="8"/>
  <c r="Q7601" i="8"/>
  <c r="Q7602" i="8"/>
  <c r="Q7603" i="8"/>
  <c r="Q7604" i="8"/>
  <c r="Q7605" i="8"/>
  <c r="Q7606" i="8"/>
  <c r="Q7607" i="8"/>
  <c r="Q7608" i="8"/>
  <c r="Q7609" i="8"/>
  <c r="Q7610" i="8"/>
  <c r="Q7611" i="8"/>
  <c r="Q7612" i="8"/>
  <c r="Q7613" i="8"/>
  <c r="Q7614" i="8"/>
  <c r="Q7615" i="8"/>
  <c r="Q7616" i="8"/>
  <c r="Q7617" i="8"/>
  <c r="Q7618" i="8"/>
  <c r="Q7619" i="8"/>
  <c r="Q7620" i="8"/>
  <c r="Q7621" i="8"/>
  <c r="Q7622" i="8"/>
  <c r="Q7623" i="8"/>
  <c r="Q7624" i="8"/>
  <c r="Q7625" i="8"/>
  <c r="Q7626" i="8"/>
  <c r="Q7627" i="8"/>
  <c r="Q7628" i="8"/>
  <c r="Q7629" i="8"/>
  <c r="Q7630" i="8"/>
  <c r="Q7631" i="8"/>
  <c r="Q7632" i="8"/>
  <c r="Q7633" i="8"/>
  <c r="Q7634" i="8"/>
  <c r="Q7635" i="8"/>
  <c r="Q7636" i="8"/>
  <c r="Q7637" i="8"/>
  <c r="Q7638" i="8"/>
  <c r="Q7639" i="8"/>
  <c r="Q7640" i="8"/>
  <c r="Q7641" i="8"/>
  <c r="Q7642" i="8"/>
  <c r="Q7643" i="8"/>
  <c r="Q7644" i="8"/>
  <c r="Q7645" i="8"/>
  <c r="Q7646" i="8"/>
  <c r="Q7647" i="8"/>
  <c r="Q7648" i="8"/>
  <c r="Q7649" i="8"/>
  <c r="Q7650" i="8"/>
  <c r="Q7651" i="8"/>
  <c r="Q7652" i="8"/>
  <c r="Q7653" i="8"/>
  <c r="Q7654" i="8"/>
  <c r="Q7655" i="8"/>
  <c r="Q7656" i="8"/>
  <c r="Q7657" i="8"/>
  <c r="Q7658" i="8"/>
  <c r="Q7659" i="8"/>
  <c r="Q7660" i="8"/>
  <c r="Q7661" i="8"/>
  <c r="Q7662" i="8"/>
  <c r="Q7663" i="8"/>
  <c r="Q7664" i="8"/>
  <c r="Q7665" i="8"/>
  <c r="Q7666" i="8"/>
  <c r="Q7667" i="8"/>
  <c r="Q7668" i="8"/>
  <c r="Q7669" i="8"/>
  <c r="Q7670" i="8"/>
  <c r="Q7671" i="8"/>
  <c r="Q7672" i="8"/>
  <c r="Q7673" i="8"/>
  <c r="Q7674" i="8"/>
  <c r="Q7675" i="8"/>
  <c r="Q7676" i="8"/>
  <c r="Q7677" i="8"/>
  <c r="Q7678" i="8"/>
  <c r="Q7679" i="8"/>
  <c r="Q7680" i="8"/>
  <c r="Q7681" i="8"/>
  <c r="Q7682" i="8"/>
  <c r="Q7683" i="8"/>
  <c r="Q7684" i="8"/>
  <c r="Q7685" i="8"/>
  <c r="Q7686" i="8"/>
  <c r="Q7687" i="8"/>
  <c r="Q7688" i="8"/>
  <c r="Q7689" i="8"/>
  <c r="Q7690" i="8"/>
  <c r="Q7691" i="8"/>
  <c r="Q7692" i="8"/>
  <c r="Q7693" i="8"/>
  <c r="Q7694" i="8"/>
  <c r="Q7695" i="8"/>
  <c r="Q7696" i="8"/>
  <c r="Q7697" i="8"/>
  <c r="Q7698" i="8"/>
  <c r="Q7699" i="8"/>
  <c r="Q7700" i="8"/>
  <c r="Q7701" i="8"/>
  <c r="Q7702" i="8"/>
  <c r="Q7703" i="8"/>
  <c r="Q7704" i="8"/>
  <c r="Q7705" i="8"/>
  <c r="Q7706" i="8"/>
  <c r="Q7707" i="8"/>
  <c r="Q7708" i="8"/>
  <c r="Q7709" i="8"/>
  <c r="Q7710" i="8"/>
  <c r="Q7711" i="8"/>
  <c r="Q7712" i="8"/>
  <c r="Q7713" i="8"/>
  <c r="Q7714" i="8"/>
  <c r="Q7715" i="8"/>
  <c r="Q7716" i="8"/>
  <c r="Q7717" i="8"/>
  <c r="Q7718" i="8"/>
  <c r="Q7719" i="8"/>
  <c r="Q7720" i="8"/>
  <c r="Q7721" i="8"/>
  <c r="Q7722" i="8"/>
  <c r="Q7723" i="8"/>
  <c r="Q7724" i="8"/>
  <c r="Q7725" i="8"/>
  <c r="Q7726" i="8"/>
  <c r="Q7727" i="8"/>
  <c r="Q7728" i="8"/>
  <c r="Q7729" i="8"/>
  <c r="Q7730" i="8"/>
  <c r="Q7731" i="8"/>
  <c r="Q7732" i="8"/>
  <c r="Q7733" i="8"/>
  <c r="Q7734" i="8"/>
  <c r="Q7735" i="8"/>
  <c r="Q7736" i="8"/>
  <c r="Q7737" i="8"/>
  <c r="Q7738" i="8"/>
  <c r="Q7739" i="8"/>
  <c r="Q7740" i="8"/>
  <c r="Q7741" i="8"/>
  <c r="Q7742" i="8"/>
  <c r="Q7743" i="8"/>
  <c r="Q7744" i="8"/>
  <c r="Q7745" i="8"/>
  <c r="Q7746" i="8"/>
  <c r="Q7747" i="8"/>
  <c r="Q7748" i="8"/>
  <c r="Q7749" i="8"/>
  <c r="Q7750" i="8"/>
  <c r="Q7751" i="8"/>
  <c r="Q7752" i="8"/>
  <c r="Q7753" i="8"/>
  <c r="Q7754" i="8"/>
  <c r="Q7755" i="8"/>
  <c r="Q7756" i="8"/>
  <c r="Q7757" i="8"/>
  <c r="Q7758" i="8"/>
  <c r="Q7759" i="8"/>
  <c r="Q7760" i="8"/>
  <c r="Q7761" i="8"/>
  <c r="Q7762" i="8"/>
  <c r="Q7763" i="8"/>
  <c r="Q7764" i="8"/>
  <c r="Q7765" i="8"/>
  <c r="Q7766" i="8"/>
  <c r="Q7767" i="8"/>
  <c r="Q7768" i="8"/>
  <c r="Q7769" i="8"/>
  <c r="Q7770" i="8"/>
  <c r="Q7771" i="8"/>
  <c r="Q7772" i="8"/>
  <c r="Q7773" i="8"/>
  <c r="Q7774" i="8"/>
  <c r="Q7775" i="8"/>
  <c r="Q7776" i="8"/>
  <c r="Q7777" i="8"/>
  <c r="Q7778" i="8"/>
  <c r="Q7779" i="8"/>
  <c r="Q7780" i="8"/>
  <c r="Q7781" i="8"/>
  <c r="Q7782" i="8"/>
  <c r="Q7783" i="8"/>
  <c r="Q7784" i="8"/>
  <c r="Q7785" i="8"/>
  <c r="Q7786" i="8"/>
  <c r="Q7787" i="8"/>
  <c r="Q7788" i="8"/>
  <c r="Q7789" i="8"/>
  <c r="Q7790" i="8"/>
  <c r="Q7791" i="8"/>
  <c r="Q7792" i="8"/>
  <c r="Q7793" i="8"/>
  <c r="Q7794" i="8"/>
  <c r="Q7795" i="8"/>
  <c r="Q7796" i="8"/>
  <c r="Q7797" i="8"/>
  <c r="Q7798" i="8"/>
  <c r="Q7799" i="8"/>
  <c r="Q7800" i="8"/>
  <c r="Q7801" i="8"/>
  <c r="Q7802" i="8"/>
  <c r="Q7803" i="8"/>
  <c r="Q7804" i="8"/>
  <c r="Q7805" i="8"/>
  <c r="Q7806" i="8"/>
  <c r="Q7807" i="8"/>
  <c r="Q7808" i="8"/>
  <c r="Q7809" i="8"/>
  <c r="Q7810" i="8"/>
  <c r="Q7811" i="8"/>
  <c r="Q7812" i="8"/>
  <c r="Q7813" i="8"/>
  <c r="Q7814" i="8"/>
  <c r="Q7815" i="8"/>
  <c r="Q7816" i="8"/>
  <c r="Q7817" i="8"/>
  <c r="Q7818" i="8"/>
  <c r="Q7819" i="8"/>
  <c r="Q7820" i="8"/>
  <c r="Q7821" i="8"/>
  <c r="Q7822" i="8"/>
  <c r="Q7823" i="8"/>
  <c r="Q7824" i="8"/>
  <c r="Q7825" i="8"/>
  <c r="Q7826" i="8"/>
  <c r="Q7827" i="8"/>
  <c r="Q7828" i="8"/>
  <c r="Q7829" i="8"/>
  <c r="Q7830" i="8"/>
  <c r="Q7831" i="8"/>
  <c r="Q7832" i="8"/>
  <c r="Q7833" i="8"/>
  <c r="Q7834" i="8"/>
  <c r="Q7835" i="8"/>
  <c r="Q7836" i="8"/>
  <c r="Q7837" i="8"/>
  <c r="Q7838" i="8"/>
  <c r="Q7839" i="8"/>
  <c r="Q7840" i="8"/>
  <c r="Q7841" i="8"/>
  <c r="Q7842" i="8"/>
  <c r="Q7843" i="8"/>
  <c r="Q7844" i="8"/>
  <c r="Q7845" i="8"/>
  <c r="Q7846" i="8"/>
  <c r="Q7847" i="8"/>
  <c r="Q7848" i="8"/>
  <c r="Q7849" i="8"/>
  <c r="Q7850" i="8"/>
  <c r="Q7851" i="8"/>
  <c r="Q7852" i="8"/>
  <c r="Q7853" i="8"/>
  <c r="Q7854" i="8"/>
  <c r="Q7855" i="8"/>
  <c r="Q7856" i="8"/>
  <c r="Q7857" i="8"/>
  <c r="Q7858" i="8"/>
  <c r="Q7859" i="8"/>
  <c r="Q7860" i="8"/>
  <c r="Q7861" i="8"/>
  <c r="Q7862" i="8"/>
  <c r="Q7863" i="8"/>
  <c r="Q7864" i="8"/>
  <c r="Q7865" i="8"/>
  <c r="Q7866" i="8"/>
  <c r="Q7867" i="8"/>
  <c r="Q7868" i="8"/>
  <c r="Q7869" i="8"/>
  <c r="Q7870" i="8"/>
  <c r="Q7871" i="8"/>
  <c r="Q7872" i="8"/>
  <c r="Q7873" i="8"/>
  <c r="Q7874" i="8"/>
  <c r="Q7875" i="8"/>
  <c r="Q7876" i="8"/>
  <c r="Q7877" i="8"/>
  <c r="Q7878" i="8"/>
  <c r="Q7879" i="8"/>
  <c r="Q7880" i="8"/>
  <c r="Q7881" i="8"/>
  <c r="Q7882" i="8"/>
  <c r="Q7883" i="8"/>
  <c r="Q7884" i="8"/>
  <c r="Q7885" i="8"/>
  <c r="Q7886" i="8"/>
  <c r="Q7887" i="8"/>
  <c r="Q7888" i="8"/>
  <c r="Q7889" i="8"/>
  <c r="Q7890" i="8"/>
  <c r="Q7891" i="8"/>
  <c r="Q7892" i="8"/>
  <c r="Q7893" i="8"/>
  <c r="Q7894" i="8"/>
  <c r="Q7895" i="8"/>
  <c r="Q7896" i="8"/>
  <c r="Q7897" i="8"/>
  <c r="Q7898" i="8"/>
  <c r="Q7899" i="8"/>
  <c r="Q7900" i="8"/>
  <c r="Q7901" i="8"/>
  <c r="Q7902" i="8"/>
  <c r="Q7903" i="8"/>
  <c r="Q7904" i="8"/>
  <c r="Q7905" i="8"/>
  <c r="Q7906" i="8"/>
  <c r="Q7907" i="8"/>
  <c r="Q7908" i="8"/>
  <c r="Q7909" i="8"/>
  <c r="Q7910" i="8"/>
  <c r="Q7911" i="8"/>
  <c r="Q7912" i="8"/>
  <c r="Q7913" i="8"/>
  <c r="Q7914" i="8"/>
  <c r="Q7915" i="8"/>
  <c r="Q7916" i="8"/>
  <c r="Q7917" i="8"/>
  <c r="Q7918" i="8"/>
  <c r="Q7919" i="8"/>
  <c r="Q7920" i="8"/>
  <c r="Q7921" i="8"/>
  <c r="Q7922" i="8"/>
  <c r="Q7923" i="8"/>
  <c r="Q7924" i="8"/>
  <c r="Q7925" i="8"/>
  <c r="Q7926" i="8"/>
  <c r="Q7927" i="8"/>
  <c r="Q7928" i="8"/>
  <c r="Q7929" i="8"/>
  <c r="Q7930" i="8"/>
  <c r="Q7931" i="8"/>
  <c r="Q7932" i="8"/>
  <c r="Q7933" i="8"/>
  <c r="Q7934" i="8"/>
  <c r="Q7935" i="8"/>
  <c r="Q7936" i="8"/>
  <c r="Q7937" i="8"/>
  <c r="Q7938" i="8"/>
  <c r="Q7939" i="8"/>
  <c r="Q7940" i="8"/>
  <c r="Q7941" i="8"/>
  <c r="Q7942" i="8"/>
  <c r="Q7943" i="8"/>
  <c r="Q7944" i="8"/>
  <c r="Q7945" i="8"/>
  <c r="Q7946" i="8"/>
  <c r="Q7947" i="8"/>
  <c r="Q7948" i="8"/>
  <c r="Q7949" i="8"/>
  <c r="Q7950" i="8"/>
  <c r="Q7951" i="8"/>
  <c r="Q7952" i="8"/>
  <c r="Q7953" i="8"/>
  <c r="Q7954" i="8"/>
  <c r="Q7955" i="8"/>
  <c r="Q7956" i="8"/>
  <c r="Q7957" i="8"/>
  <c r="Q7958" i="8"/>
  <c r="Q7959" i="8"/>
  <c r="Q7960" i="8"/>
  <c r="Q7961" i="8"/>
  <c r="Q7962" i="8"/>
  <c r="Q7963" i="8"/>
  <c r="Q7964" i="8"/>
  <c r="Q7965" i="8"/>
  <c r="Q7966" i="8"/>
  <c r="Q7967" i="8"/>
  <c r="Q7968" i="8"/>
  <c r="Q7969" i="8"/>
  <c r="Q7970" i="8"/>
  <c r="Q7971" i="8"/>
  <c r="Q7972" i="8"/>
  <c r="Q7973" i="8"/>
  <c r="Q7974" i="8"/>
  <c r="Q7975" i="8"/>
  <c r="Q7976" i="8"/>
  <c r="Q7977" i="8"/>
  <c r="Q7978" i="8"/>
  <c r="Q7979" i="8"/>
  <c r="Q7980" i="8"/>
  <c r="Q7981" i="8"/>
  <c r="Q7982" i="8"/>
  <c r="Q7983" i="8"/>
  <c r="Q7984" i="8"/>
  <c r="Q7985" i="8"/>
  <c r="Q7986" i="8"/>
  <c r="Q7987" i="8"/>
  <c r="Q7988" i="8"/>
  <c r="Q7989" i="8"/>
  <c r="Q7990" i="8"/>
  <c r="Q7991" i="8"/>
  <c r="Q7992" i="8"/>
  <c r="Q7993" i="8"/>
  <c r="Q7994" i="8"/>
  <c r="Q7995" i="8"/>
  <c r="Q7996" i="8"/>
  <c r="Q7997" i="8"/>
  <c r="Q7998" i="8"/>
  <c r="Q7999" i="8"/>
  <c r="Q8000" i="8"/>
  <c r="Q8001" i="8"/>
  <c r="Q8002" i="8"/>
  <c r="Q8003" i="8"/>
  <c r="Q8004" i="8"/>
  <c r="Q8005" i="8"/>
  <c r="Q8006" i="8"/>
  <c r="Q8007" i="8"/>
  <c r="Q8008" i="8"/>
  <c r="Q8009" i="8"/>
  <c r="Q8010" i="8"/>
  <c r="Q8011" i="8"/>
  <c r="Q8012" i="8"/>
  <c r="Q8013" i="8"/>
  <c r="Q8014" i="8"/>
  <c r="Q8015" i="8"/>
  <c r="Q8016" i="8"/>
  <c r="Q8017" i="8"/>
  <c r="Q8018" i="8"/>
  <c r="Q8019" i="8"/>
  <c r="Q8020" i="8"/>
  <c r="Q8021" i="8"/>
  <c r="Q8022" i="8"/>
  <c r="Q8023" i="8"/>
  <c r="Q8024" i="8"/>
  <c r="Q8025" i="8"/>
  <c r="Q8026" i="8"/>
  <c r="Q8027" i="8"/>
  <c r="Q8028" i="8"/>
  <c r="Q8029" i="8"/>
  <c r="Q8030" i="8"/>
  <c r="Q8031" i="8"/>
  <c r="Q8032" i="8"/>
  <c r="Q8033" i="8"/>
  <c r="Q8034" i="8"/>
  <c r="Q8035" i="8"/>
  <c r="Q8036" i="8"/>
  <c r="Q8037" i="8"/>
  <c r="Q8038" i="8"/>
  <c r="Q8039" i="8"/>
  <c r="Q8040" i="8"/>
  <c r="Q8041" i="8"/>
  <c r="Q8042" i="8"/>
  <c r="Q8043" i="8"/>
  <c r="Q8044" i="8"/>
  <c r="Q8045" i="8"/>
  <c r="Q8046" i="8"/>
  <c r="Q8047" i="8"/>
  <c r="Q8048" i="8"/>
  <c r="Q8049" i="8"/>
  <c r="Q8050" i="8"/>
  <c r="Q8051" i="8"/>
  <c r="Q8052" i="8"/>
  <c r="Q8053" i="8"/>
  <c r="Q8054" i="8"/>
  <c r="Q8055" i="8"/>
  <c r="Q8056" i="8"/>
  <c r="Q8057" i="8"/>
  <c r="Q8058" i="8"/>
  <c r="Q8059" i="8"/>
  <c r="Q8060" i="8"/>
  <c r="Q8061" i="8"/>
  <c r="Q8062" i="8"/>
  <c r="Q8063" i="8"/>
  <c r="Q8064" i="8"/>
  <c r="Q8065" i="8"/>
  <c r="Q8066" i="8"/>
  <c r="Q8067" i="8"/>
  <c r="Q8068" i="8"/>
  <c r="Q8069" i="8"/>
  <c r="Q8070" i="8"/>
  <c r="Q8071" i="8"/>
  <c r="Q8072" i="8"/>
  <c r="Q8073" i="8"/>
  <c r="Q8074" i="8"/>
  <c r="Q8075" i="8"/>
  <c r="Q8076" i="8"/>
  <c r="Q8077" i="8"/>
  <c r="Q8078" i="8"/>
  <c r="Q8079" i="8"/>
  <c r="Q8080" i="8"/>
  <c r="Q8081" i="8"/>
  <c r="Q8082" i="8"/>
  <c r="Q8083" i="8"/>
  <c r="Q8084" i="8"/>
  <c r="Q8085" i="8"/>
  <c r="Q8086" i="8"/>
  <c r="Q8087" i="8"/>
  <c r="Q8088" i="8"/>
  <c r="Q8089" i="8"/>
  <c r="Q8090" i="8"/>
  <c r="Q8091" i="8"/>
  <c r="Q8092" i="8"/>
  <c r="Q8093" i="8"/>
  <c r="Q8094" i="8"/>
  <c r="Q8095" i="8"/>
  <c r="Q8096" i="8"/>
  <c r="Q8097" i="8"/>
  <c r="Q8098" i="8"/>
  <c r="Q8099" i="8"/>
  <c r="Q8100" i="8"/>
  <c r="Q8101" i="8"/>
  <c r="Q8102" i="8"/>
  <c r="Q8103" i="8"/>
  <c r="Q8104" i="8"/>
  <c r="Q8105" i="8"/>
  <c r="Q8106" i="8"/>
  <c r="Q8107" i="8"/>
  <c r="Q8108" i="8"/>
  <c r="Q8109" i="8"/>
  <c r="Q8110" i="8"/>
  <c r="Q8111" i="8"/>
  <c r="Q8112" i="8"/>
  <c r="Q8113" i="8"/>
  <c r="Q8114" i="8"/>
  <c r="Q8115" i="8"/>
  <c r="Q8116" i="8"/>
  <c r="Q8117" i="8"/>
  <c r="Q8118" i="8"/>
  <c r="Q8119" i="8"/>
  <c r="Q8120" i="8"/>
  <c r="Q8121" i="8"/>
  <c r="Q8122" i="8"/>
  <c r="Q8123" i="8"/>
  <c r="Q8124" i="8"/>
  <c r="Q8125" i="8"/>
  <c r="Q8126" i="8"/>
  <c r="Q8127" i="8"/>
  <c r="Q8128" i="8"/>
  <c r="Q8129" i="8"/>
  <c r="Q8130" i="8"/>
  <c r="Q8131" i="8"/>
  <c r="Q8132" i="8"/>
  <c r="Q8133" i="8"/>
  <c r="Q8134" i="8"/>
  <c r="Q8135" i="8"/>
  <c r="Q8136" i="8"/>
  <c r="Q8137" i="8"/>
  <c r="Q8138" i="8"/>
  <c r="Q8139" i="8"/>
  <c r="Q8140" i="8"/>
  <c r="Q8141" i="8"/>
  <c r="Q8142" i="8"/>
  <c r="Q8143" i="8"/>
  <c r="Q8144" i="8"/>
  <c r="Q8145" i="8"/>
  <c r="Q8146" i="8"/>
  <c r="Q8147" i="8"/>
  <c r="Q8148" i="8"/>
  <c r="Q8149" i="8"/>
  <c r="Q8150" i="8"/>
  <c r="Q8151" i="8"/>
  <c r="Q8152" i="8"/>
  <c r="Q8153" i="8"/>
  <c r="Q8154" i="8"/>
  <c r="Q8155" i="8"/>
  <c r="Q8156" i="8"/>
  <c r="Q8157" i="8"/>
  <c r="Q8158" i="8"/>
  <c r="Q8159" i="8"/>
  <c r="Q8160" i="8"/>
  <c r="Q8161" i="8"/>
  <c r="Q8162" i="8"/>
  <c r="Q8163" i="8"/>
  <c r="Q8164" i="8"/>
  <c r="Q8165" i="8"/>
  <c r="Q8166" i="8"/>
  <c r="Q8167" i="8"/>
  <c r="Q8168" i="8"/>
  <c r="Q8169" i="8"/>
  <c r="Q8170" i="8"/>
  <c r="Q8171" i="8"/>
  <c r="Q8172" i="8"/>
  <c r="Q8173" i="8"/>
  <c r="Q8174" i="8"/>
  <c r="Q8175" i="8"/>
  <c r="Q8176" i="8"/>
  <c r="Q8177" i="8"/>
  <c r="Q8178" i="8"/>
  <c r="Q8179" i="8"/>
  <c r="Q8180" i="8"/>
  <c r="Q8181" i="8"/>
  <c r="Q8182" i="8"/>
  <c r="Q8183" i="8"/>
  <c r="Q8184" i="8"/>
  <c r="Q8185" i="8"/>
  <c r="Q8186" i="8"/>
  <c r="Q8187" i="8"/>
  <c r="Q8188" i="8"/>
  <c r="Q8189" i="8"/>
  <c r="Q8190" i="8"/>
  <c r="Q8191" i="8"/>
  <c r="Q8192" i="8"/>
  <c r="Q8193" i="8"/>
  <c r="Q8194" i="8"/>
  <c r="Q8195" i="8"/>
  <c r="Q8196" i="8"/>
  <c r="Q8197" i="8"/>
  <c r="Q8198" i="8"/>
  <c r="Q8199" i="8"/>
  <c r="Q8200" i="8"/>
  <c r="Q8201" i="8"/>
  <c r="Q8202" i="8"/>
  <c r="Q8203" i="8"/>
  <c r="Q8204" i="8"/>
  <c r="Q8205" i="8"/>
  <c r="Q8206" i="8"/>
  <c r="Q8207" i="8"/>
  <c r="Q8208" i="8"/>
  <c r="Q8209" i="8"/>
  <c r="Q8210" i="8"/>
  <c r="Q8211" i="8"/>
  <c r="Q8212" i="8"/>
  <c r="Q8213" i="8"/>
  <c r="Q8214" i="8"/>
  <c r="Q8215" i="8"/>
  <c r="Q8216" i="8"/>
  <c r="Q8217" i="8"/>
  <c r="Q8218" i="8"/>
  <c r="Q8219" i="8"/>
  <c r="Q8220" i="8"/>
  <c r="Q8221" i="8"/>
  <c r="Q8222" i="8"/>
  <c r="Q8223" i="8"/>
  <c r="Q8224" i="8"/>
  <c r="Q8225" i="8"/>
  <c r="Q8226" i="8"/>
  <c r="Q8227" i="8"/>
  <c r="Q8228" i="8"/>
  <c r="Q8229" i="8"/>
  <c r="Q8230" i="8"/>
  <c r="Q8231" i="8"/>
  <c r="Q8232" i="8"/>
  <c r="Q8233" i="8"/>
  <c r="Q8234" i="8"/>
  <c r="Q8235" i="8"/>
  <c r="Q8236" i="8"/>
  <c r="Q8237" i="8"/>
  <c r="Q8238" i="8"/>
  <c r="Q8239" i="8"/>
  <c r="Q8240" i="8"/>
  <c r="Q8241" i="8"/>
  <c r="Q8242" i="8"/>
  <c r="Q8243" i="8"/>
  <c r="Q8244" i="8"/>
  <c r="Q8245" i="8"/>
  <c r="Q8246" i="8"/>
  <c r="Q8247" i="8"/>
  <c r="Q8248" i="8"/>
  <c r="Q8249" i="8"/>
  <c r="Q8250" i="8"/>
  <c r="Q8251" i="8"/>
  <c r="Q8252" i="8"/>
  <c r="Q8253" i="8"/>
  <c r="Q8254" i="8"/>
  <c r="Q8255" i="8"/>
  <c r="Q8256" i="8"/>
  <c r="Q8257" i="8"/>
  <c r="Q8258" i="8"/>
  <c r="Q8259" i="8"/>
  <c r="Q8260" i="8"/>
  <c r="Q8261" i="8"/>
  <c r="Q8262" i="8"/>
  <c r="Q8263" i="8"/>
  <c r="Q8264" i="8"/>
  <c r="Q8265" i="8"/>
  <c r="Q8266" i="8"/>
  <c r="Q8267" i="8"/>
  <c r="Q8268" i="8"/>
  <c r="Q8269" i="8"/>
  <c r="Q8270" i="8"/>
  <c r="Q8271" i="8"/>
  <c r="Q8272" i="8"/>
  <c r="Q8273" i="8"/>
  <c r="Q8274" i="8"/>
  <c r="Q8275" i="8"/>
  <c r="Q8276" i="8"/>
  <c r="Q8277" i="8"/>
  <c r="Q8278" i="8"/>
  <c r="Q8279" i="8"/>
  <c r="Q8280" i="8"/>
  <c r="Q8281" i="8"/>
  <c r="Q8282" i="8"/>
  <c r="Q8283" i="8"/>
  <c r="Q8284" i="8"/>
  <c r="Q8285" i="8"/>
  <c r="Q8286" i="8"/>
  <c r="Q8287" i="8"/>
  <c r="Q8288" i="8"/>
  <c r="Q8289" i="8"/>
  <c r="Q8290" i="8"/>
  <c r="Q8291" i="8"/>
  <c r="Q8292" i="8"/>
  <c r="Q8293" i="8"/>
  <c r="Q8294" i="8"/>
  <c r="Q8295" i="8"/>
  <c r="Q8296" i="8"/>
  <c r="Q8297" i="8"/>
  <c r="Q8298" i="8"/>
  <c r="Q8299" i="8"/>
  <c r="Q8300" i="8"/>
  <c r="Q8301" i="8"/>
  <c r="Q8302" i="8"/>
  <c r="Q8303" i="8"/>
  <c r="Q8304" i="8"/>
  <c r="Q8305" i="8"/>
  <c r="Q8306" i="8"/>
  <c r="Q8307" i="8"/>
  <c r="Q8308" i="8"/>
  <c r="Q8309" i="8"/>
  <c r="Q8310" i="8"/>
  <c r="Q8311" i="8"/>
  <c r="Q8312" i="8"/>
  <c r="Q8313" i="8"/>
  <c r="Q8314" i="8"/>
  <c r="Q8315" i="8"/>
  <c r="Q8316" i="8"/>
  <c r="Q8317" i="8"/>
  <c r="Q8318" i="8"/>
  <c r="Q8319" i="8"/>
  <c r="Q8320" i="8"/>
  <c r="Q8321" i="8"/>
  <c r="Q8322" i="8"/>
  <c r="Q8323" i="8"/>
  <c r="Q8324" i="8"/>
  <c r="Q8325" i="8"/>
  <c r="Q8326" i="8"/>
  <c r="Q8327" i="8"/>
  <c r="Q8328" i="8"/>
  <c r="Q8329" i="8"/>
  <c r="Q8330" i="8"/>
  <c r="Q8331" i="8"/>
  <c r="Q8332" i="8"/>
  <c r="Q8333" i="8"/>
  <c r="Q8334" i="8"/>
  <c r="Q8335" i="8"/>
  <c r="Q8336" i="8"/>
  <c r="Q8337" i="8"/>
  <c r="Q8338" i="8"/>
  <c r="Q8339" i="8"/>
  <c r="Q8340" i="8"/>
  <c r="Q8341" i="8"/>
  <c r="Q8342" i="8"/>
  <c r="Q8343" i="8"/>
  <c r="Q8344" i="8"/>
  <c r="Q8345" i="8"/>
  <c r="Q8346" i="8"/>
  <c r="Q8347" i="8"/>
  <c r="Q8348" i="8"/>
  <c r="Q8349" i="8"/>
  <c r="Q8350" i="8"/>
  <c r="Q8351" i="8"/>
  <c r="Q8352" i="8"/>
  <c r="Q8353" i="8"/>
  <c r="Q8354" i="8"/>
  <c r="Q8355" i="8"/>
  <c r="Q8356" i="8"/>
  <c r="Q8357" i="8"/>
  <c r="Q8358" i="8"/>
  <c r="Q8359" i="8"/>
  <c r="Q8360" i="8"/>
  <c r="Q8361" i="8"/>
  <c r="Q8362" i="8"/>
  <c r="Q8363" i="8"/>
  <c r="Q8364" i="8"/>
  <c r="Q8365" i="8"/>
  <c r="Q8366" i="8"/>
  <c r="Q8367" i="8"/>
  <c r="Q8368" i="8"/>
  <c r="Q8369" i="8"/>
  <c r="Q8370" i="8"/>
  <c r="Q8371" i="8"/>
  <c r="Q8372" i="8"/>
  <c r="Q8373" i="8"/>
  <c r="Q8374" i="8"/>
  <c r="Q8375" i="8"/>
  <c r="Q8376" i="8"/>
  <c r="Q8377" i="8"/>
  <c r="Q8378" i="8"/>
  <c r="Q8379" i="8"/>
  <c r="Q8380" i="8"/>
  <c r="Q8381" i="8"/>
  <c r="Q8382" i="8"/>
  <c r="Q8383" i="8"/>
  <c r="Q8384" i="8"/>
  <c r="Q8385" i="8"/>
  <c r="Q8386" i="8"/>
  <c r="Q8387" i="8"/>
  <c r="Q8388" i="8"/>
  <c r="Q8389" i="8"/>
  <c r="Q8390" i="8"/>
  <c r="Q8391" i="8"/>
  <c r="Q8392" i="8"/>
  <c r="Q8393" i="8"/>
  <c r="Q8394" i="8"/>
  <c r="Q8395" i="8"/>
  <c r="Q8396" i="8"/>
  <c r="Q8397" i="8"/>
  <c r="Q8398" i="8"/>
  <c r="Q8399" i="8"/>
  <c r="Q8400" i="8"/>
  <c r="Q8401" i="8"/>
  <c r="Q8402" i="8"/>
  <c r="Q8403" i="8"/>
  <c r="Q8404" i="8"/>
  <c r="Q8405" i="8"/>
  <c r="Q8406" i="8"/>
  <c r="Q8407" i="8"/>
  <c r="Q8408" i="8"/>
  <c r="Q8409" i="8"/>
  <c r="Q8410" i="8"/>
  <c r="Q8411" i="8"/>
  <c r="Q8412" i="8"/>
  <c r="Q8413" i="8"/>
  <c r="Q8414" i="8"/>
  <c r="Q8415" i="8"/>
  <c r="Q8416" i="8"/>
  <c r="Q8417" i="8"/>
  <c r="Q8418" i="8"/>
  <c r="Q8419" i="8"/>
  <c r="Q8420" i="8"/>
  <c r="Q8421" i="8"/>
  <c r="Q8422" i="8"/>
  <c r="Q8423" i="8"/>
  <c r="Q8424" i="8"/>
  <c r="Q8425" i="8"/>
  <c r="Q8426" i="8"/>
  <c r="Q8427" i="8"/>
  <c r="Q8428" i="8"/>
  <c r="Q8429" i="8"/>
  <c r="Q8430" i="8"/>
  <c r="Q8431" i="8"/>
  <c r="Q8432" i="8"/>
  <c r="Q8433" i="8"/>
  <c r="Q8434" i="8"/>
  <c r="Q8435" i="8"/>
  <c r="Q8436" i="8"/>
  <c r="Q8437" i="8"/>
  <c r="Q8438" i="8"/>
  <c r="Q8439" i="8"/>
  <c r="Q8440" i="8"/>
  <c r="Q8441" i="8"/>
  <c r="Q8442" i="8"/>
  <c r="Q8443" i="8"/>
  <c r="Q8444" i="8"/>
  <c r="Q8445" i="8"/>
  <c r="Q8446" i="8"/>
  <c r="Q8447" i="8"/>
  <c r="Q8448" i="8"/>
  <c r="Q8449" i="8"/>
  <c r="Q8450" i="8"/>
  <c r="Q8451" i="8"/>
  <c r="Q8452" i="8"/>
  <c r="Q8453" i="8"/>
  <c r="Q8454" i="8"/>
  <c r="Q8455" i="8"/>
  <c r="Q8456" i="8"/>
  <c r="Q8457" i="8"/>
  <c r="Q8458" i="8"/>
  <c r="Q8459" i="8"/>
  <c r="Q8460" i="8"/>
  <c r="Q8461" i="8"/>
  <c r="Q8462" i="8"/>
  <c r="Q8463" i="8"/>
  <c r="Q8464" i="8"/>
  <c r="Q8465" i="8"/>
  <c r="Q8466" i="8"/>
  <c r="Q8467" i="8"/>
  <c r="Q8468" i="8"/>
  <c r="Q8469" i="8"/>
  <c r="Q8470" i="8"/>
  <c r="Q8471" i="8"/>
  <c r="Q8472" i="8"/>
  <c r="Q8473" i="8"/>
  <c r="Q8474" i="8"/>
  <c r="Q8475" i="8"/>
  <c r="Q8476" i="8"/>
  <c r="Q8477" i="8"/>
  <c r="Q8478" i="8"/>
  <c r="Q8479" i="8"/>
  <c r="Q8480" i="8"/>
  <c r="Q8481" i="8"/>
  <c r="Q8482" i="8"/>
  <c r="Q8483" i="8"/>
  <c r="Q8484" i="8"/>
  <c r="Q8485" i="8"/>
  <c r="Q8486" i="8"/>
  <c r="Q8487" i="8"/>
  <c r="Q8488" i="8"/>
  <c r="Q8489" i="8"/>
  <c r="Q8490" i="8"/>
  <c r="Q8491" i="8"/>
  <c r="Q8492" i="8"/>
  <c r="Q8493" i="8"/>
  <c r="Q8494" i="8"/>
  <c r="Q8495" i="8"/>
  <c r="Q8496" i="8"/>
  <c r="Q8497" i="8"/>
  <c r="Q8498" i="8"/>
  <c r="Q8499" i="8"/>
  <c r="Q8500" i="8"/>
  <c r="Q8501" i="8"/>
  <c r="Q8502" i="8"/>
  <c r="Q8503" i="8"/>
  <c r="Q8504" i="8"/>
  <c r="Q8505" i="8"/>
  <c r="Q8506" i="8"/>
  <c r="Q8507" i="8"/>
  <c r="Q8508" i="8"/>
  <c r="Q8509" i="8"/>
  <c r="Q8510" i="8"/>
  <c r="Q8511" i="8"/>
  <c r="Q8512" i="8"/>
  <c r="Q8513" i="8"/>
  <c r="Q8514" i="8"/>
  <c r="Q8515" i="8"/>
  <c r="Q8516" i="8"/>
  <c r="Q8517" i="8"/>
  <c r="Q8518" i="8"/>
  <c r="Q8519" i="8"/>
  <c r="Q8520" i="8"/>
  <c r="Q8521" i="8"/>
  <c r="Q8522" i="8"/>
  <c r="Q8523" i="8"/>
  <c r="Q8524" i="8"/>
  <c r="Q8525" i="8"/>
  <c r="Q8526" i="8"/>
  <c r="Q8527" i="8"/>
  <c r="Q8528" i="8"/>
  <c r="Q8529" i="8"/>
  <c r="Q8530" i="8"/>
  <c r="Q8531" i="8"/>
  <c r="Q8532" i="8"/>
  <c r="Q8533" i="8"/>
  <c r="Q8534" i="8"/>
  <c r="Q8535" i="8"/>
  <c r="Q8536" i="8"/>
  <c r="Q8537" i="8"/>
  <c r="Q8538" i="8"/>
  <c r="Q8539" i="8"/>
  <c r="Q8540" i="8"/>
  <c r="Q8541" i="8"/>
  <c r="Q8542" i="8"/>
  <c r="Q8543" i="8"/>
  <c r="Q8544" i="8"/>
  <c r="Q8545" i="8"/>
  <c r="Q8546" i="8"/>
  <c r="Q8547" i="8"/>
  <c r="Q8548" i="8"/>
  <c r="Q8549" i="8"/>
  <c r="Q8550" i="8"/>
  <c r="Q8551" i="8"/>
  <c r="Q8552" i="8"/>
  <c r="Q8553" i="8"/>
  <c r="Q8554" i="8"/>
  <c r="Q8555" i="8"/>
  <c r="Q8556" i="8"/>
  <c r="Q8557" i="8"/>
  <c r="Q8558" i="8"/>
  <c r="Q8559" i="8"/>
  <c r="Q8560" i="8"/>
  <c r="Q8561" i="8"/>
  <c r="Q8562" i="8"/>
  <c r="Q8563" i="8"/>
  <c r="Q8564" i="8"/>
  <c r="Q8565" i="8"/>
  <c r="Q8566" i="8"/>
  <c r="Q8567" i="8"/>
  <c r="Q8568" i="8"/>
  <c r="Q8569" i="8"/>
  <c r="Q8570" i="8"/>
  <c r="Q8571" i="8"/>
  <c r="Q8572" i="8"/>
  <c r="Q8573" i="8"/>
  <c r="Q8574" i="8"/>
  <c r="Q8575" i="8"/>
  <c r="Q8576" i="8"/>
  <c r="Q8577" i="8"/>
  <c r="Q8578" i="8"/>
  <c r="Q8579" i="8"/>
  <c r="Q8580" i="8"/>
  <c r="Q8581" i="8"/>
  <c r="Q8582" i="8"/>
  <c r="Q8583" i="8"/>
  <c r="Q8584" i="8"/>
  <c r="Q8585" i="8"/>
  <c r="Q8586" i="8"/>
  <c r="Q8587" i="8"/>
  <c r="Q8588" i="8"/>
  <c r="Q8589" i="8"/>
  <c r="Q8590" i="8"/>
  <c r="Q8591" i="8"/>
  <c r="Q8592" i="8"/>
  <c r="Q8593" i="8"/>
  <c r="Q8594" i="8"/>
  <c r="Q8595" i="8"/>
  <c r="Q8596" i="8"/>
  <c r="Q8597" i="8"/>
  <c r="Q8598" i="8"/>
  <c r="Q8599" i="8"/>
  <c r="Q8600" i="8"/>
  <c r="Q8601" i="8"/>
  <c r="Q8602" i="8"/>
  <c r="Q8603" i="8"/>
  <c r="Q8604" i="8"/>
  <c r="Q8605" i="8"/>
  <c r="Q8606" i="8"/>
  <c r="Q8607" i="8"/>
  <c r="Q8608" i="8"/>
  <c r="Q8609" i="8"/>
  <c r="Q8610" i="8"/>
  <c r="Q8611" i="8"/>
  <c r="Q8612" i="8"/>
  <c r="Q8613" i="8"/>
  <c r="Q8614" i="8"/>
  <c r="Q8615" i="8"/>
  <c r="Q8616" i="8"/>
  <c r="Q8617" i="8"/>
  <c r="Q8618" i="8"/>
  <c r="Q8619" i="8"/>
  <c r="Q8620" i="8"/>
  <c r="Q8621" i="8"/>
  <c r="Q8622" i="8"/>
  <c r="Q8623" i="8"/>
  <c r="Q8624" i="8"/>
  <c r="Q8625" i="8"/>
  <c r="Q8626" i="8"/>
  <c r="Q8627" i="8"/>
  <c r="Q8628" i="8"/>
  <c r="Q8629" i="8"/>
  <c r="Q8630" i="8"/>
  <c r="Q8631" i="8"/>
  <c r="Q8632" i="8"/>
  <c r="Q8633" i="8"/>
  <c r="Q8634" i="8"/>
  <c r="Q8635" i="8"/>
  <c r="Q8636" i="8"/>
  <c r="Q8637" i="8"/>
  <c r="Q8638" i="8"/>
  <c r="Q8639" i="8"/>
  <c r="Q8640" i="8"/>
  <c r="Q8641" i="8"/>
  <c r="Q8642" i="8"/>
  <c r="Q8643" i="8"/>
  <c r="Q8644" i="8"/>
  <c r="Q8645" i="8"/>
  <c r="Q8646" i="8"/>
  <c r="Q8647" i="8"/>
  <c r="Q8648" i="8"/>
  <c r="Q8649" i="8"/>
  <c r="Q8650" i="8"/>
  <c r="Q8651" i="8"/>
  <c r="Q8652" i="8"/>
  <c r="Q8653" i="8"/>
  <c r="Q8654" i="8"/>
  <c r="Q8655" i="8"/>
  <c r="Q8656" i="8"/>
  <c r="Q8657" i="8"/>
  <c r="Q8658" i="8"/>
  <c r="Q8659" i="8"/>
  <c r="Q8660" i="8"/>
  <c r="Q8661" i="8"/>
  <c r="Q8662" i="8"/>
  <c r="Q8663" i="8"/>
  <c r="Q8664" i="8"/>
  <c r="Q8665" i="8"/>
  <c r="Q8666" i="8"/>
  <c r="Q8667" i="8"/>
  <c r="Q8668" i="8"/>
  <c r="Q8669" i="8"/>
  <c r="Q8670" i="8"/>
  <c r="Q8671" i="8"/>
  <c r="Q8672" i="8"/>
  <c r="Q8673" i="8"/>
  <c r="Q8674" i="8"/>
  <c r="Q8675" i="8"/>
  <c r="Q8676" i="8"/>
  <c r="Q8677" i="8"/>
  <c r="Q8678" i="8"/>
  <c r="Q8679" i="8"/>
  <c r="Q8680" i="8"/>
  <c r="Q8681" i="8"/>
  <c r="Q8682" i="8"/>
  <c r="Q8683" i="8"/>
  <c r="Q8684" i="8"/>
  <c r="Q8685" i="8"/>
  <c r="Q8686" i="8"/>
  <c r="Q8687" i="8"/>
  <c r="Q8688" i="8"/>
  <c r="Q8689" i="8"/>
  <c r="Q8690" i="8"/>
  <c r="Q8691" i="8"/>
  <c r="Q8692" i="8"/>
  <c r="Q8693" i="8"/>
  <c r="Q8694" i="8"/>
  <c r="Q8695" i="8"/>
  <c r="Q8696" i="8"/>
  <c r="Q8697" i="8"/>
  <c r="Q8698" i="8"/>
  <c r="Q8699" i="8"/>
  <c r="Q8700" i="8"/>
  <c r="Q8701" i="8"/>
  <c r="Q8702" i="8"/>
  <c r="Q8703" i="8"/>
  <c r="Q8704" i="8"/>
  <c r="Q8705" i="8"/>
  <c r="Q8706" i="8"/>
  <c r="Q8707" i="8"/>
  <c r="Q8708" i="8"/>
  <c r="Q8709" i="8"/>
  <c r="Q8710" i="8"/>
  <c r="Q8711" i="8"/>
  <c r="Q8712" i="8"/>
  <c r="Q8713" i="8"/>
  <c r="Q8714" i="8"/>
  <c r="Q8715" i="8"/>
  <c r="Q8716" i="8"/>
  <c r="Q8717" i="8"/>
  <c r="Q8718" i="8"/>
  <c r="Q8719" i="8"/>
  <c r="Q8720" i="8"/>
  <c r="Q8721" i="8"/>
  <c r="Q8722" i="8"/>
  <c r="Q8723" i="8"/>
  <c r="Q8724" i="8"/>
  <c r="Q8725" i="8"/>
  <c r="Q8726" i="8"/>
  <c r="Q8727" i="8"/>
  <c r="Q8728" i="8"/>
  <c r="Q8729" i="8"/>
  <c r="Q8730" i="8"/>
  <c r="Q8731" i="8"/>
  <c r="Q8732" i="8"/>
  <c r="Q8733" i="8"/>
  <c r="Q8734" i="8"/>
  <c r="Q8735" i="8"/>
  <c r="Q8736" i="8"/>
  <c r="Q8737" i="8"/>
  <c r="Q8738" i="8"/>
  <c r="Q8739" i="8"/>
  <c r="E4" i="8"/>
  <c r="G1" i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4" i="8"/>
  <c r="A4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R14" i="2"/>
  <c r="T14" i="2"/>
  <c r="S14" i="2"/>
  <c r="U14" i="2"/>
  <c r="F12" i="2"/>
  <c r="S15" i="2"/>
  <c r="U15" i="2"/>
  <c r="S16" i="2"/>
  <c r="U16" i="2"/>
  <c r="R15" i="2"/>
  <c r="T15" i="2"/>
  <c r="R16" i="2"/>
  <c r="T16" i="2"/>
  <c r="E17" i="2"/>
  <c r="E18" i="2"/>
  <c r="E19" i="2"/>
  <c r="E20" i="2"/>
  <c r="E16" i="2"/>
  <c r="G13" i="2"/>
  <c r="G12" i="2"/>
  <c r="G11" i="2"/>
  <c r="G6" i="2"/>
  <c r="G7" i="2"/>
  <c r="J3" i="4"/>
  <c r="G16" i="2"/>
  <c r="F16" i="2"/>
  <c r="C1" i="3"/>
  <c r="C52" i="3"/>
  <c r="A52" i="3"/>
  <c r="C51" i="3"/>
  <c r="A51" i="3"/>
  <c r="C50" i="3"/>
  <c r="A50" i="3"/>
  <c r="C49" i="3"/>
  <c r="A49" i="3"/>
  <c r="C48" i="3"/>
  <c r="A48" i="3"/>
  <c r="C47" i="3"/>
  <c r="A47" i="3"/>
  <c r="C46" i="3"/>
  <c r="A46" i="3"/>
  <c r="C45" i="3"/>
  <c r="A45" i="3"/>
  <c r="C44" i="3"/>
  <c r="A44" i="3"/>
  <c r="C43" i="3"/>
  <c r="A43" i="3"/>
  <c r="C42" i="3"/>
  <c r="A42" i="3"/>
  <c r="C41" i="3"/>
  <c r="A41" i="3"/>
  <c r="C40" i="3"/>
  <c r="A40" i="3"/>
  <c r="C39" i="3"/>
  <c r="A39" i="3"/>
  <c r="C38" i="3"/>
  <c r="A38" i="3"/>
  <c r="C37" i="3"/>
  <c r="A37" i="3"/>
  <c r="C36" i="3"/>
  <c r="A36" i="3"/>
  <c r="C35" i="3"/>
  <c r="A35" i="3"/>
  <c r="C34" i="3"/>
  <c r="A34" i="3"/>
  <c r="C33" i="3"/>
  <c r="A33" i="3"/>
  <c r="C32" i="3"/>
  <c r="A32" i="3"/>
  <c r="C31" i="3"/>
  <c r="A31" i="3"/>
  <c r="C30" i="3"/>
  <c r="A30" i="3"/>
  <c r="C29" i="3"/>
  <c r="A29" i="3"/>
  <c r="C28" i="3"/>
  <c r="A28" i="3"/>
  <c r="C27" i="3"/>
  <c r="A27" i="3"/>
  <c r="C26" i="3"/>
  <c r="A26" i="3"/>
  <c r="C25" i="3"/>
  <c r="A25" i="3"/>
  <c r="C24" i="3"/>
  <c r="A24" i="3"/>
  <c r="C23" i="3"/>
  <c r="A23" i="3"/>
  <c r="C22" i="3"/>
  <c r="A22" i="3"/>
  <c r="C21" i="3"/>
  <c r="A21" i="3"/>
  <c r="C20" i="3"/>
  <c r="A20" i="3"/>
  <c r="C19" i="3"/>
  <c r="A19" i="3"/>
  <c r="C18" i="3"/>
  <c r="A18" i="3"/>
  <c r="C17" i="3"/>
  <c r="A17" i="3"/>
  <c r="C16" i="3"/>
  <c r="A16" i="3"/>
  <c r="C15" i="3"/>
  <c r="A15" i="3"/>
  <c r="C14" i="3"/>
  <c r="A14" i="3"/>
  <c r="C13" i="3"/>
  <c r="A13" i="3"/>
  <c r="C12" i="3"/>
  <c r="A12" i="3"/>
  <c r="C11" i="3"/>
  <c r="A11" i="3"/>
  <c r="C10" i="3"/>
  <c r="A10" i="3"/>
  <c r="C9" i="3"/>
  <c r="A9" i="3"/>
  <c r="C8" i="3"/>
  <c r="A8" i="3"/>
  <c r="C7" i="3"/>
  <c r="A7" i="3"/>
  <c r="C6" i="3"/>
  <c r="A6" i="3"/>
  <c r="C5" i="3"/>
  <c r="A5" i="3"/>
  <c r="C5" i="1"/>
  <c r="A5" i="1"/>
  <c r="C6" i="1"/>
  <c r="A6" i="1"/>
  <c r="C7" i="1"/>
  <c r="A7" i="1"/>
  <c r="C8" i="1"/>
  <c r="A8" i="1"/>
  <c r="C9" i="1"/>
  <c r="A9" i="1"/>
  <c r="C10" i="1"/>
  <c r="A10" i="1"/>
  <c r="C11" i="1"/>
  <c r="A11" i="1"/>
  <c r="C12" i="1"/>
  <c r="A12" i="1"/>
  <c r="C13" i="1"/>
  <c r="A13" i="1"/>
  <c r="C14" i="1"/>
  <c r="A14" i="1"/>
  <c r="C15" i="1"/>
  <c r="A15" i="1"/>
  <c r="C16" i="1"/>
  <c r="A16" i="1"/>
  <c r="C17" i="1"/>
  <c r="A17" i="1"/>
  <c r="C18" i="1"/>
  <c r="A18" i="1"/>
  <c r="C19" i="1"/>
  <c r="A19" i="1"/>
  <c r="C20" i="1"/>
  <c r="A20" i="1"/>
  <c r="C21" i="1"/>
  <c r="A21" i="1"/>
  <c r="C22" i="1"/>
  <c r="A22" i="1"/>
  <c r="C23" i="1"/>
  <c r="A23" i="1"/>
  <c r="C24" i="1"/>
  <c r="A24" i="1"/>
  <c r="C25" i="1"/>
  <c r="A25" i="1"/>
  <c r="C26" i="1"/>
  <c r="A26" i="1"/>
  <c r="C27" i="1"/>
  <c r="A27" i="1"/>
  <c r="C28" i="1"/>
  <c r="A28" i="1"/>
  <c r="C29" i="1"/>
  <c r="A29" i="1"/>
  <c r="C30" i="1"/>
  <c r="A30" i="1"/>
  <c r="C31" i="1"/>
  <c r="A31" i="1"/>
  <c r="C32" i="1"/>
  <c r="A32" i="1"/>
  <c r="C33" i="1"/>
  <c r="A33" i="1"/>
  <c r="C34" i="1"/>
  <c r="A34" i="1"/>
  <c r="C35" i="1"/>
  <c r="A35" i="1"/>
  <c r="C36" i="1"/>
  <c r="A36" i="1"/>
  <c r="C37" i="1"/>
  <c r="A37" i="1"/>
  <c r="C38" i="1"/>
  <c r="A38" i="1"/>
  <c r="C39" i="1"/>
  <c r="A39" i="1"/>
  <c r="C40" i="1"/>
  <c r="A40" i="1"/>
  <c r="C41" i="1"/>
  <c r="A41" i="1"/>
  <c r="C42" i="1"/>
  <c r="A42" i="1"/>
  <c r="C43" i="1"/>
  <c r="A43" i="1"/>
  <c r="C44" i="1"/>
  <c r="A44" i="1"/>
  <c r="C45" i="1"/>
  <c r="A45" i="1"/>
  <c r="C46" i="1"/>
  <c r="A46" i="1"/>
  <c r="C47" i="1"/>
  <c r="A47" i="1"/>
  <c r="C48" i="1"/>
  <c r="A48" i="1"/>
  <c r="C49" i="1"/>
  <c r="A49" i="1"/>
  <c r="C50" i="1"/>
  <c r="A50" i="1"/>
  <c r="C51" i="1"/>
  <c r="A51" i="1"/>
  <c r="O52" i="1"/>
  <c r="M52" i="1"/>
  <c r="O53" i="1"/>
  <c r="M53" i="1"/>
  <c r="O54" i="1"/>
  <c r="M54" i="1"/>
  <c r="O55" i="1"/>
  <c r="M55" i="1"/>
  <c r="O56" i="1"/>
  <c r="M56" i="1"/>
  <c r="O57" i="1"/>
  <c r="M57" i="1"/>
  <c r="O58" i="1"/>
  <c r="M58" i="1"/>
  <c r="O59" i="1"/>
  <c r="M59" i="1"/>
  <c r="O60" i="1"/>
  <c r="M60" i="1"/>
  <c r="O61" i="1"/>
  <c r="M61" i="1"/>
  <c r="O62" i="1"/>
  <c r="M62" i="1"/>
  <c r="O63" i="1"/>
  <c r="M63" i="1"/>
  <c r="O64" i="1"/>
  <c r="M64" i="1"/>
  <c r="O65" i="1"/>
  <c r="M65" i="1"/>
  <c r="O66" i="1"/>
  <c r="M66" i="1"/>
  <c r="O67" i="1"/>
  <c r="M67" i="1"/>
  <c r="O68" i="1"/>
  <c r="M68" i="1"/>
  <c r="O69" i="1"/>
  <c r="M69" i="1"/>
  <c r="O70" i="1"/>
  <c r="M70" i="1"/>
  <c r="O71" i="1"/>
  <c r="M71" i="1"/>
  <c r="O72" i="1"/>
  <c r="M72" i="1"/>
  <c r="O73" i="1"/>
  <c r="M73" i="1"/>
  <c r="O74" i="1"/>
  <c r="M74" i="1"/>
  <c r="O75" i="1"/>
  <c r="M75" i="1"/>
  <c r="O76" i="1"/>
  <c r="M76" i="1"/>
  <c r="O77" i="1"/>
  <c r="M77" i="1"/>
  <c r="O78" i="1"/>
  <c r="M78" i="1"/>
  <c r="O79" i="1"/>
  <c r="M79" i="1"/>
  <c r="O80" i="1"/>
  <c r="M80" i="1"/>
  <c r="O81" i="1"/>
  <c r="M81" i="1"/>
  <c r="O82" i="1"/>
  <c r="M82" i="1"/>
  <c r="O83" i="1"/>
  <c r="M83" i="1"/>
  <c r="O84" i="1"/>
  <c r="M84" i="1"/>
  <c r="O85" i="1"/>
  <c r="M85" i="1"/>
  <c r="O86" i="1"/>
  <c r="M86" i="1"/>
  <c r="O87" i="1"/>
  <c r="M87" i="1"/>
  <c r="O88" i="1"/>
  <c r="M88" i="1"/>
  <c r="O89" i="1"/>
  <c r="M89" i="1"/>
  <c r="O90" i="1"/>
  <c r="M90" i="1"/>
  <c r="O91" i="1"/>
  <c r="M91" i="1"/>
  <c r="O92" i="1"/>
  <c r="M92" i="1"/>
  <c r="O93" i="1"/>
  <c r="M93" i="1"/>
  <c r="O94" i="1"/>
  <c r="M94" i="1"/>
  <c r="O95" i="1"/>
  <c r="M95" i="1"/>
  <c r="O96" i="1"/>
  <c r="M96" i="1"/>
  <c r="O97" i="1"/>
  <c r="M97" i="1"/>
  <c r="O98" i="1"/>
  <c r="M98" i="1"/>
  <c r="O99" i="1"/>
  <c r="M99" i="1"/>
  <c r="O100" i="1"/>
  <c r="M100" i="1"/>
  <c r="O101" i="1"/>
  <c r="M101" i="1"/>
  <c r="O102" i="1"/>
  <c r="M102" i="1"/>
  <c r="O103" i="1"/>
  <c r="M103" i="1"/>
  <c r="O104" i="1"/>
  <c r="M104" i="1"/>
  <c r="O105" i="1"/>
  <c r="M105" i="1"/>
  <c r="O106" i="1"/>
  <c r="M106" i="1"/>
  <c r="O107" i="1"/>
  <c r="M107" i="1"/>
  <c r="O108" i="1"/>
  <c r="M108" i="1"/>
  <c r="O109" i="1"/>
  <c r="M109" i="1"/>
  <c r="O110" i="1"/>
  <c r="M110" i="1"/>
  <c r="O111" i="1"/>
  <c r="M111" i="1"/>
  <c r="O112" i="1"/>
  <c r="M112" i="1"/>
  <c r="O113" i="1"/>
  <c r="M113" i="1"/>
  <c r="O114" i="1"/>
  <c r="M114" i="1"/>
  <c r="O115" i="1"/>
  <c r="M115" i="1"/>
  <c r="O116" i="1"/>
  <c r="M116" i="1"/>
  <c r="O117" i="1"/>
  <c r="M117" i="1"/>
  <c r="O118" i="1"/>
  <c r="M118" i="1"/>
  <c r="O119" i="1"/>
  <c r="M119" i="1"/>
  <c r="O120" i="1"/>
  <c r="M120" i="1"/>
  <c r="O121" i="1"/>
  <c r="M121" i="1"/>
  <c r="O122" i="1"/>
  <c r="M122" i="1"/>
  <c r="O123" i="1"/>
  <c r="M123" i="1"/>
  <c r="O124" i="1"/>
  <c r="M124" i="1"/>
  <c r="O125" i="1"/>
  <c r="M125" i="1"/>
  <c r="O126" i="1"/>
  <c r="M126" i="1"/>
  <c r="O127" i="1"/>
  <c r="M127" i="1"/>
  <c r="O128" i="1"/>
  <c r="M128" i="1"/>
  <c r="O129" i="1"/>
  <c r="M129" i="1"/>
  <c r="O130" i="1"/>
  <c r="M130" i="1"/>
  <c r="O131" i="1"/>
  <c r="M131" i="1"/>
  <c r="O132" i="1"/>
  <c r="M132" i="1"/>
  <c r="O133" i="1"/>
  <c r="M133" i="1"/>
  <c r="O134" i="1"/>
  <c r="M134" i="1"/>
  <c r="O135" i="1"/>
  <c r="M135" i="1"/>
  <c r="O136" i="1"/>
  <c r="M136" i="1"/>
  <c r="O137" i="1"/>
  <c r="M137" i="1"/>
  <c r="O138" i="1"/>
  <c r="M138" i="1"/>
  <c r="O139" i="1"/>
  <c r="M139" i="1"/>
  <c r="O140" i="1"/>
  <c r="M140" i="1"/>
  <c r="O141" i="1"/>
  <c r="M141" i="1"/>
  <c r="O142" i="1"/>
  <c r="M142" i="1"/>
  <c r="O143" i="1"/>
  <c r="M143" i="1"/>
  <c r="O144" i="1"/>
  <c r="M144" i="1"/>
  <c r="O145" i="1"/>
  <c r="M145" i="1"/>
  <c r="O146" i="1"/>
  <c r="M146" i="1"/>
  <c r="O147" i="1"/>
  <c r="M147" i="1"/>
  <c r="O148" i="1"/>
  <c r="M148" i="1"/>
  <c r="O149" i="1"/>
  <c r="M149" i="1"/>
  <c r="O150" i="1"/>
  <c r="M150" i="1"/>
  <c r="O151" i="1"/>
  <c r="M151" i="1"/>
  <c r="O152" i="1"/>
  <c r="M152" i="1"/>
  <c r="O153" i="1"/>
  <c r="M153" i="1"/>
  <c r="O154" i="1"/>
  <c r="M154" i="1"/>
  <c r="O155" i="1"/>
  <c r="M155" i="1"/>
  <c r="O156" i="1"/>
  <c r="M156" i="1"/>
  <c r="O157" i="1"/>
  <c r="M157" i="1"/>
  <c r="O158" i="1"/>
  <c r="M158" i="1"/>
  <c r="O159" i="1"/>
  <c r="M159" i="1"/>
  <c r="O160" i="1"/>
  <c r="M160" i="1"/>
  <c r="O161" i="1"/>
  <c r="M161" i="1"/>
  <c r="O162" i="1"/>
  <c r="M162" i="1"/>
  <c r="O163" i="1"/>
  <c r="M163" i="1"/>
  <c r="O164" i="1"/>
  <c r="M164" i="1"/>
  <c r="O165" i="1"/>
  <c r="M165" i="1"/>
  <c r="O166" i="1"/>
  <c r="M166" i="1"/>
  <c r="O167" i="1"/>
  <c r="M167" i="1"/>
  <c r="O168" i="1"/>
  <c r="M168" i="1"/>
  <c r="O169" i="1"/>
  <c r="M169" i="1"/>
  <c r="O170" i="1"/>
  <c r="M170" i="1"/>
  <c r="O171" i="1"/>
  <c r="M171" i="1"/>
  <c r="C4" i="1"/>
  <c r="A4" i="1"/>
</calcChain>
</file>

<file path=xl/sharedStrings.xml><?xml version="1.0" encoding="utf-8"?>
<sst xmlns="http://schemas.openxmlformats.org/spreadsheetml/2006/main" count="156" uniqueCount="94">
  <si>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</si>
  <si>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</si>
  <si>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</si>
  <si>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</si>
  <si>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</si>
  <si>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</si>
  <si>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</si>
  <si>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</si>
  <si>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FC</t>
  </si>
  <si>
    <t>PV</t>
  </si>
  <si>
    <t>PVT</t>
  </si>
  <si>
    <t>WIND</t>
  </si>
  <si>
    <t>Nomout</t>
  </si>
  <si>
    <t>Maxout</t>
  </si>
  <si>
    <t>Minout</t>
  </si>
  <si>
    <t>NG</t>
  </si>
  <si>
    <t>Diesel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</si>
  <si>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</si>
  <si>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</si>
  <si>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</si>
  <si>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</si>
  <si>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</si>
  <si>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</si>
  <si>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</si>
  <si>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</si>
  <si>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</si>
  <si>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</si>
  <si>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</si>
  <si>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</si>
  <si>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</si>
  <si>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</si>
  <si>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</si>
  <si>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</si>
  <si>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</si>
  <si>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</si>
  <si>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</si>
  <si>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</si>
  <si>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</si>
  <si>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</si>
  <si>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</si>
  <si>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</si>
  <si>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</si>
  <si>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</si>
  <si>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</si>
  <si>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</si>
  <si>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</si>
  <si>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</si>
  <si>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</si>
  <si>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B4</t>
  </si>
  <si>
    <t>C4</t>
  </si>
  <si>
    <t>B9</t>
  </si>
  <si>
    <t>C9</t>
  </si>
  <si>
    <t>ICE1</t>
  </si>
  <si>
    <t>day</t>
  </si>
  <si>
    <t>timestep duration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</si>
  <si>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</si>
  <si>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</si>
  <si>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</si>
  <si>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</si>
  <si>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</si>
  <si>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</si>
  <si>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</si>
  <si>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</si>
  <si>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</si>
  <si>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</si>
  <si>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</si>
  <si>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</si>
  <si>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</si>
  <si>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</si>
  <si>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</si>
  <si>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HTH</t>
  </si>
  <si>
    <t>LTGB</t>
  </si>
  <si>
    <t>HTGB</t>
  </si>
  <si>
    <t>D4:F4</t>
  </si>
  <si>
    <t>C5:F7</t>
  </si>
  <si>
    <t>H5:I5</t>
  </si>
  <si>
    <t>K5:L5</t>
  </si>
  <si>
    <t>M5:Q5</t>
  </si>
  <si>
    <t>D9:F9</t>
  </si>
  <si>
    <t>C10:F13</t>
  </si>
  <si>
    <t>H10:I10</t>
  </si>
  <si>
    <t>K10:L10</t>
  </si>
  <si>
    <t>M10:Q10</t>
  </si>
  <si>
    <t>B23</t>
  </si>
  <si>
    <t>C23</t>
  </si>
  <si>
    <t>D23</t>
  </si>
  <si>
    <t>C24:D28</t>
  </si>
  <si>
    <t>F24:G24</t>
  </si>
  <si>
    <t>I24:J24</t>
  </si>
  <si>
    <t>K24:O24</t>
  </si>
  <si>
    <t>A2:G5</t>
  </si>
  <si>
    <t>functionflag</t>
  </si>
  <si>
    <t>eta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</si>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</sst>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-* #,##0.000_-;\-* #,##0.000_-;_-* &quot;-&quot;??_-;_-@_-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4" fillId="0" borderId="0" xfId="0" applyFo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5" borderId="0" xfId="0" quotePrefix="1" applyFill="1"/>
    <xf numFmtId="0" fontId="0" fillId="8" borderId="0" xfId="0" quotePrefix="1" applyFill="1"/>
    <xf numFmtId="0" fontId="0" fillId="9" borderId="0" xfId="0" applyFill="1"/>
    <xf numFmtId="9" fontId="0" fillId="0" borderId="0" xfId="0" applyNumberFormat="1"/>
    <xf numFmtId="10" fontId="0" fillId="0" borderId="0" xfId="0" applyNumberFormat="1"/>
    <xf numFmtId="0" fontId="0" fillId="10" borderId="0" xfId="0" applyFill="1"/>
    <xf numFmtId="0" fontId="0" fillId="11" borderId="0" xfId="0" applyFill="1"/>
    <xf numFmtId="0" fontId="0" fillId="12" borderId="0" xfId="0" applyFill="1"/>
    <xf numFmtId="164" fontId="0" fillId="11" borderId="0" xfId="2" applyNumberFormat="1" applyFont="1" applyFill="1" applyBorder="1"/>
    <xf numFmtId="43" fontId="0" fillId="0" borderId="0" xfId="0" applyNumberFormat="1"/>
    <xf numFmtId="165" fontId="5" fillId="13" borderId="0" xfId="2" applyNumberFormat="1" applyFont="1" applyFill="1" applyBorder="1" applyAlignment="1">
      <alignment horizontal="center"/>
    </xf>
    <xf numFmtId="164" fontId="5" fillId="13" borderId="0" xfId="2" applyNumberFormat="1" applyFont="1" applyFill="1" applyBorder="1" applyAlignment="1">
      <alignment horizontal="center"/>
    </xf>
    <xf numFmtId="165" fontId="5" fillId="14" borderId="0" xfId="2" applyNumberFormat="1" applyFont="1" applyFill="1" applyBorder="1" applyAlignment="1">
      <alignment horizontal="center"/>
    </xf>
    <xf numFmtId="164" fontId="5" fillId="14" borderId="0" xfId="2" applyNumberFormat="1" applyFont="1" applyFill="1" applyBorder="1" applyAlignment="1">
      <alignment horizontal="center"/>
    </xf>
    <xf numFmtId="165" fontId="5" fillId="15" borderId="0" xfId="2" applyNumberFormat="1" applyFont="1" applyFill="1" applyBorder="1" applyAlignment="1">
      <alignment horizontal="center"/>
    </xf>
    <xf numFmtId="164" fontId="5" fillId="15" borderId="0" xfId="2" applyNumberFormat="1" applyFont="1" applyFill="1" applyBorder="1" applyAlignment="1">
      <alignment horizontal="center"/>
    </xf>
    <xf numFmtId="164" fontId="0" fillId="0" borderId="0" xfId="2" applyNumberFormat="1" applyFont="1"/>
    <xf numFmtId="0" fontId="0" fillId="16" borderId="0" xfId="0" applyFill="1"/>
    <xf numFmtId="0" fontId="0" fillId="17" borderId="0" xfId="0" applyFill="1"/>
    <xf numFmtId="0" fontId="3" fillId="8" borderId="0" xfId="0" quotePrefix="1" applyFont="1" applyFill="1"/>
    <xf numFmtId="0" fontId="3" fillId="0" borderId="0" xfId="0" applyFont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xVal>
            <c:numRef>
              <c:f>Machines!$F$5:$F$7</c:f>
              <c:numCache>
                <c:formatCode>General</c:formatCode>
                <c:ptCount val="3"/>
                <c:pt idx="0">
                  <c:v>266.60000000000002</c:v>
                </c:pt>
                <c:pt idx="1">
                  <c:v>700</c:v>
                </c:pt>
                <c:pt idx="2">
                  <c:v>800</c:v>
                </c:pt>
              </c:numCache>
            </c:numRef>
          </c:xVal>
          <c:yVal>
            <c:numRef>
              <c:f>Machines!$C$5:$C$7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0E8-431D-87A3-1C7510A36ECE}"/>
            </c:ext>
          </c:extLst>
        </c:ser>
        <c:ser>
          <c:idx val="5"/>
          <c:order val="1"/>
          <c:xVal>
            <c:numRef>
              <c:f>Machines!$Q$23</c:f>
              <c:numCache>
                <c:formatCode>General</c:formatCode>
                <c:ptCount val="1"/>
                <c:pt idx="0">
                  <c:v>253.2</c:v>
                </c:pt>
              </c:numCache>
            </c:numRef>
          </c:xVal>
          <c:yVal>
            <c:numRef>
              <c:f>Machines!$Q$22</c:f>
              <c:numCache>
                <c:formatCode>General</c:formatCode>
                <c:ptCount val="1"/>
                <c:pt idx="0">
                  <c:v>808.5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0E8-431D-87A3-1C7510A36ECE}"/>
            </c:ext>
          </c:extLst>
        </c:ser>
        <c:ser>
          <c:idx val="6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xVal>
            <c:numRef>
              <c:f>Machines!$E$5:$E$7</c:f>
              <c:numCache>
                <c:formatCode>General</c:formatCode>
                <c:ptCount val="3"/>
                <c:pt idx="0">
                  <c:v>99.99</c:v>
                </c:pt>
                <c:pt idx="1">
                  <c:v>200</c:v>
                </c:pt>
                <c:pt idx="2">
                  <c:v>300</c:v>
                </c:pt>
              </c:numCache>
            </c:numRef>
          </c:xVal>
          <c:yVal>
            <c:numRef>
              <c:f>Machines!$C$5:$C$7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0E8-431D-87A3-1C7510A36ECE}"/>
            </c:ext>
          </c:extLst>
        </c:ser>
        <c:ser>
          <c:idx val="7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xVal>
            <c:numRef>
              <c:f>Machines!$R$23</c:f>
              <c:numCache>
                <c:formatCode>General</c:formatCode>
                <c:ptCount val="1"/>
                <c:pt idx="0">
                  <c:v>228.36</c:v>
                </c:pt>
              </c:numCache>
            </c:numRef>
          </c:xVal>
          <c:yVal>
            <c:numRef>
              <c:f>Machines!$R$22</c:f>
              <c:numCache>
                <c:formatCode>General</c:formatCode>
                <c:ptCount val="1"/>
                <c:pt idx="0">
                  <c:v>742.2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0E8-431D-87A3-1C7510A36ECE}"/>
            </c:ext>
          </c:extLst>
        </c:ser>
        <c:ser>
          <c:idx val="2"/>
          <c:order val="4"/>
          <c:xVal>
            <c:numRef>
              <c:f>Machines!$D$5:$D$7</c:f>
              <c:numCache>
                <c:formatCode>General</c:formatCode>
                <c:ptCount val="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</c:numCache>
            </c:numRef>
          </c:xVal>
          <c:yVal>
            <c:numRef>
              <c:f>Machines!$C$5:$C$7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8-431D-87A3-1C7510A36ECE}"/>
            </c:ext>
          </c:extLst>
        </c:ser>
        <c:ser>
          <c:idx val="3"/>
          <c:order val="5"/>
          <c:xVal>
            <c:numRef>
              <c:f>Machines!$Q$23</c:f>
              <c:numCache>
                <c:formatCode>General</c:formatCode>
                <c:ptCount val="1"/>
                <c:pt idx="0">
                  <c:v>253.2</c:v>
                </c:pt>
              </c:numCache>
            </c:numRef>
          </c:xVal>
          <c:yVal>
            <c:numRef>
              <c:f>Machines!$Q$22</c:f>
              <c:numCache>
                <c:formatCode>General</c:formatCode>
                <c:ptCount val="1"/>
                <c:pt idx="0">
                  <c:v>808.5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E8-431D-87A3-1C7510A36ECE}"/>
            </c:ext>
          </c:extLst>
        </c:ser>
        <c:ser>
          <c:idx val="0"/>
          <c:order val="6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Machines!$E$5:$E$7</c:f>
              <c:numCache>
                <c:formatCode>General</c:formatCode>
                <c:ptCount val="3"/>
                <c:pt idx="0">
                  <c:v>99.99</c:v>
                </c:pt>
                <c:pt idx="1">
                  <c:v>200</c:v>
                </c:pt>
                <c:pt idx="2">
                  <c:v>300</c:v>
                </c:pt>
              </c:numCache>
            </c:numRef>
          </c:xVal>
          <c:yVal>
            <c:numRef>
              <c:f>Machines!$C$5:$C$7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E8-431D-87A3-1C7510A36ECE}"/>
            </c:ext>
          </c:extLst>
        </c:ser>
        <c:ser>
          <c:idx val="1"/>
          <c:order val="7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Machines!$R$23</c:f>
              <c:numCache>
                <c:formatCode>General</c:formatCode>
                <c:ptCount val="1"/>
                <c:pt idx="0">
                  <c:v>228.36</c:v>
                </c:pt>
              </c:numCache>
            </c:numRef>
          </c:xVal>
          <c:yVal>
            <c:numRef>
              <c:f>Machines!$R$22</c:f>
              <c:numCache>
                <c:formatCode>General</c:formatCode>
                <c:ptCount val="1"/>
                <c:pt idx="0">
                  <c:v>742.2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E8-431D-87A3-1C7510A36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61888"/>
        <c:axId val="397961232"/>
      </c:scatterChart>
      <c:valAx>
        <c:axId val="39796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1232"/>
        <c:crosses val="autoZero"/>
        <c:crossBetween val="midCat"/>
      </c:valAx>
      <c:valAx>
        <c:axId val="39796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1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xVal>
            <c:numRef>
              <c:f>Machines!$D$10:$D$13</c:f>
              <c:numCache>
                <c:formatCode>General</c:formatCode>
                <c:ptCount val="4"/>
                <c:pt idx="0">
                  <c:v>400</c:v>
                </c:pt>
                <c:pt idx="1">
                  <c:v>600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Machines!$C$10:$C$13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5D5-4CC2-B7AF-D4690F02E0A2}"/>
            </c:ext>
          </c:extLst>
        </c:ser>
        <c:ser>
          <c:idx val="7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</c:marker>
          <c:dPt>
            <c:idx val="0"/>
            <c:marker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27D-4621-8FF1-79C066E6BDFB}"/>
              </c:ext>
            </c:extLst>
          </c:dPt>
          <c:xVal>
            <c:numRef>
              <c:f>Machines!$R$23</c:f>
              <c:numCache>
                <c:formatCode>General</c:formatCode>
                <c:ptCount val="1"/>
                <c:pt idx="0">
                  <c:v>228.36</c:v>
                </c:pt>
              </c:numCache>
            </c:numRef>
          </c:xVal>
          <c:yVal>
            <c:numRef>
              <c:f>Machines!$R$22</c:f>
              <c:numCache>
                <c:formatCode>General</c:formatCode>
                <c:ptCount val="1"/>
                <c:pt idx="0">
                  <c:v>742.2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5D5-4CC2-B7AF-D4690F02E0A2}"/>
            </c:ext>
          </c:extLst>
        </c:ser>
        <c:ser>
          <c:idx val="2"/>
          <c:order val="2"/>
          <c:xVal>
            <c:numRef>
              <c:f>Machines!$F$10:$F$13</c:f>
              <c:numCache>
                <c:formatCode>General</c:formatCode>
                <c:ptCount val="4"/>
                <c:pt idx="0">
                  <c:v>218</c:v>
                </c:pt>
                <c:pt idx="1">
                  <c:v>330</c:v>
                </c:pt>
                <c:pt idx="2">
                  <c:v>495</c:v>
                </c:pt>
                <c:pt idx="3">
                  <c:v>710</c:v>
                </c:pt>
              </c:numCache>
            </c:numRef>
          </c:xVal>
          <c:yVal>
            <c:numRef>
              <c:f>Machines!$C$10:$C$13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5D5-4CC2-B7AF-D4690F02E0A2}"/>
            </c:ext>
          </c:extLst>
        </c:ser>
        <c:ser>
          <c:idx val="0"/>
          <c:order val="3"/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Machines!$E$10:$E$13</c:f>
              <c:numCache>
                <c:formatCode>General</c:formatCode>
                <c:ptCount val="4"/>
                <c:pt idx="0">
                  <c:v>109.05</c:v>
                </c:pt>
                <c:pt idx="1">
                  <c:v>180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Machines!$C$10:$C$13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5D5-4CC2-B7AF-D4690F02E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61888"/>
        <c:axId val="397961232"/>
      </c:scatterChart>
      <c:valAx>
        <c:axId val="39796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1232"/>
        <c:crosses val="autoZero"/>
        <c:crossBetween val="midCat"/>
      </c:valAx>
      <c:valAx>
        <c:axId val="39796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1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523875</xdr:colOff>
      <xdr:row>17</xdr:row>
      <xdr:rowOff>104775</xdr:rowOff>
    </xdr:from>
    <xdr:to>
      <xdr:col>26</xdr:col>
      <xdr:colOff>219075</xdr:colOff>
      <xdr:row>31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188595</xdr:colOff>
      <xdr:row>11</xdr:row>
      <xdr:rowOff>59055</xdr:rowOff>
    </xdr:from>
    <xdr:to>
      <xdr:col>18</xdr:col>
      <xdr:colOff>112395</xdr:colOff>
      <xdr:row>34</xdr:row>
      <xdr:rowOff>112395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71"/>
  <sheetViews>
    <sheetView tabSelected="1" workbookViewId="0">
      <selection activeCell="J12" sqref="J12"/>
    </sheetView>
  </sheetViews>
  <sheetFormatPr defaultRowHeight="15" x14ac:dyDescent="0.25"/>
  <sheetData>
    <row r="1" spans="1:7" x14ac:dyDescent="0.25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COLUMN(profstart),4)&amp;":"&amp;ADDRESS(LOOKUP(2,1/(D:D&lt;&gt;""),ROW(D:D)),LOOKUP(2,1/(5:5&lt;&gt;""),COLUMN(5:5)),4)</f>
        <v>D3:D51</v>
      </c>
    </row>
    <row r="3" spans="1:7" x14ac:dyDescent="0.25">
      <c r="A3" t="s">
        <v>53</v>
      </c>
      <c r="B3" t="s">
        <v>0</v>
      </c>
      <c r="C3" t="s">
        <v>3</v>
      </c>
      <c r="D3" s="19" t="s">
        <v>4</v>
      </c>
      <c r="E3" s="38"/>
      <c r="F3" s="20"/>
    </row>
    <row r="4" spans="1:7" x14ac:dyDescent="0.25">
      <c r="A4">
        <f>ROUNDUP(C4/24,0)</f>
        <v>1</v>
      </c>
      <c r="B4">
        <v>1</v>
      </c>
      <c r="C4">
        <f t="shared" ref="C4:C35" si="0">B4*$C$1</f>
        <v>1</v>
      </c>
      <c r="D4">
        <v>526.08558532714846</v>
      </c>
    </row>
    <row r="5" spans="1:7" x14ac:dyDescent="0.25">
      <c r="A5">
        <f t="shared" ref="A5:A51" si="1">ROUNDUP(C5/24,0)</f>
        <v>1</v>
      </c>
      <c r="B5">
        <v>2</v>
      </c>
      <c r="C5">
        <f t="shared" si="0"/>
        <v>2</v>
      </c>
      <c r="D5">
        <v>508.83685302734375</v>
      </c>
    </row>
    <row r="6" spans="1:7" x14ac:dyDescent="0.25">
      <c r="A6">
        <f t="shared" si="1"/>
        <v>1</v>
      </c>
      <c r="B6">
        <v>3</v>
      </c>
      <c r="C6">
        <f t="shared" si="0"/>
        <v>3</v>
      </c>
      <c r="D6">
        <v>517.46119140625001</v>
      </c>
    </row>
    <row r="7" spans="1:7" x14ac:dyDescent="0.25">
      <c r="A7">
        <f t="shared" si="1"/>
        <v>1</v>
      </c>
      <c r="B7">
        <v>4</v>
      </c>
      <c r="C7">
        <f t="shared" si="0"/>
        <v>4</v>
      </c>
      <c r="D7">
        <v>517.46119140625001</v>
      </c>
    </row>
    <row r="8" spans="1:7" x14ac:dyDescent="0.25">
      <c r="A8">
        <f t="shared" si="1"/>
        <v>1</v>
      </c>
      <c r="B8">
        <v>5</v>
      </c>
      <c r="C8">
        <f t="shared" si="0"/>
        <v>5</v>
      </c>
      <c r="D8">
        <v>517.46119140625001</v>
      </c>
      <c r="G8" s="1"/>
    </row>
    <row r="9" spans="1:7" x14ac:dyDescent="0.25">
      <c r="A9">
        <f t="shared" si="1"/>
        <v>1</v>
      </c>
      <c r="B9">
        <v>6</v>
      </c>
      <c r="C9">
        <f t="shared" si="0"/>
        <v>6</v>
      </c>
      <c r="D9">
        <v>517.46119140625001</v>
      </c>
    </row>
    <row r="10" spans="1:7" x14ac:dyDescent="0.25">
      <c r="A10">
        <f t="shared" si="1"/>
        <v>1</v>
      </c>
      <c r="B10">
        <v>7</v>
      </c>
      <c r="C10">
        <f t="shared" si="0"/>
        <v>7</v>
      </c>
      <c r="D10">
        <v>612.32908020019522</v>
      </c>
    </row>
    <row r="11" spans="1:7" x14ac:dyDescent="0.25">
      <c r="A11">
        <f t="shared" si="1"/>
        <v>1</v>
      </c>
      <c r="B11">
        <v>8</v>
      </c>
      <c r="C11">
        <f t="shared" si="0"/>
        <v>8</v>
      </c>
      <c r="D11">
        <v>612.32908020019522</v>
      </c>
    </row>
    <row r="12" spans="1:7" x14ac:dyDescent="0.25">
      <c r="A12">
        <f t="shared" si="1"/>
        <v>1</v>
      </c>
      <c r="B12">
        <v>9</v>
      </c>
      <c r="C12">
        <f t="shared" si="0"/>
        <v>9</v>
      </c>
      <c r="D12">
        <v>758.94311035156238</v>
      </c>
    </row>
    <row r="13" spans="1:7" x14ac:dyDescent="0.25">
      <c r="A13">
        <f t="shared" si="1"/>
        <v>1</v>
      </c>
      <c r="B13">
        <v>10</v>
      </c>
      <c r="C13">
        <f t="shared" si="0"/>
        <v>10</v>
      </c>
      <c r="D13">
        <v>750.31871643066404</v>
      </c>
    </row>
    <row r="14" spans="1:7" x14ac:dyDescent="0.25">
      <c r="A14">
        <f t="shared" si="1"/>
        <v>1</v>
      </c>
      <c r="B14">
        <v>11</v>
      </c>
      <c r="C14">
        <f t="shared" si="0"/>
        <v>11</v>
      </c>
      <c r="D14">
        <v>724.44570129394526</v>
      </c>
    </row>
    <row r="15" spans="1:7" x14ac:dyDescent="0.25">
      <c r="A15">
        <f t="shared" si="1"/>
        <v>1</v>
      </c>
      <c r="B15">
        <v>12</v>
      </c>
      <c r="C15">
        <f t="shared" si="0"/>
        <v>12</v>
      </c>
      <c r="D15">
        <v>853.81099914550782</v>
      </c>
    </row>
    <row r="16" spans="1:7" x14ac:dyDescent="0.25">
      <c r="A16">
        <f t="shared" si="1"/>
        <v>1</v>
      </c>
      <c r="B16">
        <v>13</v>
      </c>
      <c r="C16">
        <f t="shared" si="0"/>
        <v>13</v>
      </c>
      <c r="D16">
        <v>681.32389831542969</v>
      </c>
    </row>
    <row r="17" spans="1:4" x14ac:dyDescent="0.25">
      <c r="A17">
        <f t="shared" si="1"/>
        <v>1</v>
      </c>
      <c r="B17">
        <v>14</v>
      </c>
      <c r="C17">
        <f t="shared" si="0"/>
        <v>14</v>
      </c>
      <c r="D17">
        <v>664.07522155761717</v>
      </c>
    </row>
    <row r="18" spans="1:4" x14ac:dyDescent="0.25">
      <c r="A18">
        <f t="shared" si="1"/>
        <v>1</v>
      </c>
      <c r="B18">
        <v>15</v>
      </c>
      <c r="C18">
        <f t="shared" si="0"/>
        <v>15</v>
      </c>
      <c r="D18">
        <v>638.20215087890631</v>
      </c>
    </row>
    <row r="19" spans="1:4" x14ac:dyDescent="0.25">
      <c r="A19">
        <f t="shared" si="1"/>
        <v>1</v>
      </c>
      <c r="B19">
        <v>16</v>
      </c>
      <c r="C19">
        <f t="shared" si="0"/>
        <v>16</v>
      </c>
      <c r="D19">
        <v>534.70992370605472</v>
      </c>
    </row>
    <row r="20" spans="1:4" x14ac:dyDescent="0.25">
      <c r="A20">
        <f t="shared" si="1"/>
        <v>1</v>
      </c>
      <c r="B20">
        <v>17</v>
      </c>
      <c r="C20">
        <f t="shared" si="0"/>
        <v>17</v>
      </c>
      <c r="D20">
        <v>707.19696899414055</v>
      </c>
    </row>
    <row r="21" spans="1:4" x14ac:dyDescent="0.25">
      <c r="A21">
        <f t="shared" si="1"/>
        <v>1</v>
      </c>
      <c r="B21">
        <v>18</v>
      </c>
      <c r="C21">
        <f t="shared" si="0"/>
        <v>18</v>
      </c>
      <c r="D21">
        <v>707.19696899414055</v>
      </c>
    </row>
    <row r="22" spans="1:4" x14ac:dyDescent="0.25">
      <c r="A22">
        <f t="shared" si="1"/>
        <v>1</v>
      </c>
      <c r="B22">
        <v>19</v>
      </c>
      <c r="C22">
        <f t="shared" si="0"/>
        <v>19</v>
      </c>
      <c r="D22">
        <v>664.07522155761717</v>
      </c>
    </row>
    <row r="23" spans="1:4" x14ac:dyDescent="0.25">
      <c r="A23">
        <f t="shared" si="1"/>
        <v>1</v>
      </c>
      <c r="B23">
        <v>20</v>
      </c>
      <c r="C23">
        <f t="shared" si="0"/>
        <v>20</v>
      </c>
      <c r="D23">
        <v>733.07003967285152</v>
      </c>
    </row>
    <row r="24" spans="1:4" x14ac:dyDescent="0.25">
      <c r="A24">
        <f t="shared" si="1"/>
        <v>1</v>
      </c>
      <c r="B24">
        <v>21</v>
      </c>
      <c r="C24">
        <f t="shared" si="0"/>
        <v>21</v>
      </c>
      <c r="D24">
        <v>638.20215087890631</v>
      </c>
    </row>
    <row r="25" spans="1:4" x14ac:dyDescent="0.25">
      <c r="A25">
        <f t="shared" si="1"/>
        <v>1</v>
      </c>
      <c r="B25">
        <v>22</v>
      </c>
      <c r="C25">
        <f t="shared" si="0"/>
        <v>22</v>
      </c>
      <c r="D25">
        <v>551.95860046386713</v>
      </c>
    </row>
    <row r="26" spans="1:4" x14ac:dyDescent="0.25">
      <c r="A26">
        <f t="shared" si="1"/>
        <v>1</v>
      </c>
      <c r="B26">
        <v>23</v>
      </c>
      <c r="C26">
        <f t="shared" si="0"/>
        <v>23</v>
      </c>
      <c r="D26">
        <v>551.95860046386713</v>
      </c>
    </row>
    <row r="27" spans="1:4" x14ac:dyDescent="0.25">
      <c r="A27">
        <f t="shared" si="1"/>
        <v>1</v>
      </c>
      <c r="B27">
        <v>24</v>
      </c>
      <c r="C27">
        <f t="shared" si="0"/>
        <v>24</v>
      </c>
      <c r="D27">
        <v>526.08558532714846</v>
      </c>
    </row>
    <row r="28" spans="1:4" x14ac:dyDescent="0.25">
      <c r="A28">
        <f t="shared" si="1"/>
        <v>2</v>
      </c>
      <c r="B28">
        <v>25</v>
      </c>
      <c r="C28">
        <f t="shared" si="0"/>
        <v>25</v>
      </c>
      <c r="D28">
        <v>348.32088439941401</v>
      </c>
    </row>
    <row r="29" spans="1:4" x14ac:dyDescent="0.25">
      <c r="A29">
        <f t="shared" si="1"/>
        <v>2</v>
      </c>
      <c r="B29">
        <v>26</v>
      </c>
      <c r="C29">
        <f t="shared" si="0"/>
        <v>26</v>
      </c>
      <c r="D29">
        <v>331.4666390991211</v>
      </c>
    </row>
    <row r="30" spans="1:4" x14ac:dyDescent="0.25">
      <c r="A30">
        <f t="shared" si="1"/>
        <v>2</v>
      </c>
      <c r="B30">
        <v>27</v>
      </c>
      <c r="C30">
        <f t="shared" si="0"/>
        <v>27</v>
      </c>
      <c r="D30">
        <v>342.70281188964839</v>
      </c>
    </row>
    <row r="31" spans="1:4" x14ac:dyDescent="0.25">
      <c r="A31">
        <f t="shared" si="1"/>
        <v>2</v>
      </c>
      <c r="B31">
        <v>28</v>
      </c>
      <c r="C31">
        <f t="shared" si="0"/>
        <v>28</v>
      </c>
      <c r="D31">
        <v>337.08471160888672</v>
      </c>
    </row>
    <row r="32" spans="1:4" x14ac:dyDescent="0.25">
      <c r="A32">
        <f t="shared" si="1"/>
        <v>2</v>
      </c>
      <c r="B32">
        <v>29</v>
      </c>
      <c r="C32">
        <f t="shared" si="0"/>
        <v>29</v>
      </c>
      <c r="D32">
        <v>337.08471160888672</v>
      </c>
    </row>
    <row r="33" spans="1:4" x14ac:dyDescent="0.25">
      <c r="A33">
        <f t="shared" si="1"/>
        <v>2</v>
      </c>
      <c r="B33">
        <v>30</v>
      </c>
      <c r="C33">
        <f t="shared" si="0"/>
        <v>30</v>
      </c>
      <c r="D33">
        <v>337.08471160888672</v>
      </c>
    </row>
    <row r="34" spans="1:4" x14ac:dyDescent="0.25">
      <c r="A34">
        <f t="shared" si="1"/>
        <v>2</v>
      </c>
      <c r="B34">
        <v>31</v>
      </c>
      <c r="C34">
        <f t="shared" si="0"/>
        <v>31</v>
      </c>
      <c r="D34">
        <v>573.0440069580078</v>
      </c>
    </row>
    <row r="35" spans="1:4" x14ac:dyDescent="0.25">
      <c r="A35">
        <f t="shared" si="1"/>
        <v>2</v>
      </c>
      <c r="B35">
        <v>32</v>
      </c>
      <c r="C35">
        <f t="shared" si="0"/>
        <v>32</v>
      </c>
      <c r="D35">
        <v>573.0440069580078</v>
      </c>
    </row>
    <row r="36" spans="1:4" x14ac:dyDescent="0.25">
      <c r="A36">
        <f t="shared" si="1"/>
        <v>2</v>
      </c>
      <c r="B36">
        <v>33</v>
      </c>
      <c r="C36">
        <f t="shared" ref="C36:C51" si="2">B36*$C$1</f>
        <v>33</v>
      </c>
      <c r="D36">
        <v>904.51067382812505</v>
      </c>
    </row>
    <row r="37" spans="1:4" x14ac:dyDescent="0.25">
      <c r="A37">
        <f t="shared" si="1"/>
        <v>2</v>
      </c>
      <c r="B37">
        <v>34</v>
      </c>
      <c r="C37">
        <f t="shared" si="2"/>
        <v>34</v>
      </c>
      <c r="D37">
        <v>842.71176513671867</v>
      </c>
    </row>
    <row r="38" spans="1:4" x14ac:dyDescent="0.25">
      <c r="A38">
        <f t="shared" si="1"/>
        <v>2</v>
      </c>
      <c r="B38">
        <v>35</v>
      </c>
      <c r="C38">
        <f t="shared" si="2"/>
        <v>35</v>
      </c>
      <c r="D38">
        <v>926.98301940917963</v>
      </c>
    </row>
    <row r="39" spans="1:4" x14ac:dyDescent="0.25">
      <c r="A39">
        <f t="shared" si="1"/>
        <v>2</v>
      </c>
      <c r="B39">
        <v>36</v>
      </c>
      <c r="C39">
        <f t="shared" si="2"/>
        <v>36</v>
      </c>
      <c r="D39">
        <v>870.8022387695313</v>
      </c>
    </row>
    <row r="40" spans="1:4" x14ac:dyDescent="0.25">
      <c r="A40">
        <f t="shared" si="1"/>
        <v>2</v>
      </c>
      <c r="B40">
        <v>37</v>
      </c>
      <c r="C40">
        <f t="shared" si="2"/>
        <v>37</v>
      </c>
      <c r="D40">
        <v>786.53098449707034</v>
      </c>
    </row>
    <row r="41" spans="1:4" x14ac:dyDescent="0.25">
      <c r="A41">
        <f t="shared" si="1"/>
        <v>2</v>
      </c>
      <c r="B41">
        <v>38</v>
      </c>
      <c r="C41">
        <f t="shared" si="2"/>
        <v>38</v>
      </c>
      <c r="D41">
        <v>719.11405883789052</v>
      </c>
    </row>
    <row r="42" spans="1:4" x14ac:dyDescent="0.25">
      <c r="A42">
        <f t="shared" si="1"/>
        <v>2</v>
      </c>
      <c r="B42">
        <v>39</v>
      </c>
      <c r="C42">
        <f t="shared" si="2"/>
        <v>39</v>
      </c>
      <c r="D42">
        <v>730.35020385742177</v>
      </c>
    </row>
    <row r="43" spans="1:4" x14ac:dyDescent="0.25">
      <c r="A43">
        <f t="shared" si="1"/>
        <v>2</v>
      </c>
      <c r="B43">
        <v>40</v>
      </c>
      <c r="C43">
        <f t="shared" si="2"/>
        <v>40</v>
      </c>
      <c r="D43">
        <v>719.11405883789052</v>
      </c>
    </row>
    <row r="44" spans="1:4" x14ac:dyDescent="0.25">
      <c r="A44">
        <f t="shared" si="1"/>
        <v>2</v>
      </c>
      <c r="B44">
        <v>41</v>
      </c>
      <c r="C44">
        <f t="shared" si="2"/>
        <v>41</v>
      </c>
      <c r="D44">
        <v>646.07906066894532</v>
      </c>
    </row>
    <row r="45" spans="1:4" x14ac:dyDescent="0.25">
      <c r="A45">
        <f t="shared" si="1"/>
        <v>2</v>
      </c>
      <c r="B45">
        <v>42</v>
      </c>
      <c r="C45">
        <f t="shared" si="2"/>
        <v>42</v>
      </c>
      <c r="D45">
        <v>561.80786193847655</v>
      </c>
    </row>
    <row r="46" spans="1:4" x14ac:dyDescent="0.25">
      <c r="A46">
        <f t="shared" si="1"/>
        <v>2</v>
      </c>
      <c r="B46">
        <v>43</v>
      </c>
      <c r="C46">
        <f t="shared" si="2"/>
        <v>43</v>
      </c>
      <c r="D46">
        <v>550.5717169189453</v>
      </c>
    </row>
    <row r="47" spans="1:4" x14ac:dyDescent="0.25">
      <c r="A47">
        <f t="shared" si="1"/>
        <v>2</v>
      </c>
      <c r="B47">
        <v>44</v>
      </c>
      <c r="C47">
        <f t="shared" si="2"/>
        <v>44</v>
      </c>
      <c r="D47">
        <v>483.15473571777346</v>
      </c>
    </row>
    <row r="48" spans="1:4" x14ac:dyDescent="0.25">
      <c r="A48">
        <f t="shared" si="1"/>
        <v>2</v>
      </c>
      <c r="B48">
        <v>45</v>
      </c>
      <c r="C48">
        <f t="shared" si="2"/>
        <v>45</v>
      </c>
      <c r="D48">
        <v>421.35588256835933</v>
      </c>
    </row>
    <row r="49" spans="1:18" x14ac:dyDescent="0.25">
      <c r="A49">
        <f t="shared" si="1"/>
        <v>2</v>
      </c>
      <c r="B49">
        <v>46</v>
      </c>
      <c r="C49">
        <f t="shared" si="2"/>
        <v>46</v>
      </c>
      <c r="D49">
        <v>365.17510192871089</v>
      </c>
    </row>
    <row r="50" spans="1:18" x14ac:dyDescent="0.25">
      <c r="A50">
        <f t="shared" si="1"/>
        <v>2</v>
      </c>
      <c r="B50">
        <v>47</v>
      </c>
      <c r="C50">
        <f t="shared" si="2"/>
        <v>47</v>
      </c>
      <c r="D50">
        <v>365.17510192871089</v>
      </c>
    </row>
    <row r="51" spans="1:18" x14ac:dyDescent="0.25">
      <c r="A51">
        <f t="shared" si="1"/>
        <v>2</v>
      </c>
      <c r="B51">
        <v>48</v>
      </c>
      <c r="C51">
        <f t="shared" si="2"/>
        <v>48</v>
      </c>
      <c r="D51">
        <v>348.32088439941401</v>
      </c>
    </row>
    <row r="52" spans="1:18" x14ac:dyDescent="0.25">
      <c r="M52">
        <f t="shared" ref="M52:M68" si="3">ROUNDUP(O52/24,0)</f>
        <v>3</v>
      </c>
      <c r="N52">
        <v>49</v>
      </c>
      <c r="O52">
        <f t="shared" ref="O52:O67" si="4">N52*$C$1</f>
        <v>49</v>
      </c>
      <c r="P52">
        <v>430.55383087158202</v>
      </c>
      <c r="Q52">
        <v>3126.123779296875</v>
      </c>
      <c r="R52">
        <v>0</v>
      </c>
    </row>
    <row r="53" spans="1:18" x14ac:dyDescent="0.25">
      <c r="M53">
        <f t="shared" si="3"/>
        <v>3</v>
      </c>
      <c r="N53">
        <v>50</v>
      </c>
      <c r="O53">
        <f t="shared" si="4"/>
        <v>50</v>
      </c>
      <c r="P53">
        <v>409.72055725097653</v>
      </c>
      <c r="Q53">
        <v>3220.5947265625</v>
      </c>
      <c r="R53">
        <v>0</v>
      </c>
    </row>
    <row r="54" spans="1:18" x14ac:dyDescent="0.25">
      <c r="M54">
        <f t="shared" si="3"/>
        <v>3</v>
      </c>
      <c r="N54">
        <v>51</v>
      </c>
      <c r="O54">
        <f t="shared" si="4"/>
        <v>51</v>
      </c>
      <c r="P54">
        <v>423.60941558837891</v>
      </c>
      <c r="Q54">
        <v>3332.241943359375</v>
      </c>
      <c r="R54">
        <v>0</v>
      </c>
    </row>
    <row r="55" spans="1:18" x14ac:dyDescent="0.25">
      <c r="M55">
        <f t="shared" si="3"/>
        <v>3</v>
      </c>
      <c r="N55">
        <v>52</v>
      </c>
      <c r="O55">
        <f t="shared" si="4"/>
        <v>52</v>
      </c>
      <c r="P55">
        <v>416.66500030517579</v>
      </c>
      <c r="Q55">
        <v>3409.5361328125</v>
      </c>
      <c r="R55">
        <v>0</v>
      </c>
    </row>
    <row r="56" spans="1:18" x14ac:dyDescent="0.25">
      <c r="M56">
        <f t="shared" si="3"/>
        <v>3</v>
      </c>
      <c r="N56">
        <v>53</v>
      </c>
      <c r="O56">
        <f t="shared" si="4"/>
        <v>53</v>
      </c>
      <c r="P56">
        <v>416.66500030517579</v>
      </c>
      <c r="Q56">
        <v>3512.59521484375</v>
      </c>
      <c r="R56">
        <v>0</v>
      </c>
    </row>
    <row r="57" spans="1:18" x14ac:dyDescent="0.25">
      <c r="M57">
        <f t="shared" si="3"/>
        <v>3</v>
      </c>
      <c r="N57">
        <v>54</v>
      </c>
      <c r="O57">
        <f t="shared" si="4"/>
        <v>54</v>
      </c>
      <c r="P57">
        <v>416.66500030517579</v>
      </c>
      <c r="Q57">
        <v>3675.77197265625</v>
      </c>
      <c r="R57">
        <v>0</v>
      </c>
    </row>
    <row r="58" spans="1:18" x14ac:dyDescent="0.25">
      <c r="M58">
        <f t="shared" si="3"/>
        <v>3</v>
      </c>
      <c r="N58">
        <v>55</v>
      </c>
      <c r="O58">
        <f t="shared" si="4"/>
        <v>55</v>
      </c>
      <c r="P58">
        <v>708.33046997070301</v>
      </c>
      <c r="Q58">
        <v>3967.7724609375</v>
      </c>
      <c r="R58">
        <v>0</v>
      </c>
    </row>
    <row r="59" spans="1:18" x14ac:dyDescent="0.25">
      <c r="M59">
        <f t="shared" si="3"/>
        <v>3</v>
      </c>
      <c r="N59">
        <v>56</v>
      </c>
      <c r="O59">
        <f t="shared" si="4"/>
        <v>56</v>
      </c>
      <c r="P59">
        <v>708.33046997070301</v>
      </c>
      <c r="Q59">
        <v>4646.24462890625</v>
      </c>
      <c r="R59">
        <v>0</v>
      </c>
    </row>
    <row r="60" spans="1:18" x14ac:dyDescent="0.25">
      <c r="M60">
        <f t="shared" si="3"/>
        <v>3</v>
      </c>
      <c r="N60">
        <v>57</v>
      </c>
      <c r="O60">
        <f t="shared" si="4"/>
        <v>57</v>
      </c>
      <c r="P60">
        <v>1118.0510827636717</v>
      </c>
      <c r="Q60">
        <v>4285.53759765625</v>
      </c>
      <c r="R60">
        <v>0</v>
      </c>
    </row>
    <row r="61" spans="1:18" x14ac:dyDescent="0.25">
      <c r="M61">
        <f t="shared" si="3"/>
        <v>3</v>
      </c>
      <c r="N61">
        <v>58</v>
      </c>
      <c r="O61">
        <f t="shared" si="4"/>
        <v>58</v>
      </c>
      <c r="P61">
        <v>1041.6624035644531</v>
      </c>
      <c r="Q61">
        <v>3787.419189453125</v>
      </c>
      <c r="R61">
        <v>0</v>
      </c>
    </row>
    <row r="62" spans="1:18" x14ac:dyDescent="0.25">
      <c r="M62">
        <f t="shared" si="3"/>
        <v>3</v>
      </c>
      <c r="N62">
        <v>59</v>
      </c>
      <c r="O62">
        <f t="shared" si="4"/>
        <v>59</v>
      </c>
      <c r="P62">
        <v>1145.8287438964844</v>
      </c>
      <c r="Q62">
        <v>4637.65576171875</v>
      </c>
      <c r="R62">
        <v>0</v>
      </c>
    </row>
    <row r="63" spans="1:18" x14ac:dyDescent="0.25">
      <c r="M63">
        <f t="shared" si="3"/>
        <v>3</v>
      </c>
      <c r="N63">
        <v>60</v>
      </c>
      <c r="O63">
        <f t="shared" si="4"/>
        <v>60</v>
      </c>
      <c r="P63">
        <v>1076.3845910644532</v>
      </c>
      <c r="Q63">
        <v>4380.0087890625</v>
      </c>
      <c r="R63">
        <v>0</v>
      </c>
    </row>
    <row r="64" spans="1:18" x14ac:dyDescent="0.25">
      <c r="M64">
        <f t="shared" si="3"/>
        <v>3</v>
      </c>
      <c r="N64">
        <v>61</v>
      </c>
      <c r="O64">
        <f t="shared" si="4"/>
        <v>61</v>
      </c>
      <c r="P64">
        <v>972.21825073242178</v>
      </c>
      <c r="Q64">
        <v>4216.83154296875</v>
      </c>
      <c r="R64">
        <v>0</v>
      </c>
    </row>
    <row r="65" spans="13:18" x14ac:dyDescent="0.25">
      <c r="M65">
        <f t="shared" si="3"/>
        <v>3</v>
      </c>
      <c r="N65">
        <v>62</v>
      </c>
      <c r="O65">
        <f t="shared" si="4"/>
        <v>62</v>
      </c>
      <c r="P65">
        <v>888.8852673339843</v>
      </c>
      <c r="Q65">
        <v>4113.77294921875</v>
      </c>
      <c r="R65">
        <v>0</v>
      </c>
    </row>
    <row r="66" spans="13:18" x14ac:dyDescent="0.25">
      <c r="M66">
        <f t="shared" si="3"/>
        <v>3</v>
      </c>
      <c r="N66">
        <v>63</v>
      </c>
      <c r="O66">
        <f t="shared" si="4"/>
        <v>63</v>
      </c>
      <c r="P66">
        <v>902.77409790039053</v>
      </c>
      <c r="Q66">
        <v>3804.595703125</v>
      </c>
      <c r="R66">
        <v>0</v>
      </c>
    </row>
    <row r="67" spans="13:18" x14ac:dyDescent="0.25">
      <c r="M67">
        <f t="shared" si="3"/>
        <v>3</v>
      </c>
      <c r="N67">
        <v>64</v>
      </c>
      <c r="O67">
        <f t="shared" si="4"/>
        <v>64</v>
      </c>
      <c r="P67">
        <v>888.8852673339843</v>
      </c>
      <c r="Q67">
        <v>4002.12548828125</v>
      </c>
      <c r="R67">
        <v>0</v>
      </c>
    </row>
    <row r="68" spans="13:18" x14ac:dyDescent="0.25">
      <c r="M68">
        <f t="shared" si="3"/>
        <v>3</v>
      </c>
      <c r="N68">
        <v>65</v>
      </c>
      <c r="O68">
        <f t="shared" ref="O68:O99" si="5">N68*$C$1</f>
        <v>65</v>
      </c>
      <c r="P68">
        <v>798.60786865234365</v>
      </c>
      <c r="Q68">
        <v>4663.4208984375</v>
      </c>
      <c r="R68">
        <v>0</v>
      </c>
    </row>
    <row r="69" spans="13:18" x14ac:dyDescent="0.25">
      <c r="M69">
        <f t="shared" ref="M69:M132" si="6">ROUNDUP(O69/24,0)</f>
        <v>3</v>
      </c>
      <c r="N69">
        <v>66</v>
      </c>
      <c r="O69">
        <f t="shared" si="5"/>
        <v>66</v>
      </c>
      <c r="P69">
        <v>694.44163940429689</v>
      </c>
      <c r="Q69">
        <v>4259.77294921875</v>
      </c>
      <c r="R69">
        <v>0</v>
      </c>
    </row>
    <row r="70" spans="13:18" x14ac:dyDescent="0.25">
      <c r="M70">
        <f t="shared" si="6"/>
        <v>3</v>
      </c>
      <c r="N70">
        <v>67</v>
      </c>
      <c r="O70">
        <f t="shared" si="5"/>
        <v>67</v>
      </c>
      <c r="P70">
        <v>680.55280883789067</v>
      </c>
      <c r="Q70">
        <v>4148.1259765625</v>
      </c>
      <c r="R70">
        <v>0</v>
      </c>
    </row>
    <row r="71" spans="13:18" x14ac:dyDescent="0.25">
      <c r="M71">
        <f t="shared" si="6"/>
        <v>3</v>
      </c>
      <c r="N71">
        <v>68</v>
      </c>
      <c r="O71">
        <f t="shared" si="5"/>
        <v>68</v>
      </c>
      <c r="P71">
        <v>597.21982543945307</v>
      </c>
      <c r="Q71">
        <v>4079.419921875</v>
      </c>
      <c r="R71">
        <v>0</v>
      </c>
    </row>
    <row r="72" spans="13:18" x14ac:dyDescent="0.25">
      <c r="M72">
        <f t="shared" si="6"/>
        <v>3</v>
      </c>
      <c r="N72">
        <v>69</v>
      </c>
      <c r="O72">
        <f t="shared" si="5"/>
        <v>69</v>
      </c>
      <c r="P72">
        <v>520.83120178222657</v>
      </c>
      <c r="Q72">
        <v>3976.36083984375</v>
      </c>
      <c r="R72">
        <v>0</v>
      </c>
    </row>
    <row r="73" spans="13:18" x14ac:dyDescent="0.25">
      <c r="M73">
        <f t="shared" si="6"/>
        <v>3</v>
      </c>
      <c r="N73">
        <v>70</v>
      </c>
      <c r="O73">
        <f t="shared" si="5"/>
        <v>70</v>
      </c>
      <c r="P73">
        <v>451.38704895019526</v>
      </c>
      <c r="Q73">
        <v>3607.06591796875</v>
      </c>
      <c r="R73">
        <v>0</v>
      </c>
    </row>
    <row r="74" spans="13:18" x14ac:dyDescent="0.25">
      <c r="M74">
        <f t="shared" si="6"/>
        <v>3</v>
      </c>
      <c r="N74">
        <v>71</v>
      </c>
      <c r="O74">
        <f t="shared" si="5"/>
        <v>71</v>
      </c>
      <c r="P74">
        <v>451.38704895019526</v>
      </c>
      <c r="Q74">
        <v>3504.0068359375</v>
      </c>
      <c r="R74">
        <v>0</v>
      </c>
    </row>
    <row r="75" spans="13:18" x14ac:dyDescent="0.25">
      <c r="M75">
        <f t="shared" si="6"/>
        <v>3</v>
      </c>
      <c r="N75">
        <v>72</v>
      </c>
      <c r="O75">
        <f t="shared" si="5"/>
        <v>72</v>
      </c>
      <c r="P75">
        <v>430.55383087158202</v>
      </c>
      <c r="Q75">
        <v>2920.005859375</v>
      </c>
      <c r="R75">
        <v>0</v>
      </c>
    </row>
    <row r="76" spans="13:18" x14ac:dyDescent="0.25">
      <c r="M76">
        <f t="shared" si="6"/>
        <v>4</v>
      </c>
      <c r="N76">
        <v>73</v>
      </c>
      <c r="O76">
        <f t="shared" si="5"/>
        <v>73</v>
      </c>
      <c r="P76">
        <v>449.06919830322261</v>
      </c>
      <c r="Q76">
        <v>2828.448486328125</v>
      </c>
      <c r="R76">
        <v>0</v>
      </c>
    </row>
    <row r="77" spans="13:18" x14ac:dyDescent="0.25">
      <c r="M77">
        <f t="shared" si="6"/>
        <v>4</v>
      </c>
      <c r="N77">
        <v>74</v>
      </c>
      <c r="O77">
        <f t="shared" si="5"/>
        <v>74</v>
      </c>
      <c r="P77">
        <v>427.3400323486328</v>
      </c>
      <c r="Q77">
        <v>2913.923583984375</v>
      </c>
      <c r="R77">
        <v>0</v>
      </c>
    </row>
    <row r="78" spans="13:18" x14ac:dyDescent="0.25">
      <c r="M78">
        <f t="shared" si="6"/>
        <v>4</v>
      </c>
      <c r="N78">
        <v>75</v>
      </c>
      <c r="O78">
        <f t="shared" si="5"/>
        <v>75</v>
      </c>
      <c r="P78">
        <v>441.82613372802734</v>
      </c>
      <c r="Q78">
        <v>3014.939697265625</v>
      </c>
      <c r="R78">
        <v>0</v>
      </c>
    </row>
    <row r="79" spans="13:18" x14ac:dyDescent="0.25">
      <c r="M79">
        <f t="shared" si="6"/>
        <v>4</v>
      </c>
      <c r="N79">
        <v>76</v>
      </c>
      <c r="O79">
        <f t="shared" si="5"/>
        <v>76</v>
      </c>
      <c r="P79">
        <v>434.58309692382807</v>
      </c>
      <c r="Q79">
        <v>3084.873779296875</v>
      </c>
      <c r="R79">
        <v>0</v>
      </c>
    </row>
    <row r="80" spans="13:18" x14ac:dyDescent="0.25">
      <c r="M80">
        <f t="shared" si="6"/>
        <v>4</v>
      </c>
      <c r="N80">
        <v>77</v>
      </c>
      <c r="O80">
        <f t="shared" si="5"/>
        <v>77</v>
      </c>
      <c r="P80">
        <v>434.58309692382807</v>
      </c>
      <c r="Q80">
        <v>3178.119384765625</v>
      </c>
      <c r="R80">
        <v>0</v>
      </c>
    </row>
    <row r="81" spans="13:18" x14ac:dyDescent="0.25">
      <c r="M81">
        <f t="shared" si="6"/>
        <v>4</v>
      </c>
      <c r="N81">
        <v>78</v>
      </c>
      <c r="O81">
        <f t="shared" si="5"/>
        <v>78</v>
      </c>
      <c r="P81">
        <v>434.58309692382807</v>
      </c>
      <c r="Q81">
        <v>3325.758056640625</v>
      </c>
      <c r="R81">
        <v>0</v>
      </c>
    </row>
    <row r="82" spans="13:18" x14ac:dyDescent="0.25">
      <c r="M82">
        <f t="shared" si="6"/>
        <v>4</v>
      </c>
      <c r="N82">
        <v>79</v>
      </c>
      <c r="O82">
        <f t="shared" si="5"/>
        <v>79</v>
      </c>
      <c r="P82">
        <v>738.7912536621094</v>
      </c>
      <c r="Q82">
        <v>3589.953857421875</v>
      </c>
      <c r="R82">
        <v>0</v>
      </c>
    </row>
    <row r="83" spans="13:18" x14ac:dyDescent="0.25">
      <c r="M83">
        <f t="shared" si="6"/>
        <v>4</v>
      </c>
      <c r="N83">
        <v>80</v>
      </c>
      <c r="O83">
        <f t="shared" si="5"/>
        <v>80</v>
      </c>
      <c r="P83">
        <v>738.7912536621094</v>
      </c>
      <c r="Q83">
        <v>4203.8203125</v>
      </c>
      <c r="R83">
        <v>0</v>
      </c>
    </row>
    <row r="84" spans="13:18" x14ac:dyDescent="0.25">
      <c r="M84">
        <f t="shared" si="6"/>
        <v>4</v>
      </c>
      <c r="N84">
        <v>81</v>
      </c>
      <c r="O84">
        <f t="shared" si="5"/>
        <v>81</v>
      </c>
      <c r="P84">
        <v>1166.1313415527343</v>
      </c>
      <c r="Q84">
        <v>3877.4609375</v>
      </c>
      <c r="R84">
        <v>0</v>
      </c>
    </row>
    <row r="85" spans="13:18" x14ac:dyDescent="0.25">
      <c r="M85">
        <f t="shared" si="6"/>
        <v>4</v>
      </c>
      <c r="N85">
        <v>82</v>
      </c>
      <c r="O85">
        <f t="shared" si="5"/>
        <v>82</v>
      </c>
      <c r="P85">
        <v>1086.457686767578</v>
      </c>
      <c r="Q85">
        <v>3426.774169921875</v>
      </c>
      <c r="R85">
        <v>0</v>
      </c>
    </row>
    <row r="86" spans="13:18" x14ac:dyDescent="0.25">
      <c r="M86">
        <f t="shared" si="6"/>
        <v>4</v>
      </c>
      <c r="N86">
        <v>83</v>
      </c>
      <c r="O86">
        <f t="shared" si="5"/>
        <v>83</v>
      </c>
      <c r="P86">
        <v>1195.1034887695312</v>
      </c>
      <c r="Q86">
        <v>4196.0498046875</v>
      </c>
      <c r="R86">
        <v>0</v>
      </c>
    </row>
    <row r="87" spans="13:18" x14ac:dyDescent="0.25">
      <c r="M87">
        <f t="shared" si="6"/>
        <v>4</v>
      </c>
      <c r="N87">
        <v>84</v>
      </c>
      <c r="O87">
        <f t="shared" si="5"/>
        <v>84</v>
      </c>
      <c r="P87">
        <v>1122.6729541015625</v>
      </c>
      <c r="Q87">
        <v>3962.93603515625</v>
      </c>
      <c r="R87">
        <v>0</v>
      </c>
    </row>
    <row r="88" spans="13:18" x14ac:dyDescent="0.25">
      <c r="M88">
        <f t="shared" si="6"/>
        <v>4</v>
      </c>
      <c r="N88">
        <v>85</v>
      </c>
      <c r="O88">
        <f t="shared" si="5"/>
        <v>85</v>
      </c>
      <c r="P88">
        <v>1014.0271520996093</v>
      </c>
      <c r="Q88">
        <v>3815.297119140625</v>
      </c>
      <c r="R88">
        <v>0</v>
      </c>
    </row>
    <row r="89" spans="13:18" x14ac:dyDescent="0.25">
      <c r="M89">
        <f t="shared" si="6"/>
        <v>4</v>
      </c>
      <c r="N89">
        <v>86</v>
      </c>
      <c r="O89">
        <f t="shared" si="5"/>
        <v>86</v>
      </c>
      <c r="P89">
        <v>927.11054382324221</v>
      </c>
      <c r="Q89">
        <v>3722.0517578125</v>
      </c>
      <c r="R89">
        <v>0</v>
      </c>
    </row>
    <row r="90" spans="13:18" x14ac:dyDescent="0.25">
      <c r="M90">
        <f t="shared" si="6"/>
        <v>4</v>
      </c>
      <c r="N90">
        <v>87</v>
      </c>
      <c r="O90">
        <f t="shared" si="5"/>
        <v>87</v>
      </c>
      <c r="P90">
        <v>941.59661743164065</v>
      </c>
      <c r="Q90">
        <v>3442.31494140625</v>
      </c>
      <c r="R90">
        <v>0</v>
      </c>
    </row>
    <row r="91" spans="13:18" x14ac:dyDescent="0.25">
      <c r="M91">
        <f t="shared" si="6"/>
        <v>4</v>
      </c>
      <c r="N91">
        <v>88</v>
      </c>
      <c r="O91">
        <f t="shared" si="5"/>
        <v>88</v>
      </c>
      <c r="P91">
        <v>927.11054382324221</v>
      </c>
      <c r="Q91">
        <v>3621.035888671875</v>
      </c>
      <c r="R91">
        <v>0</v>
      </c>
    </row>
    <row r="92" spans="13:18" x14ac:dyDescent="0.25">
      <c r="M92">
        <f t="shared" si="6"/>
        <v>4</v>
      </c>
      <c r="N92">
        <v>89</v>
      </c>
      <c r="O92">
        <f t="shared" si="5"/>
        <v>89</v>
      </c>
      <c r="P92">
        <v>832.9509265136719</v>
      </c>
      <c r="Q92">
        <v>4219.361328125</v>
      </c>
      <c r="R92">
        <v>0</v>
      </c>
    </row>
    <row r="93" spans="13:18" x14ac:dyDescent="0.25">
      <c r="M93">
        <f t="shared" si="6"/>
        <v>4</v>
      </c>
      <c r="N93">
        <v>90</v>
      </c>
      <c r="O93">
        <f t="shared" si="5"/>
        <v>90</v>
      </c>
      <c r="P93">
        <v>724.30512451171876</v>
      </c>
      <c r="Q93">
        <v>3854.149658203125</v>
      </c>
      <c r="R93">
        <v>0</v>
      </c>
    </row>
    <row r="94" spans="13:18" x14ac:dyDescent="0.25">
      <c r="M94">
        <f t="shared" si="6"/>
        <v>4</v>
      </c>
      <c r="N94">
        <v>91</v>
      </c>
      <c r="O94">
        <f t="shared" si="5"/>
        <v>91</v>
      </c>
      <c r="P94">
        <v>709.81905090332032</v>
      </c>
      <c r="Q94">
        <v>3753.1337890625</v>
      </c>
      <c r="R94">
        <v>0</v>
      </c>
    </row>
    <row r="95" spans="13:18" x14ac:dyDescent="0.25">
      <c r="M95">
        <f t="shared" si="6"/>
        <v>4</v>
      </c>
      <c r="N95">
        <v>92</v>
      </c>
      <c r="O95">
        <f t="shared" si="5"/>
        <v>92</v>
      </c>
      <c r="P95">
        <v>622.90244262695307</v>
      </c>
      <c r="Q95">
        <v>3690.969970703125</v>
      </c>
      <c r="R95">
        <v>0</v>
      </c>
    </row>
    <row r="96" spans="13:18" x14ac:dyDescent="0.25">
      <c r="M96">
        <f t="shared" si="6"/>
        <v>4</v>
      </c>
      <c r="N96">
        <v>93</v>
      </c>
      <c r="O96">
        <f t="shared" si="5"/>
        <v>93</v>
      </c>
      <c r="P96">
        <v>543.22884338378901</v>
      </c>
      <c r="Q96">
        <v>3597.724365234375</v>
      </c>
      <c r="R96">
        <v>0</v>
      </c>
    </row>
    <row r="97" spans="13:18" x14ac:dyDescent="0.25">
      <c r="M97">
        <f t="shared" si="6"/>
        <v>4</v>
      </c>
      <c r="N97">
        <v>94</v>
      </c>
      <c r="O97">
        <f t="shared" si="5"/>
        <v>94</v>
      </c>
      <c r="P97">
        <v>470.79830871582033</v>
      </c>
      <c r="Q97">
        <v>3263.594482421875</v>
      </c>
      <c r="R97">
        <v>0</v>
      </c>
    </row>
    <row r="98" spans="13:18" x14ac:dyDescent="0.25">
      <c r="M98">
        <f t="shared" si="6"/>
        <v>4</v>
      </c>
      <c r="N98">
        <v>95</v>
      </c>
      <c r="O98">
        <f t="shared" si="5"/>
        <v>95</v>
      </c>
      <c r="P98">
        <v>470.79830871582033</v>
      </c>
      <c r="Q98">
        <v>3170.348876953125</v>
      </c>
      <c r="R98">
        <v>0</v>
      </c>
    </row>
    <row r="99" spans="13:18" x14ac:dyDescent="0.25">
      <c r="M99">
        <f t="shared" si="6"/>
        <v>4</v>
      </c>
      <c r="N99">
        <v>96</v>
      </c>
      <c r="O99">
        <f t="shared" si="5"/>
        <v>96</v>
      </c>
      <c r="P99">
        <v>449.06919830322261</v>
      </c>
      <c r="Q99">
        <v>2641.95751953125</v>
      </c>
      <c r="R99">
        <v>0</v>
      </c>
    </row>
    <row r="100" spans="13:18" x14ac:dyDescent="0.25">
      <c r="M100">
        <f t="shared" si="6"/>
        <v>5</v>
      </c>
      <c r="N100">
        <v>97</v>
      </c>
      <c r="O100">
        <f t="shared" ref="O100:O131" si="7">N100*$C$1</f>
        <v>97</v>
      </c>
      <c r="P100">
        <v>505.39286071777343</v>
      </c>
      <c r="Q100">
        <v>2739.780517578125</v>
      </c>
      <c r="R100">
        <v>0</v>
      </c>
    </row>
    <row r="101" spans="13:18" x14ac:dyDescent="0.25">
      <c r="M101">
        <f t="shared" si="6"/>
        <v>5</v>
      </c>
      <c r="N101">
        <v>98</v>
      </c>
      <c r="O101">
        <f t="shared" si="7"/>
        <v>98</v>
      </c>
      <c r="P101">
        <v>488.82262939453119</v>
      </c>
      <c r="Q101">
        <v>2809.583740234375</v>
      </c>
      <c r="R101">
        <v>0</v>
      </c>
    </row>
    <row r="102" spans="13:18" x14ac:dyDescent="0.25">
      <c r="M102">
        <f t="shared" si="6"/>
        <v>5</v>
      </c>
      <c r="N102">
        <v>99</v>
      </c>
      <c r="O102">
        <f t="shared" si="7"/>
        <v>99</v>
      </c>
      <c r="P102">
        <v>497.10771728515624</v>
      </c>
      <c r="Q102">
        <v>2870.66162109375</v>
      </c>
      <c r="R102">
        <v>0</v>
      </c>
    </row>
    <row r="103" spans="13:18" x14ac:dyDescent="0.25">
      <c r="M103">
        <f t="shared" si="6"/>
        <v>5</v>
      </c>
      <c r="N103">
        <v>100</v>
      </c>
      <c r="O103">
        <f t="shared" si="7"/>
        <v>100</v>
      </c>
      <c r="P103">
        <v>497.10771728515624</v>
      </c>
      <c r="Q103">
        <v>3010.268310546875</v>
      </c>
      <c r="R103">
        <v>0</v>
      </c>
    </row>
    <row r="104" spans="13:18" x14ac:dyDescent="0.25">
      <c r="M104">
        <f t="shared" si="6"/>
        <v>5</v>
      </c>
      <c r="N104">
        <v>101</v>
      </c>
      <c r="O104">
        <f t="shared" si="7"/>
        <v>101</v>
      </c>
      <c r="P104">
        <v>497.10771728515624</v>
      </c>
      <c r="Q104">
        <v>3219.67822265625</v>
      </c>
      <c r="R104">
        <v>0</v>
      </c>
    </row>
    <row r="105" spans="13:18" x14ac:dyDescent="0.25">
      <c r="M105">
        <f t="shared" si="6"/>
        <v>5</v>
      </c>
      <c r="N105">
        <v>102</v>
      </c>
      <c r="O105">
        <f t="shared" si="7"/>
        <v>102</v>
      </c>
      <c r="P105">
        <v>497.10771728515624</v>
      </c>
      <c r="Q105">
        <v>3272.03076171875</v>
      </c>
      <c r="R105">
        <v>0</v>
      </c>
    </row>
    <row r="106" spans="13:18" x14ac:dyDescent="0.25">
      <c r="M106">
        <f t="shared" si="6"/>
        <v>5</v>
      </c>
      <c r="N106">
        <v>103</v>
      </c>
      <c r="O106">
        <f t="shared" si="7"/>
        <v>103</v>
      </c>
      <c r="P106">
        <v>588.24412841796868</v>
      </c>
      <c r="Q106">
        <v>3315.657958984375</v>
      </c>
      <c r="R106">
        <v>0</v>
      </c>
    </row>
    <row r="107" spans="13:18" x14ac:dyDescent="0.25">
      <c r="M107">
        <f t="shared" si="6"/>
        <v>5</v>
      </c>
      <c r="N107">
        <v>104</v>
      </c>
      <c r="O107">
        <f t="shared" si="7"/>
        <v>104</v>
      </c>
      <c r="P107">
        <v>588.24412841796868</v>
      </c>
      <c r="Q107">
        <v>3830.457275390625</v>
      </c>
      <c r="R107">
        <v>0</v>
      </c>
    </row>
    <row r="108" spans="13:18" x14ac:dyDescent="0.25">
      <c r="M108">
        <f t="shared" si="6"/>
        <v>5</v>
      </c>
      <c r="N108">
        <v>105</v>
      </c>
      <c r="O108">
        <f t="shared" si="7"/>
        <v>105</v>
      </c>
      <c r="P108">
        <v>729.09134460449218</v>
      </c>
      <c r="Q108">
        <v>4004.965576171875</v>
      </c>
      <c r="R108">
        <v>0</v>
      </c>
    </row>
    <row r="109" spans="13:18" x14ac:dyDescent="0.25">
      <c r="M109">
        <f t="shared" si="6"/>
        <v>5</v>
      </c>
      <c r="N109">
        <v>106</v>
      </c>
      <c r="O109">
        <f t="shared" si="7"/>
        <v>106</v>
      </c>
      <c r="P109">
        <v>720.80620117187505</v>
      </c>
      <c r="Q109">
        <v>3603.596435546875</v>
      </c>
      <c r="R109">
        <v>0</v>
      </c>
    </row>
    <row r="110" spans="13:18" x14ac:dyDescent="0.25">
      <c r="M110">
        <f t="shared" si="6"/>
        <v>5</v>
      </c>
      <c r="N110">
        <v>107</v>
      </c>
      <c r="O110">
        <f t="shared" si="7"/>
        <v>107</v>
      </c>
      <c r="P110">
        <v>695.95082641601562</v>
      </c>
      <c r="Q110">
        <v>3900.2607421875</v>
      </c>
      <c r="R110">
        <v>0</v>
      </c>
    </row>
    <row r="111" spans="13:18" x14ac:dyDescent="0.25">
      <c r="M111">
        <f t="shared" si="6"/>
        <v>5</v>
      </c>
      <c r="N111">
        <v>108</v>
      </c>
      <c r="O111">
        <f t="shared" si="7"/>
        <v>108</v>
      </c>
      <c r="P111">
        <v>820.22775573730473</v>
      </c>
      <c r="Q111">
        <v>3760.654052734375</v>
      </c>
      <c r="R111">
        <v>0</v>
      </c>
    </row>
    <row r="112" spans="13:18" x14ac:dyDescent="0.25">
      <c r="M112">
        <f t="shared" si="6"/>
        <v>5</v>
      </c>
      <c r="N112">
        <v>109</v>
      </c>
      <c r="O112">
        <f t="shared" si="7"/>
        <v>109</v>
      </c>
      <c r="P112">
        <v>654.52516479492181</v>
      </c>
      <c r="Q112">
        <v>3760.654052734375</v>
      </c>
      <c r="R112">
        <v>0</v>
      </c>
    </row>
    <row r="113" spans="13:18" x14ac:dyDescent="0.25">
      <c r="M113">
        <f t="shared" si="6"/>
        <v>5</v>
      </c>
      <c r="N113">
        <v>110</v>
      </c>
      <c r="O113">
        <f t="shared" si="7"/>
        <v>110</v>
      </c>
      <c r="P113">
        <v>637.95493347167962</v>
      </c>
      <c r="Q113">
        <v>3402.912109375</v>
      </c>
      <c r="R113">
        <v>0</v>
      </c>
    </row>
    <row r="114" spans="13:18" x14ac:dyDescent="0.25">
      <c r="M114">
        <f t="shared" si="6"/>
        <v>5</v>
      </c>
      <c r="N114">
        <v>111</v>
      </c>
      <c r="O114">
        <f t="shared" si="7"/>
        <v>111</v>
      </c>
      <c r="P114">
        <v>613.09950317382811</v>
      </c>
      <c r="Q114">
        <v>3472.71533203125</v>
      </c>
      <c r="R114">
        <v>0</v>
      </c>
    </row>
    <row r="115" spans="13:18" x14ac:dyDescent="0.25">
      <c r="M115">
        <f t="shared" si="6"/>
        <v>5</v>
      </c>
      <c r="N115">
        <v>112</v>
      </c>
      <c r="O115">
        <f t="shared" si="7"/>
        <v>112</v>
      </c>
      <c r="P115">
        <v>513.67800415039062</v>
      </c>
      <c r="Q115">
        <v>3760.654052734375</v>
      </c>
      <c r="R115">
        <v>0</v>
      </c>
    </row>
    <row r="116" spans="13:18" x14ac:dyDescent="0.25">
      <c r="M116">
        <f t="shared" si="6"/>
        <v>5</v>
      </c>
      <c r="N116">
        <v>113</v>
      </c>
      <c r="O116">
        <f t="shared" si="7"/>
        <v>113</v>
      </c>
      <c r="P116">
        <v>679.38053955078124</v>
      </c>
      <c r="Q116">
        <v>3760.654052734375</v>
      </c>
      <c r="R116">
        <v>0</v>
      </c>
    </row>
    <row r="117" spans="13:18" x14ac:dyDescent="0.25">
      <c r="M117">
        <f t="shared" si="6"/>
        <v>5</v>
      </c>
      <c r="N117">
        <v>114</v>
      </c>
      <c r="O117">
        <f t="shared" si="7"/>
        <v>114</v>
      </c>
      <c r="P117">
        <v>679.38053955078124</v>
      </c>
      <c r="Q117">
        <v>3725.75244140625</v>
      </c>
      <c r="R117">
        <v>0</v>
      </c>
    </row>
    <row r="118" spans="13:18" x14ac:dyDescent="0.25">
      <c r="M118">
        <f t="shared" si="6"/>
        <v>5</v>
      </c>
      <c r="N118">
        <v>115</v>
      </c>
      <c r="O118">
        <f t="shared" si="7"/>
        <v>115</v>
      </c>
      <c r="P118">
        <v>637.95493347167962</v>
      </c>
      <c r="Q118">
        <v>3420.363037109375</v>
      </c>
      <c r="R118">
        <v>0</v>
      </c>
    </row>
    <row r="119" spans="13:18" x14ac:dyDescent="0.25">
      <c r="M119">
        <f t="shared" si="6"/>
        <v>5</v>
      </c>
      <c r="N119">
        <v>116</v>
      </c>
      <c r="O119">
        <f t="shared" si="7"/>
        <v>116</v>
      </c>
      <c r="P119">
        <v>704.23596984863286</v>
      </c>
      <c r="Q119">
        <v>3420.363037109375</v>
      </c>
      <c r="R119">
        <v>0</v>
      </c>
    </row>
    <row r="120" spans="13:18" x14ac:dyDescent="0.25">
      <c r="M120">
        <f t="shared" si="6"/>
        <v>5</v>
      </c>
      <c r="N120">
        <v>117</v>
      </c>
      <c r="O120">
        <f t="shared" si="7"/>
        <v>117</v>
      </c>
      <c r="P120">
        <v>613.09950317382811</v>
      </c>
      <c r="Q120">
        <v>3350.5595703125</v>
      </c>
      <c r="R120">
        <v>0</v>
      </c>
    </row>
    <row r="121" spans="13:18" x14ac:dyDescent="0.25">
      <c r="M121">
        <f t="shared" si="6"/>
        <v>5</v>
      </c>
      <c r="N121">
        <v>118</v>
      </c>
      <c r="O121">
        <f t="shared" si="7"/>
        <v>118</v>
      </c>
      <c r="P121">
        <v>530.2482354736328</v>
      </c>
      <c r="Q121">
        <v>3123.69873046875</v>
      </c>
      <c r="R121">
        <v>0</v>
      </c>
    </row>
    <row r="122" spans="13:18" x14ac:dyDescent="0.25">
      <c r="M122">
        <f t="shared" si="6"/>
        <v>5</v>
      </c>
      <c r="N122">
        <v>119</v>
      </c>
      <c r="O122">
        <f t="shared" si="7"/>
        <v>119</v>
      </c>
      <c r="P122">
        <v>530.2482354736328</v>
      </c>
      <c r="Q122">
        <v>3036.444580078125</v>
      </c>
      <c r="R122">
        <v>0</v>
      </c>
    </row>
    <row r="123" spans="13:18" x14ac:dyDescent="0.25">
      <c r="M123">
        <f t="shared" si="6"/>
        <v>5</v>
      </c>
      <c r="N123">
        <v>120</v>
      </c>
      <c r="O123">
        <f t="shared" si="7"/>
        <v>120</v>
      </c>
      <c r="P123">
        <v>505.39286071777343</v>
      </c>
      <c r="Q123">
        <v>2966.641357421875</v>
      </c>
      <c r="R123">
        <v>0</v>
      </c>
    </row>
    <row r="124" spans="13:18" x14ac:dyDescent="0.25">
      <c r="M124">
        <f t="shared" si="6"/>
        <v>6</v>
      </c>
      <c r="N124">
        <v>121</v>
      </c>
      <c r="O124">
        <f t="shared" si="7"/>
        <v>121</v>
      </c>
      <c r="P124">
        <v>516.23343566894528</v>
      </c>
      <c r="Q124">
        <v>2772.84375</v>
      </c>
      <c r="R124">
        <v>0</v>
      </c>
    </row>
    <row r="125" spans="13:18" x14ac:dyDescent="0.25">
      <c r="M125">
        <f t="shared" si="6"/>
        <v>6</v>
      </c>
      <c r="N125">
        <v>122</v>
      </c>
      <c r="O125">
        <f t="shared" si="7"/>
        <v>122</v>
      </c>
      <c r="P125">
        <v>499.30773559570315</v>
      </c>
      <c r="Q125">
        <v>2843.4892578125</v>
      </c>
      <c r="R125">
        <v>0</v>
      </c>
    </row>
    <row r="126" spans="13:18" x14ac:dyDescent="0.25">
      <c r="M126">
        <f t="shared" si="6"/>
        <v>6</v>
      </c>
      <c r="N126">
        <v>123</v>
      </c>
      <c r="O126">
        <f t="shared" si="7"/>
        <v>123</v>
      </c>
      <c r="P126">
        <v>507.77055786132809</v>
      </c>
      <c r="Q126">
        <v>2905.30419921875</v>
      </c>
      <c r="R126">
        <v>0</v>
      </c>
    </row>
    <row r="127" spans="13:18" x14ac:dyDescent="0.25">
      <c r="M127">
        <f t="shared" si="6"/>
        <v>6</v>
      </c>
      <c r="N127">
        <v>124</v>
      </c>
      <c r="O127">
        <f t="shared" si="7"/>
        <v>124</v>
      </c>
      <c r="P127">
        <v>507.77055786132809</v>
      </c>
      <c r="Q127">
        <v>3046.595703125</v>
      </c>
      <c r="R127">
        <v>0</v>
      </c>
    </row>
    <row r="128" spans="13:18" x14ac:dyDescent="0.25">
      <c r="M128">
        <f t="shared" si="6"/>
        <v>6</v>
      </c>
      <c r="N128">
        <v>125</v>
      </c>
      <c r="O128">
        <f t="shared" si="7"/>
        <v>125</v>
      </c>
      <c r="P128">
        <v>507.77055786132809</v>
      </c>
      <c r="Q128">
        <v>3258.53271484375</v>
      </c>
      <c r="R128">
        <v>0</v>
      </c>
    </row>
    <row r="129" spans="13:18" x14ac:dyDescent="0.25">
      <c r="M129">
        <f t="shared" si="6"/>
        <v>6</v>
      </c>
      <c r="N129">
        <v>126</v>
      </c>
      <c r="O129">
        <f t="shared" si="7"/>
        <v>126</v>
      </c>
      <c r="P129">
        <v>507.77055786132809</v>
      </c>
      <c r="Q129">
        <v>3311.51708984375</v>
      </c>
      <c r="R129">
        <v>0</v>
      </c>
    </row>
    <row r="130" spans="13:18" x14ac:dyDescent="0.25">
      <c r="M130">
        <f t="shared" si="6"/>
        <v>6</v>
      </c>
      <c r="N130">
        <v>127</v>
      </c>
      <c r="O130">
        <f t="shared" si="7"/>
        <v>127</v>
      </c>
      <c r="P130">
        <v>600.86182495117191</v>
      </c>
      <c r="Q130">
        <v>3355.670654296875</v>
      </c>
      <c r="R130">
        <v>0</v>
      </c>
    </row>
    <row r="131" spans="13:18" x14ac:dyDescent="0.25">
      <c r="M131">
        <f t="shared" si="6"/>
        <v>6</v>
      </c>
      <c r="N131">
        <v>128</v>
      </c>
      <c r="O131">
        <f t="shared" si="7"/>
        <v>128</v>
      </c>
      <c r="P131">
        <v>600.86182495117191</v>
      </c>
      <c r="Q131">
        <v>3876.6826171875</v>
      </c>
      <c r="R131">
        <v>0</v>
      </c>
    </row>
    <row r="132" spans="13:18" x14ac:dyDescent="0.25">
      <c r="M132">
        <f t="shared" si="6"/>
        <v>6</v>
      </c>
      <c r="N132">
        <v>129</v>
      </c>
      <c r="O132">
        <f t="shared" ref="O132:O163" si="8">N132*$C$1</f>
        <v>129</v>
      </c>
      <c r="P132">
        <v>744.73019226074211</v>
      </c>
      <c r="Q132">
        <v>4053.296875</v>
      </c>
      <c r="R132">
        <v>0</v>
      </c>
    </row>
    <row r="133" spans="13:18" x14ac:dyDescent="0.25">
      <c r="M133">
        <f t="shared" ref="M133:M171" si="9">ROUNDUP(O133/24,0)</f>
        <v>6</v>
      </c>
      <c r="N133">
        <v>130</v>
      </c>
      <c r="O133">
        <f t="shared" si="8"/>
        <v>130</v>
      </c>
      <c r="P133">
        <v>736.26731445312498</v>
      </c>
      <c r="Q133">
        <v>3647.083984375</v>
      </c>
      <c r="R133">
        <v>0</v>
      </c>
    </row>
    <row r="134" spans="13:18" x14ac:dyDescent="0.25">
      <c r="M134">
        <f t="shared" si="9"/>
        <v>6</v>
      </c>
      <c r="N134">
        <v>131</v>
      </c>
      <c r="O134">
        <f t="shared" si="8"/>
        <v>131</v>
      </c>
      <c r="P134">
        <v>710.87879211425786</v>
      </c>
      <c r="Q134">
        <v>3947.328125</v>
      </c>
      <c r="R134">
        <v>0</v>
      </c>
    </row>
    <row r="135" spans="13:18" x14ac:dyDescent="0.25">
      <c r="M135">
        <f t="shared" si="9"/>
        <v>6</v>
      </c>
      <c r="N135">
        <v>132</v>
      </c>
      <c r="O135">
        <f t="shared" si="8"/>
        <v>132</v>
      </c>
      <c r="P135">
        <v>837.82145935058588</v>
      </c>
      <c r="Q135">
        <v>3806.037109375</v>
      </c>
      <c r="R135">
        <v>0</v>
      </c>
    </row>
    <row r="136" spans="13:18" x14ac:dyDescent="0.25">
      <c r="M136">
        <f t="shared" si="9"/>
        <v>6</v>
      </c>
      <c r="N136">
        <v>133</v>
      </c>
      <c r="O136">
        <f t="shared" si="8"/>
        <v>133</v>
      </c>
      <c r="P136">
        <v>668.56456970214845</v>
      </c>
      <c r="Q136">
        <v>3806.037109375</v>
      </c>
      <c r="R136">
        <v>0</v>
      </c>
    </row>
    <row r="137" spans="13:18" x14ac:dyDescent="0.25">
      <c r="M137">
        <f t="shared" si="9"/>
        <v>6</v>
      </c>
      <c r="N137">
        <v>134</v>
      </c>
      <c r="O137">
        <f t="shared" si="8"/>
        <v>134</v>
      </c>
      <c r="P137">
        <v>651.63886962890626</v>
      </c>
      <c r="Q137">
        <v>3443.977783203125</v>
      </c>
      <c r="R137">
        <v>0</v>
      </c>
    </row>
    <row r="138" spans="13:18" x14ac:dyDescent="0.25">
      <c r="M138">
        <f t="shared" si="9"/>
        <v>6</v>
      </c>
      <c r="N138">
        <v>135</v>
      </c>
      <c r="O138">
        <f t="shared" si="8"/>
        <v>135</v>
      </c>
      <c r="P138">
        <v>626.25034729003903</v>
      </c>
      <c r="Q138">
        <v>3514.62353515625</v>
      </c>
      <c r="R138">
        <v>0</v>
      </c>
    </row>
    <row r="139" spans="13:18" x14ac:dyDescent="0.25">
      <c r="M139">
        <f t="shared" si="9"/>
        <v>6</v>
      </c>
      <c r="N139">
        <v>136</v>
      </c>
      <c r="O139">
        <f t="shared" si="8"/>
        <v>136</v>
      </c>
      <c r="P139">
        <v>524.69625793457033</v>
      </c>
      <c r="Q139">
        <v>3806.037109375</v>
      </c>
      <c r="R139">
        <v>0</v>
      </c>
    </row>
    <row r="140" spans="13:18" x14ac:dyDescent="0.25">
      <c r="M140">
        <f t="shared" si="9"/>
        <v>6</v>
      </c>
      <c r="N140">
        <v>137</v>
      </c>
      <c r="O140">
        <f t="shared" si="8"/>
        <v>137</v>
      </c>
      <c r="P140">
        <v>693.95309204101557</v>
      </c>
      <c r="Q140">
        <v>3806.037109375</v>
      </c>
      <c r="R140">
        <v>0</v>
      </c>
    </row>
    <row r="141" spans="13:18" x14ac:dyDescent="0.25">
      <c r="M141">
        <f t="shared" si="9"/>
        <v>6</v>
      </c>
      <c r="N141">
        <v>138</v>
      </c>
      <c r="O141">
        <f t="shared" si="8"/>
        <v>138</v>
      </c>
      <c r="P141">
        <v>693.95309204101557</v>
      </c>
      <c r="Q141">
        <v>3770.714111328125</v>
      </c>
      <c r="R141">
        <v>0</v>
      </c>
    </row>
    <row r="142" spans="13:18" x14ac:dyDescent="0.25">
      <c r="M142">
        <f t="shared" si="9"/>
        <v>6</v>
      </c>
      <c r="N142">
        <v>139</v>
      </c>
      <c r="O142">
        <f t="shared" si="8"/>
        <v>139</v>
      </c>
      <c r="P142">
        <v>651.63886962890626</v>
      </c>
      <c r="Q142">
        <v>3461.63916015625</v>
      </c>
      <c r="R142">
        <v>0</v>
      </c>
    </row>
    <row r="143" spans="13:18" x14ac:dyDescent="0.25">
      <c r="M143">
        <f t="shared" si="9"/>
        <v>6</v>
      </c>
      <c r="N143">
        <v>140</v>
      </c>
      <c r="O143">
        <f t="shared" si="8"/>
        <v>140</v>
      </c>
      <c r="P143">
        <v>719.3416143798828</v>
      </c>
      <c r="Q143">
        <v>3461.63916015625</v>
      </c>
      <c r="R143">
        <v>0</v>
      </c>
    </row>
    <row r="144" spans="13:18" x14ac:dyDescent="0.25">
      <c r="M144">
        <f t="shared" si="9"/>
        <v>6</v>
      </c>
      <c r="N144">
        <v>141</v>
      </c>
      <c r="O144">
        <f t="shared" si="8"/>
        <v>141</v>
      </c>
      <c r="P144">
        <v>626.25034729003903</v>
      </c>
      <c r="Q144">
        <v>3390.99365234375</v>
      </c>
      <c r="R144">
        <v>0</v>
      </c>
    </row>
    <row r="145" spans="13:18" x14ac:dyDescent="0.25">
      <c r="M145">
        <f t="shared" si="9"/>
        <v>6</v>
      </c>
      <c r="N145">
        <v>142</v>
      </c>
      <c r="O145">
        <f t="shared" si="8"/>
        <v>142</v>
      </c>
      <c r="P145">
        <v>541.62190246582031</v>
      </c>
      <c r="Q145">
        <v>3161.39501953125</v>
      </c>
      <c r="R145">
        <v>0</v>
      </c>
    </row>
    <row r="146" spans="13:18" x14ac:dyDescent="0.25">
      <c r="M146">
        <f t="shared" si="9"/>
        <v>6</v>
      </c>
      <c r="N146">
        <v>143</v>
      </c>
      <c r="O146">
        <f t="shared" si="8"/>
        <v>143</v>
      </c>
      <c r="P146">
        <v>541.62190246582031</v>
      </c>
      <c r="Q146">
        <v>3073.087646484375</v>
      </c>
      <c r="R146">
        <v>0</v>
      </c>
    </row>
    <row r="147" spans="13:18" x14ac:dyDescent="0.25">
      <c r="M147">
        <f t="shared" si="9"/>
        <v>6</v>
      </c>
      <c r="N147">
        <v>144</v>
      </c>
      <c r="O147">
        <f t="shared" si="8"/>
        <v>144</v>
      </c>
      <c r="P147">
        <v>516.23343566894528</v>
      </c>
      <c r="Q147">
        <v>3002.442138671875</v>
      </c>
      <c r="R147">
        <v>0</v>
      </c>
    </row>
    <row r="148" spans="13:18" x14ac:dyDescent="0.25">
      <c r="M148">
        <f t="shared" si="9"/>
        <v>7</v>
      </c>
      <c r="N148">
        <v>145</v>
      </c>
      <c r="O148">
        <f t="shared" si="8"/>
        <v>145</v>
      </c>
      <c r="P148">
        <v>367.30863647460939</v>
      </c>
      <c r="Q148">
        <v>2580.073486328125</v>
      </c>
      <c r="R148">
        <v>0</v>
      </c>
    </row>
    <row r="149" spans="13:18" x14ac:dyDescent="0.25">
      <c r="M149">
        <f t="shared" si="9"/>
        <v>7</v>
      </c>
      <c r="N149">
        <v>146</v>
      </c>
      <c r="O149">
        <f t="shared" si="8"/>
        <v>146</v>
      </c>
      <c r="P149">
        <v>349.53564331054685</v>
      </c>
      <c r="Q149">
        <v>2658.042724609375</v>
      </c>
      <c r="R149">
        <v>0</v>
      </c>
    </row>
    <row r="150" spans="13:18" x14ac:dyDescent="0.25">
      <c r="M150">
        <f t="shared" si="9"/>
        <v>7</v>
      </c>
      <c r="N150">
        <v>147</v>
      </c>
      <c r="O150">
        <f t="shared" si="8"/>
        <v>147</v>
      </c>
      <c r="P150">
        <v>361.38430541992182</v>
      </c>
      <c r="Q150">
        <v>2750.188232421875</v>
      </c>
      <c r="R150">
        <v>0</v>
      </c>
    </row>
    <row r="151" spans="13:18" x14ac:dyDescent="0.25">
      <c r="M151">
        <f t="shared" si="9"/>
        <v>7</v>
      </c>
      <c r="N151">
        <v>148</v>
      </c>
      <c r="O151">
        <f t="shared" si="8"/>
        <v>148</v>
      </c>
      <c r="P151">
        <v>355.45997436523436</v>
      </c>
      <c r="Q151">
        <v>2813.981201171875</v>
      </c>
      <c r="R151">
        <v>0</v>
      </c>
    </row>
    <row r="152" spans="13:18" x14ac:dyDescent="0.25">
      <c r="M152">
        <f t="shared" si="9"/>
        <v>7</v>
      </c>
      <c r="N152">
        <v>149</v>
      </c>
      <c r="O152">
        <f t="shared" si="8"/>
        <v>149</v>
      </c>
      <c r="P152">
        <v>355.45997436523436</v>
      </c>
      <c r="Q152">
        <v>2899.03857421875</v>
      </c>
      <c r="R152">
        <v>0</v>
      </c>
    </row>
    <row r="153" spans="13:18" x14ac:dyDescent="0.25">
      <c r="M153">
        <f t="shared" si="9"/>
        <v>7</v>
      </c>
      <c r="N153">
        <v>150</v>
      </c>
      <c r="O153">
        <f t="shared" si="8"/>
        <v>150</v>
      </c>
      <c r="P153">
        <v>355.45997436523436</v>
      </c>
      <c r="Q153">
        <v>3033.712646484375</v>
      </c>
      <c r="R153">
        <v>0</v>
      </c>
    </row>
    <row r="154" spans="13:18" x14ac:dyDescent="0.25">
      <c r="M154">
        <f t="shared" si="9"/>
        <v>7</v>
      </c>
      <c r="N154">
        <v>151</v>
      </c>
      <c r="O154">
        <f t="shared" si="8"/>
        <v>151</v>
      </c>
      <c r="P154">
        <v>604.2819342041015</v>
      </c>
      <c r="Q154">
        <v>3274.70849609375</v>
      </c>
      <c r="R154">
        <v>0</v>
      </c>
    </row>
    <row r="155" spans="13:18" x14ac:dyDescent="0.25">
      <c r="M155">
        <f t="shared" si="9"/>
        <v>7</v>
      </c>
      <c r="N155">
        <v>152</v>
      </c>
      <c r="O155">
        <f t="shared" si="8"/>
        <v>152</v>
      </c>
      <c r="P155">
        <v>604.2819342041015</v>
      </c>
      <c r="Q155">
        <v>3834.66943359375</v>
      </c>
      <c r="R155">
        <v>0</v>
      </c>
    </row>
    <row r="156" spans="13:18" x14ac:dyDescent="0.25">
      <c r="M156">
        <f t="shared" si="9"/>
        <v>7</v>
      </c>
      <c r="N156">
        <v>153</v>
      </c>
      <c r="O156">
        <f t="shared" si="8"/>
        <v>153</v>
      </c>
      <c r="P156">
        <v>953.8176330566406</v>
      </c>
      <c r="Q156">
        <v>3536.96875</v>
      </c>
      <c r="R156">
        <v>0</v>
      </c>
    </row>
    <row r="157" spans="13:18" x14ac:dyDescent="0.25">
      <c r="M157">
        <f t="shared" si="9"/>
        <v>7</v>
      </c>
      <c r="N157">
        <v>154</v>
      </c>
      <c r="O157">
        <f t="shared" si="8"/>
        <v>154</v>
      </c>
      <c r="P157">
        <v>888.64988037109367</v>
      </c>
      <c r="Q157">
        <v>3125.858154296875</v>
      </c>
      <c r="R157">
        <v>0</v>
      </c>
    </row>
    <row r="158" spans="13:18" x14ac:dyDescent="0.25">
      <c r="M158">
        <f t="shared" si="9"/>
        <v>7</v>
      </c>
      <c r="N158">
        <v>155</v>
      </c>
      <c r="O158">
        <f t="shared" si="8"/>
        <v>155</v>
      </c>
      <c r="P158">
        <v>977.51495727539054</v>
      </c>
      <c r="Q158">
        <v>3827.581298828125</v>
      </c>
      <c r="R158">
        <v>0</v>
      </c>
    </row>
    <row r="159" spans="13:18" x14ac:dyDescent="0.25">
      <c r="M159">
        <f t="shared" si="9"/>
        <v>7</v>
      </c>
      <c r="N159">
        <v>156</v>
      </c>
      <c r="O159">
        <f t="shared" si="8"/>
        <v>156</v>
      </c>
      <c r="P159">
        <v>918.27159118652344</v>
      </c>
      <c r="Q159">
        <v>3614.93798828125</v>
      </c>
      <c r="R159">
        <v>0</v>
      </c>
    </row>
    <row r="160" spans="13:18" x14ac:dyDescent="0.25">
      <c r="M160">
        <f t="shared" si="9"/>
        <v>7</v>
      </c>
      <c r="N160">
        <v>157</v>
      </c>
      <c r="O160">
        <f t="shared" si="8"/>
        <v>157</v>
      </c>
      <c r="P160">
        <v>829.40656982421865</v>
      </c>
      <c r="Q160">
        <v>3480.263671875</v>
      </c>
      <c r="R160">
        <v>0</v>
      </c>
    </row>
    <row r="161" spans="13:18" x14ac:dyDescent="0.25">
      <c r="M161">
        <f t="shared" si="9"/>
        <v>7</v>
      </c>
      <c r="N161">
        <v>158</v>
      </c>
      <c r="O161">
        <f t="shared" si="8"/>
        <v>158</v>
      </c>
      <c r="P161">
        <v>758.31454162597663</v>
      </c>
      <c r="Q161">
        <v>3395.20654296875</v>
      </c>
      <c r="R161">
        <v>0</v>
      </c>
    </row>
    <row r="162" spans="13:18" x14ac:dyDescent="0.25">
      <c r="M162">
        <f t="shared" si="9"/>
        <v>7</v>
      </c>
      <c r="N162">
        <v>159</v>
      </c>
      <c r="O162">
        <f t="shared" si="8"/>
        <v>159</v>
      </c>
      <c r="P162">
        <v>770.16320373535154</v>
      </c>
      <c r="Q162">
        <v>3140.034423828125</v>
      </c>
      <c r="R162">
        <v>0</v>
      </c>
    </row>
    <row r="163" spans="13:18" x14ac:dyDescent="0.25">
      <c r="M163">
        <f t="shared" si="9"/>
        <v>7</v>
      </c>
      <c r="N163">
        <v>160</v>
      </c>
      <c r="O163">
        <f t="shared" si="8"/>
        <v>160</v>
      </c>
      <c r="P163">
        <v>758.31454162597663</v>
      </c>
      <c r="Q163">
        <v>3303.06103515625</v>
      </c>
      <c r="R163">
        <v>0</v>
      </c>
    </row>
    <row r="164" spans="13:18" x14ac:dyDescent="0.25">
      <c r="M164">
        <f t="shared" si="9"/>
        <v>7</v>
      </c>
      <c r="N164">
        <v>161</v>
      </c>
      <c r="O164">
        <f t="shared" ref="O164:O171" si="10">N164*$C$1</f>
        <v>161</v>
      </c>
      <c r="P164">
        <v>681.29823791503907</v>
      </c>
      <c r="Q164">
        <v>3848.845703125</v>
      </c>
      <c r="R164">
        <v>0</v>
      </c>
    </row>
    <row r="165" spans="13:18" x14ac:dyDescent="0.25">
      <c r="M165">
        <f t="shared" si="9"/>
        <v>7</v>
      </c>
      <c r="N165">
        <v>162</v>
      </c>
      <c r="O165">
        <f t="shared" si="10"/>
        <v>162</v>
      </c>
      <c r="P165">
        <v>592.43327209472659</v>
      </c>
      <c r="Q165">
        <v>3515.70458984375</v>
      </c>
      <c r="R165">
        <v>0</v>
      </c>
    </row>
    <row r="166" spans="13:18" x14ac:dyDescent="0.25">
      <c r="M166">
        <f t="shared" si="9"/>
        <v>7</v>
      </c>
      <c r="N166">
        <v>163</v>
      </c>
      <c r="O166">
        <f t="shared" si="10"/>
        <v>163</v>
      </c>
      <c r="P166">
        <v>580.58460998535156</v>
      </c>
      <c r="Q166">
        <v>3423.55908203125</v>
      </c>
      <c r="R166">
        <v>0</v>
      </c>
    </row>
    <row r="167" spans="13:18" x14ac:dyDescent="0.25">
      <c r="M167">
        <f t="shared" si="9"/>
        <v>7</v>
      </c>
      <c r="N167">
        <v>164</v>
      </c>
      <c r="O167">
        <f t="shared" si="10"/>
        <v>164</v>
      </c>
      <c r="P167">
        <v>509.49258178710932</v>
      </c>
      <c r="Q167">
        <v>3366.85400390625</v>
      </c>
      <c r="R167">
        <v>0</v>
      </c>
    </row>
    <row r="168" spans="13:18" x14ac:dyDescent="0.25">
      <c r="M168">
        <f t="shared" si="9"/>
        <v>7</v>
      </c>
      <c r="N168">
        <v>165</v>
      </c>
      <c r="O168">
        <f t="shared" si="10"/>
        <v>165</v>
      </c>
      <c r="P168">
        <v>444.32494018554684</v>
      </c>
      <c r="Q168">
        <v>3281.796630859375</v>
      </c>
      <c r="R168">
        <v>0</v>
      </c>
    </row>
    <row r="169" spans="13:18" x14ac:dyDescent="0.25">
      <c r="M169">
        <f t="shared" si="9"/>
        <v>7</v>
      </c>
      <c r="N169">
        <v>166</v>
      </c>
      <c r="O169">
        <f t="shared" si="10"/>
        <v>166</v>
      </c>
      <c r="P169">
        <v>385.08160186767577</v>
      </c>
      <c r="Q169">
        <v>2977.0078125</v>
      </c>
      <c r="R169">
        <v>0</v>
      </c>
    </row>
    <row r="170" spans="13:18" x14ac:dyDescent="0.25">
      <c r="M170">
        <f t="shared" si="9"/>
        <v>7</v>
      </c>
      <c r="N170">
        <v>167</v>
      </c>
      <c r="O170">
        <f t="shared" si="10"/>
        <v>167</v>
      </c>
      <c r="P170">
        <v>385.08160186767577</v>
      </c>
      <c r="Q170">
        <v>2891.950439453125</v>
      </c>
      <c r="R170">
        <v>0</v>
      </c>
    </row>
    <row r="171" spans="13:18" x14ac:dyDescent="0.25">
      <c r="M171">
        <f t="shared" si="9"/>
        <v>7</v>
      </c>
      <c r="N171">
        <v>168</v>
      </c>
      <c r="O171">
        <f t="shared" si="10"/>
        <v>168</v>
      </c>
      <c r="P171">
        <v>367.30863647460939</v>
      </c>
      <c r="Q171">
        <v>2409.958740234375</v>
      </c>
      <c r="R17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08"/>
  <sheetViews>
    <sheetView workbookViewId="0">
      <selection activeCell="K26" sqref="K26"/>
    </sheetView>
  </sheetViews>
  <sheetFormatPr defaultRowHeight="15" x14ac:dyDescent="0.25"/>
  <sheetData>
    <row r="1" spans="1:19" x14ac:dyDescent="0.25">
      <c r="A1" s="9" t="s">
        <v>54</v>
      </c>
      <c r="B1" s="9"/>
      <c r="C1" s="10">
        <f>tdur</f>
        <v>1</v>
      </c>
      <c r="D1" s="9" t="s">
        <v>1</v>
      </c>
      <c r="G1" t="str">
        <f>ADDRESS(ROW(profstart), COLUMN(profstart),4)&amp;":"&amp;ADDRESS(LOOKUP(2,1/(D:D&lt;&gt;""),ROW(D:D)),LOOKUP(2,1/(4:4&lt;&gt;""),COLUMN(4:4)),4)</f>
        <v>D3:G52</v>
      </c>
    </row>
    <row r="2" spans="1:19" x14ac:dyDescent="0.25">
      <c r="B2" s="3"/>
      <c r="C2" s="3"/>
      <c r="D2" s="11"/>
      <c r="E2" s="3"/>
    </row>
    <row r="3" spans="1:19" x14ac:dyDescent="0.25">
      <c r="D3" s="17" t="s">
        <v>9</v>
      </c>
      <c r="E3" s="18" t="s">
        <v>10</v>
      </c>
      <c r="F3" s="18"/>
      <c r="G3" s="16" t="s">
        <v>11</v>
      </c>
    </row>
    <row r="4" spans="1:19" x14ac:dyDescent="0.25">
      <c r="A4" t="s">
        <v>53</v>
      </c>
      <c r="B4" s="21" t="s">
        <v>0</v>
      </c>
      <c r="C4" s="21" t="s">
        <v>3</v>
      </c>
      <c r="D4" s="17" t="s">
        <v>4</v>
      </c>
      <c r="E4" s="18" t="s">
        <v>4</v>
      </c>
      <c r="F4" s="18" t="s">
        <v>5</v>
      </c>
      <c r="G4" s="16" t="s">
        <v>4</v>
      </c>
    </row>
    <row r="5" spans="1:19" x14ac:dyDescent="0.25">
      <c r="A5">
        <f>ROUNDUP(C5/24,0)</f>
        <v>1</v>
      </c>
      <c r="B5" s="21">
        <v>1</v>
      </c>
      <c r="C5" s="21">
        <f t="shared" ref="C5:C36" si="0">B5*$C$1</f>
        <v>1</v>
      </c>
      <c r="D5" s="17">
        <v>0</v>
      </c>
      <c r="E5" s="17">
        <v>0</v>
      </c>
      <c r="F5" s="17">
        <v>0</v>
      </c>
      <c r="G5" s="17">
        <v>0</v>
      </c>
      <c r="P5" s="17">
        <v>0</v>
      </c>
      <c r="Q5" s="18">
        <v>0</v>
      </c>
      <c r="R5">
        <v>0</v>
      </c>
      <c r="S5" s="16">
        <v>274.99299999999999</v>
      </c>
    </row>
    <row r="6" spans="1:19" x14ac:dyDescent="0.25">
      <c r="A6">
        <f t="shared" ref="A6:A52" si="1">ROUNDUP(C6/24,0)</f>
        <v>1</v>
      </c>
      <c r="B6" s="21">
        <v>2</v>
      </c>
      <c r="C6" s="21">
        <f t="shared" si="0"/>
        <v>2</v>
      </c>
      <c r="D6" s="17">
        <v>0</v>
      </c>
      <c r="E6" s="17">
        <v>0</v>
      </c>
      <c r="F6" s="17">
        <v>0</v>
      </c>
      <c r="G6" s="17">
        <v>0</v>
      </c>
      <c r="P6" s="17">
        <v>0</v>
      </c>
      <c r="Q6" s="18">
        <v>0</v>
      </c>
      <c r="R6">
        <v>0</v>
      </c>
      <c r="S6" s="16">
        <v>352.714</v>
      </c>
    </row>
    <row r="7" spans="1:19" x14ac:dyDescent="0.25">
      <c r="A7">
        <f t="shared" si="1"/>
        <v>1</v>
      </c>
      <c r="B7" s="21">
        <v>3</v>
      </c>
      <c r="C7" s="21">
        <f t="shared" si="0"/>
        <v>3</v>
      </c>
      <c r="D7" s="17">
        <v>0</v>
      </c>
      <c r="E7" s="17">
        <v>0</v>
      </c>
      <c r="F7" s="17">
        <v>0</v>
      </c>
      <c r="G7" s="17">
        <v>0</v>
      </c>
      <c r="P7" s="17">
        <v>0</v>
      </c>
      <c r="Q7" s="18">
        <v>0</v>
      </c>
      <c r="R7">
        <v>0</v>
      </c>
      <c r="S7" s="16">
        <v>442.03800000000001</v>
      </c>
    </row>
    <row r="8" spans="1:19" x14ac:dyDescent="0.25">
      <c r="A8">
        <f t="shared" si="1"/>
        <v>1</v>
      </c>
      <c r="B8" s="21">
        <v>4</v>
      </c>
      <c r="C8" s="21">
        <f t="shared" si="0"/>
        <v>4</v>
      </c>
      <c r="D8" s="17">
        <v>0</v>
      </c>
      <c r="E8" s="17">
        <v>0</v>
      </c>
      <c r="F8" s="17">
        <v>0</v>
      </c>
      <c r="G8" s="17">
        <v>0</v>
      </c>
      <c r="P8" s="17">
        <v>0</v>
      </c>
      <c r="Q8" s="18">
        <v>0</v>
      </c>
      <c r="R8">
        <v>0</v>
      </c>
      <c r="S8" s="16">
        <v>458.39499999999998</v>
      </c>
    </row>
    <row r="9" spans="1:19" x14ac:dyDescent="0.25">
      <c r="A9">
        <f t="shared" si="1"/>
        <v>1</v>
      </c>
      <c r="B9" s="21">
        <v>5</v>
      </c>
      <c r="C9" s="21">
        <f t="shared" si="0"/>
        <v>5</v>
      </c>
      <c r="D9" s="17">
        <v>0</v>
      </c>
      <c r="E9" s="17">
        <v>0</v>
      </c>
      <c r="F9" s="17">
        <v>0</v>
      </c>
      <c r="G9" s="17">
        <v>0</v>
      </c>
      <c r="P9" s="17">
        <v>0</v>
      </c>
      <c r="Q9" s="18">
        <v>0</v>
      </c>
      <c r="R9">
        <v>0</v>
      </c>
      <c r="S9" s="16">
        <v>536.89499999999998</v>
      </c>
    </row>
    <row r="10" spans="1:19" x14ac:dyDescent="0.25">
      <c r="A10">
        <f t="shared" si="1"/>
        <v>1</v>
      </c>
      <c r="B10" s="21">
        <v>6</v>
      </c>
      <c r="C10" s="21">
        <f t="shared" si="0"/>
        <v>6</v>
      </c>
      <c r="D10" s="17">
        <v>0</v>
      </c>
      <c r="E10" s="17">
        <v>0</v>
      </c>
      <c r="F10" s="17">
        <v>0</v>
      </c>
      <c r="G10" s="17">
        <v>0</v>
      </c>
      <c r="P10" s="17">
        <v>25</v>
      </c>
      <c r="Q10" s="18">
        <v>0</v>
      </c>
      <c r="R10">
        <v>0</v>
      </c>
      <c r="S10" s="16">
        <v>567.52599999999995</v>
      </c>
    </row>
    <row r="11" spans="1:19" x14ac:dyDescent="0.25">
      <c r="A11">
        <f t="shared" si="1"/>
        <v>1</v>
      </c>
      <c r="B11" s="21">
        <v>7</v>
      </c>
      <c r="C11" s="21">
        <f t="shared" si="0"/>
        <v>7</v>
      </c>
      <c r="D11" s="17">
        <v>0</v>
      </c>
      <c r="E11" s="17">
        <v>0</v>
      </c>
      <c r="F11" s="17">
        <v>0</v>
      </c>
      <c r="G11" s="17">
        <v>0</v>
      </c>
      <c r="P11" s="17">
        <v>50</v>
      </c>
      <c r="Q11" s="18">
        <v>0</v>
      </c>
      <c r="R11">
        <v>0</v>
      </c>
      <c r="S11" s="16">
        <v>579.24800000000005</v>
      </c>
    </row>
    <row r="12" spans="1:19" x14ac:dyDescent="0.25">
      <c r="A12">
        <f t="shared" si="1"/>
        <v>1</v>
      </c>
      <c r="B12" s="21">
        <v>8</v>
      </c>
      <c r="C12" s="21">
        <f t="shared" si="0"/>
        <v>8</v>
      </c>
      <c r="D12" s="17">
        <v>0</v>
      </c>
      <c r="E12" s="17">
        <v>0</v>
      </c>
      <c r="F12" s="17">
        <v>0</v>
      </c>
      <c r="G12" s="17">
        <v>0</v>
      </c>
      <c r="P12" s="17">
        <v>100</v>
      </c>
      <c r="Q12" s="18">
        <v>7.5616599999999998</v>
      </c>
      <c r="R12">
        <v>7.5616599999999998</v>
      </c>
      <c r="S12" s="16">
        <v>615.46299999999997</v>
      </c>
    </row>
    <row r="13" spans="1:19" x14ac:dyDescent="0.25">
      <c r="A13">
        <f t="shared" si="1"/>
        <v>1</v>
      </c>
      <c r="B13" s="21">
        <v>9</v>
      </c>
      <c r="C13" s="21">
        <f t="shared" si="0"/>
        <v>9</v>
      </c>
      <c r="D13" s="17">
        <v>0</v>
      </c>
      <c r="E13" s="17">
        <v>0</v>
      </c>
      <c r="F13" s="17">
        <v>0</v>
      </c>
      <c r="G13" s="17">
        <v>0</v>
      </c>
      <c r="P13" s="17">
        <v>175</v>
      </c>
      <c r="Q13" s="18">
        <v>126.9824</v>
      </c>
      <c r="R13">
        <v>126.9824</v>
      </c>
      <c r="S13" s="16">
        <v>614.27599999999995</v>
      </c>
    </row>
    <row r="14" spans="1:19" x14ac:dyDescent="0.25">
      <c r="A14">
        <f t="shared" si="1"/>
        <v>1</v>
      </c>
      <c r="B14" s="21">
        <v>10</v>
      </c>
      <c r="C14" s="21">
        <f t="shared" si="0"/>
        <v>10</v>
      </c>
      <c r="D14" s="17">
        <v>0</v>
      </c>
      <c r="E14" s="17">
        <v>0</v>
      </c>
      <c r="F14" s="17">
        <v>0</v>
      </c>
      <c r="G14" s="17">
        <v>0</v>
      </c>
      <c r="P14" s="17">
        <v>300</v>
      </c>
      <c r="Q14" s="18">
        <v>273.976</v>
      </c>
      <c r="R14">
        <v>273.976</v>
      </c>
      <c r="S14" s="16">
        <v>542.70799999999997</v>
      </c>
    </row>
    <row r="15" spans="1:19" x14ac:dyDescent="0.25">
      <c r="A15">
        <f t="shared" si="1"/>
        <v>1</v>
      </c>
      <c r="B15" s="21">
        <v>11</v>
      </c>
      <c r="C15" s="21">
        <f t="shared" si="0"/>
        <v>11</v>
      </c>
      <c r="D15" s="17">
        <v>0</v>
      </c>
      <c r="E15" s="17">
        <v>0</v>
      </c>
      <c r="F15" s="17">
        <v>0</v>
      </c>
      <c r="G15" s="17">
        <v>0</v>
      </c>
      <c r="P15" s="17">
        <v>400</v>
      </c>
      <c r="Q15" s="18">
        <v>381.57799999999997</v>
      </c>
      <c r="R15">
        <v>381.57800000000003</v>
      </c>
      <c r="S15" s="16">
        <v>529.52599999999995</v>
      </c>
    </row>
    <row r="16" spans="1:19" x14ac:dyDescent="0.25">
      <c r="A16">
        <f t="shared" si="1"/>
        <v>1</v>
      </c>
      <c r="B16" s="21">
        <v>12</v>
      </c>
      <c r="C16" s="21">
        <f t="shared" si="0"/>
        <v>12</v>
      </c>
      <c r="D16" s="17">
        <v>0</v>
      </c>
      <c r="E16" s="17">
        <v>0</v>
      </c>
      <c r="F16" s="17">
        <v>0</v>
      </c>
      <c r="G16" s="17">
        <v>0</v>
      </c>
      <c r="P16" s="17">
        <v>450</v>
      </c>
      <c r="Q16" s="18">
        <v>453.10399999999998</v>
      </c>
      <c r="R16">
        <v>453.10400000000004</v>
      </c>
      <c r="S16" s="16">
        <v>480.14800000000002</v>
      </c>
    </row>
    <row r="17" spans="1:19" x14ac:dyDescent="0.25">
      <c r="A17">
        <f t="shared" si="1"/>
        <v>1</v>
      </c>
      <c r="B17" s="21">
        <v>13</v>
      </c>
      <c r="C17" s="21">
        <f t="shared" si="0"/>
        <v>13</v>
      </c>
      <c r="D17" s="17">
        <v>0</v>
      </c>
      <c r="E17" s="17">
        <v>0</v>
      </c>
      <c r="F17" s="17">
        <v>0</v>
      </c>
      <c r="G17" s="17">
        <v>0</v>
      </c>
      <c r="P17" s="17">
        <v>500</v>
      </c>
      <c r="Q17" s="18">
        <v>479.71199999999999</v>
      </c>
      <c r="R17">
        <v>479.71200000000005</v>
      </c>
      <c r="S17" s="16">
        <v>442.38499999999999</v>
      </c>
    </row>
    <row r="18" spans="1:19" x14ac:dyDescent="0.25">
      <c r="A18">
        <f t="shared" si="1"/>
        <v>1</v>
      </c>
      <c r="B18" s="21">
        <v>14</v>
      </c>
      <c r="C18" s="21">
        <f t="shared" si="0"/>
        <v>14</v>
      </c>
      <c r="D18" s="17">
        <v>0</v>
      </c>
      <c r="E18" s="17">
        <v>0</v>
      </c>
      <c r="F18" s="17">
        <v>0</v>
      </c>
      <c r="G18" s="17">
        <v>0</v>
      </c>
      <c r="P18" s="17">
        <v>500</v>
      </c>
      <c r="Q18" s="18">
        <v>465.51600000000002</v>
      </c>
      <c r="R18">
        <v>465.51600000000002</v>
      </c>
      <c r="S18" s="16">
        <v>427.03199999999998</v>
      </c>
    </row>
    <row r="19" spans="1:19" x14ac:dyDescent="0.25">
      <c r="A19">
        <f t="shared" si="1"/>
        <v>1</v>
      </c>
      <c r="B19" s="21">
        <v>15</v>
      </c>
      <c r="C19" s="21">
        <f t="shared" si="0"/>
        <v>15</v>
      </c>
      <c r="D19" s="17">
        <v>0</v>
      </c>
      <c r="E19" s="17">
        <v>0</v>
      </c>
      <c r="F19" s="17">
        <v>0</v>
      </c>
      <c r="G19" s="17">
        <v>0</v>
      </c>
      <c r="P19" s="17">
        <v>500</v>
      </c>
      <c r="Q19" s="18">
        <v>407.05799999999999</v>
      </c>
      <c r="R19">
        <v>407.05800000000005</v>
      </c>
      <c r="S19" s="16">
        <v>428.87200000000001</v>
      </c>
    </row>
    <row r="20" spans="1:19" x14ac:dyDescent="0.25">
      <c r="A20">
        <f t="shared" si="1"/>
        <v>1</v>
      </c>
      <c r="B20" s="21">
        <v>16</v>
      </c>
      <c r="C20" s="21">
        <f t="shared" si="0"/>
        <v>16</v>
      </c>
      <c r="D20" s="17">
        <v>0</v>
      </c>
      <c r="E20" s="17">
        <v>0</v>
      </c>
      <c r="F20" s="17">
        <v>0</v>
      </c>
      <c r="G20" s="17">
        <v>0</v>
      </c>
      <c r="P20" s="17">
        <v>450</v>
      </c>
      <c r="Q20" s="18">
        <v>312.96800000000002</v>
      </c>
      <c r="R20">
        <v>312.96800000000002</v>
      </c>
      <c r="S20" s="16">
        <v>303.32600000000002</v>
      </c>
    </row>
    <row r="21" spans="1:19" x14ac:dyDescent="0.25">
      <c r="A21">
        <f t="shared" si="1"/>
        <v>1</v>
      </c>
      <c r="B21" s="21">
        <v>17</v>
      </c>
      <c r="C21" s="21">
        <f t="shared" si="0"/>
        <v>17</v>
      </c>
      <c r="D21" s="17">
        <v>0</v>
      </c>
      <c r="E21" s="17">
        <v>0</v>
      </c>
      <c r="F21" s="17">
        <v>0</v>
      </c>
      <c r="G21" s="17">
        <v>0</v>
      </c>
      <c r="P21" s="17">
        <v>400</v>
      </c>
      <c r="Q21" s="18">
        <v>169.9522</v>
      </c>
      <c r="R21">
        <v>169.9522</v>
      </c>
      <c r="S21" s="16">
        <v>271.089</v>
      </c>
    </row>
    <row r="22" spans="1:19" x14ac:dyDescent="0.25">
      <c r="A22">
        <f t="shared" si="1"/>
        <v>1</v>
      </c>
      <c r="B22" s="21">
        <v>18</v>
      </c>
      <c r="C22" s="21">
        <f t="shared" si="0"/>
        <v>18</v>
      </c>
      <c r="D22" s="17">
        <v>0</v>
      </c>
      <c r="E22" s="17">
        <v>0</v>
      </c>
      <c r="F22" s="17">
        <v>0</v>
      </c>
      <c r="G22" s="17">
        <v>0</v>
      </c>
      <c r="P22" s="17">
        <v>300</v>
      </c>
      <c r="Q22" s="18">
        <v>27.804200000000002</v>
      </c>
      <c r="R22">
        <v>27.804199999999998</v>
      </c>
      <c r="S22" s="16">
        <v>253.00899999999999</v>
      </c>
    </row>
    <row r="23" spans="1:19" x14ac:dyDescent="0.25">
      <c r="A23">
        <f t="shared" si="1"/>
        <v>1</v>
      </c>
      <c r="B23" s="21">
        <v>19</v>
      </c>
      <c r="C23" s="21">
        <f t="shared" si="0"/>
        <v>19</v>
      </c>
      <c r="D23" s="17">
        <v>0</v>
      </c>
      <c r="E23" s="17">
        <v>0</v>
      </c>
      <c r="F23" s="17">
        <v>0</v>
      </c>
      <c r="G23" s="17">
        <v>0</v>
      </c>
      <c r="P23" s="17">
        <v>175</v>
      </c>
      <c r="Q23" s="18">
        <v>0</v>
      </c>
      <c r="R23">
        <v>0</v>
      </c>
      <c r="S23" s="16">
        <v>289.56599999999997</v>
      </c>
    </row>
    <row r="24" spans="1:19" x14ac:dyDescent="0.25">
      <c r="A24">
        <f t="shared" si="1"/>
        <v>1</v>
      </c>
      <c r="B24" s="21">
        <v>20</v>
      </c>
      <c r="C24" s="21">
        <f t="shared" si="0"/>
        <v>20</v>
      </c>
      <c r="D24" s="17">
        <v>0</v>
      </c>
      <c r="E24" s="17">
        <v>0</v>
      </c>
      <c r="F24" s="17">
        <v>0</v>
      </c>
      <c r="G24" s="17">
        <v>0</v>
      </c>
      <c r="P24" s="17">
        <v>100</v>
      </c>
      <c r="Q24" s="18">
        <v>0</v>
      </c>
      <c r="R24">
        <v>0</v>
      </c>
      <c r="S24" s="16">
        <v>315.10899999999998</v>
      </c>
    </row>
    <row r="25" spans="1:19" x14ac:dyDescent="0.25">
      <c r="A25">
        <f t="shared" si="1"/>
        <v>1</v>
      </c>
      <c r="B25" s="21">
        <v>21</v>
      </c>
      <c r="C25" s="21">
        <f t="shared" si="0"/>
        <v>21</v>
      </c>
      <c r="D25" s="17">
        <v>0</v>
      </c>
      <c r="E25" s="17">
        <v>0</v>
      </c>
      <c r="F25" s="17">
        <v>0</v>
      </c>
      <c r="G25" s="17">
        <v>0</v>
      </c>
      <c r="P25" s="17">
        <v>50</v>
      </c>
      <c r="Q25" s="18">
        <v>0</v>
      </c>
      <c r="R25">
        <v>0</v>
      </c>
      <c r="S25" s="16">
        <v>322.76299999999998</v>
      </c>
    </row>
    <row r="26" spans="1:19" x14ac:dyDescent="0.25">
      <c r="A26">
        <f t="shared" si="1"/>
        <v>1</v>
      </c>
      <c r="B26" s="21">
        <v>22</v>
      </c>
      <c r="C26" s="21">
        <f t="shared" si="0"/>
        <v>22</v>
      </c>
      <c r="D26" s="17">
        <v>0</v>
      </c>
      <c r="E26" s="17">
        <v>0</v>
      </c>
      <c r="F26" s="17">
        <v>0</v>
      </c>
      <c r="G26" s="17">
        <v>0</v>
      </c>
      <c r="P26" s="17">
        <v>0</v>
      </c>
      <c r="Q26" s="18">
        <v>0</v>
      </c>
      <c r="R26">
        <v>0</v>
      </c>
      <c r="S26" s="16">
        <v>290.94499999999999</v>
      </c>
    </row>
    <row r="27" spans="1:19" x14ac:dyDescent="0.25">
      <c r="A27">
        <f t="shared" si="1"/>
        <v>1</v>
      </c>
      <c r="B27" s="21">
        <v>23</v>
      </c>
      <c r="C27" s="21">
        <f t="shared" si="0"/>
        <v>23</v>
      </c>
      <c r="D27" s="17">
        <v>0</v>
      </c>
      <c r="E27" s="17">
        <v>0</v>
      </c>
      <c r="F27" s="17">
        <v>0</v>
      </c>
      <c r="G27" s="17">
        <v>0</v>
      </c>
      <c r="P27" s="17">
        <v>0</v>
      </c>
      <c r="Q27" s="18">
        <v>0</v>
      </c>
      <c r="R27">
        <v>0</v>
      </c>
      <c r="S27" s="16">
        <v>342.27300000000002</v>
      </c>
    </row>
    <row r="28" spans="1:19" x14ac:dyDescent="0.25">
      <c r="A28">
        <f t="shared" si="1"/>
        <v>1</v>
      </c>
      <c r="B28" s="21">
        <v>24</v>
      </c>
      <c r="C28" s="21">
        <f t="shared" si="0"/>
        <v>24</v>
      </c>
      <c r="D28" s="17">
        <v>0</v>
      </c>
      <c r="E28" s="17">
        <v>0</v>
      </c>
      <c r="F28" s="17">
        <v>0</v>
      </c>
      <c r="G28" s="17">
        <v>0</v>
      </c>
      <c r="P28" s="17">
        <v>0</v>
      </c>
      <c r="Q28" s="18">
        <v>0</v>
      </c>
      <c r="R28">
        <v>0</v>
      </c>
      <c r="S28" s="16">
        <v>335.39400000000001</v>
      </c>
    </row>
    <row r="29" spans="1:19" x14ac:dyDescent="0.25">
      <c r="A29">
        <f t="shared" si="1"/>
        <v>2</v>
      </c>
      <c r="B29" s="21">
        <v>25</v>
      </c>
      <c r="C29" s="21">
        <f t="shared" si="0"/>
        <v>25</v>
      </c>
      <c r="D29" s="17">
        <v>0</v>
      </c>
      <c r="E29" s="17">
        <v>0</v>
      </c>
      <c r="F29" s="17">
        <v>0</v>
      </c>
      <c r="G29" s="17">
        <v>0</v>
      </c>
      <c r="P29" s="17">
        <v>0</v>
      </c>
      <c r="Q29" s="18">
        <v>0</v>
      </c>
      <c r="R29">
        <v>0</v>
      </c>
      <c r="S29" s="16">
        <v>274.99299999999999</v>
      </c>
    </row>
    <row r="30" spans="1:19" x14ac:dyDescent="0.25">
      <c r="A30">
        <f t="shared" si="1"/>
        <v>2</v>
      </c>
      <c r="B30" s="21">
        <v>26</v>
      </c>
      <c r="C30" s="21">
        <f t="shared" si="0"/>
        <v>26</v>
      </c>
      <c r="D30" s="17">
        <v>0</v>
      </c>
      <c r="E30" s="17">
        <v>0</v>
      </c>
      <c r="F30" s="17">
        <v>0</v>
      </c>
      <c r="G30" s="17">
        <v>0</v>
      </c>
      <c r="P30" s="17">
        <v>0</v>
      </c>
      <c r="Q30" s="18">
        <v>0</v>
      </c>
      <c r="R30">
        <v>0</v>
      </c>
      <c r="S30" s="16">
        <v>352.714</v>
      </c>
    </row>
    <row r="31" spans="1:19" x14ac:dyDescent="0.25">
      <c r="A31">
        <f t="shared" si="1"/>
        <v>2</v>
      </c>
      <c r="B31" s="21">
        <v>27</v>
      </c>
      <c r="C31" s="21">
        <f t="shared" si="0"/>
        <v>27</v>
      </c>
      <c r="D31" s="17">
        <v>0</v>
      </c>
      <c r="E31" s="17">
        <v>0</v>
      </c>
      <c r="F31" s="17">
        <v>0</v>
      </c>
      <c r="G31" s="17">
        <v>0</v>
      </c>
      <c r="P31" s="17">
        <v>0</v>
      </c>
      <c r="Q31" s="18">
        <v>0</v>
      </c>
      <c r="R31">
        <v>0</v>
      </c>
      <c r="S31" s="16">
        <v>442.03800000000001</v>
      </c>
    </row>
    <row r="32" spans="1:19" x14ac:dyDescent="0.25">
      <c r="A32">
        <f t="shared" si="1"/>
        <v>2</v>
      </c>
      <c r="B32" s="21">
        <v>28</v>
      </c>
      <c r="C32" s="21">
        <f t="shared" si="0"/>
        <v>28</v>
      </c>
      <c r="D32" s="17">
        <v>0</v>
      </c>
      <c r="E32" s="17">
        <v>0</v>
      </c>
      <c r="F32" s="17">
        <v>0</v>
      </c>
      <c r="G32" s="17">
        <v>0</v>
      </c>
      <c r="P32" s="17">
        <v>0</v>
      </c>
      <c r="Q32" s="18">
        <v>0</v>
      </c>
      <c r="R32">
        <v>0</v>
      </c>
      <c r="S32" s="16">
        <v>458.39499999999998</v>
      </c>
    </row>
    <row r="33" spans="1:19" x14ac:dyDescent="0.25">
      <c r="A33">
        <f t="shared" si="1"/>
        <v>2</v>
      </c>
      <c r="B33" s="21">
        <v>29</v>
      </c>
      <c r="C33" s="21">
        <f t="shared" si="0"/>
        <v>29</v>
      </c>
      <c r="D33" s="17">
        <v>0</v>
      </c>
      <c r="E33" s="17">
        <v>0</v>
      </c>
      <c r="F33" s="17">
        <v>0</v>
      </c>
      <c r="G33" s="17">
        <v>0</v>
      </c>
      <c r="P33" s="17">
        <v>0</v>
      </c>
      <c r="Q33" s="18">
        <v>0</v>
      </c>
      <c r="R33">
        <v>0</v>
      </c>
      <c r="S33" s="16">
        <v>536.89499999999998</v>
      </c>
    </row>
    <row r="34" spans="1:19" x14ac:dyDescent="0.25">
      <c r="A34">
        <f t="shared" si="1"/>
        <v>2</v>
      </c>
      <c r="B34" s="21">
        <v>30</v>
      </c>
      <c r="C34" s="21">
        <f t="shared" si="0"/>
        <v>30</v>
      </c>
      <c r="D34" s="17">
        <v>0</v>
      </c>
      <c r="E34" s="17">
        <v>0</v>
      </c>
      <c r="F34" s="17">
        <v>0</v>
      </c>
      <c r="G34" s="17">
        <v>0</v>
      </c>
      <c r="P34" s="17">
        <v>25</v>
      </c>
      <c r="Q34" s="18">
        <v>0</v>
      </c>
      <c r="R34">
        <v>0</v>
      </c>
      <c r="S34" s="16">
        <v>567.52599999999995</v>
      </c>
    </row>
    <row r="35" spans="1:19" x14ac:dyDescent="0.25">
      <c r="A35">
        <f t="shared" si="1"/>
        <v>2</v>
      </c>
      <c r="B35" s="21">
        <v>31</v>
      </c>
      <c r="C35" s="21">
        <f t="shared" si="0"/>
        <v>31</v>
      </c>
      <c r="D35" s="17">
        <v>0</v>
      </c>
      <c r="E35" s="17">
        <v>0</v>
      </c>
      <c r="F35" s="17">
        <v>0</v>
      </c>
      <c r="G35" s="17">
        <v>0</v>
      </c>
      <c r="P35" s="17">
        <v>50</v>
      </c>
      <c r="Q35" s="18">
        <v>0</v>
      </c>
      <c r="R35">
        <v>0</v>
      </c>
      <c r="S35" s="16">
        <v>579.24800000000005</v>
      </c>
    </row>
    <row r="36" spans="1:19" x14ac:dyDescent="0.25">
      <c r="A36">
        <f t="shared" si="1"/>
        <v>2</v>
      </c>
      <c r="B36" s="21">
        <v>32</v>
      </c>
      <c r="C36" s="21">
        <f t="shared" si="0"/>
        <v>32</v>
      </c>
      <c r="D36" s="17">
        <v>0</v>
      </c>
      <c r="E36" s="17">
        <v>0</v>
      </c>
      <c r="F36" s="17">
        <v>0</v>
      </c>
      <c r="G36" s="17">
        <v>0</v>
      </c>
      <c r="P36" s="17">
        <v>100</v>
      </c>
      <c r="Q36" s="18">
        <v>7.5616599999999998</v>
      </c>
      <c r="R36">
        <v>7.5616599999999998</v>
      </c>
      <c r="S36" s="16">
        <v>615.46299999999997</v>
      </c>
    </row>
    <row r="37" spans="1:19" x14ac:dyDescent="0.25">
      <c r="A37">
        <f t="shared" si="1"/>
        <v>2</v>
      </c>
      <c r="B37" s="21">
        <v>33</v>
      </c>
      <c r="C37" s="21">
        <f t="shared" ref="C37:C52" si="2">B37*$C$1</f>
        <v>33</v>
      </c>
      <c r="D37" s="17">
        <v>0</v>
      </c>
      <c r="E37" s="17">
        <v>0</v>
      </c>
      <c r="F37" s="17">
        <v>0</v>
      </c>
      <c r="G37" s="17">
        <v>0</v>
      </c>
      <c r="P37" s="17">
        <v>175</v>
      </c>
      <c r="Q37" s="18">
        <v>126.9824</v>
      </c>
      <c r="R37">
        <v>126.9824</v>
      </c>
      <c r="S37" s="16">
        <v>614.27599999999995</v>
      </c>
    </row>
    <row r="38" spans="1:19" x14ac:dyDescent="0.25">
      <c r="A38">
        <f t="shared" si="1"/>
        <v>2</v>
      </c>
      <c r="B38" s="21">
        <v>34</v>
      </c>
      <c r="C38" s="21">
        <f t="shared" si="2"/>
        <v>34</v>
      </c>
      <c r="D38" s="17">
        <v>0</v>
      </c>
      <c r="E38" s="17">
        <v>0</v>
      </c>
      <c r="F38" s="17">
        <v>0</v>
      </c>
      <c r="G38" s="17">
        <v>0</v>
      </c>
      <c r="P38" s="17">
        <v>300</v>
      </c>
      <c r="Q38" s="18">
        <v>273.976</v>
      </c>
      <c r="R38">
        <v>273.976</v>
      </c>
      <c r="S38" s="16">
        <v>542.70799999999997</v>
      </c>
    </row>
    <row r="39" spans="1:19" x14ac:dyDescent="0.25">
      <c r="A39">
        <f t="shared" si="1"/>
        <v>2</v>
      </c>
      <c r="B39" s="21">
        <v>35</v>
      </c>
      <c r="C39" s="21">
        <f t="shared" si="2"/>
        <v>35</v>
      </c>
      <c r="D39" s="17">
        <v>0</v>
      </c>
      <c r="E39" s="17">
        <v>0</v>
      </c>
      <c r="F39" s="17">
        <v>0</v>
      </c>
      <c r="G39" s="17">
        <v>0</v>
      </c>
      <c r="P39" s="17">
        <v>400</v>
      </c>
      <c r="Q39" s="18">
        <v>381.57799999999997</v>
      </c>
      <c r="R39">
        <v>381.57800000000003</v>
      </c>
      <c r="S39" s="16">
        <v>529.52599999999995</v>
      </c>
    </row>
    <row r="40" spans="1:19" x14ac:dyDescent="0.25">
      <c r="A40">
        <f t="shared" si="1"/>
        <v>2</v>
      </c>
      <c r="B40" s="21">
        <v>36</v>
      </c>
      <c r="C40" s="21">
        <f t="shared" si="2"/>
        <v>36</v>
      </c>
      <c r="D40" s="17">
        <v>0</v>
      </c>
      <c r="E40" s="17">
        <v>0</v>
      </c>
      <c r="F40" s="17">
        <v>0</v>
      </c>
      <c r="G40" s="17">
        <v>0</v>
      </c>
      <c r="P40" s="17">
        <v>450</v>
      </c>
      <c r="Q40" s="18">
        <v>453.10399999999998</v>
      </c>
      <c r="R40">
        <v>453.10400000000004</v>
      </c>
      <c r="S40" s="16">
        <v>480.14800000000002</v>
      </c>
    </row>
    <row r="41" spans="1:19" x14ac:dyDescent="0.25">
      <c r="A41">
        <f t="shared" si="1"/>
        <v>2</v>
      </c>
      <c r="B41" s="21">
        <v>37</v>
      </c>
      <c r="C41" s="21">
        <f t="shared" si="2"/>
        <v>37</v>
      </c>
      <c r="D41" s="17">
        <v>0</v>
      </c>
      <c r="E41" s="17">
        <v>0</v>
      </c>
      <c r="F41" s="17">
        <v>0</v>
      </c>
      <c r="G41" s="17">
        <v>0</v>
      </c>
      <c r="P41" s="17">
        <v>500</v>
      </c>
      <c r="Q41" s="18">
        <v>479.71199999999999</v>
      </c>
      <c r="R41">
        <v>479.71200000000005</v>
      </c>
      <c r="S41" s="16">
        <v>442.38499999999999</v>
      </c>
    </row>
    <row r="42" spans="1:19" x14ac:dyDescent="0.25">
      <c r="A42">
        <f t="shared" si="1"/>
        <v>2</v>
      </c>
      <c r="B42" s="21">
        <v>38</v>
      </c>
      <c r="C42" s="21">
        <f t="shared" si="2"/>
        <v>38</v>
      </c>
      <c r="D42" s="17">
        <v>0</v>
      </c>
      <c r="E42" s="17">
        <v>0</v>
      </c>
      <c r="F42" s="17">
        <v>0</v>
      </c>
      <c r="G42" s="17">
        <v>0</v>
      </c>
      <c r="P42" s="17">
        <v>500</v>
      </c>
      <c r="Q42" s="18">
        <v>465.51600000000002</v>
      </c>
      <c r="R42">
        <v>465.51600000000002</v>
      </c>
      <c r="S42" s="16">
        <v>427.03199999999998</v>
      </c>
    </row>
    <row r="43" spans="1:19" x14ac:dyDescent="0.25">
      <c r="A43">
        <f t="shared" si="1"/>
        <v>2</v>
      </c>
      <c r="B43" s="21">
        <v>39</v>
      </c>
      <c r="C43" s="21">
        <f t="shared" si="2"/>
        <v>39</v>
      </c>
      <c r="D43" s="17">
        <v>0</v>
      </c>
      <c r="E43" s="17">
        <v>0</v>
      </c>
      <c r="F43" s="17">
        <v>0</v>
      </c>
      <c r="G43" s="17">
        <v>0</v>
      </c>
      <c r="P43" s="17">
        <v>500</v>
      </c>
      <c r="Q43" s="18">
        <v>407.05799999999999</v>
      </c>
      <c r="R43">
        <v>407.05800000000005</v>
      </c>
      <c r="S43" s="16">
        <v>428.87200000000001</v>
      </c>
    </row>
    <row r="44" spans="1:19" x14ac:dyDescent="0.25">
      <c r="A44">
        <f t="shared" si="1"/>
        <v>2</v>
      </c>
      <c r="B44" s="21">
        <v>40</v>
      </c>
      <c r="C44" s="21">
        <f t="shared" si="2"/>
        <v>40</v>
      </c>
      <c r="D44" s="17">
        <v>0</v>
      </c>
      <c r="E44" s="17">
        <v>0</v>
      </c>
      <c r="F44" s="17">
        <v>0</v>
      </c>
      <c r="G44" s="17">
        <v>0</v>
      </c>
      <c r="P44" s="17">
        <v>450</v>
      </c>
      <c r="Q44" s="18">
        <v>312.96800000000002</v>
      </c>
      <c r="R44">
        <v>312.96800000000002</v>
      </c>
      <c r="S44" s="16">
        <v>303.32600000000002</v>
      </c>
    </row>
    <row r="45" spans="1:19" x14ac:dyDescent="0.25">
      <c r="A45">
        <f t="shared" si="1"/>
        <v>2</v>
      </c>
      <c r="B45" s="21">
        <v>41</v>
      </c>
      <c r="C45" s="21">
        <f t="shared" si="2"/>
        <v>41</v>
      </c>
      <c r="D45" s="17">
        <v>0</v>
      </c>
      <c r="E45" s="17">
        <v>0</v>
      </c>
      <c r="F45" s="17">
        <v>0</v>
      </c>
      <c r="G45" s="17">
        <v>0</v>
      </c>
      <c r="P45" s="17">
        <v>400</v>
      </c>
      <c r="Q45" s="18">
        <v>169.9522</v>
      </c>
      <c r="R45">
        <v>169.9522</v>
      </c>
      <c r="S45" s="16">
        <v>271.089</v>
      </c>
    </row>
    <row r="46" spans="1:19" x14ac:dyDescent="0.25">
      <c r="A46">
        <f t="shared" si="1"/>
        <v>2</v>
      </c>
      <c r="B46" s="21">
        <v>42</v>
      </c>
      <c r="C46" s="21">
        <f t="shared" si="2"/>
        <v>42</v>
      </c>
      <c r="D46" s="17">
        <v>0</v>
      </c>
      <c r="E46" s="17">
        <v>0</v>
      </c>
      <c r="F46" s="17">
        <v>0</v>
      </c>
      <c r="G46" s="17">
        <v>0</v>
      </c>
      <c r="P46" s="17">
        <v>300</v>
      </c>
      <c r="Q46" s="18">
        <v>27.804200000000002</v>
      </c>
      <c r="R46">
        <v>27.804199999999998</v>
      </c>
      <c r="S46" s="16">
        <v>253.00899999999999</v>
      </c>
    </row>
    <row r="47" spans="1:19" x14ac:dyDescent="0.25">
      <c r="A47">
        <f t="shared" si="1"/>
        <v>2</v>
      </c>
      <c r="B47" s="21">
        <v>43</v>
      </c>
      <c r="C47" s="21">
        <f t="shared" si="2"/>
        <v>43</v>
      </c>
      <c r="D47" s="17">
        <v>0</v>
      </c>
      <c r="E47" s="17">
        <v>0</v>
      </c>
      <c r="F47" s="17">
        <v>0</v>
      </c>
      <c r="G47" s="17">
        <v>0</v>
      </c>
      <c r="P47" s="17">
        <v>175</v>
      </c>
      <c r="Q47" s="18">
        <v>0</v>
      </c>
      <c r="R47">
        <v>0</v>
      </c>
      <c r="S47" s="16">
        <v>289.56599999999997</v>
      </c>
    </row>
    <row r="48" spans="1:19" x14ac:dyDescent="0.25">
      <c r="A48">
        <f t="shared" si="1"/>
        <v>2</v>
      </c>
      <c r="B48" s="21">
        <v>44</v>
      </c>
      <c r="C48" s="21">
        <f t="shared" si="2"/>
        <v>44</v>
      </c>
      <c r="D48" s="17">
        <v>0</v>
      </c>
      <c r="E48" s="17">
        <v>0</v>
      </c>
      <c r="F48" s="17">
        <v>0</v>
      </c>
      <c r="G48" s="17">
        <v>0</v>
      </c>
      <c r="P48" s="17">
        <v>100</v>
      </c>
      <c r="Q48" s="18">
        <v>0</v>
      </c>
      <c r="R48">
        <v>0</v>
      </c>
      <c r="S48" s="16">
        <v>315.10899999999998</v>
      </c>
    </row>
    <row r="49" spans="1:19" x14ac:dyDescent="0.25">
      <c r="A49">
        <f t="shared" si="1"/>
        <v>2</v>
      </c>
      <c r="B49" s="21">
        <v>45</v>
      </c>
      <c r="C49" s="21">
        <f t="shared" si="2"/>
        <v>45</v>
      </c>
      <c r="D49" s="17">
        <v>0</v>
      </c>
      <c r="E49" s="17">
        <v>0</v>
      </c>
      <c r="F49" s="17">
        <v>0</v>
      </c>
      <c r="G49" s="17">
        <v>0</v>
      </c>
      <c r="P49" s="17">
        <v>50</v>
      </c>
      <c r="Q49" s="18">
        <v>0</v>
      </c>
      <c r="R49">
        <v>0</v>
      </c>
      <c r="S49" s="16">
        <v>322.76299999999998</v>
      </c>
    </row>
    <row r="50" spans="1:19" x14ac:dyDescent="0.25">
      <c r="A50">
        <f t="shared" si="1"/>
        <v>2</v>
      </c>
      <c r="B50" s="21">
        <v>46</v>
      </c>
      <c r="C50" s="21">
        <f t="shared" si="2"/>
        <v>46</v>
      </c>
      <c r="D50" s="17">
        <v>0</v>
      </c>
      <c r="E50" s="17">
        <v>0</v>
      </c>
      <c r="F50" s="17">
        <v>0</v>
      </c>
      <c r="G50" s="17">
        <v>0</v>
      </c>
      <c r="P50" s="17">
        <v>0</v>
      </c>
      <c r="Q50" s="18">
        <v>0</v>
      </c>
      <c r="R50">
        <v>0</v>
      </c>
      <c r="S50" s="16">
        <v>290.94499999999999</v>
      </c>
    </row>
    <row r="51" spans="1:19" x14ac:dyDescent="0.25">
      <c r="A51">
        <f t="shared" si="1"/>
        <v>2</v>
      </c>
      <c r="B51" s="21">
        <v>47</v>
      </c>
      <c r="C51" s="21">
        <f t="shared" si="2"/>
        <v>47</v>
      </c>
      <c r="D51" s="17">
        <v>0</v>
      </c>
      <c r="E51" s="17">
        <v>0</v>
      </c>
      <c r="F51" s="17">
        <v>0</v>
      </c>
      <c r="G51" s="17">
        <v>0</v>
      </c>
      <c r="P51" s="17">
        <v>0</v>
      </c>
      <c r="Q51" s="18">
        <v>0</v>
      </c>
      <c r="R51">
        <v>0</v>
      </c>
      <c r="S51" s="16">
        <v>342.27300000000002</v>
      </c>
    </row>
    <row r="52" spans="1:19" x14ac:dyDescent="0.25">
      <c r="A52">
        <f t="shared" si="1"/>
        <v>2</v>
      </c>
      <c r="B52" s="21">
        <v>48</v>
      </c>
      <c r="C52" s="21">
        <f t="shared" si="2"/>
        <v>48</v>
      </c>
      <c r="D52" s="17">
        <v>0</v>
      </c>
      <c r="E52" s="17">
        <v>0</v>
      </c>
      <c r="F52" s="17">
        <v>0</v>
      </c>
      <c r="G52" s="17">
        <v>0</v>
      </c>
      <c r="P52" s="17">
        <v>0</v>
      </c>
      <c r="Q52" s="18">
        <v>0</v>
      </c>
      <c r="R52">
        <v>0</v>
      </c>
      <c r="S52" s="16">
        <v>335.39400000000001</v>
      </c>
    </row>
    <row r="53" spans="1:19" x14ac:dyDescent="0.25">
      <c r="B53" s="21"/>
      <c r="C53" s="21"/>
      <c r="P53" s="17">
        <v>0</v>
      </c>
      <c r="Q53" s="18">
        <v>0</v>
      </c>
      <c r="R53">
        <v>0</v>
      </c>
      <c r="S53" s="16">
        <v>274.99299999999999</v>
      </c>
    </row>
    <row r="54" spans="1:19" x14ac:dyDescent="0.25">
      <c r="B54" s="21"/>
      <c r="C54" s="21"/>
      <c r="P54" s="17">
        <v>0</v>
      </c>
      <c r="Q54" s="18">
        <v>0</v>
      </c>
      <c r="R54">
        <v>0</v>
      </c>
      <c r="S54" s="16">
        <v>352.714</v>
      </c>
    </row>
    <row r="55" spans="1:19" x14ac:dyDescent="0.25">
      <c r="B55" s="21"/>
      <c r="C55" s="21"/>
      <c r="P55" s="17">
        <v>0</v>
      </c>
      <c r="Q55" s="18">
        <v>0</v>
      </c>
      <c r="R55">
        <v>0</v>
      </c>
      <c r="S55" s="16">
        <v>442.03800000000001</v>
      </c>
    </row>
    <row r="56" spans="1:19" x14ac:dyDescent="0.25">
      <c r="B56" s="21"/>
      <c r="C56" s="21"/>
      <c r="P56" s="17">
        <v>0</v>
      </c>
      <c r="Q56" s="18">
        <v>0</v>
      </c>
      <c r="R56">
        <v>0</v>
      </c>
      <c r="S56" s="16">
        <v>458.39499999999998</v>
      </c>
    </row>
    <row r="57" spans="1:19" x14ac:dyDescent="0.25">
      <c r="B57" s="21"/>
      <c r="C57" s="21"/>
      <c r="P57" s="17">
        <v>0</v>
      </c>
      <c r="Q57" s="18">
        <v>0</v>
      </c>
      <c r="R57">
        <v>0</v>
      </c>
      <c r="S57" s="16">
        <v>536.89499999999998</v>
      </c>
    </row>
    <row r="58" spans="1:19" x14ac:dyDescent="0.25">
      <c r="B58" s="21"/>
      <c r="C58" s="21"/>
      <c r="P58" s="17">
        <v>25</v>
      </c>
      <c r="Q58" s="18">
        <v>0</v>
      </c>
      <c r="R58">
        <v>0</v>
      </c>
      <c r="S58" s="16">
        <v>567.52599999999995</v>
      </c>
    </row>
    <row r="59" spans="1:19" x14ac:dyDescent="0.25">
      <c r="B59" s="21"/>
      <c r="C59" s="21"/>
      <c r="P59" s="17">
        <v>50</v>
      </c>
      <c r="Q59" s="18">
        <v>0</v>
      </c>
      <c r="R59">
        <v>0</v>
      </c>
      <c r="S59" s="16">
        <v>579.24800000000005</v>
      </c>
    </row>
    <row r="60" spans="1:19" x14ac:dyDescent="0.25">
      <c r="B60" s="21"/>
      <c r="C60" s="21"/>
      <c r="P60" s="17">
        <v>100</v>
      </c>
      <c r="Q60" s="18">
        <v>7.5616599999999998</v>
      </c>
      <c r="R60">
        <v>7.5616599999999998</v>
      </c>
      <c r="S60" s="16">
        <v>615.46299999999997</v>
      </c>
    </row>
    <row r="61" spans="1:19" x14ac:dyDescent="0.25">
      <c r="B61" s="21"/>
      <c r="C61" s="21"/>
      <c r="P61" s="17">
        <v>175</v>
      </c>
      <c r="Q61" s="18">
        <v>126.9824</v>
      </c>
      <c r="R61">
        <v>126.9824</v>
      </c>
      <c r="S61" s="16">
        <v>614.27599999999995</v>
      </c>
    </row>
    <row r="62" spans="1:19" x14ac:dyDescent="0.25">
      <c r="B62" s="21"/>
      <c r="C62" s="21"/>
      <c r="P62" s="17">
        <v>300</v>
      </c>
      <c r="Q62" s="18">
        <v>273.976</v>
      </c>
      <c r="R62">
        <v>273.976</v>
      </c>
      <c r="S62" s="16">
        <v>542.70799999999997</v>
      </c>
    </row>
    <row r="63" spans="1:19" x14ac:dyDescent="0.25">
      <c r="B63" s="21"/>
      <c r="C63" s="21"/>
      <c r="P63" s="17">
        <v>400</v>
      </c>
      <c r="Q63" s="18">
        <v>381.57799999999997</v>
      </c>
      <c r="R63">
        <v>381.57800000000003</v>
      </c>
      <c r="S63" s="16">
        <v>529.52599999999995</v>
      </c>
    </row>
    <row r="64" spans="1:19" x14ac:dyDescent="0.25">
      <c r="B64" s="21"/>
      <c r="C64" s="21"/>
      <c r="P64" s="17">
        <v>450</v>
      </c>
      <c r="Q64" s="18">
        <v>453.10399999999998</v>
      </c>
      <c r="R64">
        <v>453.10400000000004</v>
      </c>
      <c r="S64" s="16">
        <v>480.14800000000002</v>
      </c>
    </row>
    <row r="65" spans="2:19" x14ac:dyDescent="0.25">
      <c r="B65" s="21"/>
      <c r="C65" s="21"/>
      <c r="P65" s="17">
        <v>500</v>
      </c>
      <c r="Q65" s="18">
        <v>479.71199999999999</v>
      </c>
      <c r="R65">
        <v>479.71200000000005</v>
      </c>
      <c r="S65" s="16">
        <v>442.38499999999999</v>
      </c>
    </row>
    <row r="66" spans="2:19" x14ac:dyDescent="0.25">
      <c r="B66" s="21"/>
      <c r="C66" s="21"/>
      <c r="P66" s="17">
        <v>500</v>
      </c>
      <c r="Q66" s="18">
        <v>465.51600000000002</v>
      </c>
      <c r="R66">
        <v>465.51600000000002</v>
      </c>
      <c r="S66" s="16">
        <v>427.03199999999998</v>
      </c>
    </row>
    <row r="67" spans="2:19" x14ac:dyDescent="0.25">
      <c r="B67" s="21"/>
      <c r="C67" s="21"/>
      <c r="P67" s="17">
        <v>500</v>
      </c>
      <c r="Q67" s="18">
        <v>407.05799999999999</v>
      </c>
      <c r="R67">
        <v>407.05800000000005</v>
      </c>
      <c r="S67" s="16">
        <v>428.87200000000001</v>
      </c>
    </row>
    <row r="68" spans="2:19" x14ac:dyDescent="0.25">
      <c r="B68" s="21"/>
      <c r="C68" s="21"/>
      <c r="P68" s="17">
        <v>450</v>
      </c>
      <c r="Q68" s="18">
        <v>312.96800000000002</v>
      </c>
      <c r="R68">
        <v>312.96800000000002</v>
      </c>
      <c r="S68" s="16">
        <v>303.32600000000002</v>
      </c>
    </row>
    <row r="69" spans="2:19" x14ac:dyDescent="0.25">
      <c r="B69" s="21"/>
      <c r="C69" s="21"/>
      <c r="P69" s="17">
        <v>400</v>
      </c>
      <c r="Q69" s="18">
        <v>169.9522</v>
      </c>
      <c r="R69">
        <v>169.9522</v>
      </c>
      <c r="S69" s="16">
        <v>271.089</v>
      </c>
    </row>
    <row r="70" spans="2:19" x14ac:dyDescent="0.25">
      <c r="B70" s="21"/>
      <c r="C70" s="21"/>
      <c r="P70" s="17">
        <v>300</v>
      </c>
      <c r="Q70" s="18">
        <v>27.804200000000002</v>
      </c>
      <c r="R70">
        <v>27.804199999999998</v>
      </c>
      <c r="S70" s="16">
        <v>253.00899999999999</v>
      </c>
    </row>
    <row r="71" spans="2:19" x14ac:dyDescent="0.25">
      <c r="B71" s="21"/>
      <c r="C71" s="21"/>
      <c r="P71" s="17">
        <v>175</v>
      </c>
      <c r="Q71" s="18">
        <v>0</v>
      </c>
      <c r="R71">
        <v>0</v>
      </c>
      <c r="S71" s="16">
        <v>289.56599999999997</v>
      </c>
    </row>
    <row r="72" spans="2:19" x14ac:dyDescent="0.25">
      <c r="B72" s="21"/>
      <c r="C72" s="21"/>
      <c r="P72" s="17">
        <v>100</v>
      </c>
      <c r="Q72" s="18">
        <v>0</v>
      </c>
      <c r="R72">
        <v>0</v>
      </c>
      <c r="S72" s="16">
        <v>315.10899999999998</v>
      </c>
    </row>
    <row r="73" spans="2:19" x14ac:dyDescent="0.25">
      <c r="B73" s="21"/>
      <c r="C73" s="21"/>
      <c r="P73" s="17">
        <v>50</v>
      </c>
      <c r="Q73" s="18">
        <v>0</v>
      </c>
      <c r="R73">
        <v>0</v>
      </c>
      <c r="S73" s="16">
        <v>322.76299999999998</v>
      </c>
    </row>
    <row r="74" spans="2:19" x14ac:dyDescent="0.25">
      <c r="B74" s="21"/>
      <c r="C74" s="21"/>
      <c r="P74" s="17">
        <v>0</v>
      </c>
      <c r="Q74" s="18">
        <v>0</v>
      </c>
      <c r="R74">
        <v>0</v>
      </c>
      <c r="S74" s="16">
        <v>290.94499999999999</v>
      </c>
    </row>
    <row r="75" spans="2:19" x14ac:dyDescent="0.25">
      <c r="B75" s="21"/>
      <c r="C75" s="21"/>
      <c r="P75" s="17">
        <v>0</v>
      </c>
      <c r="Q75" s="18">
        <v>0</v>
      </c>
      <c r="R75">
        <v>0</v>
      </c>
      <c r="S75" s="16">
        <v>342.27300000000002</v>
      </c>
    </row>
    <row r="76" spans="2:19" x14ac:dyDescent="0.25">
      <c r="B76" s="21"/>
      <c r="C76" s="21"/>
      <c r="P76" s="17">
        <v>0</v>
      </c>
      <c r="Q76" s="18">
        <v>0</v>
      </c>
      <c r="R76">
        <v>0</v>
      </c>
      <c r="S76" s="16">
        <v>335.39400000000001</v>
      </c>
    </row>
    <row r="77" spans="2:19" x14ac:dyDescent="0.25">
      <c r="B77" s="21"/>
      <c r="C77" s="21"/>
      <c r="P77" s="17">
        <v>0</v>
      </c>
      <c r="Q77" s="18">
        <v>0</v>
      </c>
      <c r="R77">
        <v>0</v>
      </c>
      <c r="S77" s="16">
        <v>274.99299999999999</v>
      </c>
    </row>
    <row r="78" spans="2:19" x14ac:dyDescent="0.25">
      <c r="B78" s="21"/>
      <c r="C78" s="21"/>
      <c r="P78" s="17">
        <v>0</v>
      </c>
      <c r="Q78" s="18">
        <v>0</v>
      </c>
      <c r="R78">
        <v>0</v>
      </c>
      <c r="S78" s="16">
        <v>352.714</v>
      </c>
    </row>
    <row r="79" spans="2:19" x14ac:dyDescent="0.25">
      <c r="B79" s="21"/>
      <c r="C79" s="21"/>
      <c r="P79" s="17">
        <v>0</v>
      </c>
      <c r="Q79" s="18">
        <v>0</v>
      </c>
      <c r="R79">
        <v>0</v>
      </c>
      <c r="S79" s="16">
        <v>442.03800000000001</v>
      </c>
    </row>
    <row r="80" spans="2:19" x14ac:dyDescent="0.25">
      <c r="B80" s="21"/>
      <c r="C80" s="21"/>
      <c r="P80" s="17">
        <v>0</v>
      </c>
      <c r="Q80" s="18">
        <v>0</v>
      </c>
      <c r="R80">
        <v>0</v>
      </c>
      <c r="S80" s="16">
        <v>458.39499999999998</v>
      </c>
    </row>
    <row r="81" spans="2:19" x14ac:dyDescent="0.25">
      <c r="B81" s="21"/>
      <c r="C81" s="21"/>
      <c r="P81" s="17">
        <v>0</v>
      </c>
      <c r="Q81" s="18">
        <v>0</v>
      </c>
      <c r="R81">
        <v>0</v>
      </c>
      <c r="S81" s="16">
        <v>536.89499999999998</v>
      </c>
    </row>
    <row r="82" spans="2:19" x14ac:dyDescent="0.25">
      <c r="B82" s="21"/>
      <c r="C82" s="21"/>
      <c r="P82" s="17">
        <v>25</v>
      </c>
      <c r="Q82" s="18">
        <v>0</v>
      </c>
      <c r="R82">
        <v>0</v>
      </c>
      <c r="S82" s="16">
        <v>567.52599999999995</v>
      </c>
    </row>
    <row r="83" spans="2:19" x14ac:dyDescent="0.25">
      <c r="B83" s="21"/>
      <c r="C83" s="21"/>
      <c r="P83" s="17">
        <v>50</v>
      </c>
      <c r="Q83" s="18">
        <v>0</v>
      </c>
      <c r="R83">
        <v>0</v>
      </c>
      <c r="S83" s="16">
        <v>579.24800000000005</v>
      </c>
    </row>
    <row r="84" spans="2:19" x14ac:dyDescent="0.25">
      <c r="B84" s="21"/>
      <c r="C84" s="21"/>
      <c r="P84" s="17">
        <v>100</v>
      </c>
      <c r="Q84" s="18">
        <v>7.5616599999999998</v>
      </c>
      <c r="R84">
        <v>7.5616599999999998</v>
      </c>
      <c r="S84" s="16">
        <v>615.46299999999997</v>
      </c>
    </row>
    <row r="85" spans="2:19" x14ac:dyDescent="0.25">
      <c r="B85" s="21"/>
      <c r="C85" s="21"/>
      <c r="P85" s="17">
        <v>175</v>
      </c>
      <c r="Q85" s="18">
        <v>126.9824</v>
      </c>
      <c r="R85">
        <v>126.9824</v>
      </c>
      <c r="S85" s="16">
        <v>614.27599999999995</v>
      </c>
    </row>
    <row r="86" spans="2:19" x14ac:dyDescent="0.25">
      <c r="B86" s="21"/>
      <c r="C86" s="21"/>
      <c r="P86" s="17">
        <v>300</v>
      </c>
      <c r="Q86" s="18">
        <v>273.976</v>
      </c>
      <c r="R86">
        <v>273.976</v>
      </c>
      <c r="S86" s="16">
        <v>542.70799999999997</v>
      </c>
    </row>
    <row r="87" spans="2:19" x14ac:dyDescent="0.25">
      <c r="B87" s="21"/>
      <c r="C87" s="21"/>
      <c r="P87" s="17">
        <v>400</v>
      </c>
      <c r="Q87" s="18">
        <v>381.57799999999997</v>
      </c>
      <c r="R87">
        <v>381.57800000000003</v>
      </c>
      <c r="S87" s="16">
        <v>529.52599999999995</v>
      </c>
    </row>
    <row r="88" spans="2:19" x14ac:dyDescent="0.25">
      <c r="B88" s="21"/>
      <c r="C88" s="21"/>
      <c r="P88" s="17">
        <v>450</v>
      </c>
      <c r="Q88" s="18">
        <v>453.10399999999998</v>
      </c>
      <c r="R88">
        <v>453.10400000000004</v>
      </c>
      <c r="S88" s="16">
        <v>480.14800000000002</v>
      </c>
    </row>
    <row r="89" spans="2:19" x14ac:dyDescent="0.25">
      <c r="B89" s="21"/>
      <c r="C89" s="21"/>
      <c r="P89" s="17">
        <v>500</v>
      </c>
      <c r="Q89" s="18">
        <v>479.71199999999999</v>
      </c>
      <c r="R89">
        <v>479.71200000000005</v>
      </c>
      <c r="S89" s="16">
        <v>442.38499999999999</v>
      </c>
    </row>
    <row r="90" spans="2:19" x14ac:dyDescent="0.25">
      <c r="B90" s="21"/>
      <c r="C90" s="21"/>
      <c r="P90" s="17">
        <v>500</v>
      </c>
      <c r="Q90" s="18">
        <v>465.51600000000002</v>
      </c>
      <c r="R90">
        <v>465.51600000000002</v>
      </c>
      <c r="S90" s="16">
        <v>427.03199999999998</v>
      </c>
    </row>
    <row r="91" spans="2:19" x14ac:dyDescent="0.25">
      <c r="B91" s="21"/>
      <c r="C91" s="21"/>
      <c r="P91" s="17">
        <v>500</v>
      </c>
      <c r="Q91" s="18">
        <v>407.05799999999999</v>
      </c>
      <c r="R91">
        <v>407.05800000000005</v>
      </c>
      <c r="S91" s="16">
        <v>428.87200000000001</v>
      </c>
    </row>
    <row r="92" spans="2:19" x14ac:dyDescent="0.25">
      <c r="B92" s="21"/>
      <c r="C92" s="21"/>
      <c r="P92" s="17">
        <v>450</v>
      </c>
      <c r="Q92" s="18">
        <v>312.96800000000002</v>
      </c>
      <c r="R92">
        <v>312.96800000000002</v>
      </c>
      <c r="S92" s="16">
        <v>303.32600000000002</v>
      </c>
    </row>
    <row r="93" spans="2:19" x14ac:dyDescent="0.25">
      <c r="B93" s="21"/>
      <c r="C93" s="21"/>
      <c r="P93" s="17">
        <v>400</v>
      </c>
      <c r="Q93" s="18">
        <v>169.9522</v>
      </c>
      <c r="R93">
        <v>169.9522</v>
      </c>
      <c r="S93" s="16">
        <v>271.089</v>
      </c>
    </row>
    <row r="94" spans="2:19" x14ac:dyDescent="0.25">
      <c r="B94" s="21"/>
      <c r="C94" s="21"/>
      <c r="P94" s="17">
        <v>300</v>
      </c>
      <c r="Q94" s="18">
        <v>27.804200000000002</v>
      </c>
      <c r="R94">
        <v>27.804199999999998</v>
      </c>
      <c r="S94" s="16">
        <v>253.00899999999999</v>
      </c>
    </row>
    <row r="95" spans="2:19" x14ac:dyDescent="0.25">
      <c r="B95" s="21"/>
      <c r="C95" s="21"/>
      <c r="P95" s="17">
        <v>175</v>
      </c>
      <c r="Q95" s="18">
        <v>0</v>
      </c>
      <c r="R95">
        <v>0</v>
      </c>
      <c r="S95" s="16">
        <v>289.56599999999997</v>
      </c>
    </row>
    <row r="96" spans="2:19" x14ac:dyDescent="0.25">
      <c r="B96" s="21"/>
      <c r="C96" s="21"/>
      <c r="P96" s="17">
        <v>100</v>
      </c>
      <c r="Q96" s="18">
        <v>0</v>
      </c>
      <c r="R96">
        <v>0</v>
      </c>
      <c r="S96" s="16">
        <v>315.10899999999998</v>
      </c>
    </row>
    <row r="97" spans="2:19" x14ac:dyDescent="0.25">
      <c r="B97" s="21"/>
      <c r="C97" s="21"/>
      <c r="P97" s="17">
        <v>50</v>
      </c>
      <c r="Q97" s="18">
        <v>0</v>
      </c>
      <c r="R97">
        <v>0</v>
      </c>
      <c r="S97" s="16">
        <v>322.76299999999998</v>
      </c>
    </row>
    <row r="98" spans="2:19" x14ac:dyDescent="0.25">
      <c r="B98" s="21"/>
      <c r="C98" s="21"/>
      <c r="P98" s="17">
        <v>0</v>
      </c>
      <c r="Q98" s="18">
        <v>0</v>
      </c>
      <c r="R98">
        <v>0</v>
      </c>
      <c r="S98" s="16">
        <v>290.94499999999999</v>
      </c>
    </row>
    <row r="99" spans="2:19" x14ac:dyDescent="0.25">
      <c r="B99" s="21"/>
      <c r="C99" s="21"/>
      <c r="P99" s="17">
        <v>0</v>
      </c>
      <c r="Q99" s="18">
        <v>0</v>
      </c>
      <c r="R99">
        <v>0</v>
      </c>
      <c r="S99" s="16">
        <v>342.27300000000002</v>
      </c>
    </row>
    <row r="100" spans="2:19" x14ac:dyDescent="0.25">
      <c r="B100" s="21"/>
      <c r="C100" s="21"/>
      <c r="P100" s="17">
        <v>0</v>
      </c>
      <c r="Q100" s="18">
        <v>0</v>
      </c>
      <c r="R100">
        <v>0</v>
      </c>
      <c r="S100" s="16">
        <v>335.39400000000001</v>
      </c>
    </row>
    <row r="101" spans="2:19" x14ac:dyDescent="0.25">
      <c r="B101" s="21"/>
      <c r="C101" s="21"/>
      <c r="P101" s="17">
        <v>0</v>
      </c>
      <c r="Q101" s="18">
        <v>0</v>
      </c>
      <c r="R101">
        <v>0</v>
      </c>
      <c r="S101" s="16">
        <v>274.99299999999999</v>
      </c>
    </row>
    <row r="102" spans="2:19" x14ac:dyDescent="0.25">
      <c r="B102" s="21"/>
      <c r="C102" s="21"/>
      <c r="P102" s="17">
        <v>0</v>
      </c>
      <c r="Q102" s="18">
        <v>0</v>
      </c>
      <c r="R102">
        <v>0</v>
      </c>
      <c r="S102" s="16">
        <v>352.714</v>
      </c>
    </row>
    <row r="103" spans="2:19" x14ac:dyDescent="0.25">
      <c r="B103" s="21"/>
      <c r="C103" s="21"/>
      <c r="P103" s="17">
        <v>0</v>
      </c>
      <c r="Q103" s="18">
        <v>0</v>
      </c>
      <c r="R103">
        <v>0</v>
      </c>
      <c r="S103" s="16">
        <v>442.03800000000001</v>
      </c>
    </row>
    <row r="104" spans="2:19" x14ac:dyDescent="0.25">
      <c r="B104" s="21"/>
      <c r="C104" s="21"/>
      <c r="P104" s="17">
        <v>0</v>
      </c>
      <c r="Q104" s="18">
        <v>0</v>
      </c>
      <c r="R104">
        <v>0</v>
      </c>
      <c r="S104" s="16">
        <v>458.39499999999998</v>
      </c>
    </row>
    <row r="105" spans="2:19" x14ac:dyDescent="0.25">
      <c r="B105" s="21"/>
      <c r="C105" s="21"/>
      <c r="P105" s="17">
        <v>0</v>
      </c>
      <c r="Q105" s="18">
        <v>0</v>
      </c>
      <c r="R105">
        <v>0</v>
      </c>
      <c r="S105" s="16">
        <v>536.89499999999998</v>
      </c>
    </row>
    <row r="106" spans="2:19" x14ac:dyDescent="0.25">
      <c r="B106" s="21"/>
      <c r="C106" s="21"/>
      <c r="P106" s="17">
        <v>25</v>
      </c>
      <c r="Q106" s="18">
        <v>0</v>
      </c>
      <c r="R106">
        <v>0</v>
      </c>
      <c r="S106" s="16">
        <v>567.52599999999995</v>
      </c>
    </row>
    <row r="107" spans="2:19" x14ac:dyDescent="0.25">
      <c r="B107" s="21"/>
      <c r="C107" s="21"/>
      <c r="P107" s="17">
        <v>50</v>
      </c>
      <c r="Q107" s="18">
        <v>0</v>
      </c>
      <c r="R107">
        <v>0</v>
      </c>
      <c r="S107" s="16">
        <v>579.24800000000005</v>
      </c>
    </row>
    <row r="108" spans="2:19" x14ac:dyDescent="0.25">
      <c r="B108" s="21"/>
      <c r="C108" s="21"/>
      <c r="P108" s="17">
        <v>100</v>
      </c>
      <c r="Q108" s="18">
        <v>7.5616599999999998</v>
      </c>
      <c r="R108">
        <v>7.5616599999999998</v>
      </c>
      <c r="S108" s="16">
        <v>615.46299999999997</v>
      </c>
    </row>
    <row r="109" spans="2:19" x14ac:dyDescent="0.25">
      <c r="B109" s="21"/>
      <c r="C109" s="21"/>
      <c r="P109" s="17">
        <v>175</v>
      </c>
      <c r="Q109" s="18">
        <v>126.9824</v>
      </c>
      <c r="R109">
        <v>126.9824</v>
      </c>
      <c r="S109" s="16">
        <v>614.27599999999995</v>
      </c>
    </row>
    <row r="110" spans="2:19" x14ac:dyDescent="0.25">
      <c r="B110" s="21"/>
      <c r="C110" s="21"/>
      <c r="P110" s="17">
        <v>300</v>
      </c>
      <c r="Q110" s="18">
        <v>273.976</v>
      </c>
      <c r="R110">
        <v>273.976</v>
      </c>
      <c r="S110" s="16">
        <v>542.70799999999997</v>
      </c>
    </row>
    <row r="111" spans="2:19" x14ac:dyDescent="0.25">
      <c r="B111" s="21"/>
      <c r="C111" s="21"/>
      <c r="P111" s="17">
        <v>400</v>
      </c>
      <c r="Q111" s="18">
        <v>381.57799999999997</v>
      </c>
      <c r="R111">
        <v>381.57800000000003</v>
      </c>
      <c r="S111" s="16">
        <v>529.52599999999995</v>
      </c>
    </row>
    <row r="112" spans="2:19" x14ac:dyDescent="0.25">
      <c r="B112" s="21"/>
      <c r="C112" s="21"/>
      <c r="P112" s="17">
        <v>450</v>
      </c>
      <c r="Q112" s="18">
        <v>453.10399999999998</v>
      </c>
      <c r="R112">
        <v>453.10400000000004</v>
      </c>
      <c r="S112" s="16">
        <v>480.14800000000002</v>
      </c>
    </row>
    <row r="113" spans="2:19" x14ac:dyDescent="0.25">
      <c r="B113" s="21"/>
      <c r="C113" s="21"/>
      <c r="P113" s="17">
        <v>500</v>
      </c>
      <c r="Q113" s="18">
        <v>479.71199999999999</v>
      </c>
      <c r="R113">
        <v>479.71200000000005</v>
      </c>
      <c r="S113" s="16">
        <v>442.38499999999999</v>
      </c>
    </row>
    <row r="114" spans="2:19" x14ac:dyDescent="0.25">
      <c r="B114" s="21"/>
      <c r="C114" s="21"/>
      <c r="P114" s="17">
        <v>500</v>
      </c>
      <c r="Q114" s="18">
        <v>465.51600000000002</v>
      </c>
      <c r="R114">
        <v>465.51600000000002</v>
      </c>
      <c r="S114" s="16">
        <v>427.03199999999998</v>
      </c>
    </row>
    <row r="115" spans="2:19" x14ac:dyDescent="0.25">
      <c r="B115" s="21"/>
      <c r="C115" s="21"/>
      <c r="P115" s="17">
        <v>500</v>
      </c>
      <c r="Q115" s="18">
        <v>407.05799999999999</v>
      </c>
      <c r="R115">
        <v>407.05800000000005</v>
      </c>
      <c r="S115" s="16">
        <v>428.87200000000001</v>
      </c>
    </row>
    <row r="116" spans="2:19" x14ac:dyDescent="0.25">
      <c r="B116" s="21"/>
      <c r="C116" s="21"/>
      <c r="P116" s="17">
        <v>450</v>
      </c>
      <c r="Q116" s="18">
        <v>312.96800000000002</v>
      </c>
      <c r="R116">
        <v>312.96800000000002</v>
      </c>
      <c r="S116" s="16">
        <v>303.32600000000002</v>
      </c>
    </row>
    <row r="117" spans="2:19" x14ac:dyDescent="0.25">
      <c r="B117" s="21"/>
      <c r="C117" s="21"/>
      <c r="P117" s="17">
        <v>400</v>
      </c>
      <c r="Q117" s="18">
        <v>169.9522</v>
      </c>
      <c r="R117">
        <v>169.9522</v>
      </c>
      <c r="S117" s="16">
        <v>271.089</v>
      </c>
    </row>
    <row r="118" spans="2:19" x14ac:dyDescent="0.25">
      <c r="B118" s="21"/>
      <c r="C118" s="21"/>
      <c r="P118" s="17">
        <v>300</v>
      </c>
      <c r="Q118" s="18">
        <v>27.804200000000002</v>
      </c>
      <c r="R118">
        <v>27.804199999999998</v>
      </c>
      <c r="S118" s="16">
        <v>253.00899999999999</v>
      </c>
    </row>
    <row r="119" spans="2:19" x14ac:dyDescent="0.25">
      <c r="B119" s="21"/>
      <c r="C119" s="21"/>
      <c r="P119" s="17">
        <v>175</v>
      </c>
      <c r="Q119" s="18">
        <v>0</v>
      </c>
      <c r="R119">
        <v>0</v>
      </c>
      <c r="S119" s="16">
        <v>289.56599999999997</v>
      </c>
    </row>
    <row r="120" spans="2:19" x14ac:dyDescent="0.25">
      <c r="B120" s="21"/>
      <c r="C120" s="21"/>
      <c r="P120" s="17">
        <v>100</v>
      </c>
      <c r="Q120" s="18">
        <v>0</v>
      </c>
      <c r="R120">
        <v>0</v>
      </c>
      <c r="S120" s="16">
        <v>315.10899999999998</v>
      </c>
    </row>
    <row r="121" spans="2:19" x14ac:dyDescent="0.25">
      <c r="B121" s="21"/>
      <c r="C121" s="21"/>
      <c r="P121" s="17">
        <v>50</v>
      </c>
      <c r="Q121" s="18">
        <v>0</v>
      </c>
      <c r="R121">
        <v>0</v>
      </c>
      <c r="S121" s="16">
        <v>322.76299999999998</v>
      </c>
    </row>
    <row r="122" spans="2:19" x14ac:dyDescent="0.25">
      <c r="B122" s="21"/>
      <c r="C122" s="21"/>
      <c r="P122" s="17">
        <v>0</v>
      </c>
      <c r="Q122" s="18">
        <v>0</v>
      </c>
      <c r="R122">
        <v>0</v>
      </c>
      <c r="S122" s="16">
        <v>290.94499999999999</v>
      </c>
    </row>
    <row r="123" spans="2:19" x14ac:dyDescent="0.25">
      <c r="B123" s="21"/>
      <c r="C123" s="21"/>
      <c r="P123" s="17">
        <v>0</v>
      </c>
      <c r="Q123" s="18">
        <v>0</v>
      </c>
      <c r="R123">
        <v>0</v>
      </c>
      <c r="S123" s="16">
        <v>342.27300000000002</v>
      </c>
    </row>
    <row r="124" spans="2:19" x14ac:dyDescent="0.25">
      <c r="B124" s="21"/>
      <c r="C124" s="21"/>
      <c r="P124" s="17">
        <v>0</v>
      </c>
      <c r="Q124" s="18">
        <v>0</v>
      </c>
      <c r="R124">
        <v>0</v>
      </c>
      <c r="S124" s="16">
        <v>335.39400000000001</v>
      </c>
    </row>
    <row r="125" spans="2:19" x14ac:dyDescent="0.25">
      <c r="B125" s="21"/>
      <c r="C125" s="21"/>
      <c r="P125" s="17">
        <v>0</v>
      </c>
      <c r="Q125" s="18">
        <v>0</v>
      </c>
      <c r="R125">
        <v>0</v>
      </c>
      <c r="S125" s="16">
        <v>274.99299999999999</v>
      </c>
    </row>
    <row r="126" spans="2:19" x14ac:dyDescent="0.25">
      <c r="B126" s="21"/>
      <c r="C126" s="21"/>
      <c r="P126" s="17">
        <v>0</v>
      </c>
      <c r="Q126" s="18">
        <v>0</v>
      </c>
      <c r="R126">
        <v>0</v>
      </c>
      <c r="S126" s="16">
        <v>352.714</v>
      </c>
    </row>
    <row r="127" spans="2:19" x14ac:dyDescent="0.25">
      <c r="B127" s="21"/>
      <c r="C127" s="21"/>
      <c r="P127" s="17">
        <v>0</v>
      </c>
      <c r="Q127" s="18">
        <v>0</v>
      </c>
      <c r="R127">
        <v>0</v>
      </c>
      <c r="S127" s="16">
        <v>442.03800000000001</v>
      </c>
    </row>
    <row r="128" spans="2:19" x14ac:dyDescent="0.25">
      <c r="B128" s="21"/>
      <c r="C128" s="21"/>
      <c r="P128" s="17">
        <v>0</v>
      </c>
      <c r="Q128" s="18">
        <v>0</v>
      </c>
      <c r="R128">
        <v>0</v>
      </c>
      <c r="S128" s="16">
        <v>458.39499999999998</v>
      </c>
    </row>
    <row r="129" spans="2:19" x14ac:dyDescent="0.25">
      <c r="B129" s="21"/>
      <c r="C129" s="21"/>
      <c r="P129" s="17">
        <v>0</v>
      </c>
      <c r="Q129" s="18">
        <v>0</v>
      </c>
      <c r="R129">
        <v>0</v>
      </c>
      <c r="S129" s="16">
        <v>536.89499999999998</v>
      </c>
    </row>
    <row r="130" spans="2:19" x14ac:dyDescent="0.25">
      <c r="B130" s="21"/>
      <c r="C130" s="21"/>
      <c r="P130" s="17">
        <v>25</v>
      </c>
      <c r="Q130" s="18">
        <v>0</v>
      </c>
      <c r="R130">
        <v>0</v>
      </c>
      <c r="S130" s="16">
        <v>567.52599999999995</v>
      </c>
    </row>
    <row r="131" spans="2:19" x14ac:dyDescent="0.25">
      <c r="B131" s="21"/>
      <c r="C131" s="21"/>
      <c r="P131" s="17">
        <v>50</v>
      </c>
      <c r="Q131" s="18">
        <v>0</v>
      </c>
      <c r="R131">
        <v>0</v>
      </c>
      <c r="S131" s="16">
        <v>579.24800000000005</v>
      </c>
    </row>
    <row r="132" spans="2:19" x14ac:dyDescent="0.25">
      <c r="B132" s="21"/>
      <c r="C132" s="21"/>
      <c r="P132" s="17">
        <v>100</v>
      </c>
      <c r="Q132" s="18">
        <v>7.5616599999999998</v>
      </c>
      <c r="R132">
        <v>7.5616599999999998</v>
      </c>
      <c r="S132" s="16">
        <v>615.46299999999997</v>
      </c>
    </row>
    <row r="133" spans="2:19" x14ac:dyDescent="0.25">
      <c r="B133" s="21"/>
      <c r="C133" s="21"/>
      <c r="P133" s="17">
        <v>175</v>
      </c>
      <c r="Q133" s="18">
        <v>126.9824</v>
      </c>
      <c r="R133">
        <v>126.9824</v>
      </c>
      <c r="S133" s="16">
        <v>614.27599999999995</v>
      </c>
    </row>
    <row r="134" spans="2:19" x14ac:dyDescent="0.25">
      <c r="B134" s="21"/>
      <c r="C134" s="21"/>
      <c r="P134" s="17">
        <v>300</v>
      </c>
      <c r="Q134" s="18">
        <v>273.976</v>
      </c>
      <c r="R134">
        <v>273.976</v>
      </c>
      <c r="S134" s="16">
        <v>542.70799999999997</v>
      </c>
    </row>
    <row r="135" spans="2:19" x14ac:dyDescent="0.25">
      <c r="B135" s="21"/>
      <c r="C135" s="21"/>
      <c r="P135" s="17">
        <v>400</v>
      </c>
      <c r="Q135" s="18">
        <v>381.57799999999997</v>
      </c>
      <c r="R135">
        <v>381.57800000000003</v>
      </c>
      <c r="S135" s="16">
        <v>529.52599999999995</v>
      </c>
    </row>
    <row r="136" spans="2:19" x14ac:dyDescent="0.25">
      <c r="B136" s="21"/>
      <c r="C136" s="21"/>
      <c r="P136" s="17">
        <v>450</v>
      </c>
      <c r="Q136" s="18">
        <v>453.10399999999998</v>
      </c>
      <c r="R136">
        <v>453.10400000000004</v>
      </c>
      <c r="S136" s="16">
        <v>480.14800000000002</v>
      </c>
    </row>
    <row r="137" spans="2:19" x14ac:dyDescent="0.25">
      <c r="B137" s="21"/>
      <c r="C137" s="21"/>
      <c r="P137" s="17">
        <v>500</v>
      </c>
      <c r="Q137" s="18">
        <v>479.71199999999999</v>
      </c>
      <c r="R137">
        <v>479.71200000000005</v>
      </c>
      <c r="S137" s="16">
        <v>442.38499999999999</v>
      </c>
    </row>
    <row r="138" spans="2:19" x14ac:dyDescent="0.25">
      <c r="B138" s="21"/>
      <c r="C138" s="21"/>
      <c r="P138" s="17">
        <v>500</v>
      </c>
      <c r="Q138" s="18">
        <v>465.51600000000002</v>
      </c>
      <c r="R138">
        <v>465.51600000000002</v>
      </c>
      <c r="S138" s="16">
        <v>427.03199999999998</v>
      </c>
    </row>
    <row r="139" spans="2:19" x14ac:dyDescent="0.25">
      <c r="B139" s="21"/>
      <c r="C139" s="21"/>
      <c r="P139" s="17">
        <v>500</v>
      </c>
      <c r="Q139" s="18">
        <v>407.05799999999999</v>
      </c>
      <c r="R139">
        <v>407.05800000000005</v>
      </c>
      <c r="S139" s="16">
        <v>428.87200000000001</v>
      </c>
    </row>
    <row r="140" spans="2:19" x14ac:dyDescent="0.25">
      <c r="B140" s="21"/>
      <c r="C140" s="21"/>
      <c r="P140" s="17">
        <v>450</v>
      </c>
      <c r="Q140" s="18">
        <v>312.96800000000002</v>
      </c>
      <c r="R140">
        <v>312.96800000000002</v>
      </c>
      <c r="S140" s="16">
        <v>303.32600000000002</v>
      </c>
    </row>
    <row r="141" spans="2:19" x14ac:dyDescent="0.25">
      <c r="B141" s="21"/>
      <c r="C141" s="21"/>
      <c r="P141" s="17">
        <v>400</v>
      </c>
      <c r="Q141" s="18">
        <v>169.9522</v>
      </c>
      <c r="R141">
        <v>169.9522</v>
      </c>
      <c r="S141" s="16">
        <v>271.089</v>
      </c>
    </row>
    <row r="142" spans="2:19" x14ac:dyDescent="0.25">
      <c r="B142" s="21"/>
      <c r="C142" s="21"/>
      <c r="P142" s="17">
        <v>300</v>
      </c>
      <c r="Q142" s="18">
        <v>27.804200000000002</v>
      </c>
      <c r="R142">
        <v>27.804199999999998</v>
      </c>
      <c r="S142" s="16">
        <v>253.00899999999999</v>
      </c>
    </row>
    <row r="143" spans="2:19" x14ac:dyDescent="0.25">
      <c r="B143" s="21"/>
      <c r="C143" s="21"/>
      <c r="P143" s="17">
        <v>175</v>
      </c>
      <c r="Q143" s="18">
        <v>0</v>
      </c>
      <c r="R143">
        <v>0</v>
      </c>
      <c r="S143" s="16">
        <v>289.56599999999997</v>
      </c>
    </row>
    <row r="144" spans="2:19" x14ac:dyDescent="0.25">
      <c r="B144" s="21"/>
      <c r="C144" s="21"/>
      <c r="P144" s="17">
        <v>100</v>
      </c>
      <c r="Q144" s="18">
        <v>0</v>
      </c>
      <c r="R144">
        <v>0</v>
      </c>
      <c r="S144" s="16">
        <v>315.10899999999998</v>
      </c>
    </row>
    <row r="145" spans="2:19" x14ac:dyDescent="0.25">
      <c r="B145" s="21"/>
      <c r="C145" s="21"/>
      <c r="P145" s="17">
        <v>50</v>
      </c>
      <c r="Q145" s="18">
        <v>0</v>
      </c>
      <c r="R145">
        <v>0</v>
      </c>
      <c r="S145" s="16">
        <v>322.76299999999998</v>
      </c>
    </row>
    <row r="146" spans="2:19" x14ac:dyDescent="0.25">
      <c r="B146" s="21"/>
      <c r="C146" s="21"/>
      <c r="P146" s="17">
        <v>0</v>
      </c>
      <c r="Q146" s="18">
        <v>0</v>
      </c>
      <c r="R146">
        <v>0</v>
      </c>
      <c r="S146" s="16">
        <v>290.94499999999999</v>
      </c>
    </row>
    <row r="147" spans="2:19" x14ac:dyDescent="0.25">
      <c r="B147" s="21"/>
      <c r="C147" s="21"/>
      <c r="P147" s="17">
        <v>0</v>
      </c>
      <c r="Q147" s="18">
        <v>0</v>
      </c>
      <c r="R147">
        <v>0</v>
      </c>
      <c r="S147" s="16">
        <v>342.27300000000002</v>
      </c>
    </row>
    <row r="148" spans="2:19" x14ac:dyDescent="0.25">
      <c r="B148" s="21"/>
      <c r="C148" s="21"/>
      <c r="P148" s="17">
        <v>0</v>
      </c>
      <c r="Q148" s="18">
        <v>0</v>
      </c>
      <c r="R148">
        <v>0</v>
      </c>
      <c r="S148" s="16">
        <v>335.39400000000001</v>
      </c>
    </row>
    <row r="149" spans="2:19" x14ac:dyDescent="0.25">
      <c r="B149" s="21"/>
      <c r="C149" s="21"/>
      <c r="P149" s="17">
        <v>0</v>
      </c>
      <c r="Q149" s="18">
        <v>0</v>
      </c>
      <c r="R149">
        <v>0</v>
      </c>
      <c r="S149" s="16">
        <v>274.99299999999999</v>
      </c>
    </row>
    <row r="150" spans="2:19" x14ac:dyDescent="0.25">
      <c r="B150" s="21"/>
      <c r="C150" s="21"/>
      <c r="P150" s="17">
        <v>0</v>
      </c>
      <c r="Q150" s="18">
        <v>0</v>
      </c>
      <c r="R150">
        <v>0</v>
      </c>
      <c r="S150" s="16">
        <v>352.714</v>
      </c>
    </row>
    <row r="151" spans="2:19" x14ac:dyDescent="0.25">
      <c r="B151" s="21"/>
      <c r="C151" s="21"/>
      <c r="P151" s="17">
        <v>0</v>
      </c>
      <c r="Q151" s="18">
        <v>0</v>
      </c>
      <c r="R151">
        <v>0</v>
      </c>
      <c r="S151" s="16">
        <v>442.03800000000001</v>
      </c>
    </row>
    <row r="152" spans="2:19" x14ac:dyDescent="0.25">
      <c r="B152" s="21"/>
      <c r="C152" s="21"/>
      <c r="P152" s="17">
        <v>0</v>
      </c>
      <c r="Q152" s="18">
        <v>0</v>
      </c>
      <c r="R152">
        <v>0</v>
      </c>
      <c r="S152" s="16">
        <v>458.39499999999998</v>
      </c>
    </row>
    <row r="153" spans="2:19" x14ac:dyDescent="0.25">
      <c r="B153" s="21"/>
      <c r="C153" s="21"/>
      <c r="P153" s="17">
        <v>0</v>
      </c>
      <c r="Q153" s="18">
        <v>0</v>
      </c>
      <c r="R153">
        <v>0</v>
      </c>
      <c r="S153" s="16">
        <v>536.89499999999998</v>
      </c>
    </row>
    <row r="154" spans="2:19" x14ac:dyDescent="0.25">
      <c r="B154" s="21"/>
      <c r="C154" s="21"/>
      <c r="P154" s="17">
        <v>25</v>
      </c>
      <c r="Q154" s="18">
        <v>0</v>
      </c>
      <c r="R154">
        <v>0</v>
      </c>
      <c r="S154" s="16">
        <v>567.52599999999995</v>
      </c>
    </row>
    <row r="155" spans="2:19" x14ac:dyDescent="0.25">
      <c r="B155" s="21"/>
      <c r="C155" s="21"/>
      <c r="P155" s="17">
        <v>50</v>
      </c>
      <c r="Q155" s="18">
        <v>0</v>
      </c>
      <c r="R155">
        <v>0</v>
      </c>
      <c r="S155" s="16">
        <v>579.24800000000005</v>
      </c>
    </row>
    <row r="156" spans="2:19" x14ac:dyDescent="0.25">
      <c r="B156" s="21"/>
      <c r="C156" s="21"/>
      <c r="P156" s="17">
        <v>100</v>
      </c>
      <c r="Q156" s="18">
        <v>7.5616599999999998</v>
      </c>
      <c r="R156">
        <v>7.5616599999999998</v>
      </c>
      <c r="S156" s="16">
        <v>615.46299999999997</v>
      </c>
    </row>
    <row r="157" spans="2:19" x14ac:dyDescent="0.25">
      <c r="B157" s="21"/>
      <c r="C157" s="21"/>
      <c r="P157" s="17">
        <v>175</v>
      </c>
      <c r="Q157" s="18">
        <v>126.9824</v>
      </c>
      <c r="R157">
        <v>126.9824</v>
      </c>
      <c r="S157" s="16">
        <v>614.27599999999995</v>
      </c>
    </row>
    <row r="158" spans="2:19" x14ac:dyDescent="0.25">
      <c r="B158" s="21"/>
      <c r="C158" s="21"/>
      <c r="P158" s="17">
        <v>300</v>
      </c>
      <c r="Q158" s="18">
        <v>273.976</v>
      </c>
      <c r="R158">
        <v>273.976</v>
      </c>
      <c r="S158" s="16">
        <v>542.70799999999997</v>
      </c>
    </row>
    <row r="159" spans="2:19" x14ac:dyDescent="0.25">
      <c r="B159" s="21"/>
      <c r="C159" s="21"/>
      <c r="P159" s="17">
        <v>400</v>
      </c>
      <c r="Q159" s="18">
        <v>381.57799999999997</v>
      </c>
      <c r="R159">
        <v>381.57800000000003</v>
      </c>
      <c r="S159" s="16">
        <v>529.52599999999995</v>
      </c>
    </row>
    <row r="160" spans="2:19" x14ac:dyDescent="0.25">
      <c r="B160" s="21"/>
      <c r="C160" s="21"/>
      <c r="P160" s="17">
        <v>450</v>
      </c>
      <c r="Q160" s="18">
        <v>453.10399999999998</v>
      </c>
      <c r="R160">
        <v>453.10400000000004</v>
      </c>
      <c r="S160" s="16">
        <v>480.14800000000002</v>
      </c>
    </row>
    <row r="161" spans="2:19" x14ac:dyDescent="0.25">
      <c r="B161" s="21"/>
      <c r="C161" s="21"/>
      <c r="P161" s="17">
        <v>500</v>
      </c>
      <c r="Q161" s="18">
        <v>479.71199999999999</v>
      </c>
      <c r="R161">
        <v>479.71200000000005</v>
      </c>
      <c r="S161" s="16">
        <v>442.38499999999999</v>
      </c>
    </row>
    <row r="162" spans="2:19" x14ac:dyDescent="0.25">
      <c r="B162" s="21"/>
      <c r="C162" s="21"/>
      <c r="P162" s="17">
        <v>500</v>
      </c>
      <c r="Q162" s="18">
        <v>465.51600000000002</v>
      </c>
      <c r="R162">
        <v>465.51600000000002</v>
      </c>
      <c r="S162" s="16">
        <v>427.03199999999998</v>
      </c>
    </row>
    <row r="163" spans="2:19" x14ac:dyDescent="0.25">
      <c r="B163" s="21"/>
      <c r="C163" s="21"/>
      <c r="P163" s="17">
        <v>500</v>
      </c>
      <c r="Q163" s="18">
        <v>407.05799999999999</v>
      </c>
      <c r="R163">
        <v>407.05800000000005</v>
      </c>
      <c r="S163" s="16">
        <v>428.87200000000001</v>
      </c>
    </row>
    <row r="164" spans="2:19" x14ac:dyDescent="0.25">
      <c r="B164" s="21"/>
      <c r="C164" s="21"/>
      <c r="P164" s="17">
        <v>450</v>
      </c>
      <c r="Q164" s="18">
        <v>312.96800000000002</v>
      </c>
      <c r="R164">
        <v>312.96800000000002</v>
      </c>
      <c r="S164" s="16">
        <v>303.32600000000002</v>
      </c>
    </row>
    <row r="165" spans="2:19" x14ac:dyDescent="0.25">
      <c r="B165" s="21"/>
      <c r="C165" s="21"/>
      <c r="P165" s="17">
        <v>400</v>
      </c>
      <c r="Q165" s="18">
        <v>169.9522</v>
      </c>
      <c r="R165">
        <v>169.9522</v>
      </c>
      <c r="S165" s="16">
        <v>271.089</v>
      </c>
    </row>
    <row r="166" spans="2:19" x14ac:dyDescent="0.25">
      <c r="B166" s="21"/>
      <c r="C166" s="21"/>
      <c r="P166" s="17">
        <v>300</v>
      </c>
      <c r="Q166" s="18">
        <v>27.804200000000002</v>
      </c>
      <c r="R166">
        <v>27.804199999999998</v>
      </c>
      <c r="S166" s="16">
        <v>253.00899999999999</v>
      </c>
    </row>
    <row r="167" spans="2:19" x14ac:dyDescent="0.25">
      <c r="B167" s="21"/>
      <c r="C167" s="21"/>
      <c r="P167" s="17">
        <v>175</v>
      </c>
      <c r="Q167" s="18">
        <v>0</v>
      </c>
      <c r="R167">
        <v>0</v>
      </c>
      <c r="S167" s="16">
        <v>289.56599999999997</v>
      </c>
    </row>
    <row r="168" spans="2:19" x14ac:dyDescent="0.25">
      <c r="B168" s="21"/>
      <c r="C168" s="21"/>
      <c r="P168" s="17">
        <v>100</v>
      </c>
      <c r="Q168" s="18">
        <v>0</v>
      </c>
      <c r="R168">
        <v>0</v>
      </c>
      <c r="S168" s="16">
        <v>315.10899999999998</v>
      </c>
    </row>
    <row r="169" spans="2:19" x14ac:dyDescent="0.25">
      <c r="B169" s="21"/>
      <c r="C169" s="21"/>
      <c r="P169" s="17">
        <v>50</v>
      </c>
      <c r="Q169" s="18">
        <v>0</v>
      </c>
      <c r="R169">
        <v>0</v>
      </c>
      <c r="S169" s="16">
        <v>322.76299999999998</v>
      </c>
    </row>
    <row r="170" spans="2:19" x14ac:dyDescent="0.25">
      <c r="B170" s="21"/>
      <c r="C170" s="21"/>
      <c r="P170" s="17">
        <v>0</v>
      </c>
      <c r="Q170" s="18">
        <v>0</v>
      </c>
      <c r="R170">
        <v>0</v>
      </c>
      <c r="S170" s="16">
        <v>290.94499999999999</v>
      </c>
    </row>
    <row r="171" spans="2:19" x14ac:dyDescent="0.25">
      <c r="B171" s="21"/>
      <c r="C171" s="21"/>
      <c r="P171" s="17">
        <v>0</v>
      </c>
      <c r="Q171" s="18">
        <v>0</v>
      </c>
      <c r="R171">
        <v>0</v>
      </c>
      <c r="S171" s="16">
        <v>342.27300000000002</v>
      </c>
    </row>
    <row r="172" spans="2:19" x14ac:dyDescent="0.25">
      <c r="B172" s="21"/>
      <c r="C172" s="21"/>
      <c r="P172" s="17">
        <v>0</v>
      </c>
      <c r="Q172" s="18">
        <v>0</v>
      </c>
      <c r="R172">
        <v>0</v>
      </c>
      <c r="S172" s="16">
        <v>335.39400000000001</v>
      </c>
    </row>
    <row r="173" spans="2:19" x14ac:dyDescent="0.25">
      <c r="B173" s="21"/>
      <c r="C173" s="21"/>
      <c r="D173" s="17"/>
      <c r="E173" s="18"/>
      <c r="G173" s="16"/>
    </row>
    <row r="174" spans="2:19" x14ac:dyDescent="0.25">
      <c r="B174" s="21"/>
      <c r="C174" s="21"/>
      <c r="D174" s="17"/>
      <c r="E174" s="18"/>
      <c r="G174" s="16"/>
    </row>
    <row r="175" spans="2:19" x14ac:dyDescent="0.25">
      <c r="B175" s="21"/>
      <c r="C175" s="21"/>
      <c r="D175" s="17"/>
      <c r="E175" s="18"/>
      <c r="G175" s="16"/>
    </row>
    <row r="176" spans="2:19" x14ac:dyDescent="0.25">
      <c r="B176" s="21"/>
      <c r="C176" s="21"/>
      <c r="D176" s="17"/>
      <c r="E176" s="18"/>
      <c r="G176" s="16"/>
    </row>
    <row r="177" spans="2:7" x14ac:dyDescent="0.25">
      <c r="B177" s="21"/>
      <c r="C177" s="21"/>
      <c r="D177" s="17"/>
      <c r="E177" s="18"/>
      <c r="G177" s="16"/>
    </row>
    <row r="178" spans="2:7" x14ac:dyDescent="0.25">
      <c r="B178" s="21"/>
      <c r="C178" s="21"/>
      <c r="D178" s="17"/>
      <c r="E178" s="18"/>
      <c r="G178" s="16"/>
    </row>
    <row r="179" spans="2:7" x14ac:dyDescent="0.25">
      <c r="B179" s="21"/>
      <c r="C179" s="21"/>
      <c r="D179" s="17"/>
      <c r="E179" s="18"/>
      <c r="G179" s="16"/>
    </row>
    <row r="180" spans="2:7" x14ac:dyDescent="0.25">
      <c r="B180" s="21"/>
      <c r="C180" s="21"/>
      <c r="D180" s="17"/>
      <c r="E180" s="18"/>
      <c r="G180" s="16"/>
    </row>
    <row r="181" spans="2:7" x14ac:dyDescent="0.25">
      <c r="B181" s="21"/>
      <c r="C181" s="21"/>
      <c r="D181" s="17"/>
      <c r="E181" s="18"/>
      <c r="G181" s="16"/>
    </row>
    <row r="182" spans="2:7" x14ac:dyDescent="0.25">
      <c r="B182" s="21"/>
      <c r="C182" s="21"/>
      <c r="D182" s="17"/>
      <c r="E182" s="18"/>
      <c r="G182" s="16"/>
    </row>
    <row r="183" spans="2:7" x14ac:dyDescent="0.25">
      <c r="B183" s="21"/>
      <c r="C183" s="21"/>
      <c r="D183" s="17"/>
      <c r="E183" s="18"/>
      <c r="G183" s="16"/>
    </row>
    <row r="184" spans="2:7" x14ac:dyDescent="0.25">
      <c r="B184" s="21"/>
      <c r="C184" s="21"/>
      <c r="D184" s="17"/>
      <c r="E184" s="18"/>
      <c r="G184" s="16"/>
    </row>
    <row r="185" spans="2:7" x14ac:dyDescent="0.25">
      <c r="B185" s="21"/>
      <c r="C185" s="21"/>
      <c r="D185" s="17"/>
      <c r="E185" s="18"/>
      <c r="G185" s="16"/>
    </row>
    <row r="186" spans="2:7" x14ac:dyDescent="0.25">
      <c r="B186" s="21"/>
      <c r="C186" s="21"/>
      <c r="D186" s="17"/>
      <c r="E186" s="18"/>
      <c r="G186" s="16"/>
    </row>
    <row r="187" spans="2:7" x14ac:dyDescent="0.25">
      <c r="B187" s="21"/>
      <c r="C187" s="21"/>
      <c r="D187" s="17"/>
      <c r="E187" s="18"/>
      <c r="G187" s="16"/>
    </row>
    <row r="188" spans="2:7" x14ac:dyDescent="0.25">
      <c r="B188" s="21"/>
      <c r="C188" s="21"/>
      <c r="D188" s="17"/>
      <c r="E188" s="18"/>
      <c r="G188" s="16"/>
    </row>
    <row r="189" spans="2:7" x14ac:dyDescent="0.25">
      <c r="B189" s="21"/>
      <c r="C189" s="21"/>
      <c r="D189" s="17"/>
      <c r="E189" s="18"/>
      <c r="G189" s="16"/>
    </row>
    <row r="190" spans="2:7" x14ac:dyDescent="0.25">
      <c r="B190" s="21"/>
      <c r="C190" s="21"/>
      <c r="D190" s="17"/>
      <c r="E190" s="18"/>
      <c r="G190" s="16"/>
    </row>
    <row r="191" spans="2:7" x14ac:dyDescent="0.25">
      <c r="B191" s="21"/>
      <c r="C191" s="21"/>
      <c r="D191" s="17"/>
      <c r="E191" s="18"/>
      <c r="G191" s="16"/>
    </row>
    <row r="192" spans="2:7" x14ac:dyDescent="0.25">
      <c r="B192" s="21"/>
      <c r="C192" s="21"/>
      <c r="D192" s="17"/>
      <c r="E192" s="18"/>
      <c r="G192" s="16"/>
    </row>
    <row r="193" spans="2:7" x14ac:dyDescent="0.25">
      <c r="B193" s="21"/>
      <c r="C193" s="21"/>
      <c r="D193" s="17"/>
      <c r="E193" s="18"/>
      <c r="G193" s="16"/>
    </row>
    <row r="194" spans="2:7" x14ac:dyDescent="0.25">
      <c r="B194" s="21"/>
      <c r="C194" s="21"/>
      <c r="D194" s="17"/>
      <c r="E194" s="18"/>
      <c r="G194" s="16"/>
    </row>
    <row r="195" spans="2:7" x14ac:dyDescent="0.25">
      <c r="B195" s="21"/>
      <c r="C195" s="21"/>
      <c r="D195" s="17"/>
      <c r="E195" s="18"/>
      <c r="G195" s="16"/>
    </row>
    <row r="196" spans="2:7" x14ac:dyDescent="0.25">
      <c r="B196" s="21"/>
      <c r="C196" s="21"/>
      <c r="D196" s="17"/>
      <c r="E196" s="18"/>
      <c r="G196" s="16"/>
    </row>
    <row r="197" spans="2:7" x14ac:dyDescent="0.25">
      <c r="B197" s="21"/>
      <c r="C197" s="21"/>
      <c r="D197" s="17"/>
      <c r="E197" s="18"/>
      <c r="G197" s="16"/>
    </row>
    <row r="198" spans="2:7" x14ac:dyDescent="0.25">
      <c r="B198" s="21"/>
      <c r="C198" s="21"/>
      <c r="D198" s="17"/>
      <c r="E198" s="18"/>
      <c r="G198" s="16"/>
    </row>
    <row r="199" spans="2:7" x14ac:dyDescent="0.25">
      <c r="B199" s="21"/>
      <c r="C199" s="21"/>
      <c r="D199" s="17"/>
      <c r="E199" s="18"/>
      <c r="G199" s="16"/>
    </row>
    <row r="200" spans="2:7" x14ac:dyDescent="0.25">
      <c r="B200" s="21"/>
      <c r="C200" s="21"/>
      <c r="D200" s="17"/>
      <c r="E200" s="18"/>
      <c r="G200" s="16"/>
    </row>
    <row r="201" spans="2:7" x14ac:dyDescent="0.25">
      <c r="B201" s="21"/>
      <c r="C201" s="21"/>
      <c r="D201" s="17"/>
      <c r="E201" s="18"/>
      <c r="G201" s="16"/>
    </row>
    <row r="202" spans="2:7" x14ac:dyDescent="0.25">
      <c r="B202" s="21"/>
      <c r="C202" s="21"/>
      <c r="D202" s="17"/>
      <c r="E202" s="18"/>
      <c r="G202" s="16"/>
    </row>
    <row r="203" spans="2:7" x14ac:dyDescent="0.25">
      <c r="B203" s="21"/>
      <c r="C203" s="21"/>
      <c r="D203" s="17"/>
      <c r="E203" s="18"/>
      <c r="G203" s="16"/>
    </row>
    <row r="204" spans="2:7" x14ac:dyDescent="0.25">
      <c r="B204" s="21"/>
      <c r="C204" s="21"/>
      <c r="D204" s="17"/>
      <c r="E204" s="18"/>
      <c r="G204" s="16"/>
    </row>
    <row r="205" spans="2:7" x14ac:dyDescent="0.25">
      <c r="B205" s="21"/>
      <c r="C205" s="21"/>
      <c r="D205" s="17"/>
      <c r="E205" s="18"/>
      <c r="G205" s="16"/>
    </row>
    <row r="206" spans="2:7" x14ac:dyDescent="0.25">
      <c r="B206" s="21"/>
      <c r="C206" s="21"/>
      <c r="D206" s="17"/>
      <c r="E206" s="18"/>
      <c r="G206" s="16"/>
    </row>
    <row r="207" spans="2:7" x14ac:dyDescent="0.25">
      <c r="B207" s="21"/>
      <c r="C207" s="21"/>
      <c r="D207" s="17"/>
      <c r="E207" s="18"/>
      <c r="G207" s="16"/>
    </row>
    <row r="208" spans="2:7" x14ac:dyDescent="0.25">
      <c r="B208" s="21"/>
      <c r="C208" s="21"/>
      <c r="D208" s="17"/>
      <c r="E208" s="18"/>
      <c r="G208" s="16"/>
    </row>
    <row r="209" spans="2:7" x14ac:dyDescent="0.25">
      <c r="B209" s="21"/>
      <c r="C209" s="21"/>
      <c r="D209" s="17"/>
      <c r="E209" s="18"/>
      <c r="G209" s="16"/>
    </row>
    <row r="210" spans="2:7" x14ac:dyDescent="0.25">
      <c r="B210" s="21"/>
      <c r="C210" s="21"/>
      <c r="D210" s="17"/>
      <c r="E210" s="18"/>
      <c r="G210" s="16"/>
    </row>
    <row r="211" spans="2:7" x14ac:dyDescent="0.25">
      <c r="B211" s="21"/>
      <c r="C211" s="21"/>
      <c r="D211" s="17"/>
      <c r="E211" s="18"/>
      <c r="G211" s="16"/>
    </row>
    <row r="212" spans="2:7" x14ac:dyDescent="0.25">
      <c r="B212" s="21"/>
      <c r="C212" s="21"/>
      <c r="D212" s="17"/>
      <c r="E212" s="18"/>
      <c r="G212" s="16"/>
    </row>
    <row r="213" spans="2:7" x14ac:dyDescent="0.25">
      <c r="B213" s="21"/>
      <c r="C213" s="21"/>
      <c r="D213" s="17"/>
      <c r="E213" s="18"/>
      <c r="G213" s="16"/>
    </row>
    <row r="214" spans="2:7" x14ac:dyDescent="0.25">
      <c r="B214" s="21"/>
      <c r="C214" s="21"/>
      <c r="D214" s="17"/>
      <c r="E214" s="18"/>
      <c r="G214" s="16"/>
    </row>
    <row r="215" spans="2:7" x14ac:dyDescent="0.25">
      <c r="B215" s="21"/>
      <c r="C215" s="21"/>
      <c r="D215" s="17"/>
      <c r="E215" s="18"/>
      <c r="G215" s="16"/>
    </row>
    <row r="216" spans="2:7" x14ac:dyDescent="0.25">
      <c r="B216" s="21"/>
      <c r="C216" s="21"/>
      <c r="D216" s="17"/>
      <c r="E216" s="18"/>
      <c r="G216" s="16"/>
    </row>
    <row r="217" spans="2:7" x14ac:dyDescent="0.25">
      <c r="B217" s="21"/>
      <c r="C217" s="21"/>
      <c r="D217" s="17"/>
      <c r="E217" s="18"/>
      <c r="G217" s="16"/>
    </row>
    <row r="218" spans="2:7" x14ac:dyDescent="0.25">
      <c r="B218" s="21"/>
      <c r="C218" s="21"/>
      <c r="D218" s="17"/>
      <c r="E218" s="18"/>
      <c r="G218" s="16"/>
    </row>
    <row r="219" spans="2:7" x14ac:dyDescent="0.25">
      <c r="B219" s="21"/>
      <c r="C219" s="21"/>
      <c r="D219" s="17"/>
      <c r="E219" s="18"/>
      <c r="G219" s="16"/>
    </row>
    <row r="220" spans="2:7" x14ac:dyDescent="0.25">
      <c r="B220" s="21"/>
      <c r="C220" s="21"/>
      <c r="D220" s="17"/>
      <c r="E220" s="18"/>
      <c r="G220" s="16"/>
    </row>
    <row r="221" spans="2:7" x14ac:dyDescent="0.25">
      <c r="B221" s="21"/>
      <c r="C221" s="21"/>
      <c r="D221" s="17"/>
      <c r="E221" s="18"/>
      <c r="G221" s="16"/>
    </row>
    <row r="222" spans="2:7" x14ac:dyDescent="0.25">
      <c r="B222" s="21"/>
      <c r="C222" s="21"/>
      <c r="D222" s="17"/>
      <c r="E222" s="18"/>
      <c r="G222" s="16"/>
    </row>
    <row r="223" spans="2:7" x14ac:dyDescent="0.25">
      <c r="B223" s="21"/>
      <c r="C223" s="21"/>
      <c r="D223" s="17"/>
      <c r="E223" s="18"/>
      <c r="G223" s="16"/>
    </row>
    <row r="224" spans="2:7" x14ac:dyDescent="0.25">
      <c r="B224" s="21"/>
      <c r="C224" s="21"/>
      <c r="D224" s="17"/>
      <c r="E224" s="18"/>
      <c r="G224" s="16"/>
    </row>
    <row r="225" spans="2:7" x14ac:dyDescent="0.25">
      <c r="B225" s="21"/>
      <c r="C225" s="21"/>
      <c r="D225" s="17"/>
      <c r="E225" s="18"/>
      <c r="G225" s="16"/>
    </row>
    <row r="226" spans="2:7" x14ac:dyDescent="0.25">
      <c r="B226" s="21"/>
      <c r="C226" s="21"/>
      <c r="D226" s="17"/>
      <c r="E226" s="18"/>
      <c r="G226" s="16"/>
    </row>
    <row r="227" spans="2:7" x14ac:dyDescent="0.25">
      <c r="B227" s="21"/>
      <c r="C227" s="21"/>
      <c r="D227" s="17"/>
      <c r="E227" s="18"/>
      <c r="G227" s="16"/>
    </row>
    <row r="228" spans="2:7" x14ac:dyDescent="0.25">
      <c r="B228" s="21"/>
      <c r="C228" s="21"/>
      <c r="D228" s="17"/>
      <c r="E228" s="18"/>
      <c r="G228" s="16"/>
    </row>
    <row r="229" spans="2:7" x14ac:dyDescent="0.25">
      <c r="B229" s="21"/>
      <c r="C229" s="21"/>
      <c r="D229" s="17"/>
      <c r="E229" s="18"/>
      <c r="G229" s="16"/>
    </row>
    <row r="230" spans="2:7" x14ac:dyDescent="0.25">
      <c r="B230" s="21"/>
      <c r="C230" s="21"/>
      <c r="D230" s="17"/>
      <c r="E230" s="18"/>
      <c r="G230" s="16"/>
    </row>
    <row r="231" spans="2:7" x14ac:dyDescent="0.25">
      <c r="B231" s="21"/>
      <c r="C231" s="21"/>
      <c r="D231" s="17"/>
      <c r="E231" s="18"/>
      <c r="G231" s="16"/>
    </row>
    <row r="232" spans="2:7" x14ac:dyDescent="0.25">
      <c r="B232" s="21"/>
      <c r="C232" s="21"/>
      <c r="D232" s="17"/>
      <c r="E232" s="18"/>
      <c r="G232" s="16"/>
    </row>
    <row r="233" spans="2:7" x14ac:dyDescent="0.25">
      <c r="B233" s="21"/>
      <c r="C233" s="21"/>
      <c r="D233" s="17"/>
      <c r="E233" s="18"/>
      <c r="G233" s="16"/>
    </row>
    <row r="234" spans="2:7" x14ac:dyDescent="0.25">
      <c r="B234" s="21"/>
      <c r="C234" s="21"/>
      <c r="D234" s="17"/>
      <c r="E234" s="18"/>
      <c r="G234" s="16"/>
    </row>
    <row r="235" spans="2:7" x14ac:dyDescent="0.25">
      <c r="B235" s="21"/>
      <c r="C235" s="21"/>
      <c r="D235" s="17"/>
      <c r="E235" s="18"/>
      <c r="G235" s="16"/>
    </row>
    <row r="236" spans="2:7" x14ac:dyDescent="0.25">
      <c r="B236" s="21"/>
      <c r="C236" s="21"/>
      <c r="D236" s="17"/>
      <c r="E236" s="18"/>
      <c r="G236" s="16"/>
    </row>
    <row r="237" spans="2:7" x14ac:dyDescent="0.25">
      <c r="B237" s="21"/>
      <c r="C237" s="21"/>
      <c r="D237" s="17"/>
      <c r="E237" s="18"/>
      <c r="G237" s="16"/>
    </row>
    <row r="238" spans="2:7" x14ac:dyDescent="0.25">
      <c r="B238" s="21"/>
      <c r="C238" s="21"/>
      <c r="D238" s="17"/>
      <c r="E238" s="18"/>
      <c r="G238" s="16"/>
    </row>
    <row r="239" spans="2:7" x14ac:dyDescent="0.25">
      <c r="B239" s="21"/>
      <c r="C239" s="21"/>
      <c r="D239" s="17"/>
      <c r="E239" s="18"/>
      <c r="G239" s="16"/>
    </row>
    <row r="240" spans="2:7" x14ac:dyDescent="0.25">
      <c r="B240" s="21"/>
      <c r="C240" s="21"/>
      <c r="D240" s="17"/>
      <c r="E240" s="18"/>
      <c r="G240" s="16"/>
    </row>
    <row r="241" spans="2:7" x14ac:dyDescent="0.25">
      <c r="B241" s="21"/>
      <c r="C241" s="21"/>
      <c r="D241" s="17"/>
      <c r="E241" s="18"/>
      <c r="G241" s="16"/>
    </row>
    <row r="242" spans="2:7" x14ac:dyDescent="0.25">
      <c r="B242" s="21"/>
      <c r="C242" s="21"/>
      <c r="D242" s="17"/>
      <c r="E242" s="18"/>
      <c r="G242" s="16"/>
    </row>
    <row r="243" spans="2:7" x14ac:dyDescent="0.25">
      <c r="B243" s="21"/>
      <c r="C243" s="21"/>
      <c r="D243" s="17"/>
      <c r="E243" s="18"/>
      <c r="G243" s="16"/>
    </row>
    <row r="244" spans="2:7" x14ac:dyDescent="0.25">
      <c r="B244" s="21"/>
      <c r="C244" s="21"/>
      <c r="D244" s="17"/>
      <c r="E244" s="18"/>
      <c r="G244" s="16"/>
    </row>
    <row r="245" spans="2:7" x14ac:dyDescent="0.25">
      <c r="B245" s="21"/>
      <c r="C245" s="21"/>
      <c r="D245" s="17"/>
      <c r="E245" s="18"/>
      <c r="G245" s="16"/>
    </row>
    <row r="246" spans="2:7" x14ac:dyDescent="0.25">
      <c r="B246" s="21"/>
      <c r="C246" s="21"/>
      <c r="D246" s="17"/>
      <c r="E246" s="18"/>
      <c r="G246" s="16"/>
    </row>
    <row r="247" spans="2:7" x14ac:dyDescent="0.25">
      <c r="B247" s="21"/>
      <c r="C247" s="21"/>
      <c r="D247" s="17"/>
      <c r="E247" s="18"/>
      <c r="G247" s="16"/>
    </row>
    <row r="248" spans="2:7" x14ac:dyDescent="0.25">
      <c r="B248" s="21"/>
      <c r="C248" s="21"/>
      <c r="D248" s="17"/>
      <c r="E248" s="18"/>
      <c r="G248" s="16"/>
    </row>
    <row r="249" spans="2:7" x14ac:dyDescent="0.25">
      <c r="B249" s="21"/>
      <c r="C249" s="21"/>
      <c r="D249" s="17"/>
      <c r="E249" s="18"/>
      <c r="G249" s="16"/>
    </row>
    <row r="250" spans="2:7" x14ac:dyDescent="0.25">
      <c r="B250" s="21"/>
      <c r="C250" s="21"/>
      <c r="D250" s="17"/>
      <c r="E250" s="18"/>
      <c r="G250" s="16"/>
    </row>
    <row r="251" spans="2:7" x14ac:dyDescent="0.25">
      <c r="B251" s="21"/>
      <c r="C251" s="21"/>
      <c r="D251" s="17"/>
      <c r="E251" s="18"/>
      <c r="G251" s="16"/>
    </row>
    <row r="252" spans="2:7" x14ac:dyDescent="0.25">
      <c r="B252" s="21"/>
      <c r="C252" s="21"/>
      <c r="D252" s="17"/>
      <c r="E252" s="18"/>
      <c r="G252" s="16"/>
    </row>
    <row r="253" spans="2:7" x14ac:dyDescent="0.25">
      <c r="B253" s="21"/>
      <c r="C253" s="21"/>
      <c r="D253" s="17"/>
      <c r="E253" s="18"/>
      <c r="G253" s="16"/>
    </row>
    <row r="254" spans="2:7" x14ac:dyDescent="0.25">
      <c r="B254" s="21"/>
      <c r="C254" s="21"/>
      <c r="D254" s="17"/>
      <c r="E254" s="18"/>
      <c r="G254" s="16"/>
    </row>
    <row r="255" spans="2:7" x14ac:dyDescent="0.25">
      <c r="B255" s="21"/>
      <c r="C255" s="21"/>
      <c r="D255" s="17"/>
      <c r="E255" s="18"/>
      <c r="G255" s="16"/>
    </row>
    <row r="256" spans="2:7" x14ac:dyDescent="0.25">
      <c r="B256" s="21"/>
      <c r="C256" s="21"/>
      <c r="D256" s="17"/>
      <c r="E256" s="18"/>
      <c r="G256" s="16"/>
    </row>
    <row r="257" spans="2:7" x14ac:dyDescent="0.25">
      <c r="B257" s="21"/>
      <c r="C257" s="21"/>
      <c r="D257" s="17"/>
      <c r="E257" s="18"/>
      <c r="G257" s="16"/>
    </row>
    <row r="258" spans="2:7" x14ac:dyDescent="0.25">
      <c r="B258" s="21"/>
      <c r="C258" s="21"/>
      <c r="D258" s="17"/>
      <c r="E258" s="18"/>
      <c r="G258" s="16"/>
    </row>
    <row r="259" spans="2:7" x14ac:dyDescent="0.25">
      <c r="B259" s="21"/>
      <c r="C259" s="21"/>
      <c r="D259" s="17"/>
      <c r="E259" s="18"/>
      <c r="G259" s="16"/>
    </row>
    <row r="260" spans="2:7" x14ac:dyDescent="0.25">
      <c r="B260" s="21"/>
      <c r="C260" s="21"/>
      <c r="D260" s="17"/>
      <c r="E260" s="18"/>
      <c r="G260" s="16"/>
    </row>
    <row r="261" spans="2:7" x14ac:dyDescent="0.25">
      <c r="B261" s="21"/>
      <c r="C261" s="21"/>
      <c r="D261" s="17"/>
      <c r="E261" s="18"/>
      <c r="G261" s="16"/>
    </row>
    <row r="262" spans="2:7" x14ac:dyDescent="0.25">
      <c r="B262" s="21"/>
      <c r="C262" s="21"/>
      <c r="D262" s="17"/>
      <c r="E262" s="18"/>
      <c r="G262" s="16"/>
    </row>
    <row r="263" spans="2:7" x14ac:dyDescent="0.25">
      <c r="B263" s="21"/>
      <c r="C263" s="21"/>
      <c r="D263" s="17"/>
      <c r="E263" s="18"/>
      <c r="G263" s="16"/>
    </row>
    <row r="264" spans="2:7" x14ac:dyDescent="0.25">
      <c r="B264" s="21"/>
      <c r="C264" s="21"/>
      <c r="D264" s="17"/>
      <c r="E264" s="18"/>
      <c r="G264" s="16"/>
    </row>
    <row r="265" spans="2:7" x14ac:dyDescent="0.25">
      <c r="B265" s="21"/>
      <c r="C265" s="21"/>
      <c r="D265" s="17"/>
      <c r="E265" s="18"/>
      <c r="G265" s="16"/>
    </row>
    <row r="266" spans="2:7" x14ac:dyDescent="0.25">
      <c r="B266" s="21"/>
      <c r="C266" s="21"/>
      <c r="D266" s="17"/>
      <c r="E266" s="18"/>
      <c r="G266" s="16"/>
    </row>
    <row r="267" spans="2:7" x14ac:dyDescent="0.25">
      <c r="B267" s="21"/>
      <c r="C267" s="21"/>
      <c r="D267" s="17"/>
      <c r="E267" s="18"/>
      <c r="G267" s="16"/>
    </row>
    <row r="268" spans="2:7" x14ac:dyDescent="0.25">
      <c r="B268" s="21"/>
      <c r="C268" s="21"/>
      <c r="D268" s="17"/>
      <c r="E268" s="18"/>
      <c r="G268" s="16"/>
    </row>
    <row r="269" spans="2:7" x14ac:dyDescent="0.25">
      <c r="B269" s="21"/>
      <c r="C269" s="21"/>
      <c r="D269" s="17"/>
      <c r="E269" s="18"/>
      <c r="G269" s="16"/>
    </row>
    <row r="270" spans="2:7" x14ac:dyDescent="0.25">
      <c r="B270" s="21"/>
      <c r="C270" s="21"/>
      <c r="D270" s="17"/>
      <c r="E270" s="18"/>
      <c r="G270" s="16"/>
    </row>
    <row r="271" spans="2:7" x14ac:dyDescent="0.25">
      <c r="B271" s="21"/>
      <c r="C271" s="21"/>
      <c r="D271" s="17"/>
      <c r="E271" s="18"/>
      <c r="G271" s="16"/>
    </row>
    <row r="272" spans="2:7" x14ac:dyDescent="0.25">
      <c r="B272" s="21"/>
      <c r="C272" s="21"/>
      <c r="D272" s="17"/>
      <c r="E272" s="18"/>
      <c r="G272" s="16"/>
    </row>
    <row r="273" spans="2:7" x14ac:dyDescent="0.25">
      <c r="B273" s="21"/>
      <c r="C273" s="21"/>
      <c r="D273" s="17"/>
      <c r="E273" s="18"/>
      <c r="G273" s="16"/>
    </row>
    <row r="274" spans="2:7" x14ac:dyDescent="0.25">
      <c r="B274" s="21"/>
      <c r="C274" s="21"/>
      <c r="D274" s="17"/>
      <c r="E274" s="18"/>
      <c r="G274" s="16"/>
    </row>
    <row r="275" spans="2:7" x14ac:dyDescent="0.25">
      <c r="B275" s="21"/>
      <c r="C275" s="21"/>
      <c r="D275" s="17"/>
      <c r="E275" s="18"/>
      <c r="G275" s="16"/>
    </row>
    <row r="276" spans="2:7" x14ac:dyDescent="0.25">
      <c r="B276" s="21"/>
      <c r="C276" s="21"/>
      <c r="D276" s="17"/>
      <c r="E276" s="18"/>
      <c r="G276" s="16"/>
    </row>
    <row r="277" spans="2:7" x14ac:dyDescent="0.25">
      <c r="B277" s="21"/>
      <c r="C277" s="21"/>
      <c r="D277" s="17"/>
      <c r="E277" s="18"/>
      <c r="G277" s="16"/>
    </row>
    <row r="278" spans="2:7" x14ac:dyDescent="0.25">
      <c r="B278" s="21"/>
      <c r="C278" s="21"/>
      <c r="D278" s="17"/>
      <c r="E278" s="18"/>
      <c r="G278" s="16"/>
    </row>
    <row r="279" spans="2:7" x14ac:dyDescent="0.25">
      <c r="B279" s="21"/>
      <c r="C279" s="21"/>
      <c r="D279" s="17"/>
      <c r="E279" s="18"/>
      <c r="G279" s="16"/>
    </row>
    <row r="280" spans="2:7" x14ac:dyDescent="0.25">
      <c r="B280" s="21"/>
      <c r="C280" s="21"/>
      <c r="D280" s="17"/>
      <c r="E280" s="18"/>
      <c r="G280" s="16"/>
    </row>
    <row r="281" spans="2:7" x14ac:dyDescent="0.25">
      <c r="B281" s="21"/>
      <c r="C281" s="21"/>
      <c r="D281" s="17"/>
      <c r="E281" s="18"/>
      <c r="G281" s="16"/>
    </row>
    <row r="282" spans="2:7" x14ac:dyDescent="0.25">
      <c r="B282" s="21"/>
      <c r="C282" s="21"/>
      <c r="D282" s="17"/>
      <c r="E282" s="18"/>
      <c r="G282" s="16"/>
    </row>
    <row r="283" spans="2:7" x14ac:dyDescent="0.25">
      <c r="B283" s="21"/>
      <c r="C283" s="21"/>
      <c r="D283" s="17"/>
      <c r="E283" s="18"/>
      <c r="G283" s="16"/>
    </row>
    <row r="284" spans="2:7" x14ac:dyDescent="0.25">
      <c r="B284" s="21"/>
      <c r="C284" s="21"/>
      <c r="D284" s="17"/>
      <c r="E284" s="18"/>
      <c r="G284" s="16"/>
    </row>
    <row r="285" spans="2:7" x14ac:dyDescent="0.25">
      <c r="B285" s="21"/>
      <c r="C285" s="21"/>
      <c r="D285" s="17"/>
      <c r="E285" s="18"/>
      <c r="G285" s="16"/>
    </row>
    <row r="286" spans="2:7" x14ac:dyDescent="0.25">
      <c r="B286" s="21"/>
      <c r="C286" s="21"/>
      <c r="D286" s="17"/>
      <c r="E286" s="18"/>
      <c r="G286" s="16"/>
    </row>
    <row r="287" spans="2:7" x14ac:dyDescent="0.25">
      <c r="B287" s="21"/>
      <c r="C287" s="21"/>
      <c r="D287" s="17"/>
      <c r="E287" s="18"/>
      <c r="G287" s="16"/>
    </row>
    <row r="288" spans="2:7" x14ac:dyDescent="0.25">
      <c r="B288" s="21"/>
      <c r="C288" s="21"/>
      <c r="D288" s="17"/>
      <c r="E288" s="18"/>
      <c r="G288" s="16"/>
    </row>
    <row r="289" spans="2:7" x14ac:dyDescent="0.25">
      <c r="B289" s="21"/>
      <c r="C289" s="21"/>
      <c r="D289" s="17"/>
      <c r="E289" s="18"/>
      <c r="G289" s="16"/>
    </row>
    <row r="290" spans="2:7" x14ac:dyDescent="0.25">
      <c r="B290" s="21"/>
      <c r="C290" s="21"/>
      <c r="D290" s="17"/>
      <c r="E290" s="18"/>
      <c r="G290" s="16"/>
    </row>
    <row r="291" spans="2:7" x14ac:dyDescent="0.25">
      <c r="B291" s="21"/>
      <c r="C291" s="21"/>
      <c r="D291" s="17"/>
      <c r="E291" s="18"/>
      <c r="G291" s="16"/>
    </row>
    <row r="292" spans="2:7" x14ac:dyDescent="0.25">
      <c r="B292" s="21"/>
      <c r="C292" s="21"/>
      <c r="D292" s="17"/>
      <c r="E292" s="18"/>
      <c r="G292" s="16"/>
    </row>
    <row r="293" spans="2:7" x14ac:dyDescent="0.25">
      <c r="B293" s="21"/>
      <c r="C293" s="21"/>
      <c r="D293" s="17"/>
      <c r="E293" s="18"/>
      <c r="G293" s="16"/>
    </row>
    <row r="294" spans="2:7" x14ac:dyDescent="0.25">
      <c r="B294" s="21"/>
      <c r="C294" s="21"/>
      <c r="D294" s="17"/>
      <c r="E294" s="18"/>
      <c r="G294" s="16"/>
    </row>
    <row r="295" spans="2:7" x14ac:dyDescent="0.25">
      <c r="B295" s="21"/>
      <c r="C295" s="21"/>
      <c r="D295" s="17"/>
      <c r="E295" s="18"/>
      <c r="G295" s="16"/>
    </row>
    <row r="296" spans="2:7" x14ac:dyDescent="0.25">
      <c r="B296" s="21"/>
      <c r="C296" s="21"/>
      <c r="D296" s="17"/>
      <c r="E296" s="18"/>
      <c r="G296" s="16"/>
    </row>
    <row r="297" spans="2:7" x14ac:dyDescent="0.25">
      <c r="B297" s="21"/>
      <c r="C297" s="21"/>
      <c r="D297" s="17"/>
      <c r="E297" s="18"/>
      <c r="G297" s="16"/>
    </row>
    <row r="298" spans="2:7" x14ac:dyDescent="0.25">
      <c r="B298" s="21"/>
      <c r="C298" s="21"/>
      <c r="D298" s="17"/>
      <c r="E298" s="18"/>
      <c r="G298" s="16"/>
    </row>
    <row r="299" spans="2:7" x14ac:dyDescent="0.25">
      <c r="B299" s="21"/>
      <c r="C299" s="21"/>
      <c r="D299" s="17"/>
      <c r="E299" s="18"/>
      <c r="G299" s="16"/>
    </row>
    <row r="300" spans="2:7" x14ac:dyDescent="0.25">
      <c r="B300" s="21"/>
      <c r="C300" s="21"/>
      <c r="D300" s="17"/>
      <c r="E300" s="18"/>
      <c r="G300" s="16"/>
    </row>
    <row r="301" spans="2:7" x14ac:dyDescent="0.25">
      <c r="B301" s="21"/>
      <c r="C301" s="21"/>
      <c r="D301" s="17"/>
      <c r="E301" s="18"/>
      <c r="G301" s="16"/>
    </row>
    <row r="302" spans="2:7" x14ac:dyDescent="0.25">
      <c r="B302" s="21"/>
      <c r="C302" s="21"/>
      <c r="D302" s="17"/>
      <c r="E302" s="18"/>
      <c r="G302" s="16"/>
    </row>
    <row r="303" spans="2:7" x14ac:dyDescent="0.25">
      <c r="B303" s="21"/>
      <c r="C303" s="21"/>
      <c r="D303" s="17"/>
      <c r="E303" s="18"/>
      <c r="G303" s="16"/>
    </row>
    <row r="304" spans="2:7" x14ac:dyDescent="0.25">
      <c r="B304" s="21"/>
      <c r="C304" s="21"/>
      <c r="D304" s="17"/>
      <c r="E304" s="18"/>
      <c r="G304" s="16"/>
    </row>
    <row r="305" spans="2:7" x14ac:dyDescent="0.25">
      <c r="B305" s="21"/>
      <c r="C305" s="21"/>
      <c r="D305" s="17"/>
      <c r="E305" s="18"/>
      <c r="G305" s="16"/>
    </row>
    <row r="306" spans="2:7" x14ac:dyDescent="0.25">
      <c r="B306" s="21"/>
      <c r="C306" s="21"/>
      <c r="D306" s="17"/>
      <c r="E306" s="18"/>
      <c r="G306" s="16"/>
    </row>
    <row r="307" spans="2:7" x14ac:dyDescent="0.25">
      <c r="B307" s="21"/>
      <c r="C307" s="21"/>
      <c r="D307" s="17"/>
      <c r="E307" s="18"/>
      <c r="G307" s="16"/>
    </row>
    <row r="308" spans="2:7" x14ac:dyDescent="0.25">
      <c r="B308" s="21"/>
      <c r="C308" s="21"/>
      <c r="D308" s="17"/>
      <c r="E308" s="18"/>
      <c r="G308" s="16"/>
    </row>
    <row r="309" spans="2:7" x14ac:dyDescent="0.25">
      <c r="B309" s="21"/>
      <c r="C309" s="21"/>
      <c r="D309" s="17"/>
      <c r="E309" s="18"/>
      <c r="G309" s="16"/>
    </row>
    <row r="310" spans="2:7" x14ac:dyDescent="0.25">
      <c r="B310" s="21"/>
      <c r="C310" s="21"/>
      <c r="D310" s="17"/>
      <c r="E310" s="18"/>
      <c r="G310" s="16"/>
    </row>
    <row r="311" spans="2:7" x14ac:dyDescent="0.25">
      <c r="B311" s="21"/>
      <c r="C311" s="21"/>
      <c r="D311" s="17"/>
      <c r="E311" s="18"/>
      <c r="G311" s="16"/>
    </row>
    <row r="312" spans="2:7" x14ac:dyDescent="0.25">
      <c r="B312" s="21"/>
      <c r="C312" s="21"/>
      <c r="D312" s="17"/>
      <c r="E312" s="18"/>
      <c r="G312" s="16"/>
    </row>
    <row r="313" spans="2:7" x14ac:dyDescent="0.25">
      <c r="B313" s="21"/>
      <c r="C313" s="21"/>
      <c r="D313" s="17"/>
      <c r="E313" s="18"/>
      <c r="G313" s="16"/>
    </row>
    <row r="314" spans="2:7" x14ac:dyDescent="0.25">
      <c r="B314" s="21"/>
      <c r="C314" s="21"/>
      <c r="D314" s="17"/>
      <c r="E314" s="18"/>
      <c r="G314" s="16"/>
    </row>
    <row r="315" spans="2:7" x14ac:dyDescent="0.25">
      <c r="B315" s="21"/>
      <c r="C315" s="21"/>
      <c r="D315" s="17"/>
      <c r="E315" s="18"/>
      <c r="G315" s="16"/>
    </row>
    <row r="316" spans="2:7" x14ac:dyDescent="0.25">
      <c r="B316" s="21"/>
      <c r="C316" s="21"/>
      <c r="D316" s="17"/>
      <c r="E316" s="18"/>
      <c r="G316" s="16"/>
    </row>
    <row r="317" spans="2:7" x14ac:dyDescent="0.25">
      <c r="B317" s="21"/>
      <c r="C317" s="21"/>
      <c r="D317" s="17"/>
      <c r="E317" s="18"/>
      <c r="G317" s="16"/>
    </row>
    <row r="318" spans="2:7" x14ac:dyDescent="0.25">
      <c r="B318" s="21"/>
      <c r="C318" s="21"/>
      <c r="D318" s="17"/>
      <c r="E318" s="18"/>
      <c r="G318" s="16"/>
    </row>
    <row r="319" spans="2:7" x14ac:dyDescent="0.25">
      <c r="B319" s="21"/>
      <c r="C319" s="21"/>
      <c r="D319" s="17"/>
      <c r="E319" s="18"/>
      <c r="G319" s="16"/>
    </row>
    <row r="320" spans="2:7" x14ac:dyDescent="0.25">
      <c r="B320" s="21"/>
      <c r="C320" s="21"/>
      <c r="D320" s="17"/>
      <c r="E320" s="18"/>
      <c r="G320" s="16"/>
    </row>
    <row r="321" spans="2:7" x14ac:dyDescent="0.25">
      <c r="B321" s="21"/>
      <c r="C321" s="21"/>
      <c r="D321" s="17"/>
      <c r="E321" s="18"/>
      <c r="G321" s="16"/>
    </row>
    <row r="322" spans="2:7" x14ac:dyDescent="0.25">
      <c r="B322" s="21"/>
      <c r="C322" s="21"/>
      <c r="D322" s="17"/>
      <c r="E322" s="18"/>
      <c r="G322" s="16"/>
    </row>
    <row r="323" spans="2:7" x14ac:dyDescent="0.25">
      <c r="B323" s="21"/>
      <c r="C323" s="21"/>
      <c r="D323" s="17"/>
      <c r="E323" s="18"/>
      <c r="G323" s="16"/>
    </row>
    <row r="324" spans="2:7" x14ac:dyDescent="0.25">
      <c r="B324" s="21"/>
      <c r="C324" s="21"/>
      <c r="D324" s="17"/>
      <c r="E324" s="18"/>
      <c r="G324" s="16"/>
    </row>
    <row r="325" spans="2:7" x14ac:dyDescent="0.25">
      <c r="B325" s="21"/>
      <c r="C325" s="21"/>
      <c r="D325" s="17"/>
      <c r="E325" s="18"/>
      <c r="G325" s="16"/>
    </row>
    <row r="326" spans="2:7" x14ac:dyDescent="0.25">
      <c r="B326" s="21"/>
      <c r="C326" s="21"/>
      <c r="D326" s="17"/>
      <c r="E326" s="18"/>
      <c r="G326" s="16"/>
    </row>
    <row r="327" spans="2:7" x14ac:dyDescent="0.25">
      <c r="B327" s="21"/>
      <c r="C327" s="21"/>
      <c r="D327" s="17"/>
      <c r="E327" s="18"/>
      <c r="G327" s="16"/>
    </row>
    <row r="328" spans="2:7" x14ac:dyDescent="0.25">
      <c r="B328" s="21"/>
      <c r="C328" s="21"/>
      <c r="D328" s="17"/>
      <c r="E328" s="18"/>
      <c r="G328" s="16"/>
    </row>
    <row r="329" spans="2:7" x14ac:dyDescent="0.25">
      <c r="B329" s="21"/>
      <c r="C329" s="21"/>
      <c r="D329" s="17"/>
      <c r="E329" s="18"/>
      <c r="G329" s="16"/>
    </row>
    <row r="330" spans="2:7" x14ac:dyDescent="0.25">
      <c r="B330" s="21"/>
      <c r="C330" s="21"/>
      <c r="D330" s="17"/>
      <c r="E330" s="18"/>
      <c r="G330" s="16"/>
    </row>
    <row r="331" spans="2:7" x14ac:dyDescent="0.25">
      <c r="B331" s="21"/>
      <c r="C331" s="21"/>
      <c r="D331" s="17"/>
      <c r="E331" s="18"/>
      <c r="G331" s="16"/>
    </row>
    <row r="332" spans="2:7" x14ac:dyDescent="0.25">
      <c r="B332" s="21"/>
      <c r="C332" s="21"/>
      <c r="D332" s="17"/>
      <c r="E332" s="18"/>
      <c r="G332" s="16"/>
    </row>
    <row r="333" spans="2:7" x14ac:dyDescent="0.25">
      <c r="B333" s="21"/>
      <c r="C333" s="21"/>
      <c r="D333" s="17"/>
      <c r="E333" s="18"/>
      <c r="G333" s="16"/>
    </row>
    <row r="334" spans="2:7" x14ac:dyDescent="0.25">
      <c r="B334" s="21"/>
      <c r="C334" s="21"/>
      <c r="D334" s="17"/>
      <c r="E334" s="18"/>
      <c r="G334" s="16"/>
    </row>
    <row r="335" spans="2:7" x14ac:dyDescent="0.25">
      <c r="B335" s="21"/>
      <c r="C335" s="21"/>
      <c r="D335" s="17"/>
      <c r="E335" s="18"/>
      <c r="G335" s="16"/>
    </row>
    <row r="336" spans="2:7" x14ac:dyDescent="0.25">
      <c r="B336" s="21"/>
      <c r="C336" s="21"/>
      <c r="D336" s="17"/>
      <c r="E336" s="18"/>
      <c r="G336" s="16"/>
    </row>
    <row r="337" spans="2:7" x14ac:dyDescent="0.25">
      <c r="B337" s="21"/>
      <c r="C337" s="21"/>
      <c r="D337" s="17"/>
      <c r="E337" s="18"/>
      <c r="G337" s="16"/>
    </row>
    <row r="338" spans="2:7" x14ac:dyDescent="0.25">
      <c r="B338" s="21"/>
      <c r="C338" s="21"/>
      <c r="D338" s="17"/>
      <c r="E338" s="18"/>
      <c r="G338" s="16"/>
    </row>
    <row r="339" spans="2:7" x14ac:dyDescent="0.25">
      <c r="B339" s="21"/>
      <c r="C339" s="21"/>
      <c r="D339" s="17"/>
      <c r="E339" s="18"/>
      <c r="G339" s="16"/>
    </row>
    <row r="340" spans="2:7" x14ac:dyDescent="0.25">
      <c r="B340" s="21"/>
      <c r="C340" s="21"/>
      <c r="D340" s="17"/>
      <c r="E340" s="18"/>
      <c r="G340" s="16"/>
    </row>
    <row r="341" spans="2:7" x14ac:dyDescent="0.25">
      <c r="B341" s="21"/>
      <c r="C341" s="21"/>
      <c r="D341" s="17"/>
      <c r="E341" s="18"/>
      <c r="G341" s="16"/>
    </row>
    <row r="342" spans="2:7" x14ac:dyDescent="0.25">
      <c r="B342" s="21"/>
      <c r="C342" s="21"/>
      <c r="D342" s="17"/>
      <c r="E342" s="18"/>
      <c r="G342" s="16"/>
    </row>
    <row r="343" spans="2:7" x14ac:dyDescent="0.25">
      <c r="B343" s="21"/>
      <c r="C343" s="21"/>
      <c r="D343" s="17"/>
      <c r="E343" s="18"/>
      <c r="G343" s="16"/>
    </row>
    <row r="344" spans="2:7" x14ac:dyDescent="0.25">
      <c r="B344" s="21"/>
      <c r="C344" s="21"/>
      <c r="D344" s="17"/>
      <c r="E344" s="18"/>
      <c r="G344" s="16"/>
    </row>
    <row r="345" spans="2:7" x14ac:dyDescent="0.25">
      <c r="B345" s="21"/>
      <c r="C345" s="21"/>
      <c r="D345" s="17"/>
      <c r="E345" s="18"/>
      <c r="G345" s="16"/>
    </row>
    <row r="346" spans="2:7" x14ac:dyDescent="0.25">
      <c r="B346" s="21"/>
      <c r="C346" s="21"/>
      <c r="D346" s="17"/>
      <c r="E346" s="18"/>
      <c r="G346" s="16"/>
    </row>
    <row r="347" spans="2:7" x14ac:dyDescent="0.25">
      <c r="B347" s="21"/>
      <c r="C347" s="21"/>
      <c r="D347" s="17"/>
      <c r="E347" s="18"/>
      <c r="G347" s="16"/>
    </row>
    <row r="348" spans="2:7" x14ac:dyDescent="0.25">
      <c r="B348" s="21"/>
      <c r="C348" s="21"/>
      <c r="D348" s="17"/>
      <c r="E348" s="18"/>
      <c r="G348" s="16"/>
    </row>
    <row r="349" spans="2:7" x14ac:dyDescent="0.25">
      <c r="B349" s="21"/>
      <c r="C349" s="21"/>
      <c r="D349" s="17"/>
      <c r="E349" s="18"/>
      <c r="G349" s="16"/>
    </row>
    <row r="350" spans="2:7" x14ac:dyDescent="0.25">
      <c r="B350" s="21"/>
      <c r="C350" s="21"/>
      <c r="D350" s="17"/>
      <c r="E350" s="18"/>
      <c r="G350" s="16"/>
    </row>
    <row r="351" spans="2:7" x14ac:dyDescent="0.25">
      <c r="B351" s="21"/>
      <c r="C351" s="21"/>
      <c r="D351" s="17"/>
      <c r="E351" s="18"/>
      <c r="G351" s="16"/>
    </row>
    <row r="352" spans="2:7" x14ac:dyDescent="0.25">
      <c r="B352" s="21"/>
      <c r="C352" s="21"/>
      <c r="D352" s="17"/>
      <c r="E352" s="18"/>
      <c r="G352" s="16"/>
    </row>
    <row r="353" spans="2:7" x14ac:dyDescent="0.25">
      <c r="B353" s="21"/>
      <c r="C353" s="21"/>
      <c r="D353" s="17"/>
      <c r="E353" s="18"/>
      <c r="G353" s="16"/>
    </row>
    <row r="354" spans="2:7" x14ac:dyDescent="0.25">
      <c r="B354" s="21"/>
      <c r="C354" s="21"/>
      <c r="D354" s="17"/>
      <c r="E354" s="18"/>
      <c r="G354" s="16"/>
    </row>
    <row r="355" spans="2:7" x14ac:dyDescent="0.25">
      <c r="B355" s="21"/>
      <c r="C355" s="21"/>
      <c r="D355" s="17"/>
      <c r="E355" s="18"/>
      <c r="G355" s="16"/>
    </row>
    <row r="356" spans="2:7" x14ac:dyDescent="0.25">
      <c r="B356" s="21"/>
      <c r="C356" s="21"/>
      <c r="D356" s="17"/>
      <c r="E356" s="18"/>
      <c r="G356" s="16"/>
    </row>
    <row r="357" spans="2:7" x14ac:dyDescent="0.25">
      <c r="B357" s="21"/>
      <c r="C357" s="21"/>
      <c r="D357" s="17"/>
      <c r="E357" s="18"/>
      <c r="G357" s="16"/>
    </row>
    <row r="358" spans="2:7" x14ac:dyDescent="0.25">
      <c r="B358" s="21"/>
      <c r="C358" s="21"/>
      <c r="D358" s="17"/>
      <c r="E358" s="18"/>
      <c r="G358" s="16"/>
    </row>
    <row r="359" spans="2:7" x14ac:dyDescent="0.25">
      <c r="B359" s="21"/>
      <c r="C359" s="21"/>
      <c r="D359" s="17"/>
      <c r="E359" s="18"/>
      <c r="G359" s="16"/>
    </row>
    <row r="360" spans="2:7" x14ac:dyDescent="0.25">
      <c r="B360" s="21"/>
      <c r="C360" s="21"/>
      <c r="D360" s="17"/>
      <c r="E360" s="18"/>
      <c r="G360" s="16"/>
    </row>
    <row r="361" spans="2:7" x14ac:dyDescent="0.25">
      <c r="B361" s="21"/>
      <c r="C361" s="21"/>
      <c r="D361" s="17"/>
      <c r="E361" s="18"/>
      <c r="G361" s="16"/>
    </row>
    <row r="362" spans="2:7" x14ac:dyDescent="0.25">
      <c r="B362" s="21"/>
      <c r="C362" s="21"/>
      <c r="D362" s="17"/>
      <c r="E362" s="18"/>
      <c r="G362" s="16"/>
    </row>
    <row r="363" spans="2:7" x14ac:dyDescent="0.25">
      <c r="B363" s="21"/>
      <c r="C363" s="21"/>
      <c r="D363" s="17"/>
      <c r="E363" s="18"/>
      <c r="G363" s="16"/>
    </row>
    <row r="364" spans="2:7" x14ac:dyDescent="0.25">
      <c r="B364" s="21"/>
      <c r="C364" s="21"/>
      <c r="D364" s="17"/>
      <c r="E364" s="18"/>
      <c r="G364" s="16"/>
    </row>
    <row r="365" spans="2:7" x14ac:dyDescent="0.25">
      <c r="B365" s="21"/>
      <c r="C365" s="21"/>
      <c r="D365" s="17"/>
      <c r="E365" s="18"/>
      <c r="G365" s="16"/>
    </row>
    <row r="366" spans="2:7" x14ac:dyDescent="0.25">
      <c r="B366" s="21"/>
      <c r="C366" s="21"/>
      <c r="D366" s="17"/>
      <c r="E366" s="18"/>
      <c r="G366" s="16"/>
    </row>
    <row r="367" spans="2:7" x14ac:dyDescent="0.25">
      <c r="B367" s="21"/>
      <c r="C367" s="21"/>
      <c r="D367" s="17"/>
      <c r="E367" s="18"/>
      <c r="G367" s="16"/>
    </row>
    <row r="368" spans="2:7" x14ac:dyDescent="0.25">
      <c r="B368" s="21"/>
      <c r="C368" s="21"/>
      <c r="D368" s="17"/>
      <c r="E368" s="18"/>
      <c r="G368" s="16"/>
    </row>
    <row r="369" spans="2:7" x14ac:dyDescent="0.25">
      <c r="B369" s="21"/>
      <c r="C369" s="21"/>
      <c r="D369" s="17"/>
      <c r="E369" s="18"/>
      <c r="G369" s="16"/>
    </row>
    <row r="370" spans="2:7" x14ac:dyDescent="0.25">
      <c r="B370" s="21"/>
      <c r="C370" s="21"/>
      <c r="D370" s="17"/>
      <c r="E370" s="18"/>
      <c r="G370" s="16"/>
    </row>
    <row r="371" spans="2:7" x14ac:dyDescent="0.25">
      <c r="B371" s="21"/>
      <c r="C371" s="21"/>
      <c r="D371" s="17"/>
      <c r="E371" s="18"/>
      <c r="G371" s="16"/>
    </row>
    <row r="372" spans="2:7" x14ac:dyDescent="0.25">
      <c r="B372" s="21"/>
      <c r="C372" s="21"/>
      <c r="D372" s="17"/>
      <c r="E372" s="18"/>
      <c r="G372" s="16"/>
    </row>
    <row r="373" spans="2:7" x14ac:dyDescent="0.25">
      <c r="B373" s="21"/>
      <c r="C373" s="21"/>
      <c r="D373" s="17"/>
      <c r="E373" s="18"/>
      <c r="G373" s="16"/>
    </row>
    <row r="374" spans="2:7" x14ac:dyDescent="0.25">
      <c r="B374" s="21"/>
      <c r="C374" s="21"/>
      <c r="D374" s="17"/>
      <c r="E374" s="18"/>
      <c r="G374" s="16"/>
    </row>
    <row r="375" spans="2:7" x14ac:dyDescent="0.25">
      <c r="B375" s="21"/>
      <c r="C375" s="21"/>
      <c r="D375" s="17"/>
      <c r="E375" s="18"/>
      <c r="G375" s="16"/>
    </row>
    <row r="376" spans="2:7" x14ac:dyDescent="0.25">
      <c r="B376" s="21"/>
      <c r="C376" s="21"/>
      <c r="D376" s="17"/>
      <c r="E376" s="18"/>
      <c r="G376" s="16"/>
    </row>
    <row r="377" spans="2:7" x14ac:dyDescent="0.25">
      <c r="B377" s="21"/>
      <c r="C377" s="21"/>
      <c r="D377" s="17"/>
      <c r="E377" s="18"/>
      <c r="G377" s="16"/>
    </row>
    <row r="378" spans="2:7" x14ac:dyDescent="0.25">
      <c r="B378" s="21"/>
      <c r="C378" s="21"/>
      <c r="D378" s="17"/>
      <c r="E378" s="18"/>
      <c r="G378" s="16"/>
    </row>
    <row r="379" spans="2:7" x14ac:dyDescent="0.25">
      <c r="B379" s="21"/>
      <c r="C379" s="21"/>
      <c r="D379" s="17"/>
      <c r="E379" s="18"/>
      <c r="G379" s="16"/>
    </row>
    <row r="380" spans="2:7" x14ac:dyDescent="0.25">
      <c r="B380" s="21"/>
      <c r="C380" s="21"/>
      <c r="D380" s="17"/>
      <c r="E380" s="18"/>
      <c r="G380" s="16"/>
    </row>
    <row r="381" spans="2:7" x14ac:dyDescent="0.25">
      <c r="B381" s="21"/>
      <c r="C381" s="21"/>
      <c r="D381" s="17"/>
      <c r="E381" s="18"/>
      <c r="G381" s="16"/>
    </row>
    <row r="382" spans="2:7" x14ac:dyDescent="0.25">
      <c r="B382" s="21"/>
      <c r="C382" s="21"/>
      <c r="D382" s="17"/>
      <c r="E382" s="18"/>
      <c r="G382" s="16"/>
    </row>
    <row r="383" spans="2:7" x14ac:dyDescent="0.25">
      <c r="B383" s="21"/>
      <c r="C383" s="21"/>
      <c r="D383" s="17"/>
      <c r="E383" s="18"/>
      <c r="G383" s="16"/>
    </row>
    <row r="384" spans="2:7" x14ac:dyDescent="0.25">
      <c r="B384" s="21"/>
      <c r="C384" s="21"/>
      <c r="D384" s="17"/>
      <c r="E384" s="18"/>
      <c r="G384" s="16"/>
    </row>
    <row r="385" spans="2:7" x14ac:dyDescent="0.25">
      <c r="B385" s="21"/>
      <c r="C385" s="21"/>
      <c r="D385" s="17"/>
      <c r="E385" s="18"/>
      <c r="G385" s="16"/>
    </row>
    <row r="386" spans="2:7" x14ac:dyDescent="0.25">
      <c r="B386" s="21"/>
      <c r="C386" s="21"/>
      <c r="D386" s="17"/>
      <c r="E386" s="18"/>
      <c r="G386" s="16"/>
    </row>
    <row r="387" spans="2:7" x14ac:dyDescent="0.25">
      <c r="B387" s="21"/>
      <c r="C387" s="21"/>
      <c r="D387" s="17"/>
      <c r="E387" s="18"/>
      <c r="G387" s="16"/>
    </row>
    <row r="388" spans="2:7" x14ac:dyDescent="0.25">
      <c r="B388" s="21"/>
      <c r="C388" s="21"/>
      <c r="D388" s="17"/>
      <c r="E388" s="18"/>
      <c r="G388" s="16"/>
    </row>
    <row r="389" spans="2:7" x14ac:dyDescent="0.25">
      <c r="B389" s="21"/>
      <c r="C389" s="21"/>
      <c r="D389" s="17"/>
      <c r="E389" s="18"/>
      <c r="G389" s="16"/>
    </row>
    <row r="390" spans="2:7" x14ac:dyDescent="0.25">
      <c r="B390" s="21"/>
      <c r="C390" s="21"/>
      <c r="D390" s="17"/>
      <c r="E390" s="18"/>
      <c r="G390" s="16"/>
    </row>
    <row r="391" spans="2:7" x14ac:dyDescent="0.25">
      <c r="B391" s="21"/>
      <c r="C391" s="21"/>
      <c r="D391" s="17"/>
      <c r="E391" s="18"/>
      <c r="G391" s="16"/>
    </row>
    <row r="392" spans="2:7" x14ac:dyDescent="0.25">
      <c r="B392" s="21"/>
      <c r="C392" s="21"/>
      <c r="D392" s="17"/>
      <c r="E392" s="18"/>
      <c r="G392" s="16"/>
    </row>
    <row r="393" spans="2:7" x14ac:dyDescent="0.25">
      <c r="B393" s="21"/>
      <c r="C393" s="21"/>
      <c r="D393" s="17"/>
      <c r="E393" s="18"/>
      <c r="G393" s="16"/>
    </row>
    <row r="394" spans="2:7" x14ac:dyDescent="0.25">
      <c r="B394" s="21"/>
      <c r="C394" s="21"/>
      <c r="D394" s="17"/>
      <c r="E394" s="18"/>
      <c r="G394" s="16"/>
    </row>
    <row r="395" spans="2:7" x14ac:dyDescent="0.25">
      <c r="B395" s="21"/>
      <c r="C395" s="21"/>
      <c r="D395" s="17"/>
      <c r="E395" s="18"/>
      <c r="G395" s="16"/>
    </row>
    <row r="396" spans="2:7" x14ac:dyDescent="0.25">
      <c r="B396" s="21"/>
      <c r="C396" s="21"/>
      <c r="D396" s="17"/>
      <c r="E396" s="18"/>
      <c r="G396" s="16"/>
    </row>
    <row r="397" spans="2:7" x14ac:dyDescent="0.25">
      <c r="B397" s="21"/>
      <c r="C397" s="21"/>
      <c r="D397" s="17"/>
      <c r="E397" s="18"/>
      <c r="G397" s="16"/>
    </row>
    <row r="398" spans="2:7" x14ac:dyDescent="0.25">
      <c r="B398" s="21"/>
      <c r="C398" s="21"/>
      <c r="D398" s="17"/>
      <c r="E398" s="18"/>
      <c r="G398" s="16"/>
    </row>
    <row r="399" spans="2:7" x14ac:dyDescent="0.25">
      <c r="B399" s="21"/>
      <c r="C399" s="21"/>
      <c r="D399" s="17"/>
      <c r="E399" s="18"/>
      <c r="G399" s="16"/>
    </row>
    <row r="400" spans="2:7" x14ac:dyDescent="0.25">
      <c r="B400" s="21"/>
      <c r="C400" s="21"/>
      <c r="D400" s="17"/>
      <c r="E400" s="18"/>
      <c r="G400" s="16"/>
    </row>
    <row r="401" spans="2:7" x14ac:dyDescent="0.25">
      <c r="B401" s="21"/>
      <c r="C401" s="21"/>
      <c r="D401" s="17"/>
      <c r="E401" s="18"/>
      <c r="G401" s="16"/>
    </row>
    <row r="402" spans="2:7" x14ac:dyDescent="0.25">
      <c r="B402" s="21"/>
      <c r="C402" s="21"/>
      <c r="D402" s="17"/>
      <c r="E402" s="18"/>
      <c r="G402" s="16"/>
    </row>
    <row r="403" spans="2:7" x14ac:dyDescent="0.25">
      <c r="B403" s="21"/>
      <c r="C403" s="21"/>
      <c r="D403" s="17"/>
      <c r="E403" s="18"/>
      <c r="G403" s="16"/>
    </row>
    <row r="404" spans="2:7" x14ac:dyDescent="0.25">
      <c r="B404" s="21"/>
      <c r="C404" s="21"/>
      <c r="D404" s="17"/>
      <c r="E404" s="18"/>
      <c r="G404" s="16"/>
    </row>
    <row r="405" spans="2:7" x14ac:dyDescent="0.25">
      <c r="B405" s="21"/>
      <c r="C405" s="21"/>
      <c r="D405" s="17"/>
      <c r="E405" s="18"/>
      <c r="G405" s="16"/>
    </row>
    <row r="406" spans="2:7" x14ac:dyDescent="0.25">
      <c r="B406" s="21"/>
      <c r="C406" s="21"/>
      <c r="D406" s="17"/>
      <c r="E406" s="18"/>
      <c r="G406" s="16"/>
    </row>
    <row r="407" spans="2:7" x14ac:dyDescent="0.25">
      <c r="B407" s="21"/>
      <c r="C407" s="21"/>
      <c r="D407" s="17"/>
      <c r="E407" s="18"/>
      <c r="G407" s="16"/>
    </row>
    <row r="408" spans="2:7" x14ac:dyDescent="0.25">
      <c r="B408" s="21"/>
      <c r="C408" s="21"/>
      <c r="D408" s="17"/>
      <c r="E408" s="18"/>
      <c r="G408" s="16"/>
    </row>
    <row r="409" spans="2:7" x14ac:dyDescent="0.25">
      <c r="B409" s="21"/>
      <c r="C409" s="21"/>
      <c r="D409" s="17"/>
      <c r="E409" s="18"/>
      <c r="G409" s="16"/>
    </row>
    <row r="410" spans="2:7" x14ac:dyDescent="0.25">
      <c r="B410" s="21"/>
      <c r="C410" s="21"/>
      <c r="D410" s="17"/>
      <c r="E410" s="18"/>
      <c r="G410" s="16"/>
    </row>
    <row r="411" spans="2:7" x14ac:dyDescent="0.25">
      <c r="B411" s="21"/>
      <c r="C411" s="21"/>
      <c r="D411" s="17"/>
      <c r="E411" s="18"/>
      <c r="G411" s="16"/>
    </row>
    <row r="412" spans="2:7" x14ac:dyDescent="0.25">
      <c r="B412" s="21"/>
      <c r="C412" s="21"/>
      <c r="D412" s="17"/>
      <c r="E412" s="18"/>
      <c r="G412" s="16"/>
    </row>
    <row r="413" spans="2:7" x14ac:dyDescent="0.25">
      <c r="B413" s="21"/>
      <c r="C413" s="21"/>
      <c r="D413" s="17"/>
      <c r="E413" s="18"/>
      <c r="G413" s="16"/>
    </row>
    <row r="414" spans="2:7" x14ac:dyDescent="0.25">
      <c r="B414" s="21"/>
      <c r="C414" s="21"/>
      <c r="D414" s="17"/>
      <c r="E414" s="18"/>
      <c r="G414" s="16"/>
    </row>
    <row r="415" spans="2:7" x14ac:dyDescent="0.25">
      <c r="B415" s="21"/>
      <c r="C415" s="21"/>
      <c r="D415" s="17"/>
      <c r="E415" s="18"/>
      <c r="G415" s="16"/>
    </row>
    <row r="416" spans="2:7" x14ac:dyDescent="0.25">
      <c r="B416" s="21"/>
      <c r="C416" s="21"/>
      <c r="D416" s="17"/>
      <c r="E416" s="18"/>
      <c r="G416" s="16"/>
    </row>
    <row r="417" spans="2:7" x14ac:dyDescent="0.25">
      <c r="B417" s="21"/>
      <c r="C417" s="21"/>
      <c r="D417" s="17"/>
      <c r="E417" s="18"/>
      <c r="G417" s="16"/>
    </row>
    <row r="418" spans="2:7" x14ac:dyDescent="0.25">
      <c r="B418" s="21"/>
      <c r="C418" s="21"/>
      <c r="D418" s="17"/>
      <c r="E418" s="18"/>
      <c r="G418" s="16"/>
    </row>
    <row r="419" spans="2:7" x14ac:dyDescent="0.25">
      <c r="B419" s="21"/>
      <c r="C419" s="21"/>
      <c r="D419" s="17"/>
      <c r="E419" s="18"/>
      <c r="G419" s="16"/>
    </row>
    <row r="420" spans="2:7" x14ac:dyDescent="0.25">
      <c r="B420" s="21"/>
      <c r="C420" s="21"/>
      <c r="D420" s="17"/>
      <c r="E420" s="18"/>
      <c r="G420" s="16"/>
    </row>
    <row r="421" spans="2:7" x14ac:dyDescent="0.25">
      <c r="B421" s="21"/>
      <c r="C421" s="21"/>
      <c r="D421" s="17"/>
      <c r="E421" s="18"/>
      <c r="G421" s="16"/>
    </row>
    <row r="422" spans="2:7" x14ac:dyDescent="0.25">
      <c r="B422" s="21"/>
      <c r="C422" s="21"/>
      <c r="D422" s="17"/>
      <c r="E422" s="18"/>
      <c r="G422" s="16"/>
    </row>
    <row r="423" spans="2:7" x14ac:dyDescent="0.25">
      <c r="B423" s="21"/>
      <c r="C423" s="21"/>
      <c r="D423" s="17"/>
      <c r="E423" s="18"/>
      <c r="G423" s="16"/>
    </row>
    <row r="424" spans="2:7" x14ac:dyDescent="0.25">
      <c r="B424" s="21"/>
      <c r="C424" s="21"/>
      <c r="D424" s="17"/>
      <c r="E424" s="18"/>
      <c r="G424" s="16"/>
    </row>
    <row r="425" spans="2:7" x14ac:dyDescent="0.25">
      <c r="B425" s="21"/>
      <c r="C425" s="21"/>
      <c r="D425" s="17"/>
      <c r="E425" s="18"/>
      <c r="G425" s="16"/>
    </row>
    <row r="426" spans="2:7" x14ac:dyDescent="0.25">
      <c r="B426" s="21"/>
      <c r="C426" s="21"/>
      <c r="D426" s="17"/>
      <c r="E426" s="18"/>
      <c r="G426" s="16"/>
    </row>
    <row r="427" spans="2:7" x14ac:dyDescent="0.25">
      <c r="B427" s="21"/>
      <c r="C427" s="21"/>
      <c r="D427" s="17"/>
      <c r="E427" s="18"/>
      <c r="G427" s="16"/>
    </row>
    <row r="428" spans="2:7" x14ac:dyDescent="0.25">
      <c r="B428" s="21"/>
      <c r="C428" s="21"/>
      <c r="D428" s="17"/>
      <c r="E428" s="18"/>
      <c r="G428" s="16"/>
    </row>
    <row r="429" spans="2:7" x14ac:dyDescent="0.25">
      <c r="B429" s="21"/>
      <c r="C429" s="21"/>
      <c r="D429" s="17"/>
      <c r="E429" s="18"/>
      <c r="G429" s="16"/>
    </row>
    <row r="430" spans="2:7" x14ac:dyDescent="0.25">
      <c r="B430" s="21"/>
      <c r="C430" s="21"/>
      <c r="D430" s="17"/>
      <c r="E430" s="18"/>
      <c r="G430" s="16"/>
    </row>
    <row r="431" spans="2:7" x14ac:dyDescent="0.25">
      <c r="B431" s="21"/>
      <c r="C431" s="21"/>
      <c r="D431" s="17"/>
      <c r="E431" s="18"/>
      <c r="G431" s="16"/>
    </row>
    <row r="432" spans="2:7" x14ac:dyDescent="0.25">
      <c r="B432" s="21"/>
      <c r="C432" s="21"/>
      <c r="D432" s="17"/>
      <c r="E432" s="18"/>
      <c r="G432" s="16"/>
    </row>
    <row r="433" spans="2:7" x14ac:dyDescent="0.25">
      <c r="B433" s="21"/>
      <c r="C433" s="21"/>
      <c r="D433" s="17"/>
      <c r="E433" s="18"/>
      <c r="G433" s="16"/>
    </row>
    <row r="434" spans="2:7" x14ac:dyDescent="0.25">
      <c r="B434" s="21"/>
      <c r="C434" s="21"/>
      <c r="D434" s="17"/>
      <c r="E434" s="18"/>
      <c r="G434" s="16"/>
    </row>
    <row r="435" spans="2:7" x14ac:dyDescent="0.25">
      <c r="B435" s="21"/>
      <c r="C435" s="21"/>
      <c r="D435" s="17"/>
      <c r="E435" s="18"/>
      <c r="G435" s="16"/>
    </row>
    <row r="436" spans="2:7" x14ac:dyDescent="0.25">
      <c r="B436" s="21"/>
      <c r="C436" s="21"/>
      <c r="D436" s="17"/>
      <c r="E436" s="18"/>
      <c r="G436" s="16"/>
    </row>
    <row r="437" spans="2:7" x14ac:dyDescent="0.25">
      <c r="B437" s="21"/>
      <c r="C437" s="21"/>
      <c r="D437" s="17"/>
      <c r="E437" s="18"/>
      <c r="G437" s="16"/>
    </row>
    <row r="438" spans="2:7" x14ac:dyDescent="0.25">
      <c r="B438" s="21"/>
      <c r="C438" s="21"/>
      <c r="D438" s="17"/>
      <c r="E438" s="18"/>
      <c r="G438" s="16"/>
    </row>
    <row r="439" spans="2:7" x14ac:dyDescent="0.25">
      <c r="B439" s="21"/>
      <c r="C439" s="21"/>
      <c r="D439" s="17"/>
      <c r="E439" s="18"/>
      <c r="G439" s="16"/>
    </row>
    <row r="440" spans="2:7" x14ac:dyDescent="0.25">
      <c r="B440" s="21"/>
      <c r="C440" s="21"/>
      <c r="D440" s="17"/>
      <c r="E440" s="18"/>
      <c r="G440" s="16"/>
    </row>
    <row r="441" spans="2:7" x14ac:dyDescent="0.25">
      <c r="B441" s="21"/>
      <c r="C441" s="21"/>
      <c r="D441" s="17"/>
      <c r="E441" s="18"/>
      <c r="G441" s="16"/>
    </row>
    <row r="442" spans="2:7" x14ac:dyDescent="0.25">
      <c r="B442" s="21"/>
      <c r="C442" s="21"/>
      <c r="D442" s="17"/>
      <c r="E442" s="18"/>
      <c r="G442" s="16"/>
    </row>
    <row r="443" spans="2:7" x14ac:dyDescent="0.25">
      <c r="B443" s="21"/>
      <c r="C443" s="21"/>
      <c r="D443" s="17"/>
      <c r="E443" s="18"/>
      <c r="G443" s="16"/>
    </row>
    <row r="444" spans="2:7" x14ac:dyDescent="0.25">
      <c r="B444" s="21"/>
      <c r="C444" s="21"/>
      <c r="D444" s="17"/>
      <c r="E444" s="18"/>
      <c r="G444" s="16"/>
    </row>
    <row r="445" spans="2:7" x14ac:dyDescent="0.25">
      <c r="B445" s="21"/>
      <c r="C445" s="21"/>
      <c r="D445" s="17"/>
      <c r="E445" s="18"/>
      <c r="G445" s="16"/>
    </row>
    <row r="446" spans="2:7" x14ac:dyDescent="0.25">
      <c r="B446" s="21"/>
      <c r="C446" s="21"/>
      <c r="D446" s="17"/>
      <c r="E446" s="18"/>
      <c r="G446" s="16"/>
    </row>
    <row r="447" spans="2:7" x14ac:dyDescent="0.25">
      <c r="B447" s="21"/>
      <c r="C447" s="21"/>
      <c r="D447" s="17"/>
      <c r="E447" s="18"/>
      <c r="G447" s="16"/>
    </row>
    <row r="448" spans="2:7" x14ac:dyDescent="0.25">
      <c r="B448" s="21"/>
      <c r="C448" s="21"/>
      <c r="D448" s="17"/>
      <c r="E448" s="18"/>
      <c r="G448" s="16"/>
    </row>
    <row r="449" spans="2:7" x14ac:dyDescent="0.25">
      <c r="B449" s="21"/>
      <c r="C449" s="21"/>
      <c r="D449" s="17"/>
      <c r="E449" s="18"/>
      <c r="G449" s="16"/>
    </row>
    <row r="450" spans="2:7" x14ac:dyDescent="0.25">
      <c r="B450" s="21"/>
      <c r="C450" s="21"/>
      <c r="D450" s="17"/>
      <c r="E450" s="18"/>
      <c r="G450" s="16"/>
    </row>
    <row r="451" spans="2:7" x14ac:dyDescent="0.25">
      <c r="B451" s="21"/>
      <c r="C451" s="21"/>
      <c r="D451" s="17"/>
      <c r="E451" s="18"/>
      <c r="G451" s="16"/>
    </row>
    <row r="452" spans="2:7" x14ac:dyDescent="0.25">
      <c r="B452" s="21"/>
      <c r="C452" s="21"/>
      <c r="D452" s="17"/>
      <c r="E452" s="18"/>
      <c r="G452" s="16"/>
    </row>
    <row r="453" spans="2:7" x14ac:dyDescent="0.25">
      <c r="B453" s="21"/>
      <c r="C453" s="21"/>
      <c r="D453" s="17"/>
      <c r="E453" s="18"/>
      <c r="G453" s="16"/>
    </row>
    <row r="454" spans="2:7" x14ac:dyDescent="0.25">
      <c r="B454" s="21"/>
      <c r="C454" s="21"/>
      <c r="D454" s="17"/>
      <c r="E454" s="18"/>
      <c r="G454" s="16"/>
    </row>
    <row r="455" spans="2:7" x14ac:dyDescent="0.25">
      <c r="B455" s="21"/>
      <c r="C455" s="21"/>
      <c r="D455" s="17"/>
      <c r="E455" s="18"/>
      <c r="G455" s="16"/>
    </row>
    <row r="456" spans="2:7" x14ac:dyDescent="0.25">
      <c r="B456" s="21"/>
      <c r="C456" s="21"/>
      <c r="D456" s="17"/>
      <c r="E456" s="18"/>
      <c r="G456" s="16"/>
    </row>
    <row r="457" spans="2:7" x14ac:dyDescent="0.25">
      <c r="B457" s="21"/>
      <c r="C457" s="21"/>
      <c r="D457" s="17"/>
      <c r="E457" s="18"/>
      <c r="G457" s="16"/>
    </row>
    <row r="458" spans="2:7" x14ac:dyDescent="0.25">
      <c r="B458" s="21"/>
      <c r="C458" s="21"/>
      <c r="D458" s="17"/>
      <c r="E458" s="18"/>
      <c r="G458" s="16"/>
    </row>
    <row r="459" spans="2:7" x14ac:dyDescent="0.25">
      <c r="B459" s="21"/>
      <c r="C459" s="21"/>
      <c r="D459" s="17"/>
      <c r="E459" s="18"/>
      <c r="G459" s="16"/>
    </row>
    <row r="460" spans="2:7" x14ac:dyDescent="0.25">
      <c r="B460" s="21"/>
      <c r="C460" s="21"/>
      <c r="D460" s="17"/>
      <c r="E460" s="18"/>
      <c r="G460" s="16"/>
    </row>
    <row r="461" spans="2:7" x14ac:dyDescent="0.25">
      <c r="B461" s="21"/>
      <c r="C461" s="21"/>
      <c r="D461" s="17"/>
      <c r="E461" s="18"/>
      <c r="G461" s="16"/>
    </row>
    <row r="462" spans="2:7" x14ac:dyDescent="0.25">
      <c r="B462" s="21"/>
      <c r="C462" s="21"/>
      <c r="D462" s="17"/>
      <c r="E462" s="18"/>
      <c r="G462" s="16"/>
    </row>
    <row r="463" spans="2:7" x14ac:dyDescent="0.25">
      <c r="B463" s="21"/>
      <c r="C463" s="21"/>
      <c r="D463" s="17"/>
      <c r="E463" s="18"/>
      <c r="G463" s="16"/>
    </row>
    <row r="464" spans="2:7" x14ac:dyDescent="0.25">
      <c r="B464" s="21"/>
      <c r="C464" s="21"/>
      <c r="D464" s="17"/>
      <c r="E464" s="18"/>
      <c r="G464" s="16"/>
    </row>
    <row r="465" spans="2:7" x14ac:dyDescent="0.25">
      <c r="B465" s="21"/>
      <c r="C465" s="21"/>
      <c r="D465" s="17"/>
      <c r="E465" s="18"/>
      <c r="G465" s="16"/>
    </row>
    <row r="466" spans="2:7" x14ac:dyDescent="0.25">
      <c r="B466" s="21"/>
      <c r="C466" s="21"/>
      <c r="D466" s="17"/>
      <c r="E466" s="18"/>
      <c r="G466" s="16"/>
    </row>
    <row r="467" spans="2:7" x14ac:dyDescent="0.25">
      <c r="B467" s="21"/>
      <c r="C467" s="21"/>
      <c r="D467" s="17"/>
      <c r="E467" s="18"/>
      <c r="G467" s="16"/>
    </row>
    <row r="468" spans="2:7" x14ac:dyDescent="0.25">
      <c r="B468" s="21"/>
      <c r="C468" s="21"/>
      <c r="D468" s="17"/>
      <c r="E468" s="18"/>
      <c r="G468" s="16"/>
    </row>
    <row r="469" spans="2:7" x14ac:dyDescent="0.25">
      <c r="B469" s="21"/>
      <c r="C469" s="21"/>
      <c r="D469" s="17"/>
      <c r="E469" s="18"/>
      <c r="G469" s="16"/>
    </row>
    <row r="470" spans="2:7" x14ac:dyDescent="0.25">
      <c r="B470" s="21"/>
      <c r="C470" s="21"/>
      <c r="D470" s="17"/>
      <c r="E470" s="18"/>
      <c r="G470" s="16"/>
    </row>
    <row r="471" spans="2:7" x14ac:dyDescent="0.25">
      <c r="B471" s="21"/>
      <c r="C471" s="21"/>
      <c r="D471" s="17"/>
      <c r="E471" s="18"/>
      <c r="G471" s="16"/>
    </row>
    <row r="472" spans="2:7" x14ac:dyDescent="0.25">
      <c r="B472" s="21"/>
      <c r="C472" s="21"/>
      <c r="D472" s="17"/>
      <c r="E472" s="18"/>
      <c r="G472" s="16"/>
    </row>
    <row r="473" spans="2:7" x14ac:dyDescent="0.25">
      <c r="B473" s="21"/>
      <c r="C473" s="21"/>
      <c r="D473" s="17"/>
      <c r="E473" s="18"/>
      <c r="G473" s="16"/>
    </row>
    <row r="474" spans="2:7" x14ac:dyDescent="0.25">
      <c r="B474" s="21"/>
      <c r="C474" s="21"/>
      <c r="D474" s="17"/>
      <c r="E474" s="18"/>
      <c r="G474" s="16"/>
    </row>
    <row r="475" spans="2:7" x14ac:dyDescent="0.25">
      <c r="B475" s="21"/>
      <c r="C475" s="21"/>
      <c r="D475" s="17"/>
      <c r="E475" s="18"/>
      <c r="G475" s="16"/>
    </row>
    <row r="476" spans="2:7" x14ac:dyDescent="0.25">
      <c r="B476" s="21"/>
      <c r="C476" s="21"/>
      <c r="D476" s="17"/>
      <c r="E476" s="18"/>
      <c r="G476" s="16"/>
    </row>
    <row r="477" spans="2:7" x14ac:dyDescent="0.25">
      <c r="B477" s="21"/>
      <c r="C477" s="21"/>
      <c r="D477" s="17"/>
      <c r="E477" s="18"/>
      <c r="G477" s="16"/>
    </row>
    <row r="478" spans="2:7" x14ac:dyDescent="0.25">
      <c r="B478" s="21"/>
      <c r="C478" s="21"/>
      <c r="D478" s="17"/>
      <c r="E478" s="18"/>
      <c r="G478" s="16"/>
    </row>
    <row r="479" spans="2:7" x14ac:dyDescent="0.25">
      <c r="B479" s="21"/>
      <c r="C479" s="21"/>
      <c r="D479" s="17"/>
      <c r="E479" s="18"/>
      <c r="G479" s="16"/>
    </row>
    <row r="480" spans="2:7" x14ac:dyDescent="0.25">
      <c r="B480" s="21"/>
      <c r="C480" s="21"/>
      <c r="D480" s="17"/>
      <c r="E480" s="18"/>
      <c r="G480" s="16"/>
    </row>
    <row r="481" spans="2:7" x14ac:dyDescent="0.25">
      <c r="B481" s="21"/>
      <c r="C481" s="21"/>
      <c r="D481" s="17"/>
      <c r="E481" s="18"/>
      <c r="G481" s="16"/>
    </row>
    <row r="482" spans="2:7" x14ac:dyDescent="0.25">
      <c r="B482" s="21"/>
      <c r="C482" s="21"/>
      <c r="D482" s="17"/>
      <c r="E482" s="18"/>
      <c r="G482" s="16"/>
    </row>
    <row r="483" spans="2:7" x14ac:dyDescent="0.25">
      <c r="B483" s="21"/>
      <c r="C483" s="21"/>
      <c r="D483" s="17"/>
      <c r="E483" s="18"/>
      <c r="G483" s="16"/>
    </row>
    <row r="484" spans="2:7" x14ac:dyDescent="0.25">
      <c r="B484" s="21"/>
      <c r="C484" s="21"/>
      <c r="D484" s="17"/>
      <c r="E484" s="18"/>
      <c r="G484" s="16"/>
    </row>
    <row r="485" spans="2:7" x14ac:dyDescent="0.25">
      <c r="B485" s="21"/>
      <c r="C485" s="21"/>
      <c r="D485" s="17"/>
      <c r="E485" s="18"/>
      <c r="G485" s="16"/>
    </row>
    <row r="486" spans="2:7" x14ac:dyDescent="0.25">
      <c r="B486" s="21"/>
      <c r="C486" s="21"/>
      <c r="D486" s="17"/>
      <c r="E486" s="18"/>
      <c r="G486" s="16"/>
    </row>
    <row r="487" spans="2:7" x14ac:dyDescent="0.25">
      <c r="B487" s="21"/>
      <c r="C487" s="21"/>
      <c r="D487" s="17"/>
      <c r="E487" s="18"/>
      <c r="G487" s="16"/>
    </row>
    <row r="488" spans="2:7" x14ac:dyDescent="0.25">
      <c r="B488" s="21"/>
      <c r="C488" s="21"/>
      <c r="D488" s="17"/>
      <c r="E488" s="18"/>
      <c r="G488" s="16"/>
    </row>
    <row r="489" spans="2:7" x14ac:dyDescent="0.25">
      <c r="B489" s="21"/>
      <c r="C489" s="21"/>
      <c r="D489" s="17"/>
      <c r="E489" s="18"/>
      <c r="G489" s="16"/>
    </row>
    <row r="490" spans="2:7" x14ac:dyDescent="0.25">
      <c r="B490" s="21"/>
      <c r="C490" s="21"/>
      <c r="D490" s="17"/>
      <c r="E490" s="18"/>
      <c r="G490" s="16"/>
    </row>
    <row r="491" spans="2:7" x14ac:dyDescent="0.25">
      <c r="B491" s="21"/>
      <c r="C491" s="21"/>
      <c r="D491" s="17"/>
      <c r="E491" s="18"/>
      <c r="G491" s="16"/>
    </row>
    <row r="492" spans="2:7" x14ac:dyDescent="0.25">
      <c r="B492" s="21"/>
      <c r="C492" s="21"/>
      <c r="D492" s="17"/>
      <c r="E492" s="18"/>
      <c r="G492" s="16"/>
    </row>
    <row r="493" spans="2:7" x14ac:dyDescent="0.25">
      <c r="B493" s="21"/>
      <c r="C493" s="21"/>
      <c r="D493" s="17"/>
      <c r="E493" s="18"/>
      <c r="G493" s="16"/>
    </row>
    <row r="494" spans="2:7" x14ac:dyDescent="0.25">
      <c r="B494" s="21"/>
      <c r="C494" s="21"/>
      <c r="D494" s="17"/>
      <c r="E494" s="18"/>
      <c r="G494" s="16"/>
    </row>
    <row r="495" spans="2:7" x14ac:dyDescent="0.25">
      <c r="B495" s="21"/>
      <c r="C495" s="21"/>
      <c r="D495" s="17"/>
      <c r="E495" s="18"/>
      <c r="G495" s="16"/>
    </row>
    <row r="496" spans="2:7" x14ac:dyDescent="0.25">
      <c r="B496" s="21"/>
      <c r="C496" s="21"/>
      <c r="D496" s="17"/>
      <c r="E496" s="18"/>
      <c r="G496" s="16"/>
    </row>
    <row r="497" spans="2:7" x14ac:dyDescent="0.25">
      <c r="B497" s="21"/>
      <c r="C497" s="21"/>
      <c r="D497" s="17"/>
      <c r="E497" s="18"/>
      <c r="G497" s="16"/>
    </row>
    <row r="498" spans="2:7" x14ac:dyDescent="0.25">
      <c r="B498" s="21"/>
      <c r="C498" s="21"/>
      <c r="D498" s="17"/>
      <c r="E498" s="18"/>
      <c r="G498" s="16"/>
    </row>
    <row r="499" spans="2:7" x14ac:dyDescent="0.25">
      <c r="B499" s="21"/>
      <c r="C499" s="21"/>
      <c r="D499" s="17"/>
      <c r="E499" s="18"/>
      <c r="G499" s="16"/>
    </row>
    <row r="500" spans="2:7" x14ac:dyDescent="0.25">
      <c r="B500" s="21"/>
      <c r="C500" s="21"/>
      <c r="D500" s="17"/>
      <c r="E500" s="18"/>
      <c r="G500" s="16"/>
    </row>
    <row r="501" spans="2:7" x14ac:dyDescent="0.25">
      <c r="B501" s="21"/>
      <c r="C501" s="21"/>
      <c r="D501" s="17"/>
      <c r="E501" s="18"/>
      <c r="G501" s="16"/>
    </row>
    <row r="502" spans="2:7" x14ac:dyDescent="0.25">
      <c r="B502" s="21"/>
      <c r="C502" s="21"/>
      <c r="D502" s="17"/>
      <c r="E502" s="18"/>
      <c r="G502" s="16"/>
    </row>
    <row r="503" spans="2:7" x14ac:dyDescent="0.25">
      <c r="B503" s="21"/>
      <c r="C503" s="21"/>
      <c r="D503" s="17"/>
      <c r="E503" s="18"/>
      <c r="G503" s="16"/>
    </row>
    <row r="504" spans="2:7" x14ac:dyDescent="0.25">
      <c r="B504" s="21"/>
      <c r="C504" s="21"/>
      <c r="D504" s="17"/>
      <c r="E504" s="18"/>
      <c r="G504" s="16"/>
    </row>
    <row r="505" spans="2:7" x14ac:dyDescent="0.25">
      <c r="B505" s="21"/>
      <c r="C505" s="21"/>
      <c r="D505" s="17"/>
      <c r="E505" s="18"/>
      <c r="G505" s="16"/>
    </row>
    <row r="506" spans="2:7" x14ac:dyDescent="0.25">
      <c r="B506" s="21"/>
      <c r="C506" s="21"/>
      <c r="D506" s="17"/>
      <c r="E506" s="18"/>
      <c r="G506" s="16"/>
    </row>
    <row r="507" spans="2:7" x14ac:dyDescent="0.25">
      <c r="B507" s="21"/>
      <c r="C507" s="21"/>
      <c r="D507" s="17"/>
      <c r="E507" s="18"/>
      <c r="G507" s="16"/>
    </row>
    <row r="508" spans="2:7" x14ac:dyDescent="0.25">
      <c r="B508" s="21"/>
      <c r="C508" s="21"/>
      <c r="D508" s="17"/>
      <c r="E508" s="18"/>
      <c r="G508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5"/>
  <sheetViews>
    <sheetView workbookViewId="0">
      <selection activeCell="D35" sqref="D35"/>
    </sheetView>
  </sheetViews>
  <sheetFormatPr defaultRowHeight="15" x14ac:dyDescent="0.25"/>
  <cols>
    <col min="1" max="1" width="13.140625" customWidth="1"/>
    <col min="10" max="10" width="12.7109375" bestFit="1" customWidth="1"/>
    <col min="11" max="11" width="12.28515625" customWidth="1"/>
    <col min="12" max="12" width="12.5703125" customWidth="1"/>
    <col min="13" max="13" width="12.7109375" customWidth="1"/>
    <col min="14" max="14" width="11.42578125" customWidth="1"/>
    <col min="15" max="15" width="13" customWidth="1"/>
  </cols>
  <sheetData>
    <row r="1" spans="1:24" x14ac:dyDescent="0.25">
      <c r="A1" s="5" t="s">
        <v>6</v>
      </c>
      <c r="J1" t="s">
        <v>17</v>
      </c>
    </row>
    <row r="2" spans="1:24" x14ac:dyDescent="0.25">
      <c r="A2" s="6" t="s">
        <v>7</v>
      </c>
      <c r="J2" t="s">
        <v>18</v>
      </c>
    </row>
    <row r="4" spans="1:24" ht="15.75" x14ac:dyDescent="0.25">
      <c r="B4" s="4" t="s">
        <v>52</v>
      </c>
      <c r="C4" s="7" t="s">
        <v>15</v>
      </c>
      <c r="D4" s="8" t="s">
        <v>4</v>
      </c>
      <c r="E4" s="8" t="s">
        <v>70</v>
      </c>
      <c r="F4" s="8" t="s">
        <v>5</v>
      </c>
      <c r="G4" s="2" t="s">
        <v>92</v>
      </c>
      <c r="H4" t="s">
        <v>14</v>
      </c>
      <c r="I4" t="s">
        <v>13</v>
      </c>
      <c r="J4" t="s">
        <v>12</v>
      </c>
      <c r="K4" t="s">
        <v>41</v>
      </c>
      <c r="L4" t="s">
        <v>42</v>
      </c>
      <c r="M4" s="3" t="s">
        <v>91</v>
      </c>
      <c r="N4" s="37" t="s">
        <v>43</v>
      </c>
      <c r="O4" t="s">
        <v>44</v>
      </c>
      <c r="P4" t="s">
        <v>45</v>
      </c>
      <c r="Q4" t="s">
        <v>46</v>
      </c>
    </row>
    <row r="5" spans="1:24" x14ac:dyDescent="0.25">
      <c r="C5">
        <v>666.6</v>
      </c>
      <c r="D5">
        <v>200</v>
      </c>
      <c r="E5">
        <f>C5*0.15</f>
        <v>99.99</v>
      </c>
      <c r="F5">
        <v>266.60000000000002</v>
      </c>
      <c r="G5" s="12">
        <f>D5/C5</f>
        <v>0.30003000300030003</v>
      </c>
      <c r="H5">
        <v>200</v>
      </c>
      <c r="I5">
        <v>600</v>
      </c>
      <c r="J5">
        <v>600</v>
      </c>
      <c r="K5">
        <v>200</v>
      </c>
      <c r="L5">
        <v>200</v>
      </c>
      <c r="M5" s="3">
        <v>0</v>
      </c>
      <c r="N5" s="37">
        <v>0.5</v>
      </c>
      <c r="O5">
        <v>5</v>
      </c>
      <c r="P5">
        <v>1</v>
      </c>
      <c r="Q5">
        <v>100</v>
      </c>
      <c r="W5" s="22">
        <v>0</v>
      </c>
      <c r="X5" s="22">
        <v>0.1</v>
      </c>
    </row>
    <row r="6" spans="1:24" x14ac:dyDescent="0.25">
      <c r="C6">
        <v>1200</v>
      </c>
      <c r="D6">
        <v>400</v>
      </c>
      <c r="E6">
        <v>200</v>
      </c>
      <c r="F6">
        <v>700</v>
      </c>
      <c r="G6" s="12">
        <f>D6/C6</f>
        <v>0.33333333333333331</v>
      </c>
      <c r="W6" s="22">
        <v>0.2</v>
      </c>
      <c r="X6" s="23">
        <v>0.95399999999999996</v>
      </c>
    </row>
    <row r="7" spans="1:24" x14ac:dyDescent="0.25">
      <c r="C7">
        <v>2000</v>
      </c>
      <c r="D7">
        <v>600</v>
      </c>
      <c r="E7">
        <f t="shared" ref="E7" si="0">C7*0.15</f>
        <v>300</v>
      </c>
      <c r="F7">
        <v>800</v>
      </c>
      <c r="G7" s="12">
        <f>D7/C7</f>
        <v>0.3</v>
      </c>
      <c r="W7" s="22">
        <v>0.4</v>
      </c>
      <c r="X7" s="23">
        <v>0.94499999999999995</v>
      </c>
    </row>
    <row r="8" spans="1:24" x14ac:dyDescent="0.25">
      <c r="W8" s="22">
        <v>0.6</v>
      </c>
      <c r="X8" s="23">
        <v>0.93400000000000005</v>
      </c>
    </row>
    <row r="9" spans="1:24" ht="15.75" x14ac:dyDescent="0.25">
      <c r="B9" s="4" t="s">
        <v>8</v>
      </c>
      <c r="C9" s="7" t="s">
        <v>15</v>
      </c>
      <c r="D9" s="8" t="s">
        <v>4</v>
      </c>
      <c r="E9" s="8" t="s">
        <v>70</v>
      </c>
      <c r="F9" s="8" t="s">
        <v>5</v>
      </c>
      <c r="G9" s="2" t="s">
        <v>92</v>
      </c>
      <c r="H9" t="s">
        <v>14</v>
      </c>
      <c r="I9" t="s">
        <v>13</v>
      </c>
      <c r="J9" t="s">
        <v>12</v>
      </c>
      <c r="K9" t="s">
        <v>38</v>
      </c>
      <c r="L9" t="s">
        <v>39</v>
      </c>
      <c r="M9" s="3" t="s">
        <v>91</v>
      </c>
      <c r="N9" s="37" t="s">
        <v>43</v>
      </c>
      <c r="O9" t="s">
        <v>44</v>
      </c>
      <c r="P9" t="s">
        <v>45</v>
      </c>
      <c r="Q9" t="s">
        <v>46</v>
      </c>
      <c r="W9" s="22">
        <v>0.8</v>
      </c>
      <c r="X9" s="23">
        <v>0.92300000000000004</v>
      </c>
    </row>
    <row r="10" spans="1:24" x14ac:dyDescent="0.25">
      <c r="C10">
        <v>727</v>
      </c>
      <c r="D10">
        <v>400</v>
      </c>
      <c r="E10">
        <f>C10*0.15</f>
        <v>109.05</v>
      </c>
      <c r="F10">
        <v>218</v>
      </c>
      <c r="G10" s="12">
        <f>D10/C10</f>
        <v>0.55020632737276476</v>
      </c>
      <c r="H10">
        <v>400</v>
      </c>
      <c r="I10">
        <v>1300</v>
      </c>
      <c r="J10">
        <v>1300</v>
      </c>
      <c r="K10">
        <v>100</v>
      </c>
      <c r="L10">
        <v>100</v>
      </c>
      <c r="M10" s="3">
        <v>0</v>
      </c>
      <c r="N10" s="37">
        <v>0.5</v>
      </c>
      <c r="O10">
        <v>10</v>
      </c>
      <c r="P10">
        <v>1</v>
      </c>
      <c r="Q10">
        <v>100</v>
      </c>
      <c r="W10" s="22">
        <v>1</v>
      </c>
      <c r="X10" s="22">
        <v>0.91</v>
      </c>
    </row>
    <row r="11" spans="1:24" x14ac:dyDescent="0.25">
      <c r="C11">
        <v>950</v>
      </c>
      <c r="D11">
        <v>600</v>
      </c>
      <c r="E11">
        <v>180</v>
      </c>
      <c r="F11">
        <v>330</v>
      </c>
      <c r="G11" s="12">
        <f>D11/C11</f>
        <v>0.63157894736842102</v>
      </c>
    </row>
    <row r="12" spans="1:24" x14ac:dyDescent="0.25">
      <c r="C12">
        <v>1450</v>
      </c>
      <c r="D12">
        <v>900</v>
      </c>
      <c r="E12">
        <v>280</v>
      </c>
      <c r="F12">
        <f>D12*F11/D11</f>
        <v>495</v>
      </c>
      <c r="G12" s="12">
        <f>D12/C12</f>
        <v>0.62068965517241381</v>
      </c>
    </row>
    <row r="13" spans="1:24" x14ac:dyDescent="0.25">
      <c r="C13">
        <v>2364</v>
      </c>
      <c r="D13">
        <v>1300</v>
      </c>
      <c r="E13">
        <f t="shared" ref="E13" si="1">C13*0.15</f>
        <v>354.59999999999997</v>
      </c>
      <c r="F13">
        <v>710</v>
      </c>
      <c r="G13" s="12">
        <f>D13/C13</f>
        <v>0.54991539763113362</v>
      </c>
    </row>
    <row r="14" spans="1:24" x14ac:dyDescent="0.25">
      <c r="R14">
        <f>(C10-C11)/(D10-D11)</f>
        <v>1.115</v>
      </c>
      <c r="S14">
        <f>(C10-C11)/(F10-F11)</f>
        <v>1.9910714285714286</v>
      </c>
      <c r="T14">
        <f>$C10-D10*R14</f>
        <v>281</v>
      </c>
      <c r="U14">
        <f>$C10-F10*S14</f>
        <v>292.94642857142856</v>
      </c>
    </row>
    <row r="15" spans="1:24" ht="15.75" x14ac:dyDescent="0.25">
      <c r="B15" s="4" t="s">
        <v>71</v>
      </c>
      <c r="C15" s="7" t="s">
        <v>16</v>
      </c>
      <c r="D15" s="8" t="s">
        <v>5</v>
      </c>
      <c r="E15" s="2" t="s">
        <v>92</v>
      </c>
      <c r="F15" t="s">
        <v>14</v>
      </c>
      <c r="G15" t="s">
        <v>13</v>
      </c>
      <c r="H15" t="s">
        <v>12</v>
      </c>
      <c r="I15" t="s">
        <v>38</v>
      </c>
      <c r="J15" t="s">
        <v>39</v>
      </c>
      <c r="K15" s="3" t="s">
        <v>91</v>
      </c>
      <c r="L15" s="37" t="s">
        <v>43</v>
      </c>
      <c r="M15" t="s">
        <v>44</v>
      </c>
      <c r="N15" t="s">
        <v>45</v>
      </c>
      <c r="O15" t="s">
        <v>46</v>
      </c>
      <c r="R15">
        <f t="shared" ref="R15:R16" si="2">(C11-C12)/(D11-D12)</f>
        <v>1.6666666666666667</v>
      </c>
      <c r="S15">
        <f>(C11-C12)/(F11-F12)</f>
        <v>3.0303030303030303</v>
      </c>
      <c r="T15">
        <f t="shared" ref="T15:T16" si="3">C11-D11*R15</f>
        <v>-50</v>
      </c>
      <c r="U15">
        <f>$C11-F11*S15</f>
        <v>-50</v>
      </c>
    </row>
    <row r="16" spans="1:24" x14ac:dyDescent="0.25">
      <c r="C16">
        <v>555</v>
      </c>
      <c r="D16">
        <v>500</v>
      </c>
      <c r="E16" s="12">
        <f>D16/C16</f>
        <v>0.90090090090090091</v>
      </c>
      <c r="F16">
        <f>D16</f>
        <v>500</v>
      </c>
      <c r="G16">
        <f>D20</f>
        <v>6000</v>
      </c>
      <c r="H16">
        <v>6000</v>
      </c>
      <c r="I16">
        <v>200</v>
      </c>
      <c r="J16">
        <v>200</v>
      </c>
      <c r="K16" s="3">
        <v>0</v>
      </c>
      <c r="L16" s="37">
        <v>0.5</v>
      </c>
      <c r="M16">
        <v>3</v>
      </c>
      <c r="N16">
        <v>1</v>
      </c>
      <c r="O16">
        <v>100</v>
      </c>
      <c r="R16">
        <f t="shared" si="2"/>
        <v>2.2850000000000001</v>
      </c>
      <c r="S16">
        <f>(C12-C13)/(F12-F13)</f>
        <v>4.2511627906976743</v>
      </c>
      <c r="T16">
        <f t="shared" si="3"/>
        <v>-606.5</v>
      </c>
      <c r="U16">
        <f>$C12-F12*S16</f>
        <v>-654.32558139534876</v>
      </c>
    </row>
    <row r="17" spans="2:18" x14ac:dyDescent="0.25">
      <c r="C17">
        <v>700</v>
      </c>
      <c r="D17">
        <v>650</v>
      </c>
      <c r="E17" s="12">
        <f t="shared" ref="E17:E20" si="4">D17/C17</f>
        <v>0.9285714285714286</v>
      </c>
    </row>
    <row r="18" spans="2:18" x14ac:dyDescent="0.25">
      <c r="C18">
        <v>1600</v>
      </c>
      <c r="D18">
        <v>1500</v>
      </c>
      <c r="E18" s="12">
        <f t="shared" si="4"/>
        <v>0.9375</v>
      </c>
    </row>
    <row r="19" spans="2:18" x14ac:dyDescent="0.25">
      <c r="C19">
        <v>5300</v>
      </c>
      <c r="D19">
        <v>4950</v>
      </c>
      <c r="E19" s="12">
        <f t="shared" si="4"/>
        <v>0.93396226415094341</v>
      </c>
    </row>
    <row r="20" spans="2:18" x14ac:dyDescent="0.25">
      <c r="C20">
        <v>6666</v>
      </c>
      <c r="D20">
        <v>6000</v>
      </c>
      <c r="E20" s="12">
        <f t="shared" si="4"/>
        <v>0.90009000900090008</v>
      </c>
    </row>
    <row r="22" spans="2:18" x14ac:dyDescent="0.25">
      <c r="Q22">
        <v>808.5</v>
      </c>
      <c r="R22">
        <v>742.2</v>
      </c>
    </row>
    <row r="23" spans="2:18" ht="15.75" x14ac:dyDescent="0.25">
      <c r="B23" s="4" t="s">
        <v>72</v>
      </c>
      <c r="C23" s="7" t="s">
        <v>16</v>
      </c>
      <c r="D23" s="8" t="s">
        <v>70</v>
      </c>
      <c r="E23" s="2" t="s">
        <v>92</v>
      </c>
      <c r="F23" t="s">
        <v>14</v>
      </c>
      <c r="G23" t="s">
        <v>13</v>
      </c>
      <c r="H23" t="s">
        <v>12</v>
      </c>
      <c r="I23" t="s">
        <v>38</v>
      </c>
      <c r="J23" t="s">
        <v>39</v>
      </c>
      <c r="K23" s="3" t="s">
        <v>91</v>
      </c>
      <c r="L23" s="37" t="s">
        <v>43</v>
      </c>
      <c r="M23" t="s">
        <v>44</v>
      </c>
      <c r="N23" t="s">
        <v>45</v>
      </c>
      <c r="O23" t="s">
        <v>46</v>
      </c>
      <c r="Q23">
        <v>253.2</v>
      </c>
      <c r="R23">
        <v>228.36</v>
      </c>
    </row>
    <row r="24" spans="2:18" x14ac:dyDescent="0.25">
      <c r="C24">
        <v>555</v>
      </c>
      <c r="D24">
        <v>500</v>
      </c>
      <c r="E24" s="12">
        <f>D24/C24</f>
        <v>0.90090090090090091</v>
      </c>
      <c r="F24">
        <f>D24</f>
        <v>500</v>
      </c>
      <c r="G24">
        <f>D28</f>
        <v>6000</v>
      </c>
      <c r="H24">
        <v>6000</v>
      </c>
      <c r="I24">
        <v>200</v>
      </c>
      <c r="J24">
        <v>200</v>
      </c>
      <c r="K24" s="3">
        <v>0</v>
      </c>
      <c r="L24" s="37">
        <v>0.5</v>
      </c>
      <c r="M24">
        <v>3</v>
      </c>
      <c r="N24">
        <v>1</v>
      </c>
      <c r="O24">
        <v>100</v>
      </c>
      <c r="Q24">
        <v>381.9</v>
      </c>
      <c r="R24">
        <v>328.05</v>
      </c>
    </row>
    <row r="25" spans="2:18" x14ac:dyDescent="0.25">
      <c r="C25">
        <v>700</v>
      </c>
      <c r="D25">
        <v>650</v>
      </c>
      <c r="E25" s="12">
        <f t="shared" ref="E25:E28" si="5">D25/C25</f>
        <v>0.9285714285714286</v>
      </c>
    </row>
    <row r="26" spans="2:18" x14ac:dyDescent="0.25">
      <c r="C26">
        <v>1600</v>
      </c>
      <c r="D26">
        <v>1500</v>
      </c>
      <c r="E26" s="12">
        <f t="shared" si="5"/>
        <v>0.9375</v>
      </c>
    </row>
    <row r="27" spans="2:18" x14ac:dyDescent="0.25">
      <c r="C27">
        <v>5300</v>
      </c>
      <c r="D27">
        <v>4950</v>
      </c>
      <c r="E27" s="12">
        <f t="shared" si="5"/>
        <v>0.93396226415094341</v>
      </c>
    </row>
    <row r="28" spans="2:18" x14ac:dyDescent="0.25">
      <c r="C28">
        <v>6666</v>
      </c>
      <c r="D28">
        <v>6000</v>
      </c>
      <c r="E28" s="12">
        <f t="shared" si="5"/>
        <v>0.90009000900090008</v>
      </c>
    </row>
    <row r="34" spans="5:5" x14ac:dyDescent="0.25">
      <c r="E34" s="12"/>
    </row>
    <row r="35" spans="5:5" x14ac:dyDescent="0.25">
      <c r="E35" s="1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workbookViewId="0">
      <selection activeCell="N9" sqref="N9"/>
    </sheetView>
  </sheetViews>
  <sheetFormatPr defaultRowHeight="15" x14ac:dyDescent="0.25"/>
  <cols>
    <col min="3" max="3" width="14.28515625" bestFit="1" customWidth="1"/>
    <col min="5" max="5" width="16.5703125" bestFit="1" customWidth="1"/>
    <col min="6" max="6" width="9.7109375" bestFit="1" customWidth="1"/>
    <col min="7" max="7" width="21.7109375" bestFit="1" customWidth="1"/>
    <col min="10" max="10" width="9.5703125" bestFit="1" customWidth="1"/>
    <col min="13" max="13" width="18.28515625" customWidth="1"/>
    <col min="14" max="15" width="17.28515625" customWidth="1"/>
  </cols>
  <sheetData>
    <row r="1" spans="1:18" x14ac:dyDescent="0.25">
      <c r="A1" s="39" t="s">
        <v>22</v>
      </c>
      <c r="B1" s="39"/>
      <c r="C1" s="39"/>
      <c r="D1" s="39"/>
      <c r="E1" s="39"/>
      <c r="F1" s="39"/>
      <c r="G1" s="39"/>
      <c r="H1" s="39"/>
      <c r="I1" s="39"/>
      <c r="J1" s="15"/>
      <c r="L1" s="39" t="s">
        <v>23</v>
      </c>
      <c r="M1" s="39"/>
      <c r="N1" s="39"/>
      <c r="O1" s="14"/>
      <c r="P1" s="14"/>
      <c r="Q1" s="14"/>
      <c r="R1" s="14"/>
    </row>
    <row r="2" spans="1:18" x14ac:dyDescent="0.25">
      <c r="B2" t="s">
        <v>24</v>
      </c>
      <c r="C2" t="s">
        <v>26</v>
      </c>
      <c r="D2" s="13" t="s">
        <v>25</v>
      </c>
      <c r="E2" t="s">
        <v>27</v>
      </c>
      <c r="F2" s="13" t="s">
        <v>28</v>
      </c>
      <c r="G2" t="s">
        <v>29</v>
      </c>
      <c r="H2" t="s">
        <v>30</v>
      </c>
      <c r="I2" t="s">
        <v>31</v>
      </c>
      <c r="J2" t="s">
        <v>34</v>
      </c>
      <c r="M2" t="s">
        <v>32</v>
      </c>
      <c r="N2" t="s">
        <v>33</v>
      </c>
    </row>
    <row r="3" spans="1:18" x14ac:dyDescent="0.25">
      <c r="A3" t="s">
        <v>4</v>
      </c>
      <c r="B3">
        <v>1000</v>
      </c>
      <c r="C3">
        <v>200</v>
      </c>
      <c r="D3">
        <v>0.97</v>
      </c>
      <c r="E3">
        <v>200</v>
      </c>
      <c r="F3">
        <v>0.97</v>
      </c>
      <c r="G3">
        <v>0.02</v>
      </c>
      <c r="H3">
        <v>100</v>
      </c>
      <c r="I3">
        <v>10</v>
      </c>
      <c r="J3">
        <f>B3*I3/100</f>
        <v>100</v>
      </c>
      <c r="L3" t="s">
        <v>4</v>
      </c>
      <c r="M3" t="s">
        <v>37</v>
      </c>
      <c r="N3" t="s">
        <v>93</v>
      </c>
    </row>
    <row r="4" spans="1:18" x14ac:dyDescent="0.25">
      <c r="A4" t="s">
        <v>5</v>
      </c>
      <c r="B4">
        <v>3000</v>
      </c>
      <c r="C4">
        <v>200</v>
      </c>
      <c r="D4">
        <v>0.95</v>
      </c>
      <c r="E4">
        <v>200</v>
      </c>
      <c r="F4">
        <v>0.95</v>
      </c>
      <c r="G4">
        <v>0.02</v>
      </c>
      <c r="H4">
        <v>100</v>
      </c>
      <c r="I4">
        <v>0</v>
      </c>
      <c r="J4">
        <f>B4*I4/100</f>
        <v>0</v>
      </c>
    </row>
    <row r="5" spans="1:18" x14ac:dyDescent="0.25">
      <c r="A5" t="s">
        <v>70</v>
      </c>
      <c r="B5">
        <v>2000</v>
      </c>
      <c r="C5">
        <v>200</v>
      </c>
      <c r="D5">
        <v>0.95</v>
      </c>
      <c r="E5">
        <v>200</v>
      </c>
      <c r="F5">
        <v>0.98</v>
      </c>
      <c r="G5">
        <v>0.02</v>
      </c>
      <c r="H5">
        <v>100</v>
      </c>
      <c r="I5">
        <v>0</v>
      </c>
      <c r="J5">
        <f>B5*I5/100</f>
        <v>0</v>
      </c>
    </row>
  </sheetData>
  <mergeCells count="2">
    <mergeCell ref="A1:I1"/>
    <mergeCell ref="L1:N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746"/>
  <sheetViews>
    <sheetView workbookViewId="0">
      <selection activeCell="K18" sqref="K18"/>
    </sheetView>
  </sheetViews>
  <sheetFormatPr defaultRowHeight="15" x14ac:dyDescent="0.25"/>
  <sheetData>
    <row r="1" spans="1:19" x14ac:dyDescent="0.25">
      <c r="D1" s="26" t="s">
        <v>69</v>
      </c>
      <c r="F1" s="25" t="s">
        <v>23</v>
      </c>
      <c r="J1" t="str">
        <f>ADDRESS(ROW(D:D), COLUMN(D:D),4)&amp;":"&amp;ADDRESS(LOOKUP(2,1/(D:D&lt;&gt;""),ROW(D:D)),LOOKUP(2,1/(3:3&lt;&gt;""),COLUMN(3:3)),4)</f>
        <v>D1:G51</v>
      </c>
    </row>
    <row r="2" spans="1:19" x14ac:dyDescent="0.25">
      <c r="D2" t="s">
        <v>15</v>
      </c>
      <c r="E2" t="s">
        <v>16</v>
      </c>
      <c r="F2" t="s">
        <v>4</v>
      </c>
    </row>
    <row r="3" spans="1:19" x14ac:dyDescent="0.25">
      <c r="A3" s="24" t="s">
        <v>53</v>
      </c>
      <c r="B3" s="24" t="s">
        <v>0</v>
      </c>
      <c r="C3" s="24" t="s">
        <v>3</v>
      </c>
      <c r="D3" s="36" t="s">
        <v>35</v>
      </c>
      <c r="E3" s="36" t="s">
        <v>35</v>
      </c>
      <c r="F3" t="s">
        <v>35</v>
      </c>
      <c r="G3" t="s">
        <v>36</v>
      </c>
    </row>
    <row r="4" spans="1:19" x14ac:dyDescent="0.25">
      <c r="A4" s="24">
        <f t="shared" ref="A4:A51" si="0">ROUNDUP(F4/24,0)</f>
        <v>1</v>
      </c>
      <c r="B4" s="24">
        <v>1</v>
      </c>
      <c r="C4" s="24">
        <f t="shared" ref="C4:C51" si="1">B4*tdur</f>
        <v>1</v>
      </c>
      <c r="D4" s="27">
        <v>3.2548184716220556E-2</v>
      </c>
      <c r="E4" s="28">
        <f>D4+0.003</f>
        <v>3.5548184716220559E-2</v>
      </c>
      <c r="F4" s="29">
        <v>0.15003660775771735</v>
      </c>
      <c r="G4" s="28">
        <f>S4*0.5</f>
        <v>2.9749999999999999E-2</v>
      </c>
      <c r="S4" s="30">
        <v>5.9499999999999997E-2</v>
      </c>
    </row>
    <row r="5" spans="1:19" x14ac:dyDescent="0.25">
      <c r="A5" s="24">
        <f t="shared" si="0"/>
        <v>1</v>
      </c>
      <c r="B5" s="24">
        <v>2</v>
      </c>
      <c r="C5" s="24">
        <f t="shared" si="1"/>
        <v>2</v>
      </c>
      <c r="D5" s="27">
        <v>3.2548184716220556E-2</v>
      </c>
      <c r="E5" s="28">
        <f t="shared" ref="E5:E51" si="2">D5+0.003</f>
        <v>3.5548184716220559E-2</v>
      </c>
      <c r="F5" s="29">
        <v>0.15003660775771735</v>
      </c>
      <c r="G5" s="28">
        <f t="shared" ref="G5:G51" si="3">S5*0.5</f>
        <v>2.9700000000000001E-2</v>
      </c>
      <c r="S5" s="30">
        <v>5.9400000000000001E-2</v>
      </c>
    </row>
    <row r="6" spans="1:19" x14ac:dyDescent="0.25">
      <c r="A6" s="24">
        <f t="shared" si="0"/>
        <v>1</v>
      </c>
      <c r="B6" s="24">
        <v>3</v>
      </c>
      <c r="C6" s="24">
        <f t="shared" si="1"/>
        <v>3</v>
      </c>
      <c r="D6" s="27">
        <v>3.2548184716220556E-2</v>
      </c>
      <c r="E6" s="28">
        <f t="shared" si="2"/>
        <v>3.5548184716220559E-2</v>
      </c>
      <c r="F6" s="29">
        <v>0.15003660775771735</v>
      </c>
      <c r="G6" s="28">
        <f t="shared" si="3"/>
        <v>2.5000000000000001E-2</v>
      </c>
      <c r="S6" s="30">
        <v>0.05</v>
      </c>
    </row>
    <row r="7" spans="1:19" x14ac:dyDescent="0.25">
      <c r="A7" s="24">
        <f t="shared" si="0"/>
        <v>1</v>
      </c>
      <c r="B7" s="24">
        <v>4</v>
      </c>
      <c r="C7" s="24">
        <f t="shared" si="1"/>
        <v>4</v>
      </c>
      <c r="D7" s="27">
        <v>3.2548184716220556E-2</v>
      </c>
      <c r="E7" s="28">
        <f t="shared" si="2"/>
        <v>3.5548184716220559E-2</v>
      </c>
      <c r="F7" s="29">
        <v>0.15003660775771735</v>
      </c>
      <c r="G7" s="28">
        <f t="shared" si="3"/>
        <v>0.02</v>
      </c>
      <c r="S7" s="30">
        <v>0.04</v>
      </c>
    </row>
    <row r="8" spans="1:19" x14ac:dyDescent="0.25">
      <c r="A8" s="24">
        <f t="shared" si="0"/>
        <v>1</v>
      </c>
      <c r="B8" s="24">
        <v>5</v>
      </c>
      <c r="C8" s="24">
        <f t="shared" si="1"/>
        <v>5</v>
      </c>
      <c r="D8" s="27">
        <v>3.2548184716220556E-2</v>
      </c>
      <c r="E8" s="28">
        <f t="shared" si="2"/>
        <v>3.5548184716220559E-2</v>
      </c>
      <c r="F8" s="29">
        <v>0.15003660775771735</v>
      </c>
      <c r="G8" s="28">
        <f t="shared" si="3"/>
        <v>1.7500000000000002E-2</v>
      </c>
      <c r="S8" s="30">
        <v>3.5000000000000003E-2</v>
      </c>
    </row>
    <row r="9" spans="1:19" x14ac:dyDescent="0.25">
      <c r="A9" s="24">
        <f t="shared" si="0"/>
        <v>1</v>
      </c>
      <c r="B9" s="24">
        <v>6</v>
      </c>
      <c r="C9" s="24">
        <f t="shared" si="1"/>
        <v>6</v>
      </c>
      <c r="D9" s="27">
        <v>3.2548184716220556E-2</v>
      </c>
      <c r="E9" s="28">
        <f t="shared" si="2"/>
        <v>3.5548184716220559E-2</v>
      </c>
      <c r="F9" s="29">
        <v>0.15003660775771735</v>
      </c>
      <c r="G9" s="28">
        <f t="shared" si="3"/>
        <v>2.4489999999999998E-2</v>
      </c>
      <c r="S9" s="30">
        <v>4.8979999999999996E-2</v>
      </c>
    </row>
    <row r="10" spans="1:19" x14ac:dyDescent="0.25">
      <c r="A10" s="24">
        <f t="shared" si="0"/>
        <v>1</v>
      </c>
      <c r="B10" s="24">
        <v>7</v>
      </c>
      <c r="C10" s="24">
        <f t="shared" si="1"/>
        <v>7</v>
      </c>
      <c r="D10" s="27">
        <v>3.2548184716220556E-2</v>
      </c>
      <c r="E10" s="28">
        <f t="shared" si="2"/>
        <v>3.5548184716220559E-2</v>
      </c>
      <c r="F10" s="29">
        <v>0.15003660775771735</v>
      </c>
      <c r="G10" s="28">
        <f t="shared" si="3"/>
        <v>3.0445E-2</v>
      </c>
      <c r="S10" s="30">
        <v>6.089E-2</v>
      </c>
    </row>
    <row r="11" spans="1:19" x14ac:dyDescent="0.25">
      <c r="A11" s="24">
        <f t="shared" si="0"/>
        <v>1</v>
      </c>
      <c r="B11" s="24">
        <v>8</v>
      </c>
      <c r="C11" s="24">
        <f t="shared" si="1"/>
        <v>8</v>
      </c>
      <c r="D11" s="27">
        <v>3.2548184716220556E-2</v>
      </c>
      <c r="E11" s="28">
        <f t="shared" si="2"/>
        <v>3.5548184716220559E-2</v>
      </c>
      <c r="F11" s="31">
        <v>0.15939660775771733</v>
      </c>
      <c r="G11" s="28">
        <f t="shared" si="3"/>
        <v>3.5679999999999996E-2</v>
      </c>
      <c r="S11" s="32">
        <v>7.1359999999999993E-2</v>
      </c>
    </row>
    <row r="12" spans="1:19" x14ac:dyDescent="0.25">
      <c r="A12" s="24">
        <f t="shared" si="0"/>
        <v>1</v>
      </c>
      <c r="B12" s="24">
        <v>9</v>
      </c>
      <c r="C12" s="24">
        <f t="shared" si="1"/>
        <v>9</v>
      </c>
      <c r="D12" s="27">
        <v>3.2548184716220556E-2</v>
      </c>
      <c r="E12" s="28">
        <f t="shared" si="2"/>
        <v>3.5548184716220559E-2</v>
      </c>
      <c r="F12" s="33">
        <v>0.16282860775771735</v>
      </c>
      <c r="G12" s="28">
        <f t="shared" si="3"/>
        <v>3.5000000000000003E-2</v>
      </c>
      <c r="S12" s="34">
        <v>7.0000000000000007E-2</v>
      </c>
    </row>
    <row r="13" spans="1:19" x14ac:dyDescent="0.25">
      <c r="A13" s="24">
        <f t="shared" si="0"/>
        <v>1</v>
      </c>
      <c r="B13" s="24">
        <v>10</v>
      </c>
      <c r="C13" s="24">
        <f t="shared" si="1"/>
        <v>10</v>
      </c>
      <c r="D13" s="27">
        <v>3.2548184716220556E-2</v>
      </c>
      <c r="E13" s="28">
        <f t="shared" si="2"/>
        <v>3.5548184716220559E-2</v>
      </c>
      <c r="F13" s="33">
        <v>0.16282860775771735</v>
      </c>
      <c r="G13" s="28">
        <f t="shared" si="3"/>
        <v>3.8340000000000006E-2</v>
      </c>
      <c r="S13" s="34">
        <v>7.6680000000000012E-2</v>
      </c>
    </row>
    <row r="14" spans="1:19" x14ac:dyDescent="0.25">
      <c r="A14" s="24">
        <f t="shared" si="0"/>
        <v>1</v>
      </c>
      <c r="B14" s="24">
        <v>11</v>
      </c>
      <c r="C14" s="24">
        <f t="shared" si="1"/>
        <v>11</v>
      </c>
      <c r="D14" s="27">
        <v>3.2548184716220556E-2</v>
      </c>
      <c r="E14" s="28">
        <f t="shared" si="2"/>
        <v>3.5548184716220559E-2</v>
      </c>
      <c r="F14" s="33">
        <v>0.16282860775771735</v>
      </c>
      <c r="G14" s="28">
        <f t="shared" si="3"/>
        <v>3.6729999999999999E-2</v>
      </c>
      <c r="S14" s="34">
        <v>7.3459999999999998E-2</v>
      </c>
    </row>
    <row r="15" spans="1:19" x14ac:dyDescent="0.25">
      <c r="A15" s="24">
        <f t="shared" si="0"/>
        <v>1</v>
      </c>
      <c r="B15" s="24">
        <v>12</v>
      </c>
      <c r="C15" s="24">
        <f t="shared" si="1"/>
        <v>12</v>
      </c>
      <c r="D15" s="27">
        <v>3.2548184716220556E-2</v>
      </c>
      <c r="E15" s="28">
        <f t="shared" si="2"/>
        <v>3.5548184716220559E-2</v>
      </c>
      <c r="F15" s="33">
        <v>0.16282860775771735</v>
      </c>
      <c r="G15" s="28">
        <f t="shared" si="3"/>
        <v>4.0049999999999995E-2</v>
      </c>
      <c r="S15" s="34">
        <v>8.0099999999999991E-2</v>
      </c>
    </row>
    <row r="16" spans="1:19" x14ac:dyDescent="0.25">
      <c r="A16" s="24">
        <f t="shared" si="0"/>
        <v>1</v>
      </c>
      <c r="B16" s="24">
        <v>13</v>
      </c>
      <c r="C16" s="24">
        <f t="shared" si="1"/>
        <v>13</v>
      </c>
      <c r="D16" s="27">
        <v>3.2548184716220556E-2</v>
      </c>
      <c r="E16" s="28">
        <f t="shared" si="2"/>
        <v>3.5548184716220559E-2</v>
      </c>
      <c r="F16" s="33">
        <v>0.16282860775771735</v>
      </c>
      <c r="G16" s="28">
        <f t="shared" si="3"/>
        <v>3.2534999999999994E-2</v>
      </c>
      <c r="S16" s="34">
        <v>6.5069999999999989E-2</v>
      </c>
    </row>
    <row r="17" spans="1:19" x14ac:dyDescent="0.25">
      <c r="A17" s="24">
        <f t="shared" si="0"/>
        <v>1</v>
      </c>
      <c r="B17" s="24">
        <v>14</v>
      </c>
      <c r="C17" s="24">
        <f t="shared" si="1"/>
        <v>14</v>
      </c>
      <c r="D17" s="27">
        <v>3.2548184716220556E-2</v>
      </c>
      <c r="E17" s="28">
        <f t="shared" si="2"/>
        <v>3.5548184716220559E-2</v>
      </c>
      <c r="F17" s="33">
        <v>0.16282860775771735</v>
      </c>
      <c r="G17" s="28">
        <f t="shared" si="3"/>
        <v>3.0664999999999998E-2</v>
      </c>
      <c r="S17" s="34">
        <v>6.1329999999999996E-2</v>
      </c>
    </row>
    <row r="18" spans="1:19" x14ac:dyDescent="0.25">
      <c r="A18" s="24">
        <f t="shared" si="0"/>
        <v>1</v>
      </c>
      <c r="B18" s="24">
        <v>15</v>
      </c>
      <c r="C18" s="24">
        <f t="shared" si="1"/>
        <v>15</v>
      </c>
      <c r="D18" s="27">
        <v>3.2548184716220556E-2</v>
      </c>
      <c r="E18" s="28">
        <f t="shared" si="2"/>
        <v>3.5548184716220559E-2</v>
      </c>
      <c r="F18" s="33">
        <v>0.16282860775771735</v>
      </c>
      <c r="G18" s="28">
        <f t="shared" si="3"/>
        <v>3.0615E-2</v>
      </c>
      <c r="S18" s="34">
        <v>6.123E-2</v>
      </c>
    </row>
    <row r="19" spans="1:19" x14ac:dyDescent="0.25">
      <c r="A19" s="24">
        <f t="shared" si="0"/>
        <v>1</v>
      </c>
      <c r="B19" s="24">
        <v>16</v>
      </c>
      <c r="C19" s="24">
        <f t="shared" si="1"/>
        <v>16</v>
      </c>
      <c r="D19" s="27">
        <v>3.2548184716220556E-2</v>
      </c>
      <c r="E19" s="28">
        <f t="shared" si="2"/>
        <v>3.5548184716220559E-2</v>
      </c>
      <c r="F19" s="33">
        <v>0.16282860775771735</v>
      </c>
      <c r="G19" s="28">
        <f t="shared" si="3"/>
        <v>3.1315000000000003E-2</v>
      </c>
      <c r="S19" s="34">
        <v>6.2630000000000005E-2</v>
      </c>
    </row>
    <row r="20" spans="1:19" x14ac:dyDescent="0.25">
      <c r="A20" s="24">
        <f t="shared" si="0"/>
        <v>1</v>
      </c>
      <c r="B20" s="24">
        <v>17</v>
      </c>
      <c r="C20" s="24">
        <f t="shared" si="1"/>
        <v>17</v>
      </c>
      <c r="D20" s="27">
        <v>3.2548184716220556E-2</v>
      </c>
      <c r="E20" s="28">
        <f t="shared" si="2"/>
        <v>3.5548184716220559E-2</v>
      </c>
      <c r="F20" s="33">
        <v>0.16282860775771735</v>
      </c>
      <c r="G20" s="28">
        <f t="shared" si="3"/>
        <v>3.2500000000000001E-2</v>
      </c>
      <c r="S20" s="34">
        <v>6.5000000000000002E-2</v>
      </c>
    </row>
    <row r="21" spans="1:19" x14ac:dyDescent="0.25">
      <c r="A21" s="24">
        <f t="shared" si="0"/>
        <v>1</v>
      </c>
      <c r="B21" s="24">
        <v>18</v>
      </c>
      <c r="C21" s="24">
        <f t="shared" si="1"/>
        <v>18</v>
      </c>
      <c r="D21" s="27">
        <v>3.2548184716220556E-2</v>
      </c>
      <c r="E21" s="28">
        <f t="shared" si="2"/>
        <v>3.5548184716220559E-2</v>
      </c>
      <c r="F21" s="33">
        <v>0.16282860775771735</v>
      </c>
      <c r="G21" s="28">
        <f t="shared" si="3"/>
        <v>3.5189999999999999E-2</v>
      </c>
      <c r="S21" s="34">
        <v>7.0379999999999998E-2</v>
      </c>
    </row>
    <row r="22" spans="1:19" x14ac:dyDescent="0.25">
      <c r="A22" s="24">
        <f t="shared" si="0"/>
        <v>1</v>
      </c>
      <c r="B22" s="24">
        <v>19</v>
      </c>
      <c r="C22" s="24">
        <f t="shared" si="1"/>
        <v>19</v>
      </c>
      <c r="D22" s="27">
        <v>3.2548184716220556E-2</v>
      </c>
      <c r="E22" s="28">
        <f t="shared" si="2"/>
        <v>3.5548184716220559E-2</v>
      </c>
      <c r="F22" s="33">
        <v>0.16282860775771735</v>
      </c>
      <c r="G22" s="28">
        <f t="shared" si="3"/>
        <v>3.5999999999999997E-2</v>
      </c>
      <c r="S22" s="34">
        <v>7.1999999999999995E-2</v>
      </c>
    </row>
    <row r="23" spans="1:19" x14ac:dyDescent="0.25">
      <c r="A23" s="24">
        <f t="shared" si="0"/>
        <v>1</v>
      </c>
      <c r="B23" s="24">
        <v>20</v>
      </c>
      <c r="C23" s="24">
        <f t="shared" si="1"/>
        <v>20</v>
      </c>
      <c r="D23" s="27">
        <v>3.2548184716220556E-2</v>
      </c>
      <c r="E23" s="28">
        <f t="shared" si="2"/>
        <v>3.5548184716220559E-2</v>
      </c>
      <c r="F23" s="31">
        <v>0.15939660775771733</v>
      </c>
      <c r="G23" s="28">
        <f t="shared" si="3"/>
        <v>3.6719999999999996E-2</v>
      </c>
      <c r="S23" s="32">
        <v>7.3439999999999991E-2</v>
      </c>
    </row>
    <row r="24" spans="1:19" x14ac:dyDescent="0.25">
      <c r="A24" s="24">
        <f t="shared" si="0"/>
        <v>1</v>
      </c>
      <c r="B24" s="24">
        <v>21</v>
      </c>
      <c r="C24" s="24">
        <f t="shared" si="1"/>
        <v>21</v>
      </c>
      <c r="D24" s="27">
        <v>3.2548184716220556E-2</v>
      </c>
      <c r="E24" s="28">
        <f t="shared" si="2"/>
        <v>3.5548184716220559E-2</v>
      </c>
      <c r="F24" s="31">
        <v>0.15939660775771733</v>
      </c>
      <c r="G24" s="28">
        <f t="shared" si="3"/>
        <v>3.4974999999999999E-2</v>
      </c>
      <c r="S24" s="32">
        <v>6.9949999999999998E-2</v>
      </c>
    </row>
    <row r="25" spans="1:19" x14ac:dyDescent="0.25">
      <c r="A25" s="24">
        <f t="shared" si="0"/>
        <v>1</v>
      </c>
      <c r="B25" s="24">
        <v>22</v>
      </c>
      <c r="C25" s="24">
        <f t="shared" si="1"/>
        <v>22</v>
      </c>
      <c r="D25" s="27">
        <v>3.2548184716220556E-2</v>
      </c>
      <c r="E25" s="28">
        <f t="shared" si="2"/>
        <v>3.5548184716220559E-2</v>
      </c>
      <c r="F25" s="31">
        <v>0.15939660775771733</v>
      </c>
      <c r="G25" s="28">
        <f t="shared" si="3"/>
        <v>3.2325E-2</v>
      </c>
      <c r="S25" s="32">
        <v>6.4649999999999999E-2</v>
      </c>
    </row>
    <row r="26" spans="1:19" x14ac:dyDescent="0.25">
      <c r="A26" s="24">
        <f t="shared" si="0"/>
        <v>1</v>
      </c>
      <c r="B26" s="24">
        <v>23</v>
      </c>
      <c r="C26" s="24">
        <f t="shared" si="1"/>
        <v>23</v>
      </c>
      <c r="D26" s="27">
        <v>3.2548184716220556E-2</v>
      </c>
      <c r="E26" s="28">
        <f t="shared" si="2"/>
        <v>3.5548184716220559E-2</v>
      </c>
      <c r="F26" s="31">
        <v>0.15939660775771733</v>
      </c>
      <c r="G26" s="28">
        <f t="shared" si="3"/>
        <v>3.0655000000000002E-2</v>
      </c>
      <c r="S26" s="32">
        <v>6.1310000000000003E-2</v>
      </c>
    </row>
    <row r="27" spans="1:19" x14ac:dyDescent="0.25">
      <c r="A27" s="24">
        <f t="shared" si="0"/>
        <v>1</v>
      </c>
      <c r="B27" s="24">
        <v>24</v>
      </c>
      <c r="C27" s="24">
        <f t="shared" si="1"/>
        <v>24</v>
      </c>
      <c r="D27" s="27">
        <v>3.2548184716220556E-2</v>
      </c>
      <c r="E27" s="28">
        <f t="shared" si="2"/>
        <v>3.5548184716220559E-2</v>
      </c>
      <c r="F27" s="29">
        <v>0.15003660775771735</v>
      </c>
      <c r="G27" s="28">
        <f t="shared" si="3"/>
        <v>2.75E-2</v>
      </c>
      <c r="S27" s="30">
        <v>5.5E-2</v>
      </c>
    </row>
    <row r="28" spans="1:19" x14ac:dyDescent="0.25">
      <c r="A28" s="24">
        <f t="shared" si="0"/>
        <v>1</v>
      </c>
      <c r="B28" s="24">
        <v>25</v>
      </c>
      <c r="C28" s="24">
        <f t="shared" si="1"/>
        <v>25</v>
      </c>
      <c r="D28" s="27">
        <v>3.2548184716220556E-2</v>
      </c>
      <c r="E28" s="28">
        <f t="shared" si="2"/>
        <v>3.5548184716220559E-2</v>
      </c>
      <c r="F28" s="29">
        <v>0.15003660775771735</v>
      </c>
      <c r="G28" s="28">
        <f t="shared" si="3"/>
        <v>2.06538E-2</v>
      </c>
      <c r="S28" s="30">
        <v>4.13076E-2</v>
      </c>
    </row>
    <row r="29" spans="1:19" x14ac:dyDescent="0.25">
      <c r="A29" s="24">
        <f t="shared" si="0"/>
        <v>1</v>
      </c>
      <c r="B29" s="24">
        <v>26</v>
      </c>
      <c r="C29" s="24">
        <f t="shared" si="1"/>
        <v>26</v>
      </c>
      <c r="D29" s="27">
        <v>3.2548184716220556E-2</v>
      </c>
      <c r="E29" s="28">
        <f t="shared" si="2"/>
        <v>3.5548184716220559E-2</v>
      </c>
      <c r="F29" s="29">
        <v>0.15003660775771735</v>
      </c>
      <c r="G29" s="28">
        <f t="shared" si="3"/>
        <v>1.2095E-2</v>
      </c>
      <c r="S29" s="30">
        <v>2.419E-2</v>
      </c>
    </row>
    <row r="30" spans="1:19" x14ac:dyDescent="0.25">
      <c r="A30" s="24">
        <f t="shared" si="0"/>
        <v>1</v>
      </c>
      <c r="B30" s="24">
        <v>27</v>
      </c>
      <c r="C30" s="24">
        <f t="shared" si="1"/>
        <v>27</v>
      </c>
      <c r="D30" s="27">
        <v>3.2548184716220556E-2</v>
      </c>
      <c r="E30" s="28">
        <f t="shared" si="2"/>
        <v>3.5548184716220559E-2</v>
      </c>
      <c r="F30" s="29">
        <v>0.15003660775771735</v>
      </c>
      <c r="G30" s="28">
        <f t="shared" si="3"/>
        <v>7.4650000000000003E-3</v>
      </c>
      <c r="S30" s="30">
        <v>1.4930000000000001E-2</v>
      </c>
    </row>
    <row r="31" spans="1:19" x14ac:dyDescent="0.25">
      <c r="A31" s="24">
        <f t="shared" si="0"/>
        <v>1</v>
      </c>
      <c r="B31" s="24">
        <v>28</v>
      </c>
      <c r="C31" s="24">
        <f t="shared" si="1"/>
        <v>28</v>
      </c>
      <c r="D31" s="27">
        <v>3.2548184716220556E-2</v>
      </c>
      <c r="E31" s="28">
        <f t="shared" si="2"/>
        <v>3.5548184716220559E-2</v>
      </c>
      <c r="F31" s="29">
        <v>0.15003660775771735</v>
      </c>
      <c r="G31" s="28">
        <f t="shared" si="3"/>
        <v>4.6100000000000004E-3</v>
      </c>
      <c r="S31" s="30">
        <v>9.2200000000000008E-3</v>
      </c>
    </row>
    <row r="32" spans="1:19" x14ac:dyDescent="0.25">
      <c r="A32" s="24">
        <f t="shared" si="0"/>
        <v>1</v>
      </c>
      <c r="B32" s="24">
        <v>29</v>
      </c>
      <c r="C32" s="24">
        <f t="shared" si="1"/>
        <v>29</v>
      </c>
      <c r="D32" s="27">
        <v>3.2548184716220556E-2</v>
      </c>
      <c r="E32" s="28">
        <f t="shared" si="2"/>
        <v>3.5548184716220559E-2</v>
      </c>
      <c r="F32" s="29">
        <v>0.15003660775771735</v>
      </c>
      <c r="G32" s="28">
        <f t="shared" si="3"/>
        <v>4.365E-3</v>
      </c>
      <c r="S32" s="30">
        <v>8.7299999999999999E-3</v>
      </c>
    </row>
    <row r="33" spans="1:19" x14ac:dyDescent="0.25">
      <c r="A33" s="24">
        <f t="shared" si="0"/>
        <v>1</v>
      </c>
      <c r="B33" s="24">
        <v>30</v>
      </c>
      <c r="C33" s="24">
        <f t="shared" si="1"/>
        <v>30</v>
      </c>
      <c r="D33" s="27">
        <v>3.2548184716220556E-2</v>
      </c>
      <c r="E33" s="28">
        <f t="shared" si="2"/>
        <v>3.5548184716220559E-2</v>
      </c>
      <c r="F33" s="29">
        <v>0.15003660775771735</v>
      </c>
      <c r="G33" s="28">
        <f t="shared" si="3"/>
        <v>5.0049999999999999E-3</v>
      </c>
      <c r="S33" s="30">
        <v>1.001E-2</v>
      </c>
    </row>
    <row r="34" spans="1:19" x14ac:dyDescent="0.25">
      <c r="A34" s="24">
        <f t="shared" si="0"/>
        <v>1</v>
      </c>
      <c r="B34" s="24">
        <v>31</v>
      </c>
      <c r="C34" s="24">
        <f t="shared" si="1"/>
        <v>31</v>
      </c>
      <c r="D34" s="27">
        <v>3.2548184716220556E-2</v>
      </c>
      <c r="E34" s="28">
        <f t="shared" si="2"/>
        <v>3.5548184716220559E-2</v>
      </c>
      <c r="F34" s="29">
        <v>0.15003660775771735</v>
      </c>
      <c r="G34" s="28">
        <f t="shared" si="3"/>
        <v>7.175E-3</v>
      </c>
      <c r="S34" s="30">
        <v>1.435E-2</v>
      </c>
    </row>
    <row r="35" spans="1:19" x14ac:dyDescent="0.25">
      <c r="A35" s="24">
        <f t="shared" si="0"/>
        <v>1</v>
      </c>
      <c r="B35" s="24">
        <v>32</v>
      </c>
      <c r="C35" s="24">
        <f t="shared" si="1"/>
        <v>32</v>
      </c>
      <c r="D35" s="27">
        <v>3.2548184716220556E-2</v>
      </c>
      <c r="E35" s="28">
        <f t="shared" si="2"/>
        <v>3.5548184716220559E-2</v>
      </c>
      <c r="F35" s="31">
        <v>0.15939660775771733</v>
      </c>
      <c r="G35" s="28">
        <f t="shared" si="3"/>
        <v>8.7849999999999994E-3</v>
      </c>
      <c r="S35" s="32">
        <v>1.7569999999999999E-2</v>
      </c>
    </row>
    <row r="36" spans="1:19" x14ac:dyDescent="0.25">
      <c r="A36" s="24">
        <f t="shared" si="0"/>
        <v>1</v>
      </c>
      <c r="B36" s="24">
        <v>33</v>
      </c>
      <c r="C36" s="24">
        <f t="shared" si="1"/>
        <v>33</v>
      </c>
      <c r="D36" s="27">
        <v>3.2548184716220556E-2</v>
      </c>
      <c r="E36" s="28">
        <f t="shared" si="2"/>
        <v>3.5548184716220559E-2</v>
      </c>
      <c r="F36" s="33">
        <v>0.16282860775771735</v>
      </c>
      <c r="G36" s="28">
        <f t="shared" si="3"/>
        <v>1.5165E-2</v>
      </c>
      <c r="S36" s="34">
        <v>3.0329999999999999E-2</v>
      </c>
    </row>
    <row r="37" spans="1:19" x14ac:dyDescent="0.25">
      <c r="A37" s="24">
        <f t="shared" si="0"/>
        <v>1</v>
      </c>
      <c r="B37" s="24">
        <v>34</v>
      </c>
      <c r="C37" s="24">
        <f t="shared" si="1"/>
        <v>34</v>
      </c>
      <c r="D37" s="27">
        <v>3.2548184716220556E-2</v>
      </c>
      <c r="E37" s="28">
        <f t="shared" si="2"/>
        <v>3.5548184716220559E-2</v>
      </c>
      <c r="F37" s="33">
        <v>0.16282860775771735</v>
      </c>
      <c r="G37" s="28">
        <f t="shared" si="3"/>
        <v>2.75E-2</v>
      </c>
      <c r="S37" s="34">
        <v>5.5E-2</v>
      </c>
    </row>
    <row r="38" spans="1:19" x14ac:dyDescent="0.25">
      <c r="A38" s="24">
        <f t="shared" si="0"/>
        <v>1</v>
      </c>
      <c r="B38" s="24">
        <v>35</v>
      </c>
      <c r="C38" s="24">
        <f t="shared" si="1"/>
        <v>35</v>
      </c>
      <c r="D38" s="27">
        <v>3.2548184716220556E-2</v>
      </c>
      <c r="E38" s="28">
        <f t="shared" si="2"/>
        <v>3.5548184716220559E-2</v>
      </c>
      <c r="F38" s="33">
        <v>0.16282860775771735</v>
      </c>
      <c r="G38" s="28">
        <f t="shared" si="3"/>
        <v>2.971E-2</v>
      </c>
      <c r="S38" s="34">
        <v>5.9420000000000001E-2</v>
      </c>
    </row>
    <row r="39" spans="1:19" x14ac:dyDescent="0.25">
      <c r="A39" s="24">
        <f t="shared" si="0"/>
        <v>1</v>
      </c>
      <c r="B39" s="24">
        <v>36</v>
      </c>
      <c r="C39" s="24">
        <f t="shared" si="1"/>
        <v>36</v>
      </c>
      <c r="D39" s="27">
        <v>3.2548184716220556E-2</v>
      </c>
      <c r="E39" s="28">
        <f t="shared" si="2"/>
        <v>3.5548184716220559E-2</v>
      </c>
      <c r="F39" s="33">
        <v>0.16282860775771735</v>
      </c>
      <c r="G39" s="28">
        <f t="shared" si="3"/>
        <v>3.0010000000000002E-2</v>
      </c>
      <c r="S39" s="34">
        <v>6.0020000000000004E-2</v>
      </c>
    </row>
    <row r="40" spans="1:19" x14ac:dyDescent="0.25">
      <c r="A40" s="24">
        <f t="shared" si="0"/>
        <v>1</v>
      </c>
      <c r="B40" s="24">
        <v>37</v>
      </c>
      <c r="C40" s="24">
        <f t="shared" si="1"/>
        <v>37</v>
      </c>
      <c r="D40" s="27">
        <v>3.2548184716220556E-2</v>
      </c>
      <c r="E40" s="28">
        <f t="shared" si="2"/>
        <v>3.5548184716220559E-2</v>
      </c>
      <c r="F40" s="33">
        <v>0.16282860775771735</v>
      </c>
      <c r="G40" s="28">
        <f t="shared" si="3"/>
        <v>2.9350000000000001E-2</v>
      </c>
      <c r="S40" s="34">
        <v>5.8700000000000002E-2</v>
      </c>
    </row>
    <row r="41" spans="1:19" x14ac:dyDescent="0.25">
      <c r="A41" s="24">
        <f t="shared" si="0"/>
        <v>1</v>
      </c>
      <c r="B41" s="24">
        <v>38</v>
      </c>
      <c r="C41" s="24">
        <f t="shared" si="1"/>
        <v>38</v>
      </c>
      <c r="D41" s="27">
        <v>3.2548184716220556E-2</v>
      </c>
      <c r="E41" s="28">
        <f t="shared" si="2"/>
        <v>3.5548184716220559E-2</v>
      </c>
      <c r="F41" s="33">
        <v>0.16282860775771735</v>
      </c>
      <c r="G41" s="28">
        <f t="shared" si="3"/>
        <v>2.4975000000000001E-2</v>
      </c>
      <c r="S41" s="34">
        <v>4.9950000000000001E-2</v>
      </c>
    </row>
    <row r="42" spans="1:19" x14ac:dyDescent="0.25">
      <c r="A42" s="24">
        <f t="shared" si="0"/>
        <v>1</v>
      </c>
      <c r="B42" s="24">
        <v>39</v>
      </c>
      <c r="C42" s="24">
        <f t="shared" si="1"/>
        <v>39</v>
      </c>
      <c r="D42" s="27">
        <v>3.2548184716220556E-2</v>
      </c>
      <c r="E42" s="28">
        <f t="shared" si="2"/>
        <v>3.5548184716220559E-2</v>
      </c>
      <c r="F42" s="33">
        <v>0.16282860775771735</v>
      </c>
      <c r="G42" s="28">
        <f t="shared" si="3"/>
        <v>2.3275654999999999E-2</v>
      </c>
      <c r="S42" s="34">
        <v>4.6551309999999999E-2</v>
      </c>
    </row>
    <row r="43" spans="1:19" x14ac:dyDescent="0.25">
      <c r="A43" s="24">
        <f t="shared" si="0"/>
        <v>1</v>
      </c>
      <c r="B43" s="24">
        <v>40</v>
      </c>
      <c r="C43" s="24">
        <f t="shared" si="1"/>
        <v>40</v>
      </c>
      <c r="D43" s="27">
        <v>3.2548184716220556E-2</v>
      </c>
      <c r="E43" s="28">
        <f t="shared" si="2"/>
        <v>3.5548184716220559E-2</v>
      </c>
      <c r="F43" s="33">
        <v>0.16282860775771735</v>
      </c>
      <c r="G43" s="28">
        <f t="shared" si="3"/>
        <v>2.5004999999999999E-2</v>
      </c>
      <c r="S43" s="34">
        <v>5.0009999999999999E-2</v>
      </c>
    </row>
    <row r="44" spans="1:19" x14ac:dyDescent="0.25">
      <c r="A44" s="24">
        <f t="shared" si="0"/>
        <v>1</v>
      </c>
      <c r="B44" s="24">
        <v>41</v>
      </c>
      <c r="C44" s="24">
        <f t="shared" si="1"/>
        <v>41</v>
      </c>
      <c r="D44" s="27">
        <v>3.2548184716220556E-2</v>
      </c>
      <c r="E44" s="28">
        <f t="shared" si="2"/>
        <v>3.5548184716220559E-2</v>
      </c>
      <c r="F44" s="33">
        <v>0.16282860775771735</v>
      </c>
      <c r="G44" s="28">
        <f t="shared" si="3"/>
        <v>2.9835E-2</v>
      </c>
      <c r="S44" s="34">
        <v>5.9670000000000001E-2</v>
      </c>
    </row>
    <row r="45" spans="1:19" x14ac:dyDescent="0.25">
      <c r="A45" s="24">
        <f t="shared" si="0"/>
        <v>1</v>
      </c>
      <c r="B45" s="24">
        <v>42</v>
      </c>
      <c r="C45" s="24">
        <f t="shared" si="1"/>
        <v>42</v>
      </c>
      <c r="D45" s="27">
        <v>3.2548184716220556E-2</v>
      </c>
      <c r="E45" s="28">
        <f t="shared" si="2"/>
        <v>3.5548184716220559E-2</v>
      </c>
      <c r="F45" s="33">
        <v>0.16282860775771735</v>
      </c>
      <c r="G45" s="28">
        <f t="shared" si="3"/>
        <v>3.4025E-2</v>
      </c>
      <c r="S45" s="34">
        <v>6.8049999999999999E-2</v>
      </c>
    </row>
    <row r="46" spans="1:19" x14ac:dyDescent="0.25">
      <c r="A46" s="24">
        <f t="shared" si="0"/>
        <v>1</v>
      </c>
      <c r="B46" s="24">
        <v>43</v>
      </c>
      <c r="C46" s="24">
        <f t="shared" si="1"/>
        <v>43</v>
      </c>
      <c r="D46" s="27">
        <v>3.2548184716220556E-2</v>
      </c>
      <c r="E46" s="28">
        <f t="shared" si="2"/>
        <v>3.5548184716220559E-2</v>
      </c>
      <c r="F46" s="33">
        <v>0.16282860775771735</v>
      </c>
      <c r="G46" s="28">
        <f t="shared" si="3"/>
        <v>3.5020000000000003E-2</v>
      </c>
      <c r="S46" s="34">
        <v>7.0040000000000005E-2</v>
      </c>
    </row>
    <row r="47" spans="1:19" x14ac:dyDescent="0.25">
      <c r="A47" s="24">
        <f t="shared" si="0"/>
        <v>1</v>
      </c>
      <c r="B47" s="24">
        <v>44</v>
      </c>
      <c r="C47" s="24">
        <f t="shared" si="1"/>
        <v>44</v>
      </c>
      <c r="D47" s="27">
        <v>3.2548184716220556E-2</v>
      </c>
      <c r="E47" s="28">
        <f t="shared" si="2"/>
        <v>3.5548184716220559E-2</v>
      </c>
      <c r="F47" s="31">
        <v>0.15939660775771733</v>
      </c>
      <c r="G47" s="28">
        <f t="shared" si="3"/>
        <v>3.7075000000000004E-2</v>
      </c>
      <c r="S47" s="32">
        <v>7.4150000000000008E-2</v>
      </c>
    </row>
    <row r="48" spans="1:19" x14ac:dyDescent="0.25">
      <c r="A48" s="24">
        <f t="shared" si="0"/>
        <v>1</v>
      </c>
      <c r="B48" s="24">
        <v>45</v>
      </c>
      <c r="C48" s="24">
        <f t="shared" si="1"/>
        <v>45</v>
      </c>
      <c r="D48" s="27">
        <v>3.2548184716220556E-2</v>
      </c>
      <c r="E48" s="28">
        <f t="shared" si="2"/>
        <v>3.5548184716220559E-2</v>
      </c>
      <c r="F48" s="31">
        <v>0.15939660775771733</v>
      </c>
      <c r="G48" s="28">
        <f t="shared" si="3"/>
        <v>3.5189999999999999E-2</v>
      </c>
      <c r="S48" s="32">
        <v>7.0379999999999998E-2</v>
      </c>
    </row>
    <row r="49" spans="1:19" x14ac:dyDescent="0.25">
      <c r="A49" s="24">
        <f t="shared" si="0"/>
        <v>1</v>
      </c>
      <c r="B49" s="24">
        <v>46</v>
      </c>
      <c r="C49" s="24">
        <f t="shared" si="1"/>
        <v>46</v>
      </c>
      <c r="D49" s="27">
        <v>3.2548184716220556E-2</v>
      </c>
      <c r="E49" s="28">
        <f t="shared" si="2"/>
        <v>3.5548184716220559E-2</v>
      </c>
      <c r="F49" s="31">
        <v>0.15939660775771733</v>
      </c>
      <c r="G49" s="28">
        <f t="shared" si="3"/>
        <v>3.2524999999999998E-2</v>
      </c>
      <c r="S49" s="32">
        <v>6.5049999999999997E-2</v>
      </c>
    </row>
    <row r="50" spans="1:19" x14ac:dyDescent="0.25">
      <c r="A50" s="24">
        <f t="shared" si="0"/>
        <v>1</v>
      </c>
      <c r="B50" s="24">
        <v>47</v>
      </c>
      <c r="C50" s="24">
        <f t="shared" si="1"/>
        <v>47</v>
      </c>
      <c r="D50" s="27">
        <v>3.2548184716220556E-2</v>
      </c>
      <c r="E50" s="28">
        <f t="shared" si="2"/>
        <v>3.5548184716220559E-2</v>
      </c>
      <c r="F50" s="31">
        <v>0.15939660775771733</v>
      </c>
      <c r="G50" s="28">
        <f t="shared" si="3"/>
        <v>3.0550000000000001E-2</v>
      </c>
      <c r="S50" s="32">
        <v>6.1100000000000002E-2</v>
      </c>
    </row>
    <row r="51" spans="1:19" x14ac:dyDescent="0.25">
      <c r="A51" s="24">
        <f t="shared" si="0"/>
        <v>1</v>
      </c>
      <c r="B51" s="24">
        <v>48</v>
      </c>
      <c r="C51" s="24">
        <f t="shared" si="1"/>
        <v>48</v>
      </c>
      <c r="D51" s="27">
        <v>3.2548184716220556E-2</v>
      </c>
      <c r="E51" s="28">
        <f t="shared" si="2"/>
        <v>3.5548184716220559E-2</v>
      </c>
      <c r="F51" s="29">
        <v>0.15003660775771735</v>
      </c>
      <c r="G51" s="28">
        <f t="shared" si="3"/>
        <v>2.9000000000000001E-2</v>
      </c>
      <c r="S51" s="30">
        <v>5.8000000000000003E-2</v>
      </c>
    </row>
    <row r="52" spans="1:19" x14ac:dyDescent="0.25">
      <c r="P52" s="27">
        <v>3.2548184716220556E-2</v>
      </c>
      <c r="Q52" s="28">
        <f t="shared" ref="Q52:Q68" si="4">P52+0.003</f>
        <v>3.5548184716220559E-2</v>
      </c>
      <c r="R52" s="29">
        <v>0.15003660775771735</v>
      </c>
      <c r="S52" s="30">
        <v>5.6649999999999999E-2</v>
      </c>
    </row>
    <row r="53" spans="1:19" x14ac:dyDescent="0.25">
      <c r="P53" s="27">
        <v>3.2548184716220556E-2</v>
      </c>
      <c r="Q53" s="28">
        <f t="shared" si="4"/>
        <v>3.5548184716220559E-2</v>
      </c>
      <c r="R53" s="29">
        <v>0.15003660775771735</v>
      </c>
      <c r="S53" s="30">
        <v>0.05</v>
      </c>
    </row>
    <row r="54" spans="1:19" x14ac:dyDescent="0.25">
      <c r="P54" s="27">
        <v>3.2548184716220556E-2</v>
      </c>
      <c r="Q54" s="28">
        <f t="shared" si="4"/>
        <v>3.5548184716220559E-2</v>
      </c>
      <c r="R54" s="29">
        <v>0.15003660775771735</v>
      </c>
      <c r="S54" s="30">
        <v>2.468598E-2</v>
      </c>
    </row>
    <row r="55" spans="1:19" x14ac:dyDescent="0.25">
      <c r="P55" s="27">
        <v>3.2548184716220556E-2</v>
      </c>
      <c r="Q55" s="28">
        <f t="shared" si="4"/>
        <v>3.5548184716220559E-2</v>
      </c>
      <c r="R55" s="29">
        <v>0.15003660775771735</v>
      </c>
      <c r="S55" s="30">
        <v>2.3E-2</v>
      </c>
    </row>
    <row r="56" spans="1:19" x14ac:dyDescent="0.25">
      <c r="P56" s="27">
        <v>3.2548184716220556E-2</v>
      </c>
      <c r="Q56" s="28">
        <f t="shared" si="4"/>
        <v>3.5548184716220559E-2</v>
      </c>
      <c r="R56" s="29">
        <v>0.15003660775771735</v>
      </c>
      <c r="S56" s="30">
        <v>2.1749999999999999E-2</v>
      </c>
    </row>
    <row r="57" spans="1:19" x14ac:dyDescent="0.25">
      <c r="P57" s="27">
        <v>3.2548184716220556E-2</v>
      </c>
      <c r="Q57" s="28">
        <f t="shared" si="4"/>
        <v>3.5548184716220559E-2</v>
      </c>
      <c r="R57" s="29">
        <v>0.15003660775771735</v>
      </c>
      <c r="S57" s="30">
        <v>4.3270000000000003E-2</v>
      </c>
    </row>
    <row r="58" spans="1:19" x14ac:dyDescent="0.25">
      <c r="P58" s="27">
        <v>3.2548184716220556E-2</v>
      </c>
      <c r="Q58" s="28">
        <f t="shared" si="4"/>
        <v>3.5548184716220559E-2</v>
      </c>
      <c r="R58" s="29">
        <v>0.15003660775771735</v>
      </c>
      <c r="S58" s="30">
        <v>6.4500000000000002E-2</v>
      </c>
    </row>
    <row r="59" spans="1:19" x14ac:dyDescent="0.25">
      <c r="P59" s="27">
        <v>3.2548184716220556E-2</v>
      </c>
      <c r="Q59" s="28">
        <f t="shared" si="4"/>
        <v>3.5548184716220559E-2</v>
      </c>
      <c r="R59" s="31">
        <v>0.15939660775771733</v>
      </c>
      <c r="S59" s="32">
        <v>6.9879999999999998E-2</v>
      </c>
    </row>
    <row r="60" spans="1:19" x14ac:dyDescent="0.25">
      <c r="P60" s="27">
        <v>3.2548184716220556E-2</v>
      </c>
      <c r="Q60" s="28">
        <f t="shared" si="4"/>
        <v>3.5548184716220559E-2</v>
      </c>
      <c r="R60" s="33">
        <v>0.16282860775771735</v>
      </c>
      <c r="S60" s="34">
        <v>7.2900000000000006E-2</v>
      </c>
    </row>
    <row r="61" spans="1:19" x14ac:dyDescent="0.25">
      <c r="P61" s="27">
        <v>3.2548184716220556E-2</v>
      </c>
      <c r="Q61" s="28">
        <f t="shared" si="4"/>
        <v>3.5548184716220559E-2</v>
      </c>
      <c r="R61" s="33">
        <v>0.16282860775771735</v>
      </c>
      <c r="S61" s="34">
        <v>7.3900000000000007E-2</v>
      </c>
    </row>
    <row r="62" spans="1:19" x14ac:dyDescent="0.25">
      <c r="P62" s="27">
        <v>3.2548184716220556E-2</v>
      </c>
      <c r="Q62" s="28">
        <f t="shared" si="4"/>
        <v>3.5548184716220559E-2</v>
      </c>
      <c r="R62" s="33">
        <v>0.16282860775771735</v>
      </c>
      <c r="S62" s="34">
        <v>6.9760000000000003E-2</v>
      </c>
    </row>
    <row r="63" spans="1:19" x14ac:dyDescent="0.25">
      <c r="P63" s="27">
        <v>3.2548184716220556E-2</v>
      </c>
      <c r="Q63" s="28">
        <f t="shared" si="4"/>
        <v>3.5548184716220559E-2</v>
      </c>
      <c r="R63" s="33">
        <v>0.16282860775771735</v>
      </c>
      <c r="S63" s="34">
        <v>6.9949999999999998E-2</v>
      </c>
    </row>
    <row r="64" spans="1:19" x14ac:dyDescent="0.25">
      <c r="P64" s="27">
        <v>3.2548184716220556E-2</v>
      </c>
      <c r="Q64" s="28">
        <f t="shared" si="4"/>
        <v>3.5548184716220559E-2</v>
      </c>
      <c r="R64" s="33">
        <v>0.16282860775771735</v>
      </c>
      <c r="S64" s="34">
        <v>6.4500000000000002E-2</v>
      </c>
    </row>
    <row r="65" spans="16:19" x14ac:dyDescent="0.25">
      <c r="P65" s="27">
        <v>3.2548184716220556E-2</v>
      </c>
      <c r="Q65" s="28">
        <f t="shared" si="4"/>
        <v>3.5548184716220559E-2</v>
      </c>
      <c r="R65" s="33">
        <v>0.16282860775771735</v>
      </c>
      <c r="S65" s="34">
        <v>6.4000000000000001E-2</v>
      </c>
    </row>
    <row r="66" spans="16:19" x14ac:dyDescent="0.25">
      <c r="P66" s="27">
        <v>3.2548184716220556E-2</v>
      </c>
      <c r="Q66" s="28">
        <f t="shared" si="4"/>
        <v>3.5548184716220559E-2</v>
      </c>
      <c r="R66" s="33">
        <v>0.16282860775771735</v>
      </c>
      <c r="S66" s="34">
        <v>6.4500000000000002E-2</v>
      </c>
    </row>
    <row r="67" spans="16:19" x14ac:dyDescent="0.25">
      <c r="P67" s="27">
        <v>3.2548184716220556E-2</v>
      </c>
      <c r="Q67" s="28">
        <f t="shared" si="4"/>
        <v>3.5548184716220559E-2</v>
      </c>
      <c r="R67" s="33">
        <v>0.16282860775771735</v>
      </c>
      <c r="S67" s="34">
        <v>6.6680000000000003E-2</v>
      </c>
    </row>
    <row r="68" spans="16:19" x14ac:dyDescent="0.25">
      <c r="P68" s="27">
        <v>3.2548184716220556E-2</v>
      </c>
      <c r="Q68" s="28">
        <f t="shared" si="4"/>
        <v>3.5548184716220559E-2</v>
      </c>
      <c r="R68" s="33">
        <v>0.16282860775771735</v>
      </c>
      <c r="S68" s="34">
        <v>7.2099999999999997E-2</v>
      </c>
    </row>
    <row r="69" spans="16:19" x14ac:dyDescent="0.25">
      <c r="P69" s="27">
        <v>3.2548184716220556E-2</v>
      </c>
      <c r="Q69" s="28">
        <f t="shared" ref="Q69:Q132" si="5">P69+0.003</f>
        <v>3.5548184716220559E-2</v>
      </c>
      <c r="R69" s="33">
        <v>0.16282860775771735</v>
      </c>
      <c r="S69" s="34">
        <v>7.4450000000000002E-2</v>
      </c>
    </row>
    <row r="70" spans="16:19" x14ac:dyDescent="0.25">
      <c r="P70" s="27">
        <v>3.2548184716220556E-2</v>
      </c>
      <c r="Q70" s="28">
        <f t="shared" si="5"/>
        <v>3.5548184716220559E-2</v>
      </c>
      <c r="R70" s="33">
        <v>0.16282860775771735</v>
      </c>
      <c r="S70" s="34">
        <v>7.739E-2</v>
      </c>
    </row>
    <row r="71" spans="16:19" x14ac:dyDescent="0.25">
      <c r="P71" s="27">
        <v>3.2548184716220556E-2</v>
      </c>
      <c r="Q71" s="28">
        <f t="shared" si="5"/>
        <v>3.5548184716220559E-2</v>
      </c>
      <c r="R71" s="31">
        <v>0.15939660775771733</v>
      </c>
      <c r="S71" s="32">
        <v>7.6139999999999999E-2</v>
      </c>
    </row>
    <row r="72" spans="16:19" x14ac:dyDescent="0.25">
      <c r="P72" s="27">
        <v>3.2548184716220556E-2</v>
      </c>
      <c r="Q72" s="28">
        <f t="shared" si="5"/>
        <v>3.5548184716220559E-2</v>
      </c>
      <c r="R72" s="31">
        <v>0.15939660775771733</v>
      </c>
      <c r="S72" s="32">
        <v>7.0720000000000005E-2</v>
      </c>
    </row>
    <row r="73" spans="16:19" x14ac:dyDescent="0.25">
      <c r="P73" s="27">
        <v>3.2548184716220556E-2</v>
      </c>
      <c r="Q73" s="28">
        <f t="shared" si="5"/>
        <v>3.5548184716220559E-2</v>
      </c>
      <c r="R73" s="31">
        <v>0.15939660775771733</v>
      </c>
      <c r="S73" s="32">
        <v>6.6650000000000001E-2</v>
      </c>
    </row>
    <row r="74" spans="16:19" x14ac:dyDescent="0.25">
      <c r="P74" s="27">
        <v>3.2548184716220556E-2</v>
      </c>
      <c r="Q74" s="28">
        <f t="shared" si="5"/>
        <v>3.5548184716220559E-2</v>
      </c>
      <c r="R74" s="31">
        <v>0.15939660775771733</v>
      </c>
      <c r="S74" s="32">
        <v>6.5030000000000004E-2</v>
      </c>
    </row>
    <row r="75" spans="16:19" x14ac:dyDescent="0.25">
      <c r="P75" s="27">
        <v>3.2548184716220556E-2</v>
      </c>
      <c r="Q75" s="28">
        <f t="shared" si="5"/>
        <v>3.5548184716220559E-2</v>
      </c>
      <c r="R75" s="29">
        <v>0.15003660775771735</v>
      </c>
      <c r="S75" s="30">
        <v>6.4500000000000002E-2</v>
      </c>
    </row>
    <row r="76" spans="16:19" x14ac:dyDescent="0.25">
      <c r="P76" s="27">
        <v>3.2548184716220556E-2</v>
      </c>
      <c r="Q76" s="28">
        <f t="shared" si="5"/>
        <v>3.5548184716220559E-2</v>
      </c>
      <c r="R76" s="29">
        <v>0.15003660775771735</v>
      </c>
      <c r="S76" s="30">
        <v>5.9499999999999997E-2</v>
      </c>
    </row>
    <row r="77" spans="16:19" x14ac:dyDescent="0.25">
      <c r="P77" s="27">
        <v>3.2548184716220556E-2</v>
      </c>
      <c r="Q77" s="28">
        <f t="shared" si="5"/>
        <v>3.5548184716220559E-2</v>
      </c>
      <c r="R77" s="29">
        <v>0.15003660775771735</v>
      </c>
      <c r="S77" s="30">
        <v>5.9400000000000001E-2</v>
      </c>
    </row>
    <row r="78" spans="16:19" x14ac:dyDescent="0.25">
      <c r="P78" s="27">
        <v>3.2548184716220556E-2</v>
      </c>
      <c r="Q78" s="28">
        <f t="shared" si="5"/>
        <v>3.5548184716220559E-2</v>
      </c>
      <c r="R78" s="29">
        <v>0.15003660775771735</v>
      </c>
      <c r="S78" s="30">
        <v>0.05</v>
      </c>
    </row>
    <row r="79" spans="16:19" x14ac:dyDescent="0.25">
      <c r="P79" s="27">
        <v>3.2548184716220556E-2</v>
      </c>
      <c r="Q79" s="28">
        <f t="shared" si="5"/>
        <v>3.5548184716220559E-2</v>
      </c>
      <c r="R79" s="29">
        <v>0.15003660775771735</v>
      </c>
      <c r="S79" s="30">
        <v>0.04</v>
      </c>
    </row>
    <row r="80" spans="16:19" x14ac:dyDescent="0.25">
      <c r="P80" s="27">
        <v>3.2548184716220556E-2</v>
      </c>
      <c r="Q80" s="28">
        <f t="shared" si="5"/>
        <v>3.5548184716220559E-2</v>
      </c>
      <c r="R80" s="29">
        <v>0.15003660775771735</v>
      </c>
      <c r="S80" s="30">
        <v>3.5000000000000003E-2</v>
      </c>
    </row>
    <row r="81" spans="16:19" x14ac:dyDescent="0.25">
      <c r="P81" s="27">
        <v>3.2548184716220556E-2</v>
      </c>
      <c r="Q81" s="28">
        <f t="shared" si="5"/>
        <v>3.5548184716220559E-2</v>
      </c>
      <c r="R81" s="29">
        <v>0.15003660775771735</v>
      </c>
      <c r="S81" s="30">
        <v>4.8979999999999996E-2</v>
      </c>
    </row>
    <row r="82" spans="16:19" x14ac:dyDescent="0.25">
      <c r="P82" s="27">
        <v>3.2548184716220556E-2</v>
      </c>
      <c r="Q82" s="28">
        <f t="shared" si="5"/>
        <v>3.5548184716220559E-2</v>
      </c>
      <c r="R82" s="29">
        <v>0.15003660775771735</v>
      </c>
      <c r="S82" s="30">
        <v>6.089E-2</v>
      </c>
    </row>
    <row r="83" spans="16:19" x14ac:dyDescent="0.25">
      <c r="P83" s="27">
        <v>3.2548184716220556E-2</v>
      </c>
      <c r="Q83" s="28">
        <f t="shared" si="5"/>
        <v>3.5548184716220559E-2</v>
      </c>
      <c r="R83" s="31">
        <v>0.15939660775771733</v>
      </c>
      <c r="S83" s="32">
        <v>7.1359999999999993E-2</v>
      </c>
    </row>
    <row r="84" spans="16:19" x14ac:dyDescent="0.25">
      <c r="P84" s="27">
        <v>3.2548184716220556E-2</v>
      </c>
      <c r="Q84" s="28">
        <f t="shared" si="5"/>
        <v>3.5548184716220559E-2</v>
      </c>
      <c r="R84" s="33">
        <v>0.16282860775771735</v>
      </c>
      <c r="S84" s="34">
        <v>7.0000000000000007E-2</v>
      </c>
    </row>
    <row r="85" spans="16:19" x14ac:dyDescent="0.25">
      <c r="P85" s="27">
        <v>3.2548184716220556E-2</v>
      </c>
      <c r="Q85" s="28">
        <f t="shared" si="5"/>
        <v>3.5548184716220559E-2</v>
      </c>
      <c r="R85" s="33">
        <v>0.16282860775771735</v>
      </c>
      <c r="S85" s="34">
        <v>7.6680000000000012E-2</v>
      </c>
    </row>
    <row r="86" spans="16:19" x14ac:dyDescent="0.25">
      <c r="P86" s="27">
        <v>3.2548184716220556E-2</v>
      </c>
      <c r="Q86" s="28">
        <f t="shared" si="5"/>
        <v>3.5548184716220559E-2</v>
      </c>
      <c r="R86" s="33">
        <v>0.16282860775771735</v>
      </c>
      <c r="S86" s="34">
        <v>7.3459999999999998E-2</v>
      </c>
    </row>
    <row r="87" spans="16:19" x14ac:dyDescent="0.25">
      <c r="P87" s="27">
        <v>3.2548184716220556E-2</v>
      </c>
      <c r="Q87" s="28">
        <f t="shared" si="5"/>
        <v>3.5548184716220559E-2</v>
      </c>
      <c r="R87" s="33">
        <v>0.16282860775771735</v>
      </c>
      <c r="S87" s="34">
        <v>8.0099999999999991E-2</v>
      </c>
    </row>
    <row r="88" spans="16:19" x14ac:dyDescent="0.25">
      <c r="P88" s="27">
        <v>3.2548184716220556E-2</v>
      </c>
      <c r="Q88" s="28">
        <f t="shared" si="5"/>
        <v>3.5548184716220559E-2</v>
      </c>
      <c r="R88" s="33">
        <v>0.16282860775771735</v>
      </c>
      <c r="S88" s="34">
        <v>6.5069999999999989E-2</v>
      </c>
    </row>
    <row r="89" spans="16:19" x14ac:dyDescent="0.25">
      <c r="P89" s="27">
        <v>3.2548184716220556E-2</v>
      </c>
      <c r="Q89" s="28">
        <f t="shared" si="5"/>
        <v>3.5548184716220559E-2</v>
      </c>
      <c r="R89" s="33">
        <v>0.16282860775771735</v>
      </c>
      <c r="S89" s="34">
        <v>6.1329999999999996E-2</v>
      </c>
    </row>
    <row r="90" spans="16:19" x14ac:dyDescent="0.25">
      <c r="P90" s="27">
        <v>3.2548184716220556E-2</v>
      </c>
      <c r="Q90" s="28">
        <f t="shared" si="5"/>
        <v>3.5548184716220559E-2</v>
      </c>
      <c r="R90" s="33">
        <v>0.16282860775771735</v>
      </c>
      <c r="S90" s="34">
        <v>6.123E-2</v>
      </c>
    </row>
    <row r="91" spans="16:19" x14ac:dyDescent="0.25">
      <c r="P91" s="27">
        <v>3.2548184716220556E-2</v>
      </c>
      <c r="Q91" s="28">
        <f t="shared" si="5"/>
        <v>3.5548184716220559E-2</v>
      </c>
      <c r="R91" s="33">
        <v>0.16282860775771735</v>
      </c>
      <c r="S91" s="34">
        <v>6.2630000000000005E-2</v>
      </c>
    </row>
    <row r="92" spans="16:19" x14ac:dyDescent="0.25">
      <c r="P92" s="27">
        <v>3.2548184716220556E-2</v>
      </c>
      <c r="Q92" s="28">
        <f t="shared" si="5"/>
        <v>3.5548184716220559E-2</v>
      </c>
      <c r="R92" s="33">
        <v>0.16282860775771735</v>
      </c>
      <c r="S92" s="34">
        <v>6.5000000000000002E-2</v>
      </c>
    </row>
    <row r="93" spans="16:19" x14ac:dyDescent="0.25">
      <c r="P93" s="27">
        <v>3.2548184716220556E-2</v>
      </c>
      <c r="Q93" s="28">
        <f t="shared" si="5"/>
        <v>3.5548184716220559E-2</v>
      </c>
      <c r="R93" s="33">
        <v>0.16282860775771735</v>
      </c>
      <c r="S93" s="34">
        <v>7.0379999999999998E-2</v>
      </c>
    </row>
    <row r="94" spans="16:19" x14ac:dyDescent="0.25">
      <c r="P94" s="27">
        <v>3.2548184716220556E-2</v>
      </c>
      <c r="Q94" s="28">
        <f t="shared" si="5"/>
        <v>3.5548184716220559E-2</v>
      </c>
      <c r="R94" s="33">
        <v>0.16282860775771735</v>
      </c>
      <c r="S94" s="34">
        <v>7.1999999999999995E-2</v>
      </c>
    </row>
    <row r="95" spans="16:19" x14ac:dyDescent="0.25">
      <c r="P95" s="27">
        <v>3.2548184716220556E-2</v>
      </c>
      <c r="Q95" s="28">
        <f t="shared" si="5"/>
        <v>3.5548184716220559E-2</v>
      </c>
      <c r="R95" s="31">
        <v>0.15939660775771733</v>
      </c>
      <c r="S95" s="32">
        <v>7.3439999999999991E-2</v>
      </c>
    </row>
    <row r="96" spans="16:19" x14ac:dyDescent="0.25">
      <c r="P96" s="27">
        <v>3.2548184716220556E-2</v>
      </c>
      <c r="Q96" s="28">
        <f t="shared" si="5"/>
        <v>3.5548184716220559E-2</v>
      </c>
      <c r="R96" s="31">
        <v>0.15939660775771733</v>
      </c>
      <c r="S96" s="32">
        <v>6.9949999999999998E-2</v>
      </c>
    </row>
    <row r="97" spans="16:19" x14ac:dyDescent="0.25">
      <c r="P97" s="27">
        <v>3.2548184716220556E-2</v>
      </c>
      <c r="Q97" s="28">
        <f t="shared" si="5"/>
        <v>3.5548184716220559E-2</v>
      </c>
      <c r="R97" s="31">
        <v>0.15939660775771733</v>
      </c>
      <c r="S97" s="32">
        <v>6.4649999999999999E-2</v>
      </c>
    </row>
    <row r="98" spans="16:19" x14ac:dyDescent="0.25">
      <c r="P98" s="27">
        <v>3.2548184716220556E-2</v>
      </c>
      <c r="Q98" s="28">
        <f t="shared" si="5"/>
        <v>3.5548184716220559E-2</v>
      </c>
      <c r="R98" s="31">
        <v>0.15939660775771733</v>
      </c>
      <c r="S98" s="32">
        <v>6.1310000000000003E-2</v>
      </c>
    </row>
    <row r="99" spans="16:19" x14ac:dyDescent="0.25">
      <c r="P99" s="27">
        <v>3.2548184716220556E-2</v>
      </c>
      <c r="Q99" s="28">
        <f t="shared" si="5"/>
        <v>3.5548184716220559E-2</v>
      </c>
      <c r="R99" s="29">
        <v>0.15003660775771735</v>
      </c>
      <c r="S99" s="30">
        <v>5.5E-2</v>
      </c>
    </row>
    <row r="100" spans="16:19" x14ac:dyDescent="0.25">
      <c r="P100" s="27">
        <v>3.2548184716220556E-2</v>
      </c>
      <c r="Q100" s="28">
        <f t="shared" si="5"/>
        <v>3.5548184716220559E-2</v>
      </c>
      <c r="R100" s="29">
        <v>0.15003660775771735</v>
      </c>
      <c r="S100" s="30">
        <v>4.13076E-2</v>
      </c>
    </row>
    <row r="101" spans="16:19" x14ac:dyDescent="0.25">
      <c r="P101" s="27">
        <v>3.2548184716220556E-2</v>
      </c>
      <c r="Q101" s="28">
        <f t="shared" si="5"/>
        <v>3.5548184716220559E-2</v>
      </c>
      <c r="R101" s="29">
        <v>0.15003660775771735</v>
      </c>
      <c r="S101" s="30">
        <v>2.419E-2</v>
      </c>
    </row>
    <row r="102" spans="16:19" x14ac:dyDescent="0.25">
      <c r="P102" s="27">
        <v>3.2548184716220556E-2</v>
      </c>
      <c r="Q102" s="28">
        <f t="shared" si="5"/>
        <v>3.5548184716220559E-2</v>
      </c>
      <c r="R102" s="29">
        <v>0.15003660775771735</v>
      </c>
      <c r="S102" s="30">
        <v>1.4930000000000001E-2</v>
      </c>
    </row>
    <row r="103" spans="16:19" x14ac:dyDescent="0.25">
      <c r="P103" s="27">
        <v>3.2548184716220556E-2</v>
      </c>
      <c r="Q103" s="28">
        <f t="shared" si="5"/>
        <v>3.5548184716220559E-2</v>
      </c>
      <c r="R103" s="29">
        <v>0.15003660775771735</v>
      </c>
      <c r="S103" s="30">
        <v>9.2200000000000008E-3</v>
      </c>
    </row>
    <row r="104" spans="16:19" x14ac:dyDescent="0.25">
      <c r="P104" s="27">
        <v>3.2548184716220556E-2</v>
      </c>
      <c r="Q104" s="28">
        <f t="shared" si="5"/>
        <v>3.5548184716220559E-2</v>
      </c>
      <c r="R104" s="29">
        <v>0.15003660775771735</v>
      </c>
      <c r="S104" s="30">
        <v>8.7299999999999999E-3</v>
      </c>
    </row>
    <row r="105" spans="16:19" x14ac:dyDescent="0.25">
      <c r="P105" s="27">
        <v>3.2548184716220556E-2</v>
      </c>
      <c r="Q105" s="28">
        <f t="shared" si="5"/>
        <v>3.5548184716220559E-2</v>
      </c>
      <c r="R105" s="29">
        <v>0.15003660775771735</v>
      </c>
      <c r="S105" s="30">
        <v>1.001E-2</v>
      </c>
    </row>
    <row r="106" spans="16:19" x14ac:dyDescent="0.25">
      <c r="P106" s="27">
        <v>3.2548184716220556E-2</v>
      </c>
      <c r="Q106" s="28">
        <f t="shared" si="5"/>
        <v>3.5548184716220559E-2</v>
      </c>
      <c r="R106" s="29">
        <v>0.15003660775771735</v>
      </c>
      <c r="S106" s="30">
        <v>1.435E-2</v>
      </c>
    </row>
    <row r="107" spans="16:19" x14ac:dyDescent="0.25">
      <c r="P107" s="27">
        <v>3.2548184716220556E-2</v>
      </c>
      <c r="Q107" s="28">
        <f t="shared" si="5"/>
        <v>3.5548184716220559E-2</v>
      </c>
      <c r="R107" s="31">
        <v>0.15939660775771733</v>
      </c>
      <c r="S107" s="32">
        <v>1.7569999999999999E-2</v>
      </c>
    </row>
    <row r="108" spans="16:19" x14ac:dyDescent="0.25">
      <c r="P108" s="27">
        <v>3.2548184716220556E-2</v>
      </c>
      <c r="Q108" s="28">
        <f t="shared" si="5"/>
        <v>3.5548184716220559E-2</v>
      </c>
      <c r="R108" s="33">
        <v>0.16282860775771735</v>
      </c>
      <c r="S108" s="34">
        <v>3.0329999999999999E-2</v>
      </c>
    </row>
    <row r="109" spans="16:19" x14ac:dyDescent="0.25">
      <c r="P109" s="27">
        <v>3.2548184716220556E-2</v>
      </c>
      <c r="Q109" s="28">
        <f t="shared" si="5"/>
        <v>3.5548184716220559E-2</v>
      </c>
      <c r="R109" s="33">
        <v>0.16282860775771735</v>
      </c>
      <c r="S109" s="34">
        <v>5.5E-2</v>
      </c>
    </row>
    <row r="110" spans="16:19" x14ac:dyDescent="0.25">
      <c r="P110" s="27">
        <v>3.2548184716220556E-2</v>
      </c>
      <c r="Q110" s="28">
        <f t="shared" si="5"/>
        <v>3.5548184716220559E-2</v>
      </c>
      <c r="R110" s="33">
        <v>0.16282860775771735</v>
      </c>
      <c r="S110" s="34">
        <v>5.9420000000000001E-2</v>
      </c>
    </row>
    <row r="111" spans="16:19" x14ac:dyDescent="0.25">
      <c r="P111" s="27">
        <v>3.2548184716220556E-2</v>
      </c>
      <c r="Q111" s="28">
        <f t="shared" si="5"/>
        <v>3.5548184716220559E-2</v>
      </c>
      <c r="R111" s="33">
        <v>0.16282860775771735</v>
      </c>
      <c r="S111" s="34">
        <v>6.0020000000000004E-2</v>
      </c>
    </row>
    <row r="112" spans="16:19" x14ac:dyDescent="0.25">
      <c r="P112" s="27">
        <v>3.2548184716220556E-2</v>
      </c>
      <c r="Q112" s="28">
        <f t="shared" si="5"/>
        <v>3.5548184716220559E-2</v>
      </c>
      <c r="R112" s="33">
        <v>0.16282860775771735</v>
      </c>
      <c r="S112" s="34">
        <v>5.8700000000000002E-2</v>
      </c>
    </row>
    <row r="113" spans="16:19" x14ac:dyDescent="0.25">
      <c r="P113" s="27">
        <v>3.2548184716220556E-2</v>
      </c>
      <c r="Q113" s="28">
        <f t="shared" si="5"/>
        <v>3.5548184716220559E-2</v>
      </c>
      <c r="R113" s="33">
        <v>0.16282860775771735</v>
      </c>
      <c r="S113" s="34">
        <v>4.9950000000000001E-2</v>
      </c>
    </row>
    <row r="114" spans="16:19" x14ac:dyDescent="0.25">
      <c r="P114" s="27">
        <v>3.2548184716220556E-2</v>
      </c>
      <c r="Q114" s="28">
        <f t="shared" si="5"/>
        <v>3.5548184716220559E-2</v>
      </c>
      <c r="R114" s="33">
        <v>0.16282860775771735</v>
      </c>
      <c r="S114" s="34">
        <v>4.6551309999999999E-2</v>
      </c>
    </row>
    <row r="115" spans="16:19" x14ac:dyDescent="0.25">
      <c r="P115" s="27">
        <v>3.2548184716220556E-2</v>
      </c>
      <c r="Q115" s="28">
        <f t="shared" si="5"/>
        <v>3.5548184716220559E-2</v>
      </c>
      <c r="R115" s="33">
        <v>0.16282860775771735</v>
      </c>
      <c r="S115" s="34">
        <v>5.0009999999999999E-2</v>
      </c>
    </row>
    <row r="116" spans="16:19" x14ac:dyDescent="0.25">
      <c r="P116" s="27">
        <v>3.2548184716220556E-2</v>
      </c>
      <c r="Q116" s="28">
        <f t="shared" si="5"/>
        <v>3.5548184716220559E-2</v>
      </c>
      <c r="R116" s="33">
        <v>0.16282860775771735</v>
      </c>
      <c r="S116" s="34">
        <v>5.9670000000000001E-2</v>
      </c>
    </row>
    <row r="117" spans="16:19" x14ac:dyDescent="0.25">
      <c r="P117" s="27">
        <v>3.2548184716220556E-2</v>
      </c>
      <c r="Q117" s="28">
        <f t="shared" si="5"/>
        <v>3.5548184716220559E-2</v>
      </c>
      <c r="R117" s="33">
        <v>0.16282860775771735</v>
      </c>
      <c r="S117" s="34">
        <v>6.8049999999999999E-2</v>
      </c>
    </row>
    <row r="118" spans="16:19" x14ac:dyDescent="0.25">
      <c r="P118" s="27">
        <v>3.2548184716220556E-2</v>
      </c>
      <c r="Q118" s="28">
        <f t="shared" si="5"/>
        <v>3.5548184716220559E-2</v>
      </c>
      <c r="R118" s="33">
        <v>0.16282860775771735</v>
      </c>
      <c r="S118" s="34">
        <v>7.0040000000000005E-2</v>
      </c>
    </row>
    <row r="119" spans="16:19" x14ac:dyDescent="0.25">
      <c r="P119" s="27">
        <v>3.2548184716220556E-2</v>
      </c>
      <c r="Q119" s="28">
        <f t="shared" si="5"/>
        <v>3.5548184716220559E-2</v>
      </c>
      <c r="R119" s="31">
        <v>0.15939660775771733</v>
      </c>
      <c r="S119" s="32">
        <v>7.4150000000000008E-2</v>
      </c>
    </row>
    <row r="120" spans="16:19" x14ac:dyDescent="0.25">
      <c r="P120" s="27">
        <v>3.2548184716220556E-2</v>
      </c>
      <c r="Q120" s="28">
        <f t="shared" si="5"/>
        <v>3.5548184716220559E-2</v>
      </c>
      <c r="R120" s="31">
        <v>0.15939660775771733</v>
      </c>
      <c r="S120" s="32">
        <v>7.0379999999999998E-2</v>
      </c>
    </row>
    <row r="121" spans="16:19" x14ac:dyDescent="0.25">
      <c r="P121" s="27">
        <v>3.2548184716220556E-2</v>
      </c>
      <c r="Q121" s="28">
        <f t="shared" si="5"/>
        <v>3.5548184716220559E-2</v>
      </c>
      <c r="R121" s="31">
        <v>0.15939660775771733</v>
      </c>
      <c r="S121" s="32">
        <v>6.5049999999999997E-2</v>
      </c>
    </row>
    <row r="122" spans="16:19" x14ac:dyDescent="0.25">
      <c r="P122" s="27">
        <v>3.2548184716220556E-2</v>
      </c>
      <c r="Q122" s="28">
        <f t="shared" si="5"/>
        <v>3.5548184716220559E-2</v>
      </c>
      <c r="R122" s="31">
        <v>0.15939660775771733</v>
      </c>
      <c r="S122" s="32">
        <v>6.1100000000000002E-2</v>
      </c>
    </row>
    <row r="123" spans="16:19" x14ac:dyDescent="0.25">
      <c r="P123" s="27">
        <v>3.2548184716220556E-2</v>
      </c>
      <c r="Q123" s="28">
        <f t="shared" si="5"/>
        <v>3.5548184716220559E-2</v>
      </c>
      <c r="R123" s="29">
        <v>0.15003660775771735</v>
      </c>
      <c r="S123" s="30">
        <v>5.8000000000000003E-2</v>
      </c>
    </row>
    <row r="124" spans="16:19" x14ac:dyDescent="0.25">
      <c r="P124" s="27">
        <v>3.2548184716220556E-2</v>
      </c>
      <c r="Q124" s="28">
        <f t="shared" si="5"/>
        <v>3.5548184716220559E-2</v>
      </c>
      <c r="R124" s="29">
        <v>0.15003660775771735</v>
      </c>
      <c r="S124" s="30">
        <v>5.5009999999999996E-2</v>
      </c>
    </row>
    <row r="125" spans="16:19" x14ac:dyDescent="0.25">
      <c r="P125" s="27">
        <v>3.2548184716220556E-2</v>
      </c>
      <c r="Q125" s="28">
        <f t="shared" si="5"/>
        <v>3.5548184716220559E-2</v>
      </c>
      <c r="R125" s="29">
        <v>0.15003660775771735</v>
      </c>
      <c r="S125" s="30">
        <v>5.3219999999999996E-2</v>
      </c>
    </row>
    <row r="126" spans="16:19" x14ac:dyDescent="0.25">
      <c r="P126" s="27">
        <v>3.2548184716220556E-2</v>
      </c>
      <c r="Q126" s="28">
        <f t="shared" si="5"/>
        <v>3.5548184716220559E-2</v>
      </c>
      <c r="R126" s="29">
        <v>0.15003660775771735</v>
      </c>
      <c r="S126" s="30">
        <v>3.95E-2</v>
      </c>
    </row>
    <row r="127" spans="16:19" x14ac:dyDescent="0.25">
      <c r="P127" s="27">
        <v>3.2548184716220556E-2</v>
      </c>
      <c r="Q127" s="28">
        <f t="shared" si="5"/>
        <v>3.5548184716220559E-2</v>
      </c>
      <c r="R127" s="29">
        <v>0.15003660775771735</v>
      </c>
      <c r="S127" s="30">
        <v>3.4860000000000002E-2</v>
      </c>
    </row>
    <row r="128" spans="16:19" x14ac:dyDescent="0.25">
      <c r="P128" s="27">
        <v>3.2548184716220556E-2</v>
      </c>
      <c r="Q128" s="28">
        <f t="shared" si="5"/>
        <v>3.5548184716220559E-2</v>
      </c>
      <c r="R128" s="29">
        <v>0.15003660775771735</v>
      </c>
      <c r="S128" s="30">
        <v>3.5479999999999998E-2</v>
      </c>
    </row>
    <row r="129" spans="16:19" x14ac:dyDescent="0.25">
      <c r="P129" s="27">
        <v>3.2548184716220556E-2</v>
      </c>
      <c r="Q129" s="28">
        <f t="shared" si="5"/>
        <v>3.5548184716220559E-2</v>
      </c>
      <c r="R129" s="29">
        <v>0.15003660775771735</v>
      </c>
      <c r="S129" s="30">
        <v>4.4999999999999998E-2</v>
      </c>
    </row>
    <row r="130" spans="16:19" x14ac:dyDescent="0.25">
      <c r="P130" s="27">
        <v>3.2548184716220556E-2</v>
      </c>
      <c r="Q130" s="28">
        <f t="shared" si="5"/>
        <v>3.5548184716220559E-2</v>
      </c>
      <c r="R130" s="29">
        <v>0.15003660775771735</v>
      </c>
      <c r="S130" s="30">
        <v>5.9400000000000001E-2</v>
      </c>
    </row>
    <row r="131" spans="16:19" x14ac:dyDescent="0.25">
      <c r="P131" s="27">
        <v>3.2548184716220556E-2</v>
      </c>
      <c r="Q131" s="28">
        <f t="shared" si="5"/>
        <v>3.5548184716220559E-2</v>
      </c>
      <c r="R131" s="29">
        <v>0.15003660775771735</v>
      </c>
      <c r="S131" s="30">
        <v>5.9859999999999997E-2</v>
      </c>
    </row>
    <row r="132" spans="16:19" x14ac:dyDescent="0.25">
      <c r="P132" s="27">
        <v>3.2548184716220556E-2</v>
      </c>
      <c r="Q132" s="28">
        <f t="shared" si="5"/>
        <v>3.5548184716220559E-2</v>
      </c>
      <c r="R132" s="29">
        <v>0.15003660775771735</v>
      </c>
      <c r="S132" s="30">
        <v>6.2259999999999996E-2</v>
      </c>
    </row>
    <row r="133" spans="16:19" x14ac:dyDescent="0.25">
      <c r="P133" s="27">
        <v>3.2548184716220556E-2</v>
      </c>
      <c r="Q133" s="28">
        <f t="shared" ref="Q133:Q196" si="6">P133+0.003</f>
        <v>3.5548184716220559E-2</v>
      </c>
      <c r="R133" s="29">
        <v>0.15003660775771735</v>
      </c>
      <c r="S133" s="30">
        <v>6.3369999999999996E-2</v>
      </c>
    </row>
    <row r="134" spans="16:19" x14ac:dyDescent="0.25">
      <c r="P134" s="27">
        <v>3.2548184716220556E-2</v>
      </c>
      <c r="Q134" s="28">
        <f t="shared" si="6"/>
        <v>3.5548184716220559E-2</v>
      </c>
      <c r="R134" s="29">
        <v>0.15003660775771735</v>
      </c>
      <c r="S134" s="30">
        <v>6.1030000000000001E-2</v>
      </c>
    </row>
    <row r="135" spans="16:19" x14ac:dyDescent="0.25">
      <c r="P135" s="27">
        <v>3.2548184716220556E-2</v>
      </c>
      <c r="Q135" s="28">
        <f t="shared" si="6"/>
        <v>3.5548184716220559E-2</v>
      </c>
      <c r="R135" s="29">
        <v>0.15003660775771735</v>
      </c>
      <c r="S135" s="30">
        <v>5.9749999999999998E-2</v>
      </c>
    </row>
    <row r="136" spans="16:19" x14ac:dyDescent="0.25">
      <c r="P136" s="27">
        <v>3.2548184716220556E-2</v>
      </c>
      <c r="Q136" s="28">
        <f t="shared" si="6"/>
        <v>3.5548184716220559E-2</v>
      </c>
      <c r="R136" s="29">
        <v>0.15003660775771735</v>
      </c>
      <c r="S136" s="30">
        <v>5.9470000000000002E-2</v>
      </c>
    </row>
    <row r="137" spans="16:19" x14ac:dyDescent="0.25">
      <c r="P137" s="27">
        <v>3.2548184716220556E-2</v>
      </c>
      <c r="Q137" s="28">
        <f t="shared" si="6"/>
        <v>3.5548184716220559E-2</v>
      </c>
      <c r="R137" s="29">
        <v>0.15003660775771735</v>
      </c>
      <c r="S137" s="30">
        <v>5.4560000000000004E-2</v>
      </c>
    </row>
    <row r="138" spans="16:19" x14ac:dyDescent="0.25">
      <c r="P138" s="27">
        <v>3.2548184716220556E-2</v>
      </c>
      <c r="Q138" s="28">
        <f t="shared" si="6"/>
        <v>3.5548184716220559E-2</v>
      </c>
      <c r="R138" s="29">
        <v>0.15003660775771735</v>
      </c>
      <c r="S138" s="30">
        <v>5.9429999999999997E-2</v>
      </c>
    </row>
    <row r="139" spans="16:19" x14ac:dyDescent="0.25">
      <c r="P139" s="27">
        <v>3.2548184716220556E-2</v>
      </c>
      <c r="Q139" s="28">
        <f t="shared" si="6"/>
        <v>3.5548184716220559E-2</v>
      </c>
      <c r="R139" s="29">
        <v>0.15003660775771735</v>
      </c>
      <c r="S139" s="30">
        <v>6.2729999999999994E-2</v>
      </c>
    </row>
    <row r="140" spans="16:19" x14ac:dyDescent="0.25">
      <c r="P140" s="27">
        <v>3.2548184716220556E-2</v>
      </c>
      <c r="Q140" s="28">
        <f t="shared" si="6"/>
        <v>3.5548184716220559E-2</v>
      </c>
      <c r="R140" s="29">
        <v>0.15003660775771735</v>
      </c>
      <c r="S140" s="30">
        <v>6.673830800000001E-2</v>
      </c>
    </row>
    <row r="141" spans="16:19" x14ac:dyDescent="0.25">
      <c r="P141" s="27">
        <v>3.2548184716220556E-2</v>
      </c>
      <c r="Q141" s="28">
        <f t="shared" si="6"/>
        <v>3.5548184716220559E-2</v>
      </c>
      <c r="R141" s="29">
        <v>0.15003660775771735</v>
      </c>
      <c r="S141" s="30">
        <v>7.3050000000000004E-2</v>
      </c>
    </row>
    <row r="142" spans="16:19" x14ac:dyDescent="0.25">
      <c r="P142" s="27">
        <v>3.2548184716220556E-2</v>
      </c>
      <c r="Q142" s="28">
        <f t="shared" si="6"/>
        <v>3.5548184716220559E-2</v>
      </c>
      <c r="R142" s="29">
        <v>0.15003660775771735</v>
      </c>
      <c r="S142" s="30">
        <v>7.7310000000000004E-2</v>
      </c>
    </row>
    <row r="143" spans="16:19" x14ac:dyDescent="0.25">
      <c r="P143" s="27">
        <v>3.2548184716220556E-2</v>
      </c>
      <c r="Q143" s="28">
        <f t="shared" si="6"/>
        <v>3.5548184716220559E-2</v>
      </c>
      <c r="R143" s="29">
        <v>0.15003660775771735</v>
      </c>
      <c r="S143" s="30">
        <v>7.961E-2</v>
      </c>
    </row>
    <row r="144" spans="16:19" x14ac:dyDescent="0.25">
      <c r="P144" s="27">
        <v>3.2548184716220556E-2</v>
      </c>
      <c r="Q144" s="28">
        <f t="shared" si="6"/>
        <v>3.5548184716220559E-2</v>
      </c>
      <c r="R144" s="29">
        <v>0.15003660775771735</v>
      </c>
      <c r="S144" s="30">
        <v>7.4870000000000006E-2</v>
      </c>
    </row>
    <row r="145" spans="16:19" x14ac:dyDescent="0.25">
      <c r="P145" s="27">
        <v>3.2548184716220556E-2</v>
      </c>
      <c r="Q145" s="28">
        <f t="shared" si="6"/>
        <v>3.5548184716220559E-2</v>
      </c>
      <c r="R145" s="29">
        <v>0.15003660775771735</v>
      </c>
      <c r="S145" s="30">
        <v>6.9949999999999998E-2</v>
      </c>
    </row>
    <row r="146" spans="16:19" x14ac:dyDescent="0.25">
      <c r="P146" s="27">
        <v>3.2548184716220556E-2</v>
      </c>
      <c r="Q146" s="28">
        <f t="shared" si="6"/>
        <v>3.5548184716220559E-2</v>
      </c>
      <c r="R146" s="29">
        <v>0.15003660775771735</v>
      </c>
      <c r="S146" s="30">
        <v>6.5970000000000001E-2</v>
      </c>
    </row>
    <row r="147" spans="16:19" x14ac:dyDescent="0.25">
      <c r="P147" s="27">
        <v>3.2548184716220556E-2</v>
      </c>
      <c r="Q147" s="28">
        <f t="shared" si="6"/>
        <v>3.5548184716220559E-2</v>
      </c>
      <c r="R147" s="29">
        <v>0.15003660775771735</v>
      </c>
      <c r="S147" s="30">
        <v>6.0899999999999996E-2</v>
      </c>
    </row>
    <row r="148" spans="16:19" x14ac:dyDescent="0.25">
      <c r="P148" s="27">
        <v>3.2548184716220556E-2</v>
      </c>
      <c r="Q148" s="28">
        <f t="shared" si="6"/>
        <v>3.5548184716220559E-2</v>
      </c>
      <c r="R148" s="29">
        <v>0.15003660775771735</v>
      </c>
      <c r="S148" s="30">
        <v>7.0000000000000007E-2</v>
      </c>
    </row>
    <row r="149" spans="16:19" x14ac:dyDescent="0.25">
      <c r="P149" s="27">
        <v>3.2548184716220556E-2</v>
      </c>
      <c r="Q149" s="28">
        <f t="shared" si="6"/>
        <v>3.5548184716220559E-2</v>
      </c>
      <c r="R149" s="29">
        <v>0.15003660775771735</v>
      </c>
      <c r="S149" s="30">
        <v>6.003E-2</v>
      </c>
    </row>
    <row r="150" spans="16:19" x14ac:dyDescent="0.25">
      <c r="P150" s="27">
        <v>3.2548184716220556E-2</v>
      </c>
      <c r="Q150" s="28">
        <f t="shared" si="6"/>
        <v>3.5548184716220559E-2</v>
      </c>
      <c r="R150" s="29">
        <v>0.15003660775771735</v>
      </c>
      <c r="S150" s="30">
        <v>5.4079999999999996E-2</v>
      </c>
    </row>
    <row r="151" spans="16:19" x14ac:dyDescent="0.25">
      <c r="P151" s="27">
        <v>3.2548184716220556E-2</v>
      </c>
      <c r="Q151" s="28">
        <f t="shared" si="6"/>
        <v>3.5548184716220559E-2</v>
      </c>
      <c r="R151" s="29">
        <v>0.15003660775771735</v>
      </c>
      <c r="S151" s="30">
        <v>5.3069999999999999E-2</v>
      </c>
    </row>
    <row r="152" spans="16:19" x14ac:dyDescent="0.25">
      <c r="P152" s="27">
        <v>3.2548184716220556E-2</v>
      </c>
      <c r="Q152" s="28">
        <f t="shared" si="6"/>
        <v>3.5548184716220559E-2</v>
      </c>
      <c r="R152" s="29">
        <v>0.15003660775771735</v>
      </c>
      <c r="S152" s="30">
        <v>5.314E-2</v>
      </c>
    </row>
    <row r="153" spans="16:19" x14ac:dyDescent="0.25">
      <c r="P153" s="27">
        <v>3.2548184716220556E-2</v>
      </c>
      <c r="Q153" s="28">
        <f t="shared" si="6"/>
        <v>3.5548184716220559E-2</v>
      </c>
      <c r="R153" s="29">
        <v>0.15003660775771735</v>
      </c>
      <c r="S153" s="30">
        <v>5.9429999999999997E-2</v>
      </c>
    </row>
    <row r="154" spans="16:19" x14ac:dyDescent="0.25">
      <c r="P154" s="27">
        <v>3.2548184716220556E-2</v>
      </c>
      <c r="Q154" s="28">
        <f t="shared" si="6"/>
        <v>3.5548184716220559E-2</v>
      </c>
      <c r="R154" s="29">
        <v>0.15003660775771735</v>
      </c>
      <c r="S154" s="30">
        <v>7.0949999999999999E-2</v>
      </c>
    </row>
    <row r="155" spans="16:19" x14ac:dyDescent="0.25">
      <c r="P155" s="27">
        <v>3.2548184716220556E-2</v>
      </c>
      <c r="Q155" s="28">
        <f t="shared" si="6"/>
        <v>3.5548184716220559E-2</v>
      </c>
      <c r="R155" s="29">
        <v>0.15003660775771735</v>
      </c>
      <c r="S155" s="30">
        <v>7.7090000000000006E-2</v>
      </c>
    </row>
    <row r="156" spans="16:19" x14ac:dyDescent="0.25">
      <c r="P156" s="27">
        <v>3.2548184716220556E-2</v>
      </c>
      <c r="Q156" s="28">
        <f t="shared" si="6"/>
        <v>3.5548184716220559E-2</v>
      </c>
      <c r="R156" s="29">
        <v>0.15003660775771735</v>
      </c>
      <c r="S156" s="30">
        <v>8.9980000000000004E-2</v>
      </c>
    </row>
    <row r="157" spans="16:19" x14ac:dyDescent="0.25">
      <c r="P157" s="27">
        <v>3.2548184716220556E-2</v>
      </c>
      <c r="Q157" s="28">
        <f t="shared" si="6"/>
        <v>3.5548184716220559E-2</v>
      </c>
      <c r="R157" s="29">
        <v>0.15003660775771735</v>
      </c>
      <c r="S157" s="30">
        <v>7.7170000000000002E-2</v>
      </c>
    </row>
    <row r="158" spans="16:19" x14ac:dyDescent="0.25">
      <c r="P158" s="27">
        <v>3.2548184716220556E-2</v>
      </c>
      <c r="Q158" s="28">
        <f t="shared" si="6"/>
        <v>3.5548184716220559E-2</v>
      </c>
      <c r="R158" s="29">
        <v>0.15003660775771735</v>
      </c>
      <c r="S158" s="30">
        <v>7.1529999999999996E-2</v>
      </c>
    </row>
    <row r="159" spans="16:19" x14ac:dyDescent="0.25">
      <c r="P159" s="27">
        <v>3.2548184716220556E-2</v>
      </c>
      <c r="Q159" s="28">
        <f t="shared" si="6"/>
        <v>3.5548184716220559E-2</v>
      </c>
      <c r="R159" s="29">
        <v>0.15003660775771735</v>
      </c>
      <c r="S159" s="30">
        <v>6.7839999999999998E-2</v>
      </c>
    </row>
    <row r="160" spans="16:19" x14ac:dyDescent="0.25">
      <c r="P160" s="27">
        <v>3.2548184716220556E-2</v>
      </c>
      <c r="Q160" s="28">
        <f t="shared" si="6"/>
        <v>3.5548184716220559E-2</v>
      </c>
      <c r="R160" s="29">
        <v>0.15003660775771735</v>
      </c>
      <c r="S160" s="30">
        <v>6.4010000000000011E-2</v>
      </c>
    </row>
    <row r="161" spans="16:19" x14ac:dyDescent="0.25">
      <c r="P161" s="27">
        <v>3.2548184716220556E-2</v>
      </c>
      <c r="Q161" s="28">
        <f t="shared" si="6"/>
        <v>3.5548184716220559E-2</v>
      </c>
      <c r="R161" s="29">
        <v>0.15003660775771735</v>
      </c>
      <c r="S161" s="30">
        <v>6.3E-2</v>
      </c>
    </row>
    <row r="162" spans="16:19" x14ac:dyDescent="0.25">
      <c r="P162" s="27">
        <v>3.2548184716220556E-2</v>
      </c>
      <c r="Q162" s="28">
        <f t="shared" si="6"/>
        <v>3.5548184716220559E-2</v>
      </c>
      <c r="R162" s="29">
        <v>0.15003660775771735</v>
      </c>
      <c r="S162" s="30">
        <v>6.608E-2</v>
      </c>
    </row>
    <row r="163" spans="16:19" x14ac:dyDescent="0.25">
      <c r="P163" s="27">
        <v>3.2548184716220556E-2</v>
      </c>
      <c r="Q163" s="28">
        <f t="shared" si="6"/>
        <v>3.5548184716220559E-2</v>
      </c>
      <c r="R163" s="29">
        <v>0.15003660775771735</v>
      </c>
      <c r="S163" s="30">
        <v>7.0989999999999998E-2</v>
      </c>
    </row>
    <row r="164" spans="16:19" x14ac:dyDescent="0.25">
      <c r="P164" s="27">
        <v>3.2548184716220556E-2</v>
      </c>
      <c r="Q164" s="28">
        <f t="shared" si="6"/>
        <v>3.5548184716220559E-2</v>
      </c>
      <c r="R164" s="29">
        <v>0.15003660775771735</v>
      </c>
      <c r="S164" s="30">
        <v>7.7030000000000001E-2</v>
      </c>
    </row>
    <row r="165" spans="16:19" x14ac:dyDescent="0.25">
      <c r="P165" s="27">
        <v>3.2548184716220556E-2</v>
      </c>
      <c r="Q165" s="28">
        <f t="shared" si="6"/>
        <v>3.5548184716220559E-2</v>
      </c>
      <c r="R165" s="29">
        <v>0.15003660775771735</v>
      </c>
      <c r="S165" s="30">
        <v>7.4120000000000005E-2</v>
      </c>
    </row>
    <row r="166" spans="16:19" x14ac:dyDescent="0.25">
      <c r="P166" s="27">
        <v>3.2548184716220556E-2</v>
      </c>
      <c r="Q166" s="28">
        <f t="shared" si="6"/>
        <v>3.5548184716220559E-2</v>
      </c>
      <c r="R166" s="29">
        <v>0.15003660775771735</v>
      </c>
      <c r="S166" s="30">
        <v>7.399E-2</v>
      </c>
    </row>
    <row r="167" spans="16:19" x14ac:dyDescent="0.25">
      <c r="P167" s="27">
        <v>3.2548184716220556E-2</v>
      </c>
      <c r="Q167" s="28">
        <f t="shared" si="6"/>
        <v>3.5548184716220559E-2</v>
      </c>
      <c r="R167" s="29">
        <v>0.15003660775771735</v>
      </c>
      <c r="S167" s="30">
        <v>7.3669999999999999E-2</v>
      </c>
    </row>
    <row r="168" spans="16:19" x14ac:dyDescent="0.25">
      <c r="P168" s="27">
        <v>3.2548184716220556E-2</v>
      </c>
      <c r="Q168" s="28">
        <f t="shared" si="6"/>
        <v>3.5548184716220559E-2</v>
      </c>
      <c r="R168" s="29">
        <v>0.15003660775771735</v>
      </c>
      <c r="S168" s="30">
        <v>6.8680000000000005E-2</v>
      </c>
    </row>
    <row r="169" spans="16:19" x14ac:dyDescent="0.25">
      <c r="P169" s="27">
        <v>3.2548184716220556E-2</v>
      </c>
      <c r="Q169" s="28">
        <f t="shared" si="6"/>
        <v>3.5548184716220559E-2</v>
      </c>
      <c r="R169" s="29">
        <v>0.15003660775771735</v>
      </c>
      <c r="S169" s="30">
        <v>6.4640000000000003E-2</v>
      </c>
    </row>
    <row r="170" spans="16:19" x14ac:dyDescent="0.25">
      <c r="P170" s="27">
        <v>3.2548184716220556E-2</v>
      </c>
      <c r="Q170" s="28">
        <f t="shared" si="6"/>
        <v>3.5548184716220559E-2</v>
      </c>
      <c r="R170" s="29">
        <v>0.15003660775771735</v>
      </c>
      <c r="S170" s="30">
        <v>5.9770000000000004E-2</v>
      </c>
    </row>
    <row r="171" spans="16:19" x14ac:dyDescent="0.25">
      <c r="P171" s="27">
        <v>3.2548184716220556E-2</v>
      </c>
      <c r="Q171" s="28">
        <f t="shared" si="6"/>
        <v>3.5548184716220559E-2</v>
      </c>
      <c r="R171" s="29">
        <v>0.15003660775771735</v>
      </c>
      <c r="S171" s="30">
        <v>5.5E-2</v>
      </c>
    </row>
    <row r="172" spans="16:19" x14ac:dyDescent="0.25">
      <c r="P172" s="27">
        <v>3.2548184716220556E-2</v>
      </c>
      <c r="Q172" s="28">
        <f t="shared" si="6"/>
        <v>3.5548184716220559E-2</v>
      </c>
      <c r="R172" s="29">
        <v>0.15003660775771735</v>
      </c>
      <c r="S172" s="30">
        <v>5.9470000000000002E-2</v>
      </c>
    </row>
    <row r="173" spans="16:19" x14ac:dyDescent="0.25">
      <c r="P173" s="27">
        <v>3.2548184716220556E-2</v>
      </c>
      <c r="Q173" s="28">
        <f t="shared" si="6"/>
        <v>3.5548184716220559E-2</v>
      </c>
      <c r="R173" s="29">
        <v>0.15003660775771735</v>
      </c>
      <c r="S173" s="30">
        <v>5.4649999999999997E-2</v>
      </c>
    </row>
    <row r="174" spans="16:19" x14ac:dyDescent="0.25">
      <c r="P174" s="27">
        <v>3.2548184716220556E-2</v>
      </c>
      <c r="Q174" s="28">
        <f t="shared" si="6"/>
        <v>3.5548184716220559E-2</v>
      </c>
      <c r="R174" s="29">
        <v>0.15003660775771735</v>
      </c>
      <c r="S174" s="30">
        <v>4.8584757999999999E-2</v>
      </c>
    </row>
    <row r="175" spans="16:19" x14ac:dyDescent="0.25">
      <c r="P175" s="27">
        <v>3.2548184716220556E-2</v>
      </c>
      <c r="Q175" s="28">
        <f t="shared" si="6"/>
        <v>3.5548184716220559E-2</v>
      </c>
      <c r="R175" s="29">
        <v>0.15003660775771735</v>
      </c>
      <c r="S175" s="30">
        <v>0.04</v>
      </c>
    </row>
    <row r="176" spans="16:19" x14ac:dyDescent="0.25">
      <c r="P176" s="27">
        <v>3.2548184716220556E-2</v>
      </c>
      <c r="Q176" s="28">
        <f t="shared" si="6"/>
        <v>3.5548184716220559E-2</v>
      </c>
      <c r="R176" s="29">
        <v>0.15003660775771735</v>
      </c>
      <c r="S176" s="30">
        <v>4.7979999999999995E-2</v>
      </c>
    </row>
    <row r="177" spans="16:19" x14ac:dyDescent="0.25">
      <c r="P177" s="27">
        <v>3.2548184716220556E-2</v>
      </c>
      <c r="Q177" s="28">
        <f t="shared" si="6"/>
        <v>3.5548184716220559E-2</v>
      </c>
      <c r="R177" s="29">
        <v>0.15003660775771735</v>
      </c>
      <c r="S177" s="30">
        <v>5.4640000000000001E-2</v>
      </c>
    </row>
    <row r="178" spans="16:19" x14ac:dyDescent="0.25">
      <c r="P178" s="27">
        <v>3.2548184716220556E-2</v>
      </c>
      <c r="Q178" s="28">
        <f t="shared" si="6"/>
        <v>3.5548184716220559E-2</v>
      </c>
      <c r="R178" s="29">
        <v>0.15003660775771735</v>
      </c>
      <c r="S178" s="30">
        <v>6.0840000000000005E-2</v>
      </c>
    </row>
    <row r="179" spans="16:19" x14ac:dyDescent="0.25">
      <c r="P179" s="27">
        <v>3.2548184716220556E-2</v>
      </c>
      <c r="Q179" s="28">
        <f t="shared" si="6"/>
        <v>3.5548184716220559E-2</v>
      </c>
      <c r="R179" s="31">
        <v>0.15939660775771733</v>
      </c>
      <c r="S179" s="32">
        <v>6.7610000000000003E-2</v>
      </c>
    </row>
    <row r="180" spans="16:19" x14ac:dyDescent="0.25">
      <c r="P180" s="27">
        <v>3.2548184716220556E-2</v>
      </c>
      <c r="Q180" s="28">
        <f t="shared" si="6"/>
        <v>3.5548184716220559E-2</v>
      </c>
      <c r="R180" s="33">
        <v>0.16282860775771735</v>
      </c>
      <c r="S180" s="34">
        <v>7.399E-2</v>
      </c>
    </row>
    <row r="181" spans="16:19" x14ac:dyDescent="0.25">
      <c r="P181" s="27">
        <v>3.2548184716220556E-2</v>
      </c>
      <c r="Q181" s="28">
        <f t="shared" si="6"/>
        <v>3.5548184716220559E-2</v>
      </c>
      <c r="R181" s="33">
        <v>0.16282860775771735</v>
      </c>
      <c r="S181" s="34">
        <v>7.2800000000000004E-2</v>
      </c>
    </row>
    <row r="182" spans="16:19" x14ac:dyDescent="0.25">
      <c r="P182" s="27">
        <v>3.2548184716220556E-2</v>
      </c>
      <c r="Q182" s="28">
        <f t="shared" si="6"/>
        <v>3.5548184716220559E-2</v>
      </c>
      <c r="R182" s="33">
        <v>0.16282860775771735</v>
      </c>
      <c r="S182" s="34">
        <v>6.7729999999999999E-2</v>
      </c>
    </row>
    <row r="183" spans="16:19" x14ac:dyDescent="0.25">
      <c r="P183" s="27">
        <v>3.2548184716220556E-2</v>
      </c>
      <c r="Q183" s="28">
        <f t="shared" si="6"/>
        <v>3.5548184716220559E-2</v>
      </c>
      <c r="R183" s="33">
        <v>0.16282860775771735</v>
      </c>
      <c r="S183" s="34">
        <v>6.719E-2</v>
      </c>
    </row>
    <row r="184" spans="16:19" x14ac:dyDescent="0.25">
      <c r="P184" s="27">
        <v>3.2548184716220556E-2</v>
      </c>
      <c r="Q184" s="28">
        <f t="shared" si="6"/>
        <v>3.5548184716220559E-2</v>
      </c>
      <c r="R184" s="33">
        <v>0.16282860775771735</v>
      </c>
      <c r="S184" s="34">
        <v>6.1890000000000001E-2</v>
      </c>
    </row>
    <row r="185" spans="16:19" x14ac:dyDescent="0.25">
      <c r="P185" s="27">
        <v>3.2548184716220556E-2</v>
      </c>
      <c r="Q185" s="28">
        <f t="shared" si="6"/>
        <v>3.5548184716220559E-2</v>
      </c>
      <c r="R185" s="33">
        <v>0.16282860775771735</v>
      </c>
      <c r="S185" s="34">
        <v>6.1840000000000006E-2</v>
      </c>
    </row>
    <row r="186" spans="16:19" x14ac:dyDescent="0.25">
      <c r="P186" s="27">
        <v>3.2548184716220556E-2</v>
      </c>
      <c r="Q186" s="28">
        <f t="shared" si="6"/>
        <v>3.5548184716220559E-2</v>
      </c>
      <c r="R186" s="33">
        <v>0.16282860775771735</v>
      </c>
      <c r="S186" s="34">
        <v>6.5049999999999997E-2</v>
      </c>
    </row>
    <row r="187" spans="16:19" x14ac:dyDescent="0.25">
      <c r="P187" s="27">
        <v>3.2548184716220556E-2</v>
      </c>
      <c r="Q187" s="28">
        <f t="shared" si="6"/>
        <v>3.5548184716220559E-2</v>
      </c>
      <c r="R187" s="33">
        <v>0.16282860775771735</v>
      </c>
      <c r="S187" s="34">
        <v>6.9220000000000004E-2</v>
      </c>
    </row>
    <row r="188" spans="16:19" x14ac:dyDescent="0.25">
      <c r="P188" s="27">
        <v>3.2548184716220556E-2</v>
      </c>
      <c r="Q188" s="28">
        <f t="shared" si="6"/>
        <v>3.5548184716220559E-2</v>
      </c>
      <c r="R188" s="33">
        <v>0.16282860775771735</v>
      </c>
      <c r="S188" s="34">
        <v>7.399E-2</v>
      </c>
    </row>
    <row r="189" spans="16:19" x14ac:dyDescent="0.25">
      <c r="P189" s="27">
        <v>3.2548184716220556E-2</v>
      </c>
      <c r="Q189" s="28">
        <f t="shared" si="6"/>
        <v>3.5548184716220559E-2</v>
      </c>
      <c r="R189" s="33">
        <v>0.16282860775771735</v>
      </c>
      <c r="S189" s="34">
        <v>7.5989999999999988E-2</v>
      </c>
    </row>
    <row r="190" spans="16:19" x14ac:dyDescent="0.25">
      <c r="P190" s="27">
        <v>3.2548184716220556E-2</v>
      </c>
      <c r="Q190" s="28">
        <f t="shared" si="6"/>
        <v>3.5548184716220559E-2</v>
      </c>
      <c r="R190" s="33">
        <v>0.16282860775771735</v>
      </c>
      <c r="S190" s="34">
        <v>7.3150000000000007E-2</v>
      </c>
    </row>
    <row r="191" spans="16:19" x14ac:dyDescent="0.25">
      <c r="P191" s="27">
        <v>3.2548184716220556E-2</v>
      </c>
      <c r="Q191" s="28">
        <f t="shared" si="6"/>
        <v>3.5548184716220559E-2</v>
      </c>
      <c r="R191" s="31">
        <v>0.15939660775771733</v>
      </c>
      <c r="S191" s="32">
        <v>7.1209999999999996E-2</v>
      </c>
    </row>
    <row r="192" spans="16:19" x14ac:dyDescent="0.25">
      <c r="P192" s="27">
        <v>3.2548184716220556E-2</v>
      </c>
      <c r="Q192" s="28">
        <f t="shared" si="6"/>
        <v>3.5548184716220559E-2</v>
      </c>
      <c r="R192" s="31">
        <v>0.15939660775771733</v>
      </c>
      <c r="S192" s="32">
        <v>6.7000000000000004E-2</v>
      </c>
    </row>
    <row r="193" spans="16:19" x14ac:dyDescent="0.25">
      <c r="P193" s="27">
        <v>3.2548184716220556E-2</v>
      </c>
      <c r="Q193" s="28">
        <f t="shared" si="6"/>
        <v>3.5548184716220559E-2</v>
      </c>
      <c r="R193" s="31">
        <v>0.15939660775771733</v>
      </c>
      <c r="S193" s="32">
        <v>6.3E-2</v>
      </c>
    </row>
    <row r="194" spans="16:19" x14ac:dyDescent="0.25">
      <c r="P194" s="27">
        <v>3.2548184716220556E-2</v>
      </c>
      <c r="Q194" s="28">
        <f t="shared" si="6"/>
        <v>3.5548184716220559E-2</v>
      </c>
      <c r="R194" s="31">
        <v>0.15939660775771733</v>
      </c>
      <c r="S194" s="32">
        <v>5.9700000000000003E-2</v>
      </c>
    </row>
    <row r="195" spans="16:19" x14ac:dyDescent="0.25">
      <c r="P195" s="27">
        <v>3.2548184716220556E-2</v>
      </c>
      <c r="Q195" s="28">
        <f t="shared" si="6"/>
        <v>3.5548184716220559E-2</v>
      </c>
      <c r="R195" s="29">
        <v>0.15003660775771735</v>
      </c>
      <c r="S195" s="30">
        <v>5.5E-2</v>
      </c>
    </row>
    <row r="196" spans="16:19" x14ac:dyDescent="0.25">
      <c r="P196" s="27">
        <v>3.2548184716220556E-2</v>
      </c>
      <c r="Q196" s="28">
        <f t="shared" si="6"/>
        <v>3.5548184716220559E-2</v>
      </c>
      <c r="R196" s="29">
        <v>0.15003660775771735</v>
      </c>
      <c r="S196" s="30">
        <v>5.8000000000000003E-2</v>
      </c>
    </row>
    <row r="197" spans="16:19" x14ac:dyDescent="0.25">
      <c r="P197" s="27">
        <v>3.2548184716220556E-2</v>
      </c>
      <c r="Q197" s="28">
        <f t="shared" ref="Q197:Q260" si="7">P197+0.003</f>
        <v>3.5548184716220559E-2</v>
      </c>
      <c r="R197" s="29">
        <v>0.15003660775771735</v>
      </c>
      <c r="S197" s="30">
        <v>5.7919999999999999E-2</v>
      </c>
    </row>
    <row r="198" spans="16:19" x14ac:dyDescent="0.25">
      <c r="P198" s="27">
        <v>3.2548184716220556E-2</v>
      </c>
      <c r="Q198" s="28">
        <f t="shared" si="7"/>
        <v>3.5548184716220559E-2</v>
      </c>
      <c r="R198" s="29">
        <v>0.15003660775771735</v>
      </c>
      <c r="S198" s="30">
        <v>5.2999999999999999E-2</v>
      </c>
    </row>
    <row r="199" spans="16:19" x14ac:dyDescent="0.25">
      <c r="P199" s="27">
        <v>3.2548184716220556E-2</v>
      </c>
      <c r="Q199" s="28">
        <f t="shared" si="7"/>
        <v>3.5548184716220559E-2</v>
      </c>
      <c r="R199" s="29">
        <v>0.15003660775771735</v>
      </c>
      <c r="S199" s="30">
        <v>5.1999999999999998E-2</v>
      </c>
    </row>
    <row r="200" spans="16:19" x14ac:dyDescent="0.25">
      <c r="P200" s="27">
        <v>3.2548184716220556E-2</v>
      </c>
      <c r="Q200" s="28">
        <f t="shared" si="7"/>
        <v>3.5548184716220559E-2</v>
      </c>
      <c r="R200" s="29">
        <v>0.15003660775771735</v>
      </c>
      <c r="S200" s="30">
        <v>5.1900000000000002E-2</v>
      </c>
    </row>
    <row r="201" spans="16:19" x14ac:dyDescent="0.25">
      <c r="P201" s="27">
        <v>3.2548184716220556E-2</v>
      </c>
      <c r="Q201" s="28">
        <f t="shared" si="7"/>
        <v>3.5548184716220559E-2</v>
      </c>
      <c r="R201" s="29">
        <v>0.15003660775771735</v>
      </c>
      <c r="S201" s="30">
        <v>5.1515310999999994E-2</v>
      </c>
    </row>
    <row r="202" spans="16:19" x14ac:dyDescent="0.25">
      <c r="P202" s="27">
        <v>3.2548184716220556E-2</v>
      </c>
      <c r="Q202" s="28">
        <f t="shared" si="7"/>
        <v>3.5548184716220559E-2</v>
      </c>
      <c r="R202" s="29">
        <v>0.15003660775771735</v>
      </c>
      <c r="S202" s="30">
        <v>0.06</v>
      </c>
    </row>
    <row r="203" spans="16:19" x14ac:dyDescent="0.25">
      <c r="P203" s="27">
        <v>3.2548184716220556E-2</v>
      </c>
      <c r="Q203" s="28">
        <f t="shared" si="7"/>
        <v>3.5548184716220559E-2</v>
      </c>
      <c r="R203" s="31">
        <v>0.15939660775771733</v>
      </c>
      <c r="S203" s="32">
        <v>7.1099999999999997E-2</v>
      </c>
    </row>
    <row r="204" spans="16:19" x14ac:dyDescent="0.25">
      <c r="P204" s="27">
        <v>3.2548184716220556E-2</v>
      </c>
      <c r="Q204" s="28">
        <f t="shared" si="7"/>
        <v>3.5548184716220559E-2</v>
      </c>
      <c r="R204" s="33">
        <v>0.16282860775771735</v>
      </c>
      <c r="S204" s="34">
        <v>7.6989999999999989E-2</v>
      </c>
    </row>
    <row r="205" spans="16:19" x14ac:dyDescent="0.25">
      <c r="P205" s="27">
        <v>3.2548184716220556E-2</v>
      </c>
      <c r="Q205" s="28">
        <f t="shared" si="7"/>
        <v>3.5548184716220559E-2</v>
      </c>
      <c r="R205" s="33">
        <v>0.16282860775771735</v>
      </c>
      <c r="S205" s="34">
        <v>7.6219999999999996E-2</v>
      </c>
    </row>
    <row r="206" spans="16:19" x14ac:dyDescent="0.25">
      <c r="P206" s="27">
        <v>3.2548184716220556E-2</v>
      </c>
      <c r="Q206" s="28">
        <f t="shared" si="7"/>
        <v>3.5548184716220559E-2</v>
      </c>
      <c r="R206" s="33">
        <v>0.16282860775771735</v>
      </c>
      <c r="S206" s="34">
        <v>6.9949999999999998E-2</v>
      </c>
    </row>
    <row r="207" spans="16:19" x14ac:dyDescent="0.25">
      <c r="P207" s="27">
        <v>3.2548184716220556E-2</v>
      </c>
      <c r="Q207" s="28">
        <f t="shared" si="7"/>
        <v>3.5548184716220559E-2</v>
      </c>
      <c r="R207" s="33">
        <v>0.16282860775771735</v>
      </c>
      <c r="S207" s="34">
        <v>6.5519999999999995E-2</v>
      </c>
    </row>
    <row r="208" spans="16:19" x14ac:dyDescent="0.25">
      <c r="P208" s="27">
        <v>3.2548184716220556E-2</v>
      </c>
      <c r="Q208" s="28">
        <f t="shared" si="7"/>
        <v>3.5548184716220559E-2</v>
      </c>
      <c r="R208" s="33">
        <v>0.16282860775771735</v>
      </c>
      <c r="S208" s="34">
        <v>0.06</v>
      </c>
    </row>
    <row r="209" spans="16:19" x14ac:dyDescent="0.25">
      <c r="P209" s="27">
        <v>3.2548184716220556E-2</v>
      </c>
      <c r="Q209" s="28">
        <f t="shared" si="7"/>
        <v>3.5548184716220559E-2</v>
      </c>
      <c r="R209" s="33">
        <v>0.16282860775771735</v>
      </c>
      <c r="S209" s="34">
        <v>0.06</v>
      </c>
    </row>
    <row r="210" spans="16:19" x14ac:dyDescent="0.25">
      <c r="P210" s="27">
        <v>3.2548184716220556E-2</v>
      </c>
      <c r="Q210" s="28">
        <f t="shared" si="7"/>
        <v>3.5548184716220559E-2</v>
      </c>
      <c r="R210" s="33">
        <v>0.16282860775771735</v>
      </c>
      <c r="S210" s="34">
        <v>6.3509999999999997E-2</v>
      </c>
    </row>
    <row r="211" spans="16:19" x14ac:dyDescent="0.25">
      <c r="P211" s="27">
        <v>3.2548184716220556E-2</v>
      </c>
      <c r="Q211" s="28">
        <f t="shared" si="7"/>
        <v>3.5548184716220559E-2</v>
      </c>
      <c r="R211" s="33">
        <v>0.16282860775771735</v>
      </c>
      <c r="S211" s="34">
        <v>7.0000000000000007E-2</v>
      </c>
    </row>
    <row r="212" spans="16:19" x14ac:dyDescent="0.25">
      <c r="P212" s="27">
        <v>3.2548184716220556E-2</v>
      </c>
      <c r="Q212" s="28">
        <f t="shared" si="7"/>
        <v>3.5548184716220559E-2</v>
      </c>
      <c r="R212" s="33">
        <v>0.16282860775771735</v>
      </c>
      <c r="S212" s="34">
        <v>7.1989999999999998E-2</v>
      </c>
    </row>
    <row r="213" spans="16:19" x14ac:dyDescent="0.25">
      <c r="P213" s="27">
        <v>3.2548184716220556E-2</v>
      </c>
      <c r="Q213" s="28">
        <f t="shared" si="7"/>
        <v>3.5548184716220559E-2</v>
      </c>
      <c r="R213" s="33">
        <v>0.16282860775771735</v>
      </c>
      <c r="S213" s="34">
        <v>7.7010000000000009E-2</v>
      </c>
    </row>
    <row r="214" spans="16:19" x14ac:dyDescent="0.25">
      <c r="P214" s="27">
        <v>3.2548184716220556E-2</v>
      </c>
      <c r="Q214" s="28">
        <f t="shared" si="7"/>
        <v>3.5548184716220559E-2</v>
      </c>
      <c r="R214" s="33">
        <v>0.16282860775771735</v>
      </c>
      <c r="S214" s="34">
        <v>7.3499999999999996E-2</v>
      </c>
    </row>
    <row r="215" spans="16:19" x14ac:dyDescent="0.25">
      <c r="P215" s="27">
        <v>3.2548184716220556E-2</v>
      </c>
      <c r="Q215" s="28">
        <f t="shared" si="7"/>
        <v>3.5548184716220559E-2</v>
      </c>
      <c r="R215" s="31">
        <v>0.15939660775771733</v>
      </c>
      <c r="S215" s="32">
        <v>7.2059999999999999E-2</v>
      </c>
    </row>
    <row r="216" spans="16:19" x14ac:dyDescent="0.25">
      <c r="P216" s="27">
        <v>3.2548184716220556E-2</v>
      </c>
      <c r="Q216" s="28">
        <f t="shared" si="7"/>
        <v>3.5548184716220559E-2</v>
      </c>
      <c r="R216" s="31">
        <v>0.15939660775771733</v>
      </c>
      <c r="S216" s="32">
        <v>6.7319999999999991E-2</v>
      </c>
    </row>
    <row r="217" spans="16:19" x14ac:dyDescent="0.25">
      <c r="P217" s="27">
        <v>3.2548184716220556E-2</v>
      </c>
      <c r="Q217" s="28">
        <f t="shared" si="7"/>
        <v>3.5548184716220559E-2</v>
      </c>
      <c r="R217" s="31">
        <v>0.15939660775771733</v>
      </c>
      <c r="S217" s="32">
        <v>6.2009999999999996E-2</v>
      </c>
    </row>
    <row r="218" spans="16:19" x14ac:dyDescent="0.25">
      <c r="P218" s="27">
        <v>3.2548184716220556E-2</v>
      </c>
      <c r="Q218" s="28">
        <f t="shared" si="7"/>
        <v>3.5548184716220559E-2</v>
      </c>
      <c r="R218" s="31">
        <v>0.15939660775771733</v>
      </c>
      <c r="S218" s="32">
        <v>5.799E-2</v>
      </c>
    </row>
    <row r="219" spans="16:19" x14ac:dyDescent="0.25">
      <c r="P219" s="27">
        <v>3.2548184716220556E-2</v>
      </c>
      <c r="Q219" s="28">
        <f t="shared" si="7"/>
        <v>3.5548184716220559E-2</v>
      </c>
      <c r="R219" s="29">
        <v>0.15003660775771735</v>
      </c>
      <c r="S219" s="30">
        <v>5.6254906E-2</v>
      </c>
    </row>
    <row r="220" spans="16:19" x14ac:dyDescent="0.25">
      <c r="P220" s="27">
        <v>3.2548184716220556E-2</v>
      </c>
      <c r="Q220" s="28">
        <f t="shared" si="7"/>
        <v>3.5548184716220559E-2</v>
      </c>
      <c r="R220" s="29">
        <v>0.15003660775771735</v>
      </c>
      <c r="S220" s="30">
        <v>5.5E-2</v>
      </c>
    </row>
    <row r="221" spans="16:19" x14ac:dyDescent="0.25">
      <c r="P221" s="27">
        <v>3.2548184716220556E-2</v>
      </c>
      <c r="Q221" s="28">
        <f t="shared" si="7"/>
        <v>3.5548184716220559E-2</v>
      </c>
      <c r="R221" s="29">
        <v>0.15003660775771735</v>
      </c>
      <c r="S221" s="30">
        <v>4.9556625E-2</v>
      </c>
    </row>
    <row r="222" spans="16:19" x14ac:dyDescent="0.25">
      <c r="P222" s="27">
        <v>3.2548184716220556E-2</v>
      </c>
      <c r="Q222" s="28">
        <f t="shared" si="7"/>
        <v>3.5548184716220559E-2</v>
      </c>
      <c r="R222" s="29">
        <v>0.15003660775771735</v>
      </c>
      <c r="S222" s="30">
        <v>3.7999999999999999E-2</v>
      </c>
    </row>
    <row r="223" spans="16:19" x14ac:dyDescent="0.25">
      <c r="P223" s="27">
        <v>3.2548184716220556E-2</v>
      </c>
      <c r="Q223" s="28">
        <f t="shared" si="7"/>
        <v>3.5548184716220559E-2</v>
      </c>
      <c r="R223" s="29">
        <v>0.15003660775771735</v>
      </c>
      <c r="S223" s="30">
        <v>0.03</v>
      </c>
    </row>
    <row r="224" spans="16:19" x14ac:dyDescent="0.25">
      <c r="P224" s="27">
        <v>3.2548184716220556E-2</v>
      </c>
      <c r="Q224" s="28">
        <f t="shared" si="7"/>
        <v>3.5548184716220559E-2</v>
      </c>
      <c r="R224" s="29">
        <v>0.15003660775771735</v>
      </c>
      <c r="S224" s="30">
        <v>3.3360000000000001E-2</v>
      </c>
    </row>
    <row r="225" spans="16:19" x14ac:dyDescent="0.25">
      <c r="P225" s="27">
        <v>3.2548184716220556E-2</v>
      </c>
      <c r="Q225" s="28">
        <f t="shared" si="7"/>
        <v>3.5548184716220559E-2</v>
      </c>
      <c r="R225" s="29">
        <v>0.15003660775771735</v>
      </c>
      <c r="S225" s="30">
        <v>4.65E-2</v>
      </c>
    </row>
    <row r="226" spans="16:19" x14ac:dyDescent="0.25">
      <c r="P226" s="27">
        <v>3.2548184716220556E-2</v>
      </c>
      <c r="Q226" s="28">
        <f t="shared" si="7"/>
        <v>3.5548184716220559E-2</v>
      </c>
      <c r="R226" s="29">
        <v>0.15003660775771735</v>
      </c>
      <c r="S226" s="30">
        <v>5.9729999999999998E-2</v>
      </c>
    </row>
    <row r="227" spans="16:19" x14ac:dyDescent="0.25">
      <c r="P227" s="27">
        <v>3.2548184716220556E-2</v>
      </c>
      <c r="Q227" s="28">
        <f t="shared" si="7"/>
        <v>3.5548184716220559E-2</v>
      </c>
      <c r="R227" s="31">
        <v>0.15939660775771733</v>
      </c>
      <c r="S227" s="32">
        <v>6.7290000000000003E-2</v>
      </c>
    </row>
    <row r="228" spans="16:19" x14ac:dyDescent="0.25">
      <c r="P228" s="27">
        <v>3.2548184716220556E-2</v>
      </c>
      <c r="Q228" s="28">
        <f t="shared" si="7"/>
        <v>3.5548184716220559E-2</v>
      </c>
      <c r="R228" s="33">
        <v>0.16282860775771735</v>
      </c>
      <c r="S228" s="34">
        <v>7.0500095999999998E-2</v>
      </c>
    </row>
    <row r="229" spans="16:19" x14ac:dyDescent="0.25">
      <c r="P229" s="27">
        <v>3.2548184716220556E-2</v>
      </c>
      <c r="Q229" s="28">
        <f t="shared" si="7"/>
        <v>3.5548184716220559E-2</v>
      </c>
      <c r="R229" s="33">
        <v>0.16282860775771735</v>
      </c>
      <c r="S229" s="34">
        <v>6.9690000000000002E-2</v>
      </c>
    </row>
    <row r="230" spans="16:19" x14ac:dyDescent="0.25">
      <c r="P230" s="27">
        <v>3.2548184716220556E-2</v>
      </c>
      <c r="Q230" s="28">
        <f t="shared" si="7"/>
        <v>3.5548184716220559E-2</v>
      </c>
      <c r="R230" s="33">
        <v>0.16282860775771735</v>
      </c>
      <c r="S230" s="34">
        <v>6.4640000000000003E-2</v>
      </c>
    </row>
    <row r="231" spans="16:19" x14ac:dyDescent="0.25">
      <c r="P231" s="27">
        <v>3.2548184716220556E-2</v>
      </c>
      <c r="Q231" s="28">
        <f t="shared" si="7"/>
        <v>3.5548184716220559E-2</v>
      </c>
      <c r="R231" s="33">
        <v>0.16282860775771735</v>
      </c>
      <c r="S231" s="34">
        <v>6.343E-2</v>
      </c>
    </row>
    <row r="232" spans="16:19" x14ac:dyDescent="0.25">
      <c r="P232" s="27">
        <v>3.2548184716220556E-2</v>
      </c>
      <c r="Q232" s="28">
        <f t="shared" si="7"/>
        <v>3.5548184716220559E-2</v>
      </c>
      <c r="R232" s="33">
        <v>0.16282860775771735</v>
      </c>
      <c r="S232" s="34">
        <v>5.8099999999999999E-2</v>
      </c>
    </row>
    <row r="233" spans="16:19" x14ac:dyDescent="0.25">
      <c r="P233" s="27">
        <v>3.2548184716220556E-2</v>
      </c>
      <c r="Q233" s="28">
        <f t="shared" si="7"/>
        <v>3.5548184716220559E-2</v>
      </c>
      <c r="R233" s="33">
        <v>0.16282860775771735</v>
      </c>
      <c r="S233" s="34">
        <v>5.815E-2</v>
      </c>
    </row>
    <row r="234" spans="16:19" x14ac:dyDescent="0.25">
      <c r="P234" s="27">
        <v>3.2548184716220556E-2</v>
      </c>
      <c r="Q234" s="28">
        <f t="shared" si="7"/>
        <v>3.5548184716220559E-2</v>
      </c>
      <c r="R234" s="33">
        <v>0.16282860775771735</v>
      </c>
      <c r="S234" s="34">
        <v>6.1550000000000001E-2</v>
      </c>
    </row>
    <row r="235" spans="16:19" x14ac:dyDescent="0.25">
      <c r="P235" s="27">
        <v>3.2548184716220556E-2</v>
      </c>
      <c r="Q235" s="28">
        <f t="shared" si="7"/>
        <v>3.5548184716220559E-2</v>
      </c>
      <c r="R235" s="33">
        <v>0.16282860775771735</v>
      </c>
      <c r="S235" s="34">
        <v>6.498000000000001E-2</v>
      </c>
    </row>
    <row r="236" spans="16:19" x14ac:dyDescent="0.25">
      <c r="P236" s="27">
        <v>3.2548184716220556E-2</v>
      </c>
      <c r="Q236" s="28">
        <f t="shared" si="7"/>
        <v>3.5548184716220559E-2</v>
      </c>
      <c r="R236" s="33">
        <v>0.16282860775771735</v>
      </c>
      <c r="S236" s="34">
        <v>6.8339999999999998E-2</v>
      </c>
    </row>
    <row r="237" spans="16:19" x14ac:dyDescent="0.25">
      <c r="P237" s="27">
        <v>3.2548184716220556E-2</v>
      </c>
      <c r="Q237" s="28">
        <f t="shared" si="7"/>
        <v>3.5548184716220559E-2</v>
      </c>
      <c r="R237" s="33">
        <v>0.16282860775771735</v>
      </c>
      <c r="S237" s="34">
        <v>7.4980000000000005E-2</v>
      </c>
    </row>
    <row r="238" spans="16:19" x14ac:dyDescent="0.25">
      <c r="P238" s="27">
        <v>3.2548184716220556E-2</v>
      </c>
      <c r="Q238" s="28">
        <f t="shared" si="7"/>
        <v>3.5548184716220559E-2</v>
      </c>
      <c r="R238" s="33">
        <v>0.16282860775771735</v>
      </c>
      <c r="S238" s="34">
        <v>7.2999999999999995E-2</v>
      </c>
    </row>
    <row r="239" spans="16:19" x14ac:dyDescent="0.25">
      <c r="P239" s="27">
        <v>3.2548184716220556E-2</v>
      </c>
      <c r="Q239" s="28">
        <f t="shared" si="7"/>
        <v>3.5548184716220559E-2</v>
      </c>
      <c r="R239" s="31">
        <v>0.15939660775771733</v>
      </c>
      <c r="S239" s="32">
        <v>7.0059999999999997E-2</v>
      </c>
    </row>
    <row r="240" spans="16:19" x14ac:dyDescent="0.25">
      <c r="P240" s="27">
        <v>3.2548184716220556E-2</v>
      </c>
      <c r="Q240" s="28">
        <f t="shared" si="7"/>
        <v>3.5548184716220559E-2</v>
      </c>
      <c r="R240" s="31">
        <v>0.15939660775771733</v>
      </c>
      <c r="S240" s="32">
        <v>6.5280000000000005E-2</v>
      </c>
    </row>
    <row r="241" spans="16:19" x14ac:dyDescent="0.25">
      <c r="P241" s="27">
        <v>3.2548184716220556E-2</v>
      </c>
      <c r="Q241" s="28">
        <f t="shared" si="7"/>
        <v>3.5548184716220559E-2</v>
      </c>
      <c r="R241" s="31">
        <v>0.15939660775771733</v>
      </c>
      <c r="S241" s="32">
        <v>6.2579999999999997E-2</v>
      </c>
    </row>
    <row r="242" spans="16:19" x14ac:dyDescent="0.25">
      <c r="P242" s="27">
        <v>3.2548184716220556E-2</v>
      </c>
      <c r="Q242" s="28">
        <f t="shared" si="7"/>
        <v>3.5548184716220559E-2</v>
      </c>
      <c r="R242" s="31">
        <v>0.15939660775771733</v>
      </c>
      <c r="S242" s="32">
        <v>5.8889999999999998E-2</v>
      </c>
    </row>
    <row r="243" spans="16:19" x14ac:dyDescent="0.25">
      <c r="P243" s="27">
        <v>3.2548184716220556E-2</v>
      </c>
      <c r="Q243" s="28">
        <f t="shared" si="7"/>
        <v>3.5548184716220559E-2</v>
      </c>
      <c r="R243" s="29">
        <v>0.15003660775771735</v>
      </c>
      <c r="S243" s="30">
        <v>5.8159999999999996E-2</v>
      </c>
    </row>
    <row r="244" spans="16:19" x14ac:dyDescent="0.25">
      <c r="P244" s="27">
        <v>3.2548184716220556E-2</v>
      </c>
      <c r="Q244" s="28">
        <f t="shared" si="7"/>
        <v>3.5548184716220559E-2</v>
      </c>
      <c r="R244" s="29">
        <v>0.15003660775771735</v>
      </c>
      <c r="S244" s="30">
        <v>6.498000000000001E-2</v>
      </c>
    </row>
    <row r="245" spans="16:19" x14ac:dyDescent="0.25">
      <c r="P245" s="27">
        <v>3.2548184716220556E-2</v>
      </c>
      <c r="Q245" s="28">
        <f t="shared" si="7"/>
        <v>3.5548184716220559E-2</v>
      </c>
      <c r="R245" s="29">
        <v>0.15003660775771735</v>
      </c>
      <c r="S245" s="30">
        <v>6.0899999999999996E-2</v>
      </c>
    </row>
    <row r="246" spans="16:19" x14ac:dyDescent="0.25">
      <c r="P246" s="27">
        <v>3.2548184716220556E-2</v>
      </c>
      <c r="Q246" s="28">
        <f t="shared" si="7"/>
        <v>3.5548184716220559E-2</v>
      </c>
      <c r="R246" s="29">
        <v>0.15003660775771735</v>
      </c>
      <c r="S246" s="30">
        <v>5.8950000000000002E-2</v>
      </c>
    </row>
    <row r="247" spans="16:19" x14ac:dyDescent="0.25">
      <c r="P247" s="27">
        <v>3.2548184716220556E-2</v>
      </c>
      <c r="Q247" s="28">
        <f t="shared" si="7"/>
        <v>3.5548184716220559E-2</v>
      </c>
      <c r="R247" s="29">
        <v>0.15003660775771735</v>
      </c>
      <c r="S247" s="30">
        <v>5.808E-2</v>
      </c>
    </row>
    <row r="248" spans="16:19" x14ac:dyDescent="0.25">
      <c r="P248" s="27">
        <v>3.2548184716220556E-2</v>
      </c>
      <c r="Q248" s="28">
        <f t="shared" si="7"/>
        <v>3.5548184716220559E-2</v>
      </c>
      <c r="R248" s="29">
        <v>0.15003660775771735</v>
      </c>
      <c r="S248" s="30">
        <v>5.6620891999999999E-2</v>
      </c>
    </row>
    <row r="249" spans="16:19" x14ac:dyDescent="0.25">
      <c r="P249" s="27">
        <v>3.2548184716220556E-2</v>
      </c>
      <c r="Q249" s="28">
        <f t="shared" si="7"/>
        <v>3.5548184716220559E-2</v>
      </c>
      <c r="R249" s="29">
        <v>0.15003660775771735</v>
      </c>
      <c r="S249" s="30">
        <v>5.9499999999999997E-2</v>
      </c>
    </row>
    <row r="250" spans="16:19" x14ac:dyDescent="0.25">
      <c r="P250" s="27">
        <v>3.2548184716220556E-2</v>
      </c>
      <c r="Q250" s="28">
        <f t="shared" si="7"/>
        <v>3.5548184716220559E-2</v>
      </c>
      <c r="R250" s="29">
        <v>0.15003660775771735</v>
      </c>
      <c r="S250" s="30">
        <v>6.3219999999999998E-2</v>
      </c>
    </row>
    <row r="251" spans="16:19" x14ac:dyDescent="0.25">
      <c r="P251" s="27">
        <v>3.2548184716220556E-2</v>
      </c>
      <c r="Q251" s="28">
        <f t="shared" si="7"/>
        <v>3.5548184716220559E-2</v>
      </c>
      <c r="R251" s="31">
        <v>0.15939660775771733</v>
      </c>
      <c r="S251" s="32">
        <v>8.3000000000000004E-2</v>
      </c>
    </row>
    <row r="252" spans="16:19" x14ac:dyDescent="0.25">
      <c r="P252" s="27">
        <v>3.2548184716220556E-2</v>
      </c>
      <c r="Q252" s="28">
        <f t="shared" si="7"/>
        <v>3.5548184716220559E-2</v>
      </c>
      <c r="R252" s="33">
        <v>0.16282860775771735</v>
      </c>
      <c r="S252" s="34">
        <v>7.9989999999999992E-2</v>
      </c>
    </row>
    <row r="253" spans="16:19" x14ac:dyDescent="0.25">
      <c r="P253" s="27">
        <v>3.2548184716220556E-2</v>
      </c>
      <c r="Q253" s="28">
        <f t="shared" si="7"/>
        <v>3.5548184716220559E-2</v>
      </c>
      <c r="R253" s="33">
        <v>0.16282860775771735</v>
      </c>
      <c r="S253" s="34">
        <v>0.08</v>
      </c>
    </row>
    <row r="254" spans="16:19" x14ac:dyDescent="0.25">
      <c r="P254" s="27">
        <v>3.2548184716220556E-2</v>
      </c>
      <c r="Q254" s="28">
        <f t="shared" si="7"/>
        <v>3.5548184716220559E-2</v>
      </c>
      <c r="R254" s="33">
        <v>0.16282860775771735</v>
      </c>
      <c r="S254" s="34">
        <v>6.8000000000000005E-2</v>
      </c>
    </row>
    <row r="255" spans="16:19" x14ac:dyDescent="0.25">
      <c r="P255" s="27">
        <v>3.2548184716220556E-2</v>
      </c>
      <c r="Q255" s="28">
        <f t="shared" si="7"/>
        <v>3.5548184716220559E-2</v>
      </c>
      <c r="R255" s="33">
        <v>0.16282860775771735</v>
      </c>
      <c r="S255" s="34">
        <v>6.498000000000001E-2</v>
      </c>
    </row>
    <row r="256" spans="16:19" x14ac:dyDescent="0.25">
      <c r="P256" s="27">
        <v>3.2548184716220556E-2</v>
      </c>
      <c r="Q256" s="28">
        <f t="shared" si="7"/>
        <v>3.5548184716220559E-2</v>
      </c>
      <c r="R256" s="33">
        <v>0.16282860775771735</v>
      </c>
      <c r="S256" s="34">
        <v>5.9549999999999999E-2</v>
      </c>
    </row>
    <row r="257" spans="16:19" x14ac:dyDescent="0.25">
      <c r="P257" s="27">
        <v>3.2548184716220556E-2</v>
      </c>
      <c r="Q257" s="28">
        <f t="shared" si="7"/>
        <v>3.5548184716220559E-2</v>
      </c>
      <c r="R257" s="33">
        <v>0.16282860775771735</v>
      </c>
      <c r="S257" s="34">
        <v>5.8909999999999997E-2</v>
      </c>
    </row>
    <row r="258" spans="16:19" x14ac:dyDescent="0.25">
      <c r="P258" s="27">
        <v>3.2548184716220556E-2</v>
      </c>
      <c r="Q258" s="28">
        <f t="shared" si="7"/>
        <v>3.5548184716220559E-2</v>
      </c>
      <c r="R258" s="33">
        <v>0.16282860775771735</v>
      </c>
      <c r="S258" s="34">
        <v>6.0139999999999999E-2</v>
      </c>
    </row>
    <row r="259" spans="16:19" x14ac:dyDescent="0.25">
      <c r="P259" s="27">
        <v>3.2548184716220556E-2</v>
      </c>
      <c r="Q259" s="28">
        <f t="shared" si="7"/>
        <v>3.5548184716220559E-2</v>
      </c>
      <c r="R259" s="33">
        <v>0.16282860775771735</v>
      </c>
      <c r="S259" s="34">
        <v>6.3E-2</v>
      </c>
    </row>
    <row r="260" spans="16:19" x14ac:dyDescent="0.25">
      <c r="P260" s="27">
        <v>3.2548184716220556E-2</v>
      </c>
      <c r="Q260" s="28">
        <f t="shared" si="7"/>
        <v>3.5548184716220559E-2</v>
      </c>
      <c r="R260" s="33">
        <v>0.16282860775771735</v>
      </c>
      <c r="S260" s="34">
        <v>6.6470000000000001E-2</v>
      </c>
    </row>
    <row r="261" spans="16:19" x14ac:dyDescent="0.25">
      <c r="P261" s="27">
        <v>3.2548184716220556E-2</v>
      </c>
      <c r="Q261" s="28">
        <f t="shared" ref="Q261:Q324" si="8">P261+0.003</f>
        <v>3.5548184716220559E-2</v>
      </c>
      <c r="R261" s="33">
        <v>0.16282860775771735</v>
      </c>
      <c r="S261" s="34">
        <v>7.4520000000000003E-2</v>
      </c>
    </row>
    <row r="262" spans="16:19" x14ac:dyDescent="0.25">
      <c r="P262" s="27">
        <v>3.2548184716220556E-2</v>
      </c>
      <c r="Q262" s="28">
        <f t="shared" si="8"/>
        <v>3.5548184716220559E-2</v>
      </c>
      <c r="R262" s="33">
        <v>0.16282860775771735</v>
      </c>
      <c r="S262" s="34">
        <v>7.3999999999999996E-2</v>
      </c>
    </row>
    <row r="263" spans="16:19" x14ac:dyDescent="0.25">
      <c r="P263" s="27">
        <v>3.2548184716220556E-2</v>
      </c>
      <c r="Q263" s="28">
        <f t="shared" si="8"/>
        <v>3.5548184716220559E-2</v>
      </c>
      <c r="R263" s="31">
        <v>0.15939660775771733</v>
      </c>
      <c r="S263" s="32">
        <v>7.399E-2</v>
      </c>
    </row>
    <row r="264" spans="16:19" x14ac:dyDescent="0.25">
      <c r="P264" s="27">
        <v>3.2548184716220556E-2</v>
      </c>
      <c r="Q264" s="28">
        <f t="shared" si="8"/>
        <v>3.5548184716220559E-2</v>
      </c>
      <c r="R264" s="31">
        <v>0.15939660775771733</v>
      </c>
      <c r="S264" s="32">
        <v>6.7930000000000004E-2</v>
      </c>
    </row>
    <row r="265" spans="16:19" x14ac:dyDescent="0.25">
      <c r="P265" s="27">
        <v>3.2548184716220556E-2</v>
      </c>
      <c r="Q265" s="28">
        <f t="shared" si="8"/>
        <v>3.5548184716220559E-2</v>
      </c>
      <c r="R265" s="31">
        <v>0.15939660775771733</v>
      </c>
      <c r="S265" s="32">
        <v>6.4349999999999991E-2</v>
      </c>
    </row>
    <row r="266" spans="16:19" x14ac:dyDescent="0.25">
      <c r="P266" s="27">
        <v>3.2548184716220556E-2</v>
      </c>
      <c r="Q266" s="28">
        <f t="shared" si="8"/>
        <v>3.5548184716220559E-2</v>
      </c>
      <c r="R266" s="31">
        <v>0.15939660775771733</v>
      </c>
      <c r="S266" s="32">
        <v>6.1509999999999995E-2</v>
      </c>
    </row>
    <row r="267" spans="16:19" x14ac:dyDescent="0.25">
      <c r="P267" s="27">
        <v>3.2548184716220556E-2</v>
      </c>
      <c r="Q267" s="28">
        <f t="shared" si="8"/>
        <v>3.5548184716220559E-2</v>
      </c>
      <c r="R267" s="29">
        <v>0.15003660775771735</v>
      </c>
      <c r="S267" s="30">
        <v>5.8999999999999997E-2</v>
      </c>
    </row>
    <row r="268" spans="16:19" x14ac:dyDescent="0.25">
      <c r="P268" s="27">
        <v>3.2548184716220556E-2</v>
      </c>
      <c r="Q268" s="28">
        <f t="shared" si="8"/>
        <v>3.5548184716220559E-2</v>
      </c>
      <c r="R268" s="29">
        <v>0.15003660775771735</v>
      </c>
      <c r="S268" s="30">
        <v>5.8810000000000001E-2</v>
      </c>
    </row>
    <row r="269" spans="16:19" x14ac:dyDescent="0.25">
      <c r="P269" s="27">
        <v>3.2548184716220556E-2</v>
      </c>
      <c r="Q269" s="28">
        <f t="shared" si="8"/>
        <v>3.5548184716220559E-2</v>
      </c>
      <c r="R269" s="29">
        <v>0.15003660775771735</v>
      </c>
      <c r="S269" s="30">
        <v>5.45E-2</v>
      </c>
    </row>
    <row r="270" spans="16:19" x14ac:dyDescent="0.25">
      <c r="P270" s="27">
        <v>3.2548184716220556E-2</v>
      </c>
      <c r="Q270" s="28">
        <f t="shared" si="8"/>
        <v>3.5548184716220559E-2</v>
      </c>
      <c r="R270" s="29">
        <v>0.15003660775771735</v>
      </c>
      <c r="S270" s="30">
        <v>4.9500000000000002E-2</v>
      </c>
    </row>
    <row r="271" spans="16:19" x14ac:dyDescent="0.25">
      <c r="P271" s="27">
        <v>3.2548184716220556E-2</v>
      </c>
      <c r="Q271" s="28">
        <f t="shared" si="8"/>
        <v>3.5548184716220559E-2</v>
      </c>
      <c r="R271" s="29">
        <v>0.15003660775771735</v>
      </c>
      <c r="S271" s="30">
        <v>3.4279999999999998E-2</v>
      </c>
    </row>
    <row r="272" spans="16:19" x14ac:dyDescent="0.25">
      <c r="P272" s="27">
        <v>3.2548184716220556E-2</v>
      </c>
      <c r="Q272" s="28">
        <f t="shared" si="8"/>
        <v>3.5548184716220559E-2</v>
      </c>
      <c r="R272" s="29">
        <v>0.15003660775771735</v>
      </c>
      <c r="S272" s="30">
        <v>3.4279999999999998E-2</v>
      </c>
    </row>
    <row r="273" spans="16:19" x14ac:dyDescent="0.25">
      <c r="P273" s="27">
        <v>3.2548184716220556E-2</v>
      </c>
      <c r="Q273" s="28">
        <f t="shared" si="8"/>
        <v>3.5548184716220559E-2</v>
      </c>
      <c r="R273" s="29">
        <v>0.15003660775771735</v>
      </c>
      <c r="S273" s="30">
        <v>3.5000000000000003E-2</v>
      </c>
    </row>
    <row r="274" spans="16:19" x14ac:dyDescent="0.25">
      <c r="P274" s="27">
        <v>3.2548184716220556E-2</v>
      </c>
      <c r="Q274" s="28">
        <f t="shared" si="8"/>
        <v>3.5548184716220559E-2</v>
      </c>
      <c r="R274" s="29">
        <v>0.15003660775771735</v>
      </c>
      <c r="S274" s="30">
        <v>5.4960000000000002E-2</v>
      </c>
    </row>
    <row r="275" spans="16:19" x14ac:dyDescent="0.25">
      <c r="P275" s="27">
        <v>3.2548184716220556E-2</v>
      </c>
      <c r="Q275" s="28">
        <f t="shared" si="8"/>
        <v>3.5548184716220559E-2</v>
      </c>
      <c r="R275" s="31">
        <v>0.15939660775771733</v>
      </c>
      <c r="S275" s="32">
        <v>6.3780000000000003E-2</v>
      </c>
    </row>
    <row r="276" spans="16:19" x14ac:dyDescent="0.25">
      <c r="P276" s="27">
        <v>3.2548184716220556E-2</v>
      </c>
      <c r="Q276" s="28">
        <f t="shared" si="8"/>
        <v>3.5548184716220559E-2</v>
      </c>
      <c r="R276" s="33">
        <v>0.16282860775771735</v>
      </c>
      <c r="S276" s="34">
        <v>6.0479999999999999E-2</v>
      </c>
    </row>
    <row r="277" spans="16:19" x14ac:dyDescent="0.25">
      <c r="P277" s="27">
        <v>3.2548184716220556E-2</v>
      </c>
      <c r="Q277" s="28">
        <f t="shared" si="8"/>
        <v>3.5548184716220559E-2</v>
      </c>
      <c r="R277" s="33">
        <v>0.16282860775771735</v>
      </c>
      <c r="S277" s="34">
        <v>6.4870000000000011E-2</v>
      </c>
    </row>
    <row r="278" spans="16:19" x14ac:dyDescent="0.25">
      <c r="P278" s="27">
        <v>3.2548184716220556E-2</v>
      </c>
      <c r="Q278" s="28">
        <f t="shared" si="8"/>
        <v>3.5548184716220559E-2</v>
      </c>
      <c r="R278" s="33">
        <v>0.16282860775771735</v>
      </c>
      <c r="S278" s="34">
        <v>6.2E-2</v>
      </c>
    </row>
    <row r="279" spans="16:19" x14ac:dyDescent="0.25">
      <c r="P279" s="27">
        <v>3.2548184716220556E-2</v>
      </c>
      <c r="Q279" s="28">
        <f t="shared" si="8"/>
        <v>3.5548184716220559E-2</v>
      </c>
      <c r="R279" s="33">
        <v>0.16282860775771735</v>
      </c>
      <c r="S279" s="34">
        <v>6.0990000000000003E-2</v>
      </c>
    </row>
    <row r="280" spans="16:19" x14ac:dyDescent="0.25">
      <c r="P280" s="27">
        <v>3.2548184716220556E-2</v>
      </c>
      <c r="Q280" s="28">
        <f t="shared" si="8"/>
        <v>3.5548184716220559E-2</v>
      </c>
      <c r="R280" s="33">
        <v>0.16282860775771735</v>
      </c>
      <c r="S280" s="34">
        <v>5.9090000000000004E-2</v>
      </c>
    </row>
    <row r="281" spans="16:19" x14ac:dyDescent="0.25">
      <c r="P281" s="27">
        <v>3.2548184716220556E-2</v>
      </c>
      <c r="Q281" s="28">
        <f t="shared" si="8"/>
        <v>3.5548184716220559E-2</v>
      </c>
      <c r="R281" s="33">
        <v>0.16282860775771735</v>
      </c>
      <c r="S281" s="34">
        <v>5.6600000000000004E-2</v>
      </c>
    </row>
    <row r="282" spans="16:19" x14ac:dyDescent="0.25">
      <c r="P282" s="27">
        <v>3.2548184716220556E-2</v>
      </c>
      <c r="Q282" s="28">
        <f t="shared" si="8"/>
        <v>3.5548184716220559E-2</v>
      </c>
      <c r="R282" s="33">
        <v>0.16282860775771735</v>
      </c>
      <c r="S282" s="34">
        <v>5.6960000000000004E-2</v>
      </c>
    </row>
    <row r="283" spans="16:19" x14ac:dyDescent="0.25">
      <c r="P283" s="27">
        <v>3.2548184716220556E-2</v>
      </c>
      <c r="Q283" s="28">
        <f t="shared" si="8"/>
        <v>3.5548184716220559E-2</v>
      </c>
      <c r="R283" s="33">
        <v>0.16282860775771735</v>
      </c>
      <c r="S283" s="34">
        <v>5.8889999999999998E-2</v>
      </c>
    </row>
    <row r="284" spans="16:19" x14ac:dyDescent="0.25">
      <c r="P284" s="27">
        <v>3.2548184716220556E-2</v>
      </c>
      <c r="Q284" s="28">
        <f t="shared" si="8"/>
        <v>3.5548184716220559E-2</v>
      </c>
      <c r="R284" s="33">
        <v>0.16282860775771735</v>
      </c>
      <c r="S284" s="34">
        <v>5.9499999999999997E-2</v>
      </c>
    </row>
    <row r="285" spans="16:19" x14ac:dyDescent="0.25">
      <c r="P285" s="27">
        <v>3.2548184716220556E-2</v>
      </c>
      <c r="Q285" s="28">
        <f t="shared" si="8"/>
        <v>3.5548184716220559E-2</v>
      </c>
      <c r="R285" s="33">
        <v>0.16282860775771735</v>
      </c>
      <c r="S285" s="34">
        <v>7.1249999999999994E-2</v>
      </c>
    </row>
    <row r="286" spans="16:19" x14ac:dyDescent="0.25">
      <c r="P286" s="27">
        <v>3.2548184716220556E-2</v>
      </c>
      <c r="Q286" s="28">
        <f t="shared" si="8"/>
        <v>3.5548184716220559E-2</v>
      </c>
      <c r="R286" s="33">
        <v>0.16282860775771735</v>
      </c>
      <c r="S286" s="34">
        <v>7.3130000000000001E-2</v>
      </c>
    </row>
    <row r="287" spans="16:19" x14ac:dyDescent="0.25">
      <c r="P287" s="27">
        <v>3.2548184716220556E-2</v>
      </c>
      <c r="Q287" s="28">
        <f t="shared" si="8"/>
        <v>3.5548184716220559E-2</v>
      </c>
      <c r="R287" s="31">
        <v>0.15939660775771733</v>
      </c>
      <c r="S287" s="32">
        <v>7.2800000000000004E-2</v>
      </c>
    </row>
    <row r="288" spans="16:19" x14ac:dyDescent="0.25">
      <c r="P288" s="27">
        <v>3.2548184716220556E-2</v>
      </c>
      <c r="Q288" s="28">
        <f t="shared" si="8"/>
        <v>3.5548184716220559E-2</v>
      </c>
      <c r="R288" s="31">
        <v>0.15939660775771733</v>
      </c>
      <c r="S288" s="32">
        <v>6.7280000000000006E-2</v>
      </c>
    </row>
    <row r="289" spans="16:19" x14ac:dyDescent="0.25">
      <c r="P289" s="27">
        <v>3.2548184716220556E-2</v>
      </c>
      <c r="Q289" s="28">
        <f t="shared" si="8"/>
        <v>3.5548184716220559E-2</v>
      </c>
      <c r="R289" s="31">
        <v>0.15939660775771733</v>
      </c>
      <c r="S289" s="32">
        <v>6.479E-2</v>
      </c>
    </row>
    <row r="290" spans="16:19" x14ac:dyDescent="0.25">
      <c r="P290" s="27">
        <v>3.2548184716220556E-2</v>
      </c>
      <c r="Q290" s="28">
        <f t="shared" si="8"/>
        <v>3.5548184716220559E-2</v>
      </c>
      <c r="R290" s="31">
        <v>0.15939660775771733</v>
      </c>
      <c r="S290" s="32">
        <v>5.9389999999999998E-2</v>
      </c>
    </row>
    <row r="291" spans="16:19" x14ac:dyDescent="0.25">
      <c r="P291" s="27">
        <v>3.2548184716220556E-2</v>
      </c>
      <c r="Q291" s="28">
        <f t="shared" si="8"/>
        <v>3.5548184716220559E-2</v>
      </c>
      <c r="R291" s="29">
        <v>0.15003660775771735</v>
      </c>
      <c r="S291" s="30">
        <v>5.6600000000000004E-2</v>
      </c>
    </row>
    <row r="292" spans="16:19" x14ac:dyDescent="0.25">
      <c r="P292" s="27">
        <v>3.2548184716220556E-2</v>
      </c>
      <c r="Q292" s="28">
        <f t="shared" si="8"/>
        <v>3.5548184716220559E-2</v>
      </c>
      <c r="R292" s="29">
        <v>0.15003660775771735</v>
      </c>
      <c r="S292" s="30">
        <v>0.05</v>
      </c>
    </row>
    <row r="293" spans="16:19" x14ac:dyDescent="0.25">
      <c r="P293" s="27">
        <v>3.2548184716220556E-2</v>
      </c>
      <c r="Q293" s="28">
        <f t="shared" si="8"/>
        <v>3.5548184716220559E-2</v>
      </c>
      <c r="R293" s="29">
        <v>0.15003660775771735</v>
      </c>
      <c r="S293" s="30">
        <v>4.0459017E-2</v>
      </c>
    </row>
    <row r="294" spans="16:19" x14ac:dyDescent="0.25">
      <c r="P294" s="27">
        <v>3.2548184716220556E-2</v>
      </c>
      <c r="Q294" s="28">
        <f t="shared" si="8"/>
        <v>3.5548184716220559E-2</v>
      </c>
      <c r="R294" s="29">
        <v>0.15003660775771735</v>
      </c>
      <c r="S294" s="30">
        <v>3.4000000000000002E-2</v>
      </c>
    </row>
    <row r="295" spans="16:19" x14ac:dyDescent="0.25">
      <c r="P295" s="27">
        <v>3.2548184716220556E-2</v>
      </c>
      <c r="Q295" s="28">
        <f t="shared" si="8"/>
        <v>3.5548184716220559E-2</v>
      </c>
      <c r="R295" s="29">
        <v>0.15003660775771735</v>
      </c>
      <c r="S295" s="30">
        <v>3.0539999999999998E-2</v>
      </c>
    </row>
    <row r="296" spans="16:19" x14ac:dyDescent="0.25">
      <c r="P296" s="27">
        <v>3.2548184716220556E-2</v>
      </c>
      <c r="Q296" s="28">
        <f t="shared" si="8"/>
        <v>3.5548184716220559E-2</v>
      </c>
      <c r="R296" s="29">
        <v>0.15003660775771735</v>
      </c>
      <c r="S296" s="30">
        <v>3.0981920999999999E-2</v>
      </c>
    </row>
    <row r="297" spans="16:19" x14ac:dyDescent="0.25">
      <c r="P297" s="27">
        <v>3.2548184716220556E-2</v>
      </c>
      <c r="Q297" s="28">
        <f t="shared" si="8"/>
        <v>3.5548184716220559E-2</v>
      </c>
      <c r="R297" s="29">
        <v>0.15003660775771735</v>
      </c>
      <c r="S297" s="30">
        <v>3.7841810000000003E-2</v>
      </c>
    </row>
    <row r="298" spans="16:19" x14ac:dyDescent="0.25">
      <c r="P298" s="27">
        <v>3.2548184716220556E-2</v>
      </c>
      <c r="Q298" s="28">
        <f t="shared" si="8"/>
        <v>3.5548184716220559E-2</v>
      </c>
      <c r="R298" s="29">
        <v>0.15003660775771735</v>
      </c>
      <c r="S298" s="30">
        <v>6.0450000000000004E-2</v>
      </c>
    </row>
    <row r="299" spans="16:19" x14ac:dyDescent="0.25">
      <c r="P299" s="27">
        <v>3.2548184716220556E-2</v>
      </c>
      <c r="Q299" s="28">
        <f t="shared" si="8"/>
        <v>3.5548184716220559E-2</v>
      </c>
      <c r="R299" s="31">
        <v>0.15939660775771733</v>
      </c>
      <c r="S299" s="32">
        <v>7.4340000000000003E-2</v>
      </c>
    </row>
    <row r="300" spans="16:19" x14ac:dyDescent="0.25">
      <c r="P300" s="27">
        <v>3.2548184716220556E-2</v>
      </c>
      <c r="Q300" s="28">
        <f t="shared" si="8"/>
        <v>3.5548184716220559E-2</v>
      </c>
      <c r="R300" s="31">
        <v>0.15939660775771733</v>
      </c>
      <c r="S300" s="32">
        <v>8.0010000000000012E-2</v>
      </c>
    </row>
    <row r="301" spans="16:19" x14ac:dyDescent="0.25">
      <c r="P301" s="27">
        <v>3.2548184716220556E-2</v>
      </c>
      <c r="Q301" s="28">
        <f t="shared" si="8"/>
        <v>3.5548184716220559E-2</v>
      </c>
      <c r="R301" s="31">
        <v>0.15939660775771733</v>
      </c>
      <c r="S301" s="32">
        <v>7.9980000000000009E-2</v>
      </c>
    </row>
    <row r="302" spans="16:19" x14ac:dyDescent="0.25">
      <c r="P302" s="27">
        <v>3.2548184716220556E-2</v>
      </c>
      <c r="Q302" s="28">
        <f t="shared" si="8"/>
        <v>3.5548184716220559E-2</v>
      </c>
      <c r="R302" s="31">
        <v>0.15939660775771733</v>
      </c>
      <c r="S302" s="32">
        <v>7.4769999999999989E-2</v>
      </c>
    </row>
    <row r="303" spans="16:19" x14ac:dyDescent="0.25">
      <c r="P303" s="27">
        <v>3.2548184716220556E-2</v>
      </c>
      <c r="Q303" s="28">
        <f t="shared" si="8"/>
        <v>3.5548184716220559E-2</v>
      </c>
      <c r="R303" s="31">
        <v>0.15939660775771733</v>
      </c>
      <c r="S303" s="32">
        <v>7.0669999999999997E-2</v>
      </c>
    </row>
    <row r="304" spans="16:19" x14ac:dyDescent="0.25">
      <c r="P304" s="27">
        <v>3.2548184716220556E-2</v>
      </c>
      <c r="Q304" s="28">
        <f t="shared" si="8"/>
        <v>3.5548184716220559E-2</v>
      </c>
      <c r="R304" s="31">
        <v>0.15939660775771733</v>
      </c>
      <c r="S304" s="32">
        <v>6.1560000000000004E-2</v>
      </c>
    </row>
    <row r="305" spans="16:19" x14ac:dyDescent="0.25">
      <c r="P305" s="27">
        <v>3.2548184716220556E-2</v>
      </c>
      <c r="Q305" s="28">
        <f t="shared" si="8"/>
        <v>3.5548184716220559E-2</v>
      </c>
      <c r="R305" s="31">
        <v>0.15939660775771733</v>
      </c>
      <c r="S305" s="32">
        <v>6.2509999999999996E-2</v>
      </c>
    </row>
    <row r="306" spans="16:19" x14ac:dyDescent="0.25">
      <c r="P306" s="27">
        <v>3.2548184716220556E-2</v>
      </c>
      <c r="Q306" s="28">
        <f t="shared" si="8"/>
        <v>3.5548184716220559E-2</v>
      </c>
      <c r="R306" s="31">
        <v>0.15939660775771733</v>
      </c>
      <c r="S306" s="32">
        <v>6.7580000000000001E-2</v>
      </c>
    </row>
    <row r="307" spans="16:19" x14ac:dyDescent="0.25">
      <c r="P307" s="27">
        <v>3.2548184716220556E-2</v>
      </c>
      <c r="Q307" s="28">
        <f t="shared" si="8"/>
        <v>3.5548184716220559E-2</v>
      </c>
      <c r="R307" s="31">
        <v>0.15939660775771733</v>
      </c>
      <c r="S307" s="32">
        <v>6.9220000000000004E-2</v>
      </c>
    </row>
    <row r="308" spans="16:19" x14ac:dyDescent="0.25">
      <c r="P308" s="27">
        <v>3.2548184716220556E-2</v>
      </c>
      <c r="Q308" s="28">
        <f t="shared" si="8"/>
        <v>3.5548184716220559E-2</v>
      </c>
      <c r="R308" s="31">
        <v>0.15939660775771733</v>
      </c>
      <c r="S308" s="32">
        <v>6.9349999999999995E-2</v>
      </c>
    </row>
    <row r="309" spans="16:19" x14ac:dyDescent="0.25">
      <c r="P309" s="27">
        <v>3.2548184716220556E-2</v>
      </c>
      <c r="Q309" s="28">
        <f t="shared" si="8"/>
        <v>3.5548184716220559E-2</v>
      </c>
      <c r="R309" s="31">
        <v>0.15939660775771733</v>
      </c>
      <c r="S309" s="32">
        <v>7.5209999999999999E-2</v>
      </c>
    </row>
    <row r="310" spans="16:19" x14ac:dyDescent="0.25">
      <c r="P310" s="27">
        <v>3.2548184716220556E-2</v>
      </c>
      <c r="Q310" s="28">
        <f t="shared" si="8"/>
        <v>3.5548184716220559E-2</v>
      </c>
      <c r="R310" s="31">
        <v>0.15939660775771733</v>
      </c>
      <c r="S310" s="32">
        <v>7.4769999999999989E-2</v>
      </c>
    </row>
    <row r="311" spans="16:19" x14ac:dyDescent="0.25">
      <c r="P311" s="27">
        <v>3.2548184716220556E-2</v>
      </c>
      <c r="Q311" s="28">
        <f t="shared" si="8"/>
        <v>3.5548184716220559E-2</v>
      </c>
      <c r="R311" s="31">
        <v>0.15939660775771733</v>
      </c>
      <c r="S311" s="32">
        <v>6.9540000000000005E-2</v>
      </c>
    </row>
    <row r="312" spans="16:19" x14ac:dyDescent="0.25">
      <c r="P312" s="27">
        <v>3.2548184716220556E-2</v>
      </c>
      <c r="Q312" s="28">
        <f t="shared" si="8"/>
        <v>3.5548184716220559E-2</v>
      </c>
      <c r="R312" s="31">
        <v>0.15939660775771733</v>
      </c>
      <c r="S312" s="32">
        <v>6.6500000000000004E-2</v>
      </c>
    </row>
    <row r="313" spans="16:19" x14ac:dyDescent="0.25">
      <c r="P313" s="27">
        <v>3.2548184716220556E-2</v>
      </c>
      <c r="Q313" s="28">
        <f t="shared" si="8"/>
        <v>3.5548184716220559E-2</v>
      </c>
      <c r="R313" s="31">
        <v>0.15939660775771733</v>
      </c>
      <c r="S313" s="32">
        <v>6.1499999999999999E-2</v>
      </c>
    </row>
    <row r="314" spans="16:19" x14ac:dyDescent="0.25">
      <c r="P314" s="27">
        <v>3.2548184716220556E-2</v>
      </c>
      <c r="Q314" s="28">
        <f t="shared" si="8"/>
        <v>3.5548184716220559E-2</v>
      </c>
      <c r="R314" s="31">
        <v>0.15939660775771733</v>
      </c>
      <c r="S314" s="32">
        <v>5.9590000000000004E-2</v>
      </c>
    </row>
    <row r="315" spans="16:19" x14ac:dyDescent="0.25">
      <c r="P315" s="27">
        <v>3.2548184716220556E-2</v>
      </c>
      <c r="Q315" s="28">
        <f t="shared" si="8"/>
        <v>3.5548184716220559E-2</v>
      </c>
      <c r="R315" s="29">
        <v>0.15</v>
      </c>
      <c r="S315" s="30">
        <v>5.604E-2</v>
      </c>
    </row>
    <row r="316" spans="16:19" x14ac:dyDescent="0.25">
      <c r="P316" s="27">
        <v>3.2548184716220556E-2</v>
      </c>
      <c r="Q316" s="28">
        <f t="shared" si="8"/>
        <v>3.5548184716220559E-2</v>
      </c>
      <c r="R316" s="29">
        <v>0.15</v>
      </c>
      <c r="S316" s="30">
        <v>5.4405226999999994E-2</v>
      </c>
    </row>
    <row r="317" spans="16:19" x14ac:dyDescent="0.25">
      <c r="P317" s="27">
        <v>3.2548184716220556E-2</v>
      </c>
      <c r="Q317" s="28">
        <f t="shared" si="8"/>
        <v>3.5548184716220559E-2</v>
      </c>
      <c r="R317" s="29">
        <v>0.15</v>
      </c>
      <c r="S317" s="30">
        <v>4.5694308000000003E-2</v>
      </c>
    </row>
    <row r="318" spans="16:19" x14ac:dyDescent="0.25">
      <c r="P318" s="27">
        <v>3.2548184716220556E-2</v>
      </c>
      <c r="Q318" s="28">
        <f t="shared" si="8"/>
        <v>3.5548184716220559E-2</v>
      </c>
      <c r="R318" s="29">
        <v>0.15</v>
      </c>
      <c r="S318" s="30">
        <v>4.2000000000000003E-2</v>
      </c>
    </row>
    <row r="319" spans="16:19" x14ac:dyDescent="0.25">
      <c r="P319" s="27">
        <v>3.2548184716220556E-2</v>
      </c>
      <c r="Q319" s="28">
        <f t="shared" si="8"/>
        <v>3.5548184716220559E-2</v>
      </c>
      <c r="R319" s="29">
        <v>0.15</v>
      </c>
      <c r="S319" s="30">
        <v>3.4500000000000003E-2</v>
      </c>
    </row>
    <row r="320" spans="16:19" x14ac:dyDescent="0.25">
      <c r="P320" s="27">
        <v>3.2548184716220556E-2</v>
      </c>
      <c r="Q320" s="28">
        <f t="shared" si="8"/>
        <v>3.5548184716220559E-2</v>
      </c>
      <c r="R320" s="29">
        <v>0.15</v>
      </c>
      <c r="S320" s="30">
        <v>3.499E-2</v>
      </c>
    </row>
    <row r="321" spans="16:19" x14ac:dyDescent="0.25">
      <c r="P321" s="27">
        <v>3.2548184716220556E-2</v>
      </c>
      <c r="Q321" s="28">
        <f t="shared" si="8"/>
        <v>3.5548184716220559E-2</v>
      </c>
      <c r="R321" s="29">
        <v>0.15</v>
      </c>
      <c r="S321" s="30">
        <v>4.7E-2</v>
      </c>
    </row>
    <row r="322" spans="16:19" x14ac:dyDescent="0.25">
      <c r="P322" s="27">
        <v>3.2548184716220556E-2</v>
      </c>
      <c r="Q322" s="28">
        <f t="shared" si="8"/>
        <v>3.5548184716220559E-2</v>
      </c>
      <c r="R322" s="29">
        <v>0.15</v>
      </c>
      <c r="S322" s="30">
        <v>0.06</v>
      </c>
    </row>
    <row r="323" spans="16:19" x14ac:dyDescent="0.25">
      <c r="P323" s="27">
        <v>3.2548184716220556E-2</v>
      </c>
      <c r="Q323" s="28">
        <f t="shared" si="8"/>
        <v>3.5548184716220559E-2</v>
      </c>
      <c r="R323" s="29">
        <v>0.15</v>
      </c>
      <c r="S323" s="30">
        <v>6.8669999999999995E-2</v>
      </c>
    </row>
    <row r="324" spans="16:19" x14ac:dyDescent="0.25">
      <c r="P324" s="27">
        <v>3.2548184716220556E-2</v>
      </c>
      <c r="Q324" s="28">
        <f t="shared" si="8"/>
        <v>3.5548184716220559E-2</v>
      </c>
      <c r="R324" s="29">
        <v>0.15</v>
      </c>
      <c r="S324" s="30">
        <v>7.5437625999999994E-2</v>
      </c>
    </row>
    <row r="325" spans="16:19" x14ac:dyDescent="0.25">
      <c r="P325" s="27">
        <v>3.2548184716220556E-2</v>
      </c>
      <c r="Q325" s="28">
        <f t="shared" ref="Q325:Q388" si="9">P325+0.003</f>
        <v>3.5548184716220559E-2</v>
      </c>
      <c r="R325" s="29">
        <v>0.15</v>
      </c>
      <c r="S325" s="30">
        <v>7.6999999999999999E-2</v>
      </c>
    </row>
    <row r="326" spans="16:19" x14ac:dyDescent="0.25">
      <c r="P326" s="27">
        <v>3.2548184716220556E-2</v>
      </c>
      <c r="Q326" s="28">
        <f t="shared" si="9"/>
        <v>3.5548184716220559E-2</v>
      </c>
      <c r="R326" s="29">
        <v>0.15</v>
      </c>
      <c r="S326" s="30">
        <v>7.3999999999999996E-2</v>
      </c>
    </row>
    <row r="327" spans="16:19" x14ac:dyDescent="0.25">
      <c r="P327" s="27">
        <v>3.2548184716220556E-2</v>
      </c>
      <c r="Q327" s="28">
        <f t="shared" si="9"/>
        <v>3.5548184716220559E-2</v>
      </c>
      <c r="R327" s="29">
        <v>0.15</v>
      </c>
      <c r="S327" s="30">
        <v>6.7519999999999997E-2</v>
      </c>
    </row>
    <row r="328" spans="16:19" x14ac:dyDescent="0.25">
      <c r="P328" s="27">
        <v>3.2548184716220556E-2</v>
      </c>
      <c r="Q328" s="28">
        <f t="shared" si="9"/>
        <v>3.5548184716220559E-2</v>
      </c>
      <c r="R328" s="29">
        <v>0.15</v>
      </c>
      <c r="S328" s="30">
        <v>6.2310000000000004E-2</v>
      </c>
    </row>
    <row r="329" spans="16:19" x14ac:dyDescent="0.25">
      <c r="P329" s="27">
        <v>3.2548184716220556E-2</v>
      </c>
      <c r="Q329" s="28">
        <f t="shared" si="9"/>
        <v>3.5548184716220559E-2</v>
      </c>
      <c r="R329" s="29">
        <v>0.15</v>
      </c>
      <c r="S329" s="30">
        <v>6.2095483E-2</v>
      </c>
    </row>
    <row r="330" spans="16:19" x14ac:dyDescent="0.25">
      <c r="P330" s="27">
        <v>3.2548184716220556E-2</v>
      </c>
      <c r="Q330" s="28">
        <f t="shared" si="9"/>
        <v>3.5548184716220559E-2</v>
      </c>
      <c r="R330" s="29">
        <v>0.15</v>
      </c>
      <c r="S330" s="30">
        <v>6.448000000000001E-2</v>
      </c>
    </row>
    <row r="331" spans="16:19" x14ac:dyDescent="0.25">
      <c r="P331" s="27">
        <v>3.2548184716220556E-2</v>
      </c>
      <c r="Q331" s="28">
        <f t="shared" si="9"/>
        <v>3.5548184716220559E-2</v>
      </c>
      <c r="R331" s="29">
        <v>0.15</v>
      </c>
      <c r="S331" s="30">
        <v>6.6159999999999997E-2</v>
      </c>
    </row>
    <row r="332" spans="16:19" x14ac:dyDescent="0.25">
      <c r="P332" s="27">
        <v>3.2548184716220556E-2</v>
      </c>
      <c r="Q332" s="28">
        <f t="shared" si="9"/>
        <v>3.5548184716220559E-2</v>
      </c>
      <c r="R332" s="29">
        <v>0.15</v>
      </c>
      <c r="S332" s="30">
        <v>6.8000000000000005E-2</v>
      </c>
    </row>
    <row r="333" spans="16:19" x14ac:dyDescent="0.25">
      <c r="P333" s="27">
        <v>3.2548184716220556E-2</v>
      </c>
      <c r="Q333" s="28">
        <f t="shared" si="9"/>
        <v>3.5548184716220559E-2</v>
      </c>
      <c r="R333" s="29">
        <v>0.15</v>
      </c>
      <c r="S333" s="30">
        <v>7.5614036999999995E-2</v>
      </c>
    </row>
    <row r="334" spans="16:19" x14ac:dyDescent="0.25">
      <c r="P334" s="27">
        <v>3.2548184716220556E-2</v>
      </c>
      <c r="Q334" s="28">
        <f t="shared" si="9"/>
        <v>3.5548184716220559E-2</v>
      </c>
      <c r="R334" s="29">
        <v>0.15</v>
      </c>
      <c r="S334" s="30">
        <v>7.4816680999999996E-2</v>
      </c>
    </row>
    <row r="335" spans="16:19" x14ac:dyDescent="0.25">
      <c r="P335" s="27">
        <v>3.2548184716220556E-2</v>
      </c>
      <c r="Q335" s="28">
        <f t="shared" si="9"/>
        <v>3.5548184716220559E-2</v>
      </c>
      <c r="R335" s="29">
        <v>0.15</v>
      </c>
      <c r="S335" s="30">
        <v>6.9349999999999995E-2</v>
      </c>
    </row>
    <row r="336" spans="16:19" x14ac:dyDescent="0.25">
      <c r="P336" s="27">
        <v>3.2548184716220556E-2</v>
      </c>
      <c r="Q336" s="28">
        <f t="shared" si="9"/>
        <v>3.5548184716220559E-2</v>
      </c>
      <c r="R336" s="29">
        <v>0.15</v>
      </c>
      <c r="S336" s="30">
        <v>6.498000000000001E-2</v>
      </c>
    </row>
    <row r="337" spans="16:19" x14ac:dyDescent="0.25">
      <c r="P337" s="27">
        <v>3.2548184716220556E-2</v>
      </c>
      <c r="Q337" s="28">
        <f t="shared" si="9"/>
        <v>3.5548184716220559E-2</v>
      </c>
      <c r="R337" s="29">
        <v>0.15</v>
      </c>
      <c r="S337" s="30">
        <v>6.0219999999999996E-2</v>
      </c>
    </row>
    <row r="338" spans="16:19" x14ac:dyDescent="0.25">
      <c r="P338" s="27">
        <v>3.2548184716220556E-2</v>
      </c>
      <c r="Q338" s="28">
        <f t="shared" si="9"/>
        <v>3.5548184716220559E-2</v>
      </c>
      <c r="R338" s="29">
        <v>0.15</v>
      </c>
      <c r="S338" s="30">
        <v>5.8970000000000002E-2</v>
      </c>
    </row>
    <row r="339" spans="16:19" x14ac:dyDescent="0.25">
      <c r="P339" s="27">
        <v>3.2548184716220556E-2</v>
      </c>
      <c r="Q339" s="28">
        <f t="shared" si="9"/>
        <v>3.5548184716220559E-2</v>
      </c>
      <c r="R339" s="29">
        <v>0.15</v>
      </c>
      <c r="S339" s="30">
        <v>5.2200000000000003E-2</v>
      </c>
    </row>
    <row r="340" spans="16:19" x14ac:dyDescent="0.25">
      <c r="P340" s="27">
        <v>3.2548184716220556E-2</v>
      </c>
      <c r="Q340" s="28">
        <f t="shared" si="9"/>
        <v>3.5548184716220559E-2</v>
      </c>
      <c r="R340" s="29">
        <v>0.15</v>
      </c>
      <c r="S340" s="30">
        <v>5.006E-2</v>
      </c>
    </row>
    <row r="341" spans="16:19" x14ac:dyDescent="0.25">
      <c r="P341" s="27">
        <v>3.2548184716220556E-2</v>
      </c>
      <c r="Q341" s="28">
        <f t="shared" si="9"/>
        <v>3.5548184716220559E-2</v>
      </c>
      <c r="R341" s="29">
        <v>0.15</v>
      </c>
      <c r="S341" s="30">
        <v>4.863E-2</v>
      </c>
    </row>
    <row r="342" spans="16:19" x14ac:dyDescent="0.25">
      <c r="P342" s="27">
        <v>3.2548184716220556E-2</v>
      </c>
      <c r="Q342" s="28">
        <f t="shared" si="9"/>
        <v>3.5548184716220559E-2</v>
      </c>
      <c r="R342" s="29">
        <v>0.15</v>
      </c>
      <c r="S342" s="30">
        <v>4.7E-2</v>
      </c>
    </row>
    <row r="343" spans="16:19" x14ac:dyDescent="0.25">
      <c r="P343" s="27">
        <v>3.2548184716220556E-2</v>
      </c>
      <c r="Q343" s="28">
        <f t="shared" si="9"/>
        <v>3.5548184716220559E-2</v>
      </c>
      <c r="R343" s="29">
        <v>0.15</v>
      </c>
      <c r="S343" s="30">
        <v>0.04</v>
      </c>
    </row>
    <row r="344" spans="16:19" x14ac:dyDescent="0.25">
      <c r="P344" s="27">
        <v>3.2548184716220556E-2</v>
      </c>
      <c r="Q344" s="28">
        <f t="shared" si="9"/>
        <v>3.5548184716220559E-2</v>
      </c>
      <c r="R344" s="29">
        <v>0.15</v>
      </c>
      <c r="S344" s="30">
        <v>4.2049999999999997E-2</v>
      </c>
    </row>
    <row r="345" spans="16:19" x14ac:dyDescent="0.25">
      <c r="P345" s="27">
        <v>3.2548184716220556E-2</v>
      </c>
      <c r="Q345" s="28">
        <f t="shared" si="9"/>
        <v>3.5548184716220559E-2</v>
      </c>
      <c r="R345" s="29">
        <v>0.15</v>
      </c>
      <c r="S345" s="30">
        <v>0.05</v>
      </c>
    </row>
    <row r="346" spans="16:19" x14ac:dyDescent="0.25">
      <c r="P346" s="27">
        <v>3.2548184716220556E-2</v>
      </c>
      <c r="Q346" s="28">
        <f t="shared" si="9"/>
        <v>3.5548184716220559E-2</v>
      </c>
      <c r="R346" s="29">
        <v>0.15</v>
      </c>
      <c r="S346" s="30">
        <v>0.06</v>
      </c>
    </row>
    <row r="347" spans="16:19" x14ac:dyDescent="0.25">
      <c r="P347" s="27">
        <v>3.2548184716220556E-2</v>
      </c>
      <c r="Q347" s="28">
        <f t="shared" si="9"/>
        <v>3.5548184716220559E-2</v>
      </c>
      <c r="R347" s="31">
        <v>0.15939660775771733</v>
      </c>
      <c r="S347" s="32">
        <v>6.5000000000000002E-2</v>
      </c>
    </row>
    <row r="348" spans="16:19" x14ac:dyDescent="0.25">
      <c r="P348" s="27">
        <v>3.2548184716220556E-2</v>
      </c>
      <c r="Q348" s="28">
        <f t="shared" si="9"/>
        <v>3.5548184716220559E-2</v>
      </c>
      <c r="R348" s="33">
        <v>0.16282860775771735</v>
      </c>
      <c r="S348" s="34">
        <v>7.1999999999999995E-2</v>
      </c>
    </row>
    <row r="349" spans="16:19" x14ac:dyDescent="0.25">
      <c r="P349" s="27">
        <v>3.2548184716220556E-2</v>
      </c>
      <c r="Q349" s="28">
        <f t="shared" si="9"/>
        <v>3.5548184716220559E-2</v>
      </c>
      <c r="R349" s="33">
        <v>0.16282860775771735</v>
      </c>
      <c r="S349" s="34">
        <v>7.5209999999999999E-2</v>
      </c>
    </row>
    <row r="350" spans="16:19" x14ac:dyDescent="0.25">
      <c r="P350" s="27">
        <v>3.2548184716220556E-2</v>
      </c>
      <c r="Q350" s="28">
        <f t="shared" si="9"/>
        <v>3.5548184716220559E-2</v>
      </c>
      <c r="R350" s="33">
        <v>0.16282860775771735</v>
      </c>
      <c r="S350" s="34">
        <v>6.9000000000000006E-2</v>
      </c>
    </row>
    <row r="351" spans="16:19" x14ac:dyDescent="0.25">
      <c r="P351" s="27">
        <v>3.2548184716220556E-2</v>
      </c>
      <c r="Q351" s="28">
        <f t="shared" si="9"/>
        <v>3.5548184716220559E-2</v>
      </c>
      <c r="R351" s="33">
        <v>0.16282860775771735</v>
      </c>
      <c r="S351" s="34">
        <v>6.5519999999999995E-2</v>
      </c>
    </row>
    <row r="352" spans="16:19" x14ac:dyDescent="0.25">
      <c r="P352" s="27">
        <v>3.2548184716220556E-2</v>
      </c>
      <c r="Q352" s="28">
        <f t="shared" si="9"/>
        <v>3.5548184716220559E-2</v>
      </c>
      <c r="R352" s="33">
        <v>0.16282860775771735</v>
      </c>
      <c r="S352" s="34">
        <v>6.0399999999999995E-2</v>
      </c>
    </row>
    <row r="353" spans="16:19" x14ac:dyDescent="0.25">
      <c r="P353" s="27">
        <v>3.2548184716220556E-2</v>
      </c>
      <c r="Q353" s="28">
        <f t="shared" si="9"/>
        <v>3.5548184716220559E-2</v>
      </c>
      <c r="R353" s="33">
        <v>0.16282860775771735</v>
      </c>
      <c r="S353" s="34">
        <v>6.0179999999999997E-2</v>
      </c>
    </row>
    <row r="354" spans="16:19" x14ac:dyDescent="0.25">
      <c r="P354" s="27">
        <v>3.2548184716220556E-2</v>
      </c>
      <c r="Q354" s="28">
        <f t="shared" si="9"/>
        <v>3.5548184716220559E-2</v>
      </c>
      <c r="R354" s="33">
        <v>0.16282860775771735</v>
      </c>
      <c r="S354" s="34">
        <v>6.3151201000000004E-2</v>
      </c>
    </row>
    <row r="355" spans="16:19" x14ac:dyDescent="0.25">
      <c r="P355" s="27">
        <v>3.2548184716220556E-2</v>
      </c>
      <c r="Q355" s="28">
        <f t="shared" si="9"/>
        <v>3.5548184716220559E-2</v>
      </c>
      <c r="R355" s="33">
        <v>0.16282860775771735</v>
      </c>
      <c r="S355" s="34">
        <v>6.5430000000000002E-2</v>
      </c>
    </row>
    <row r="356" spans="16:19" x14ac:dyDescent="0.25">
      <c r="P356" s="27">
        <v>3.2548184716220556E-2</v>
      </c>
      <c r="Q356" s="28">
        <f t="shared" si="9"/>
        <v>3.5548184716220559E-2</v>
      </c>
      <c r="R356" s="33">
        <v>0.16282860775771735</v>
      </c>
      <c r="S356" s="34">
        <v>6.7140000000000005E-2</v>
      </c>
    </row>
    <row r="357" spans="16:19" x14ac:dyDescent="0.25">
      <c r="P357" s="27">
        <v>3.2548184716220556E-2</v>
      </c>
      <c r="Q357" s="28">
        <f t="shared" si="9"/>
        <v>3.5548184716220559E-2</v>
      </c>
      <c r="R357" s="33">
        <v>0.16282860775771735</v>
      </c>
      <c r="S357" s="34">
        <v>7.9069194999999995E-2</v>
      </c>
    </row>
    <row r="358" spans="16:19" x14ac:dyDescent="0.25">
      <c r="P358" s="27">
        <v>3.2548184716220556E-2</v>
      </c>
      <c r="Q358" s="28">
        <f t="shared" si="9"/>
        <v>3.5548184716220559E-2</v>
      </c>
      <c r="R358" s="33">
        <v>0.16282860775771735</v>
      </c>
      <c r="S358" s="34">
        <v>7.3999999999999996E-2</v>
      </c>
    </row>
    <row r="359" spans="16:19" x14ac:dyDescent="0.25">
      <c r="P359" s="27">
        <v>3.2548184716220556E-2</v>
      </c>
      <c r="Q359" s="28">
        <f t="shared" si="9"/>
        <v>3.5548184716220559E-2</v>
      </c>
      <c r="R359" s="31">
        <v>0.15939660775771733</v>
      </c>
      <c r="S359" s="32">
        <v>6.8640000000000007E-2</v>
      </c>
    </row>
    <row r="360" spans="16:19" x14ac:dyDescent="0.25">
      <c r="P360" s="27">
        <v>3.2548184716220556E-2</v>
      </c>
      <c r="Q360" s="28">
        <f t="shared" si="9"/>
        <v>3.5548184716220559E-2</v>
      </c>
      <c r="R360" s="31">
        <v>0.15939660775771733</v>
      </c>
      <c r="S360" s="32">
        <v>6.3026982999999995E-2</v>
      </c>
    </row>
    <row r="361" spans="16:19" x14ac:dyDescent="0.25">
      <c r="P361" s="27">
        <v>3.2548184716220556E-2</v>
      </c>
      <c r="Q361" s="28">
        <f t="shared" si="9"/>
        <v>3.5548184716220559E-2</v>
      </c>
      <c r="R361" s="31">
        <v>0.15939660775771733</v>
      </c>
      <c r="S361" s="32">
        <v>6.0080000000000001E-2</v>
      </c>
    </row>
    <row r="362" spans="16:19" x14ac:dyDescent="0.25">
      <c r="P362" s="27">
        <v>3.2548184716220556E-2</v>
      </c>
      <c r="Q362" s="28">
        <f t="shared" si="9"/>
        <v>3.5548184716220559E-2</v>
      </c>
      <c r="R362" s="31">
        <v>0.15939660775771733</v>
      </c>
      <c r="S362" s="32">
        <v>0.06</v>
      </c>
    </row>
    <row r="363" spans="16:19" x14ac:dyDescent="0.25">
      <c r="P363" s="27">
        <v>3.2548184716220556E-2</v>
      </c>
      <c r="Q363" s="28">
        <f t="shared" si="9"/>
        <v>3.5548184716220559E-2</v>
      </c>
      <c r="R363" s="29">
        <v>0.15003660775771735</v>
      </c>
      <c r="S363" s="30">
        <v>5.7210000000000004E-2</v>
      </c>
    </row>
    <row r="364" spans="16:19" x14ac:dyDescent="0.25">
      <c r="P364" s="27">
        <v>3.2548184716220556E-2</v>
      </c>
      <c r="Q364" s="28">
        <f t="shared" si="9"/>
        <v>3.5548184716220559E-2</v>
      </c>
      <c r="R364" s="29">
        <v>0.15003660775771735</v>
      </c>
      <c r="S364" s="30">
        <v>5.1999999999999998E-2</v>
      </c>
    </row>
    <row r="365" spans="16:19" x14ac:dyDescent="0.25">
      <c r="P365" s="27">
        <v>3.2548184716220556E-2</v>
      </c>
      <c r="Q365" s="28">
        <f t="shared" si="9"/>
        <v>3.5548184716220559E-2</v>
      </c>
      <c r="R365" s="29">
        <v>0.15003660775771735</v>
      </c>
      <c r="S365" s="30">
        <v>5.0029999999999998E-2</v>
      </c>
    </row>
    <row r="366" spans="16:19" x14ac:dyDescent="0.25">
      <c r="P366" s="27">
        <v>3.2548184716220556E-2</v>
      </c>
      <c r="Q366" s="28">
        <f t="shared" si="9"/>
        <v>3.5548184716220559E-2</v>
      </c>
      <c r="R366" s="29">
        <v>0.15003660775771735</v>
      </c>
      <c r="S366" s="30">
        <v>5.0020000000000002E-2</v>
      </c>
    </row>
    <row r="367" spans="16:19" x14ac:dyDescent="0.25">
      <c r="P367" s="27">
        <v>3.2548184716220556E-2</v>
      </c>
      <c r="Q367" s="28">
        <f t="shared" si="9"/>
        <v>3.5548184716220559E-2</v>
      </c>
      <c r="R367" s="29">
        <v>0.15003660775771735</v>
      </c>
      <c r="S367" s="30">
        <v>0.05</v>
      </c>
    </row>
    <row r="368" spans="16:19" x14ac:dyDescent="0.25">
      <c r="P368" s="27">
        <v>3.2548184716220556E-2</v>
      </c>
      <c r="Q368" s="28">
        <f t="shared" si="9"/>
        <v>3.5548184716220559E-2</v>
      </c>
      <c r="R368" s="29">
        <v>0.15003660775771735</v>
      </c>
      <c r="S368" s="30">
        <v>0.05</v>
      </c>
    </row>
    <row r="369" spans="16:19" x14ac:dyDescent="0.25">
      <c r="P369" s="27">
        <v>3.2548184716220556E-2</v>
      </c>
      <c r="Q369" s="28">
        <f t="shared" si="9"/>
        <v>3.5548184716220559E-2</v>
      </c>
      <c r="R369" s="29">
        <v>0.15003660775771735</v>
      </c>
      <c r="S369" s="30">
        <v>5.5009999999999996E-2</v>
      </c>
    </row>
    <row r="370" spans="16:19" x14ac:dyDescent="0.25">
      <c r="P370" s="27">
        <v>3.2548184716220556E-2</v>
      </c>
      <c r="Q370" s="28">
        <f t="shared" si="9"/>
        <v>3.5548184716220559E-2</v>
      </c>
      <c r="R370" s="29">
        <v>0.15003660775771735</v>
      </c>
      <c r="S370" s="30">
        <v>6.1009999999999995E-2</v>
      </c>
    </row>
    <row r="371" spans="16:19" x14ac:dyDescent="0.25">
      <c r="P371" s="27">
        <v>3.2548184716220556E-2</v>
      </c>
      <c r="Q371" s="28">
        <f t="shared" si="9"/>
        <v>3.5548184716220559E-2</v>
      </c>
      <c r="R371" s="31">
        <v>0.15939660775771733</v>
      </c>
      <c r="S371" s="32">
        <v>6.8000000000000005E-2</v>
      </c>
    </row>
    <row r="372" spans="16:19" x14ac:dyDescent="0.25">
      <c r="P372" s="27">
        <v>3.2548184716220556E-2</v>
      </c>
      <c r="Q372" s="28">
        <f t="shared" si="9"/>
        <v>3.5548184716220559E-2</v>
      </c>
      <c r="R372" s="33">
        <v>0.16282860775771735</v>
      </c>
      <c r="S372" s="34">
        <v>7.4999999999999997E-2</v>
      </c>
    </row>
    <row r="373" spans="16:19" x14ac:dyDescent="0.25">
      <c r="P373" s="27">
        <v>3.2548184716220556E-2</v>
      </c>
      <c r="Q373" s="28">
        <f t="shared" si="9"/>
        <v>3.5548184716220559E-2</v>
      </c>
      <c r="R373" s="33">
        <v>0.16282860775771735</v>
      </c>
      <c r="S373" s="34">
        <v>7.3080659999999992E-2</v>
      </c>
    </row>
    <row r="374" spans="16:19" x14ac:dyDescent="0.25">
      <c r="P374" s="27">
        <v>3.2548184716220556E-2</v>
      </c>
      <c r="Q374" s="28">
        <f t="shared" si="9"/>
        <v>3.5548184716220559E-2</v>
      </c>
      <c r="R374" s="33">
        <v>0.16282860775771735</v>
      </c>
      <c r="S374" s="34">
        <v>6.5280000000000005E-2</v>
      </c>
    </row>
    <row r="375" spans="16:19" x14ac:dyDescent="0.25">
      <c r="P375" s="27">
        <v>3.2548184716220556E-2</v>
      </c>
      <c r="Q375" s="28">
        <f t="shared" si="9"/>
        <v>3.5548184716220559E-2</v>
      </c>
      <c r="R375" s="33">
        <v>0.16282860775771735</v>
      </c>
      <c r="S375" s="34">
        <v>6.4000000000000001E-2</v>
      </c>
    </row>
    <row r="376" spans="16:19" x14ac:dyDescent="0.25">
      <c r="P376" s="27">
        <v>3.2548184716220556E-2</v>
      </c>
      <c r="Q376" s="28">
        <f t="shared" si="9"/>
        <v>3.5548184716220559E-2</v>
      </c>
      <c r="R376" s="33">
        <v>0.16282860775771735</v>
      </c>
      <c r="S376" s="34">
        <v>6.0479999999999999E-2</v>
      </c>
    </row>
    <row r="377" spans="16:19" x14ac:dyDescent="0.25">
      <c r="P377" s="27">
        <v>3.2548184716220556E-2</v>
      </c>
      <c r="Q377" s="28">
        <f t="shared" si="9"/>
        <v>3.5548184716220559E-2</v>
      </c>
      <c r="R377" s="33">
        <v>0.16282860775771735</v>
      </c>
      <c r="S377" s="34">
        <v>6.0229999999999999E-2</v>
      </c>
    </row>
    <row r="378" spans="16:19" x14ac:dyDescent="0.25">
      <c r="P378" s="27">
        <v>3.2548184716220556E-2</v>
      </c>
      <c r="Q378" s="28">
        <f t="shared" si="9"/>
        <v>3.5548184716220559E-2</v>
      </c>
      <c r="R378" s="33">
        <v>0.16282860775771735</v>
      </c>
      <c r="S378" s="34">
        <v>6.2619999999999995E-2</v>
      </c>
    </row>
    <row r="379" spans="16:19" x14ac:dyDescent="0.25">
      <c r="P379" s="27">
        <v>3.2548184716220556E-2</v>
      </c>
      <c r="Q379" s="28">
        <f t="shared" si="9"/>
        <v>3.5548184716220559E-2</v>
      </c>
      <c r="R379" s="33">
        <v>0.16282860775771735</v>
      </c>
      <c r="S379" s="34">
        <v>6.4989999999999992E-2</v>
      </c>
    </row>
    <row r="380" spans="16:19" x14ac:dyDescent="0.25">
      <c r="P380" s="27">
        <v>3.2548184716220556E-2</v>
      </c>
      <c r="Q380" s="28">
        <f t="shared" si="9"/>
        <v>3.5548184716220559E-2</v>
      </c>
      <c r="R380" s="33">
        <v>0.16282860775771735</v>
      </c>
      <c r="S380" s="34">
        <v>6.6360000000000002E-2</v>
      </c>
    </row>
    <row r="381" spans="16:19" x14ac:dyDescent="0.25">
      <c r="P381" s="27">
        <v>3.2548184716220556E-2</v>
      </c>
      <c r="Q381" s="28">
        <f t="shared" si="9"/>
        <v>3.5548184716220559E-2</v>
      </c>
      <c r="R381" s="33">
        <v>0.16282860775771735</v>
      </c>
      <c r="S381" s="34">
        <v>7.7010000000000009E-2</v>
      </c>
    </row>
    <row r="382" spans="16:19" x14ac:dyDescent="0.25">
      <c r="P382" s="27">
        <v>3.2548184716220556E-2</v>
      </c>
      <c r="Q382" s="28">
        <f t="shared" si="9"/>
        <v>3.5548184716220559E-2</v>
      </c>
      <c r="R382" s="33">
        <v>0.16282860775771735</v>
      </c>
      <c r="S382" s="34">
        <v>7.0699999999999999E-2</v>
      </c>
    </row>
    <row r="383" spans="16:19" x14ac:dyDescent="0.25">
      <c r="P383" s="27">
        <v>3.2548184716220556E-2</v>
      </c>
      <c r="Q383" s="28">
        <f t="shared" si="9"/>
        <v>3.5548184716220559E-2</v>
      </c>
      <c r="R383" s="31">
        <v>0.15939660775771733</v>
      </c>
      <c r="S383" s="32">
        <v>6.6530000000000006E-2</v>
      </c>
    </row>
    <row r="384" spans="16:19" x14ac:dyDescent="0.25">
      <c r="P384" s="27">
        <v>3.2548184716220556E-2</v>
      </c>
      <c r="Q384" s="28">
        <f t="shared" si="9"/>
        <v>3.5548184716220559E-2</v>
      </c>
      <c r="R384" s="31">
        <v>0.15939660775771733</v>
      </c>
      <c r="S384" s="32">
        <v>6.1609999999999998E-2</v>
      </c>
    </row>
    <row r="385" spans="16:19" x14ac:dyDescent="0.25">
      <c r="P385" s="27">
        <v>3.2548184716220556E-2</v>
      </c>
      <c r="Q385" s="28">
        <f t="shared" si="9"/>
        <v>3.5548184716220559E-2</v>
      </c>
      <c r="R385" s="31">
        <v>0.15939660775771733</v>
      </c>
      <c r="S385" s="32">
        <v>5.9859999999999997E-2</v>
      </c>
    </row>
    <row r="386" spans="16:19" x14ac:dyDescent="0.25">
      <c r="P386" s="27">
        <v>3.2548184716220556E-2</v>
      </c>
      <c r="Q386" s="28">
        <f t="shared" si="9"/>
        <v>3.5548184716220559E-2</v>
      </c>
      <c r="R386" s="31">
        <v>0.15939660775771733</v>
      </c>
      <c r="S386" s="32">
        <v>5.8999999999999997E-2</v>
      </c>
    </row>
    <row r="387" spans="16:19" x14ac:dyDescent="0.25">
      <c r="P387" s="27">
        <v>3.2548184716220556E-2</v>
      </c>
      <c r="Q387" s="28">
        <f t="shared" si="9"/>
        <v>3.5548184716220559E-2</v>
      </c>
      <c r="R387" s="29">
        <v>0.15003660775771735</v>
      </c>
      <c r="S387" s="30">
        <v>5.6000000000000001E-2</v>
      </c>
    </row>
    <row r="388" spans="16:19" x14ac:dyDescent="0.25">
      <c r="P388" s="27">
        <v>3.2548184716220556E-2</v>
      </c>
      <c r="Q388" s="28">
        <f t="shared" si="9"/>
        <v>3.5548184716220559E-2</v>
      </c>
      <c r="R388" s="29">
        <v>0.15003660775771735</v>
      </c>
      <c r="S388" s="30">
        <v>5.0040000000000001E-2</v>
      </c>
    </row>
    <row r="389" spans="16:19" x14ac:dyDescent="0.25">
      <c r="P389" s="27">
        <v>3.2548184716220556E-2</v>
      </c>
      <c r="Q389" s="28">
        <f t="shared" ref="Q389:Q452" si="10">P389+0.003</f>
        <v>3.5548184716220559E-2</v>
      </c>
      <c r="R389" s="29">
        <v>0.15003660775771735</v>
      </c>
      <c r="S389" s="30">
        <v>4.5700000000000005E-2</v>
      </c>
    </row>
    <row r="390" spans="16:19" x14ac:dyDescent="0.25">
      <c r="P390" s="27">
        <v>3.2548184716220556E-2</v>
      </c>
      <c r="Q390" s="28">
        <f t="shared" si="10"/>
        <v>3.5548184716220559E-2</v>
      </c>
      <c r="R390" s="29">
        <v>0.15003660775771735</v>
      </c>
      <c r="S390" s="30">
        <v>4.5100000000000001E-2</v>
      </c>
    </row>
    <row r="391" spans="16:19" x14ac:dyDescent="0.25">
      <c r="P391" s="27">
        <v>3.2548184716220556E-2</v>
      </c>
      <c r="Q391" s="28">
        <f t="shared" si="10"/>
        <v>3.5548184716220559E-2</v>
      </c>
      <c r="R391" s="29">
        <v>0.15003660775771735</v>
      </c>
      <c r="S391" s="30">
        <v>4.2599999999999999E-2</v>
      </c>
    </row>
    <row r="392" spans="16:19" x14ac:dyDescent="0.25">
      <c r="P392" s="27">
        <v>3.2548184716220556E-2</v>
      </c>
      <c r="Q392" s="28">
        <f t="shared" si="10"/>
        <v>3.5548184716220559E-2</v>
      </c>
      <c r="R392" s="29">
        <v>0.15003660775771735</v>
      </c>
      <c r="S392" s="30">
        <v>4.2349999999999999E-2</v>
      </c>
    </row>
    <row r="393" spans="16:19" x14ac:dyDescent="0.25">
      <c r="P393" s="27">
        <v>3.2548184716220556E-2</v>
      </c>
      <c r="Q393" s="28">
        <f t="shared" si="10"/>
        <v>3.5548184716220559E-2</v>
      </c>
      <c r="R393" s="29">
        <v>0.15003660775771735</v>
      </c>
      <c r="S393" s="30">
        <v>5.1880000000000003E-2</v>
      </c>
    </row>
    <row r="394" spans="16:19" x14ac:dyDescent="0.25">
      <c r="P394" s="27">
        <v>3.2548184716220556E-2</v>
      </c>
      <c r="Q394" s="28">
        <f t="shared" si="10"/>
        <v>3.5548184716220559E-2</v>
      </c>
      <c r="R394" s="29">
        <v>0.15003660775771735</v>
      </c>
      <c r="S394" s="30">
        <v>6.1210000000000001E-2</v>
      </c>
    </row>
    <row r="395" spans="16:19" x14ac:dyDescent="0.25">
      <c r="P395" s="27">
        <v>3.2548184716220556E-2</v>
      </c>
      <c r="Q395" s="28">
        <f t="shared" si="10"/>
        <v>3.5548184716220559E-2</v>
      </c>
      <c r="R395" s="31">
        <v>0.15939660775771733</v>
      </c>
      <c r="S395" s="32">
        <v>6.4209999999999989E-2</v>
      </c>
    </row>
    <row r="396" spans="16:19" x14ac:dyDescent="0.25">
      <c r="P396" s="27">
        <v>3.2548184716220556E-2</v>
      </c>
      <c r="Q396" s="28">
        <f t="shared" si="10"/>
        <v>3.5548184716220559E-2</v>
      </c>
      <c r="R396" s="33">
        <v>0.16282860775771735</v>
      </c>
      <c r="S396" s="34">
        <v>7.1559999999999999E-2</v>
      </c>
    </row>
    <row r="397" spans="16:19" x14ac:dyDescent="0.25">
      <c r="P397" s="27">
        <v>3.2548184716220556E-2</v>
      </c>
      <c r="Q397" s="28">
        <f t="shared" si="10"/>
        <v>3.5548184716220559E-2</v>
      </c>
      <c r="R397" s="33">
        <v>0.16282860775771735</v>
      </c>
      <c r="S397" s="34">
        <v>7.0040000000000005E-2</v>
      </c>
    </row>
    <row r="398" spans="16:19" x14ac:dyDescent="0.25">
      <c r="P398" s="27">
        <v>3.2548184716220556E-2</v>
      </c>
      <c r="Q398" s="28">
        <f t="shared" si="10"/>
        <v>3.5548184716220559E-2</v>
      </c>
      <c r="R398" s="33">
        <v>0.16282860775771735</v>
      </c>
      <c r="S398" s="34">
        <v>6.8989999999999996E-2</v>
      </c>
    </row>
    <row r="399" spans="16:19" x14ac:dyDescent="0.25">
      <c r="P399" s="27">
        <v>3.2548184716220556E-2</v>
      </c>
      <c r="Q399" s="28">
        <f t="shared" si="10"/>
        <v>3.5548184716220559E-2</v>
      </c>
      <c r="R399" s="33">
        <v>0.16282860775771735</v>
      </c>
      <c r="S399" s="34">
        <v>6.7890000000000006E-2</v>
      </c>
    </row>
    <row r="400" spans="16:19" x14ac:dyDescent="0.25">
      <c r="P400" s="27">
        <v>3.2548184716220556E-2</v>
      </c>
      <c r="Q400" s="28">
        <f t="shared" si="10"/>
        <v>3.5548184716220559E-2</v>
      </c>
      <c r="R400" s="33">
        <v>0.16282860775771735</v>
      </c>
      <c r="S400" s="34">
        <v>6.0020000000000004E-2</v>
      </c>
    </row>
    <row r="401" spans="16:19" x14ac:dyDescent="0.25">
      <c r="P401" s="27">
        <v>3.2548184716220556E-2</v>
      </c>
      <c r="Q401" s="28">
        <f t="shared" si="10"/>
        <v>3.5548184716220559E-2</v>
      </c>
      <c r="R401" s="33">
        <v>0.16282860775771735</v>
      </c>
      <c r="S401" s="34">
        <v>0.06</v>
      </c>
    </row>
    <row r="402" spans="16:19" x14ac:dyDescent="0.25">
      <c r="P402" s="27">
        <v>3.2548184716220556E-2</v>
      </c>
      <c r="Q402" s="28">
        <f t="shared" si="10"/>
        <v>3.5548184716220559E-2</v>
      </c>
      <c r="R402" s="33">
        <v>0.16282860775771735</v>
      </c>
      <c r="S402" s="34">
        <v>6.2E-2</v>
      </c>
    </row>
    <row r="403" spans="16:19" x14ac:dyDescent="0.25">
      <c r="P403" s="27">
        <v>3.2548184716220556E-2</v>
      </c>
      <c r="Q403" s="28">
        <f t="shared" si="10"/>
        <v>3.5548184716220559E-2</v>
      </c>
      <c r="R403" s="33">
        <v>0.16282860775771735</v>
      </c>
      <c r="S403" s="34">
        <v>6.2960000000000002E-2</v>
      </c>
    </row>
    <row r="404" spans="16:19" x14ac:dyDescent="0.25">
      <c r="P404" s="27">
        <v>3.2548184716220556E-2</v>
      </c>
      <c r="Q404" s="28">
        <f t="shared" si="10"/>
        <v>3.5548184716220559E-2</v>
      </c>
      <c r="R404" s="33">
        <v>0.16282860775771735</v>
      </c>
      <c r="S404" s="34">
        <v>6.4129999999999993E-2</v>
      </c>
    </row>
    <row r="405" spans="16:19" x14ac:dyDescent="0.25">
      <c r="P405" s="27">
        <v>3.2548184716220556E-2</v>
      </c>
      <c r="Q405" s="28">
        <f t="shared" si="10"/>
        <v>3.5548184716220559E-2</v>
      </c>
      <c r="R405" s="33">
        <v>0.16282860775771735</v>
      </c>
      <c r="S405" s="34">
        <v>7.4769999999999989E-2</v>
      </c>
    </row>
    <row r="406" spans="16:19" x14ac:dyDescent="0.25">
      <c r="P406" s="27">
        <v>3.2548184716220556E-2</v>
      </c>
      <c r="Q406" s="28">
        <f t="shared" si="10"/>
        <v>3.5548184716220559E-2</v>
      </c>
      <c r="R406" s="33">
        <v>0.16282860775771735</v>
      </c>
      <c r="S406" s="34">
        <v>7.0040000000000005E-2</v>
      </c>
    </row>
    <row r="407" spans="16:19" x14ac:dyDescent="0.25">
      <c r="P407" s="27">
        <v>3.2548184716220556E-2</v>
      </c>
      <c r="Q407" s="28">
        <f t="shared" si="10"/>
        <v>3.5548184716220559E-2</v>
      </c>
      <c r="R407" s="31">
        <v>0.15939660775771733</v>
      </c>
      <c r="S407" s="32">
        <v>6.6530000000000006E-2</v>
      </c>
    </row>
    <row r="408" spans="16:19" x14ac:dyDescent="0.25">
      <c r="P408" s="27">
        <v>3.2548184716220556E-2</v>
      </c>
      <c r="Q408" s="28">
        <f t="shared" si="10"/>
        <v>3.5548184716220559E-2</v>
      </c>
      <c r="R408" s="31">
        <v>0.15939660775771733</v>
      </c>
      <c r="S408" s="32">
        <v>6.2210000000000001E-2</v>
      </c>
    </row>
    <row r="409" spans="16:19" x14ac:dyDescent="0.25">
      <c r="P409" s="27">
        <v>3.2548184716220556E-2</v>
      </c>
      <c r="Q409" s="28">
        <f t="shared" si="10"/>
        <v>3.5548184716220559E-2</v>
      </c>
      <c r="R409" s="31">
        <v>0.15939660775771733</v>
      </c>
      <c r="S409" s="32">
        <v>0.06</v>
      </c>
    </row>
    <row r="410" spans="16:19" x14ac:dyDescent="0.25">
      <c r="P410" s="27">
        <v>3.2548184716220556E-2</v>
      </c>
      <c r="Q410" s="28">
        <f t="shared" si="10"/>
        <v>3.5548184716220559E-2</v>
      </c>
      <c r="R410" s="31">
        <v>0.15939660775771733</v>
      </c>
      <c r="S410" s="32">
        <v>5.8979999999999998E-2</v>
      </c>
    </row>
    <row r="411" spans="16:19" x14ac:dyDescent="0.25">
      <c r="P411" s="27">
        <v>3.2548184716220556E-2</v>
      </c>
      <c r="Q411" s="28">
        <f t="shared" si="10"/>
        <v>3.5548184716220559E-2</v>
      </c>
      <c r="R411" s="29">
        <v>0.15003660775771735</v>
      </c>
      <c r="S411" s="30">
        <v>5.5009999999999996E-2</v>
      </c>
    </row>
    <row r="412" spans="16:19" x14ac:dyDescent="0.25">
      <c r="P412" s="27">
        <v>3.2548184716220556E-2</v>
      </c>
      <c r="Q412" s="28">
        <f t="shared" si="10"/>
        <v>3.5548184716220559E-2</v>
      </c>
      <c r="R412" s="29">
        <v>0.15003660775771735</v>
      </c>
      <c r="S412" s="30">
        <v>5.8270000000000002E-2</v>
      </c>
    </row>
    <row r="413" spans="16:19" x14ac:dyDescent="0.25">
      <c r="P413" s="27">
        <v>3.2548184716220556E-2</v>
      </c>
      <c r="Q413" s="28">
        <f t="shared" si="10"/>
        <v>3.5548184716220559E-2</v>
      </c>
      <c r="R413" s="29">
        <v>0.15003660775771735</v>
      </c>
      <c r="S413" s="30">
        <v>5.2539999999999996E-2</v>
      </c>
    </row>
    <row r="414" spans="16:19" x14ac:dyDescent="0.25">
      <c r="P414" s="27">
        <v>3.2548184716220556E-2</v>
      </c>
      <c r="Q414" s="28">
        <f t="shared" si="10"/>
        <v>3.5548184716220559E-2</v>
      </c>
      <c r="R414" s="29">
        <v>0.15003660775771735</v>
      </c>
      <c r="S414" s="30">
        <v>0.05</v>
      </c>
    </row>
    <row r="415" spans="16:19" x14ac:dyDescent="0.25">
      <c r="P415" s="27">
        <v>3.2548184716220556E-2</v>
      </c>
      <c r="Q415" s="28">
        <f t="shared" si="10"/>
        <v>3.5548184716220559E-2</v>
      </c>
      <c r="R415" s="29">
        <v>0.15003660775771735</v>
      </c>
      <c r="S415" s="30">
        <v>0.05</v>
      </c>
    </row>
    <row r="416" spans="16:19" x14ac:dyDescent="0.25">
      <c r="P416" s="27">
        <v>3.2548184716220556E-2</v>
      </c>
      <c r="Q416" s="28">
        <f t="shared" si="10"/>
        <v>3.5548184716220559E-2</v>
      </c>
      <c r="R416" s="29">
        <v>0.15003660775771735</v>
      </c>
      <c r="S416" s="30">
        <v>0.05</v>
      </c>
    </row>
    <row r="417" spans="16:19" x14ac:dyDescent="0.25">
      <c r="P417" s="27">
        <v>3.2548184716220556E-2</v>
      </c>
      <c r="Q417" s="28">
        <f t="shared" si="10"/>
        <v>3.5548184716220559E-2</v>
      </c>
      <c r="R417" s="29">
        <v>0.15003660775771735</v>
      </c>
      <c r="S417" s="30">
        <v>0.05</v>
      </c>
    </row>
    <row r="418" spans="16:19" x14ac:dyDescent="0.25">
      <c r="P418" s="27">
        <v>3.2548184716220556E-2</v>
      </c>
      <c r="Q418" s="28">
        <f t="shared" si="10"/>
        <v>3.5548184716220559E-2</v>
      </c>
      <c r="R418" s="29">
        <v>0.15003660775771735</v>
      </c>
      <c r="S418" s="30">
        <v>5.8832927E-2</v>
      </c>
    </row>
    <row r="419" spans="16:19" x14ac:dyDescent="0.25">
      <c r="P419" s="27">
        <v>3.2548184716220556E-2</v>
      </c>
      <c r="Q419" s="28">
        <f t="shared" si="10"/>
        <v>3.5548184716220559E-2</v>
      </c>
      <c r="R419" s="31">
        <v>0.15939660775771733</v>
      </c>
      <c r="S419" s="32">
        <v>6.498000000000001E-2</v>
      </c>
    </row>
    <row r="420" spans="16:19" x14ac:dyDescent="0.25">
      <c r="P420" s="27">
        <v>3.2548184716220556E-2</v>
      </c>
      <c r="Q420" s="28">
        <f t="shared" si="10"/>
        <v>3.5548184716220559E-2</v>
      </c>
      <c r="R420" s="33">
        <v>0.16282860775771735</v>
      </c>
      <c r="S420" s="34">
        <v>6.3039999999999999E-2</v>
      </c>
    </row>
    <row r="421" spans="16:19" x14ac:dyDescent="0.25">
      <c r="P421" s="27">
        <v>3.2548184716220556E-2</v>
      </c>
      <c r="Q421" s="28">
        <f t="shared" si="10"/>
        <v>3.5548184716220559E-2</v>
      </c>
      <c r="R421" s="33">
        <v>0.16282860775771735</v>
      </c>
      <c r="S421" s="34">
        <v>6.5000000000000002E-2</v>
      </c>
    </row>
    <row r="422" spans="16:19" x14ac:dyDescent="0.25">
      <c r="P422" s="27">
        <v>3.2548184716220556E-2</v>
      </c>
      <c r="Q422" s="28">
        <f t="shared" si="10"/>
        <v>3.5548184716220559E-2</v>
      </c>
      <c r="R422" s="33">
        <v>0.16282860775771735</v>
      </c>
      <c r="S422" s="34">
        <v>6.6129999999999994E-2</v>
      </c>
    </row>
    <row r="423" spans="16:19" x14ac:dyDescent="0.25">
      <c r="P423" s="27">
        <v>3.2548184716220556E-2</v>
      </c>
      <c r="Q423" s="28">
        <f t="shared" si="10"/>
        <v>3.5548184716220559E-2</v>
      </c>
      <c r="R423" s="33">
        <v>0.16282860775771735</v>
      </c>
      <c r="S423" s="34">
        <v>6.498000000000001E-2</v>
      </c>
    </row>
    <row r="424" spans="16:19" x14ac:dyDescent="0.25">
      <c r="P424" s="27">
        <v>3.2548184716220556E-2</v>
      </c>
      <c r="Q424" s="28">
        <f t="shared" si="10"/>
        <v>3.5548184716220559E-2</v>
      </c>
      <c r="R424" s="33">
        <v>0.16282860775771735</v>
      </c>
      <c r="S424" s="34">
        <v>6.0969999999999996E-2</v>
      </c>
    </row>
    <row r="425" spans="16:19" x14ac:dyDescent="0.25">
      <c r="P425" s="27">
        <v>3.2548184716220556E-2</v>
      </c>
      <c r="Q425" s="28">
        <f t="shared" si="10"/>
        <v>3.5548184716220559E-2</v>
      </c>
      <c r="R425" s="33">
        <v>0.16282860775771735</v>
      </c>
      <c r="S425" s="34">
        <v>5.8500000000000003E-2</v>
      </c>
    </row>
    <row r="426" spans="16:19" x14ac:dyDescent="0.25">
      <c r="P426" s="27">
        <v>3.2548184716220556E-2</v>
      </c>
      <c r="Q426" s="28">
        <f t="shared" si="10"/>
        <v>3.5548184716220559E-2</v>
      </c>
      <c r="R426" s="33">
        <v>0.16282860775771735</v>
      </c>
      <c r="S426" s="34">
        <v>5.7480597000000001E-2</v>
      </c>
    </row>
    <row r="427" spans="16:19" x14ac:dyDescent="0.25">
      <c r="P427" s="27">
        <v>3.2548184716220556E-2</v>
      </c>
      <c r="Q427" s="28">
        <f t="shared" si="10"/>
        <v>3.5548184716220559E-2</v>
      </c>
      <c r="R427" s="33">
        <v>0.16282860775771735</v>
      </c>
      <c r="S427" s="34">
        <v>5.8500000000000003E-2</v>
      </c>
    </row>
    <row r="428" spans="16:19" x14ac:dyDescent="0.25">
      <c r="P428" s="27">
        <v>3.2548184716220556E-2</v>
      </c>
      <c r="Q428" s="28">
        <f t="shared" si="10"/>
        <v>3.5548184716220559E-2</v>
      </c>
      <c r="R428" s="33">
        <v>0.16282860775771735</v>
      </c>
      <c r="S428" s="34">
        <v>6.0049999999999999E-2</v>
      </c>
    </row>
    <row r="429" spans="16:19" x14ac:dyDescent="0.25">
      <c r="P429" s="27">
        <v>3.2548184716220556E-2</v>
      </c>
      <c r="Q429" s="28">
        <f t="shared" si="10"/>
        <v>3.5548184716220559E-2</v>
      </c>
      <c r="R429" s="33">
        <v>0.16282860775771735</v>
      </c>
      <c r="S429" s="34">
        <v>6.8830000000000002E-2</v>
      </c>
    </row>
    <row r="430" spans="16:19" x14ac:dyDescent="0.25">
      <c r="P430" s="27">
        <v>3.2548184716220556E-2</v>
      </c>
      <c r="Q430" s="28">
        <f t="shared" si="10"/>
        <v>3.5548184716220559E-2</v>
      </c>
      <c r="R430" s="33">
        <v>0.16282860775771735</v>
      </c>
      <c r="S430" s="34">
        <v>6.695000000000001E-2</v>
      </c>
    </row>
    <row r="431" spans="16:19" x14ac:dyDescent="0.25">
      <c r="P431" s="27">
        <v>3.2548184716220556E-2</v>
      </c>
      <c r="Q431" s="28">
        <f t="shared" si="10"/>
        <v>3.5548184716220559E-2</v>
      </c>
      <c r="R431" s="31">
        <v>0.15939660775771733</v>
      </c>
      <c r="S431" s="32">
        <v>6.6530000000000006E-2</v>
      </c>
    </row>
    <row r="432" spans="16:19" x14ac:dyDescent="0.25">
      <c r="P432" s="27">
        <v>3.2548184716220556E-2</v>
      </c>
      <c r="Q432" s="28">
        <f t="shared" si="10"/>
        <v>3.5548184716220559E-2</v>
      </c>
      <c r="R432" s="31">
        <v>0.15939660775771733</v>
      </c>
      <c r="S432" s="32">
        <v>6.2E-2</v>
      </c>
    </row>
    <row r="433" spans="16:19" x14ac:dyDescent="0.25">
      <c r="P433" s="27">
        <v>3.2548184716220556E-2</v>
      </c>
      <c r="Q433" s="28">
        <f t="shared" si="10"/>
        <v>3.5548184716220559E-2</v>
      </c>
      <c r="R433" s="31">
        <v>0.15939660775771733</v>
      </c>
      <c r="S433" s="32">
        <v>5.8900000000000001E-2</v>
      </c>
    </row>
    <row r="434" spans="16:19" x14ac:dyDescent="0.25">
      <c r="P434" s="27">
        <v>3.2548184716220556E-2</v>
      </c>
      <c r="Q434" s="28">
        <f t="shared" si="10"/>
        <v>3.5548184716220559E-2</v>
      </c>
      <c r="R434" s="31">
        <v>0.15939660775771733</v>
      </c>
      <c r="S434" s="32">
        <v>5.5009999999999996E-2</v>
      </c>
    </row>
    <row r="435" spans="16:19" x14ac:dyDescent="0.25">
      <c r="P435" s="27">
        <v>3.2548184716220556E-2</v>
      </c>
      <c r="Q435" s="28">
        <f t="shared" si="10"/>
        <v>3.5548184716220559E-2</v>
      </c>
      <c r="R435" s="29">
        <v>0.15003660775771735</v>
      </c>
      <c r="S435" s="30">
        <v>5.296E-2</v>
      </c>
    </row>
    <row r="436" spans="16:19" x14ac:dyDescent="0.25">
      <c r="P436" s="27">
        <v>3.2548184716220556E-2</v>
      </c>
      <c r="Q436" s="28">
        <f t="shared" si="10"/>
        <v>3.5548184716220559E-2</v>
      </c>
      <c r="R436" s="29">
        <v>0.15003660775771735</v>
      </c>
      <c r="S436" s="30">
        <v>4.8680000000000001E-2</v>
      </c>
    </row>
    <row r="437" spans="16:19" x14ac:dyDescent="0.25">
      <c r="P437" s="27">
        <v>3.2548184716220556E-2</v>
      </c>
      <c r="Q437" s="28">
        <f t="shared" si="10"/>
        <v>3.5548184716220559E-2</v>
      </c>
      <c r="R437" s="29">
        <v>0.15003660775771735</v>
      </c>
      <c r="S437" s="30">
        <v>3.499E-2</v>
      </c>
    </row>
    <row r="438" spans="16:19" x14ac:dyDescent="0.25">
      <c r="P438" s="27">
        <v>3.2548184716220556E-2</v>
      </c>
      <c r="Q438" s="28">
        <f t="shared" si="10"/>
        <v>3.5548184716220559E-2</v>
      </c>
      <c r="R438" s="29">
        <v>0.15003660775771735</v>
      </c>
      <c r="S438" s="30">
        <v>2.7369365E-2</v>
      </c>
    </row>
    <row r="439" spans="16:19" x14ac:dyDescent="0.25">
      <c r="P439" s="27">
        <v>3.2548184716220556E-2</v>
      </c>
      <c r="Q439" s="28">
        <f t="shared" si="10"/>
        <v>3.5548184716220559E-2</v>
      </c>
      <c r="R439" s="29">
        <v>0.15003660775771735</v>
      </c>
      <c r="S439" s="30">
        <v>0.02</v>
      </c>
    </row>
    <row r="440" spans="16:19" x14ac:dyDescent="0.25">
      <c r="P440" s="27">
        <v>3.2548184716220556E-2</v>
      </c>
      <c r="Q440" s="28">
        <f t="shared" si="10"/>
        <v>3.5548184716220559E-2</v>
      </c>
      <c r="R440" s="29">
        <v>0.15003660775771735</v>
      </c>
      <c r="S440" s="30">
        <v>1.6800000000000002E-2</v>
      </c>
    </row>
    <row r="441" spans="16:19" x14ac:dyDescent="0.25">
      <c r="P441" s="27">
        <v>3.2548184716220556E-2</v>
      </c>
      <c r="Q441" s="28">
        <f t="shared" si="10"/>
        <v>3.5548184716220559E-2</v>
      </c>
      <c r="R441" s="29">
        <v>0.15003660775771735</v>
      </c>
      <c r="S441" s="30">
        <v>1.736E-2</v>
      </c>
    </row>
    <row r="442" spans="16:19" x14ac:dyDescent="0.25">
      <c r="P442" s="27">
        <v>3.2548184716220556E-2</v>
      </c>
      <c r="Q442" s="28">
        <f t="shared" si="10"/>
        <v>3.5548184716220559E-2</v>
      </c>
      <c r="R442" s="29">
        <v>0.15003660775771735</v>
      </c>
      <c r="S442" s="30">
        <v>2.1999999999999999E-2</v>
      </c>
    </row>
    <row r="443" spans="16:19" x14ac:dyDescent="0.25">
      <c r="P443" s="27">
        <v>3.2548184716220556E-2</v>
      </c>
      <c r="Q443" s="28">
        <f t="shared" si="10"/>
        <v>3.5548184716220559E-2</v>
      </c>
      <c r="R443" s="31">
        <v>0.15939660775771733</v>
      </c>
      <c r="S443" s="32">
        <v>2.8160000000000001E-2</v>
      </c>
    </row>
    <row r="444" spans="16:19" x14ac:dyDescent="0.25">
      <c r="P444" s="27">
        <v>3.2548184716220556E-2</v>
      </c>
      <c r="Q444" s="28">
        <f t="shared" si="10"/>
        <v>3.5548184716220559E-2</v>
      </c>
      <c r="R444" s="33">
        <v>0.16282860775771735</v>
      </c>
      <c r="S444" s="34">
        <v>3.8600000000000002E-2</v>
      </c>
    </row>
    <row r="445" spans="16:19" x14ac:dyDescent="0.25">
      <c r="P445" s="27">
        <v>3.2548184716220556E-2</v>
      </c>
      <c r="Q445" s="28">
        <f t="shared" si="10"/>
        <v>3.5548184716220559E-2</v>
      </c>
      <c r="R445" s="33">
        <v>0.16282860775771735</v>
      </c>
      <c r="S445" s="34">
        <v>5.8409999999999997E-2</v>
      </c>
    </row>
    <row r="446" spans="16:19" x14ac:dyDescent="0.25">
      <c r="P446" s="27">
        <v>3.2548184716220556E-2</v>
      </c>
      <c r="Q446" s="28">
        <f t="shared" si="10"/>
        <v>3.5548184716220559E-2</v>
      </c>
      <c r="R446" s="33">
        <v>0.16282860775771735</v>
      </c>
      <c r="S446" s="34">
        <v>6.498000000000001E-2</v>
      </c>
    </row>
    <row r="447" spans="16:19" x14ac:dyDescent="0.25">
      <c r="P447" s="27">
        <v>3.2548184716220556E-2</v>
      </c>
      <c r="Q447" s="28">
        <f t="shared" si="10"/>
        <v>3.5548184716220559E-2</v>
      </c>
      <c r="R447" s="33">
        <v>0.16282860775771735</v>
      </c>
      <c r="S447" s="34">
        <v>7.3999999999999996E-2</v>
      </c>
    </row>
    <row r="448" spans="16:19" x14ac:dyDescent="0.25">
      <c r="P448" s="27">
        <v>3.2548184716220556E-2</v>
      </c>
      <c r="Q448" s="28">
        <f t="shared" si="10"/>
        <v>3.5548184716220559E-2</v>
      </c>
      <c r="R448" s="33">
        <v>0.16282860775771735</v>
      </c>
      <c r="S448" s="34">
        <v>6.498000000000001E-2</v>
      </c>
    </row>
    <row r="449" spans="16:19" x14ac:dyDescent="0.25">
      <c r="P449" s="27">
        <v>3.2548184716220556E-2</v>
      </c>
      <c r="Q449" s="28">
        <f t="shared" si="10"/>
        <v>3.5548184716220559E-2</v>
      </c>
      <c r="R449" s="33">
        <v>0.16282860775771735</v>
      </c>
      <c r="S449" s="34">
        <v>5.7439999999999998E-2</v>
      </c>
    </row>
    <row r="450" spans="16:19" x14ac:dyDescent="0.25">
      <c r="P450" s="27">
        <v>3.2548184716220556E-2</v>
      </c>
      <c r="Q450" s="28">
        <f t="shared" si="10"/>
        <v>3.5548184716220559E-2</v>
      </c>
      <c r="R450" s="33">
        <v>0.16282860775771735</v>
      </c>
      <c r="S450" s="34">
        <v>5.4969999999999998E-2</v>
      </c>
    </row>
    <row r="451" spans="16:19" x14ac:dyDescent="0.25">
      <c r="P451" s="27">
        <v>3.2548184716220556E-2</v>
      </c>
      <c r="Q451" s="28">
        <f t="shared" si="10"/>
        <v>3.5548184716220559E-2</v>
      </c>
      <c r="R451" s="33">
        <v>0.16282860775771735</v>
      </c>
      <c r="S451" s="34">
        <v>5.4990000000000004E-2</v>
      </c>
    </row>
    <row r="452" spans="16:19" x14ac:dyDescent="0.25">
      <c r="P452" s="27">
        <v>3.2548184716220556E-2</v>
      </c>
      <c r="Q452" s="28">
        <f t="shared" si="10"/>
        <v>3.5548184716220559E-2</v>
      </c>
      <c r="R452" s="33">
        <v>0.16282860775771735</v>
      </c>
      <c r="S452" s="34">
        <v>5.5310000000000005E-2</v>
      </c>
    </row>
    <row r="453" spans="16:19" x14ac:dyDescent="0.25">
      <c r="P453" s="27">
        <v>3.2548184716220556E-2</v>
      </c>
      <c r="Q453" s="28">
        <f t="shared" ref="Q453:Q516" si="11">P453+0.003</f>
        <v>3.5548184716220559E-2</v>
      </c>
      <c r="R453" s="33">
        <v>0.16282860775771735</v>
      </c>
      <c r="S453" s="34">
        <v>6.498000000000001E-2</v>
      </c>
    </row>
    <row r="454" spans="16:19" x14ac:dyDescent="0.25">
      <c r="P454" s="27">
        <v>3.2548184716220556E-2</v>
      </c>
      <c r="Q454" s="28">
        <f t="shared" si="11"/>
        <v>3.5548184716220559E-2</v>
      </c>
      <c r="R454" s="33">
        <v>0.16282860775771735</v>
      </c>
      <c r="S454" s="34">
        <v>7.0930000000000007E-2</v>
      </c>
    </row>
    <row r="455" spans="16:19" x14ac:dyDescent="0.25">
      <c r="P455" s="27">
        <v>3.2548184716220556E-2</v>
      </c>
      <c r="Q455" s="28">
        <f t="shared" si="11"/>
        <v>3.5548184716220559E-2</v>
      </c>
      <c r="R455" s="31">
        <v>0.15939660775771733</v>
      </c>
      <c r="S455" s="32">
        <v>7.1400000000000005E-2</v>
      </c>
    </row>
    <row r="456" spans="16:19" x14ac:dyDescent="0.25">
      <c r="P456" s="27">
        <v>3.2548184716220556E-2</v>
      </c>
      <c r="Q456" s="28">
        <f t="shared" si="11"/>
        <v>3.5548184716220559E-2</v>
      </c>
      <c r="R456" s="31">
        <v>0.15939660775771733</v>
      </c>
      <c r="S456" s="32">
        <v>6.8000000000000005E-2</v>
      </c>
    </row>
    <row r="457" spans="16:19" x14ac:dyDescent="0.25">
      <c r="P457" s="27">
        <v>3.2548184716220556E-2</v>
      </c>
      <c r="Q457" s="28">
        <f t="shared" si="11"/>
        <v>3.5548184716220559E-2</v>
      </c>
      <c r="R457" s="31">
        <v>0.15939660775771733</v>
      </c>
      <c r="S457" s="32">
        <v>6.4599999999999991E-2</v>
      </c>
    </row>
    <row r="458" spans="16:19" x14ac:dyDescent="0.25">
      <c r="P458" s="27">
        <v>3.2548184716220556E-2</v>
      </c>
      <c r="Q458" s="28">
        <f t="shared" si="11"/>
        <v>3.5548184716220559E-2</v>
      </c>
      <c r="R458" s="31">
        <v>0.15939660775771733</v>
      </c>
      <c r="S458" s="32">
        <v>5.8159999999999996E-2</v>
      </c>
    </row>
    <row r="459" spans="16:19" x14ac:dyDescent="0.25">
      <c r="P459" s="27">
        <v>3.2548184716220556E-2</v>
      </c>
      <c r="Q459" s="28">
        <f t="shared" si="11"/>
        <v>3.5548184716220559E-2</v>
      </c>
      <c r="R459" s="29">
        <v>0.15003660775771735</v>
      </c>
      <c r="S459" s="30">
        <v>5.0999999999999997E-2</v>
      </c>
    </row>
    <row r="460" spans="16:19" x14ac:dyDescent="0.25">
      <c r="P460" s="27">
        <v>3.2548184716220556E-2</v>
      </c>
      <c r="Q460" s="28">
        <f t="shared" si="11"/>
        <v>3.5548184716220559E-2</v>
      </c>
      <c r="R460" s="29">
        <v>0.15003660775771735</v>
      </c>
      <c r="S460" s="30">
        <v>4.36E-2</v>
      </c>
    </row>
    <row r="461" spans="16:19" x14ac:dyDescent="0.25">
      <c r="P461" s="27">
        <v>3.2548184716220556E-2</v>
      </c>
      <c r="Q461" s="28">
        <f t="shared" si="11"/>
        <v>3.5548184716220559E-2</v>
      </c>
      <c r="R461" s="29">
        <v>0.15003660775771735</v>
      </c>
      <c r="S461" s="30">
        <v>3.1949999999999999E-2</v>
      </c>
    </row>
    <row r="462" spans="16:19" x14ac:dyDescent="0.25">
      <c r="P462" s="27">
        <v>3.2548184716220556E-2</v>
      </c>
      <c r="Q462" s="28">
        <f t="shared" si="11"/>
        <v>3.5548184716220559E-2</v>
      </c>
      <c r="R462" s="29">
        <v>0.15003660775771735</v>
      </c>
      <c r="S462" s="30">
        <v>2.8889999999999999E-2</v>
      </c>
    </row>
    <row r="463" spans="16:19" x14ac:dyDescent="0.25">
      <c r="P463" s="27">
        <v>3.2548184716220556E-2</v>
      </c>
      <c r="Q463" s="28">
        <f t="shared" si="11"/>
        <v>3.5548184716220559E-2</v>
      </c>
      <c r="R463" s="29">
        <v>0.15003660775771735</v>
      </c>
      <c r="S463" s="30">
        <v>2.094E-2</v>
      </c>
    </row>
    <row r="464" spans="16:19" x14ac:dyDescent="0.25">
      <c r="P464" s="27">
        <v>3.2548184716220556E-2</v>
      </c>
      <c r="Q464" s="28">
        <f t="shared" si="11"/>
        <v>3.5548184716220559E-2</v>
      </c>
      <c r="R464" s="29">
        <v>0.15003660775771735</v>
      </c>
      <c r="S464" s="30">
        <v>2.198E-2</v>
      </c>
    </row>
    <row r="465" spans="16:19" x14ac:dyDescent="0.25">
      <c r="P465" s="27">
        <v>3.2548184716220556E-2</v>
      </c>
      <c r="Q465" s="28">
        <f t="shared" si="11"/>
        <v>3.5548184716220559E-2</v>
      </c>
      <c r="R465" s="29">
        <v>0.15003660775771735</v>
      </c>
      <c r="S465" s="30">
        <v>3.7527441000000002E-2</v>
      </c>
    </row>
    <row r="466" spans="16:19" x14ac:dyDescent="0.25">
      <c r="P466" s="27">
        <v>3.2548184716220556E-2</v>
      </c>
      <c r="Q466" s="28">
        <f t="shared" si="11"/>
        <v>3.5548184716220559E-2</v>
      </c>
      <c r="R466" s="29">
        <v>0.15003660775771735</v>
      </c>
      <c r="S466" s="30">
        <v>5.8319999999999997E-2</v>
      </c>
    </row>
    <row r="467" spans="16:19" x14ac:dyDescent="0.25">
      <c r="P467" s="27">
        <v>3.2548184716220556E-2</v>
      </c>
      <c r="Q467" s="28">
        <f t="shared" si="11"/>
        <v>3.5548184716220559E-2</v>
      </c>
      <c r="R467" s="31">
        <v>0.15939660775771733</v>
      </c>
      <c r="S467" s="32">
        <v>6.6640000000000005E-2</v>
      </c>
    </row>
    <row r="468" spans="16:19" x14ac:dyDescent="0.25">
      <c r="P468" s="27">
        <v>3.2548184716220556E-2</v>
      </c>
      <c r="Q468" s="28">
        <f t="shared" si="11"/>
        <v>3.5548184716220559E-2</v>
      </c>
      <c r="R468" s="31">
        <v>0.15939660775771733</v>
      </c>
      <c r="S468" s="32">
        <v>7.2029999999999997E-2</v>
      </c>
    </row>
    <row r="469" spans="16:19" x14ac:dyDescent="0.25">
      <c r="P469" s="27">
        <v>3.2548184716220556E-2</v>
      </c>
      <c r="Q469" s="28">
        <f t="shared" si="11"/>
        <v>3.5548184716220559E-2</v>
      </c>
      <c r="R469" s="31">
        <v>0.15939660775771733</v>
      </c>
      <c r="S469" s="32">
        <v>7.2029999999999997E-2</v>
      </c>
    </row>
    <row r="470" spans="16:19" x14ac:dyDescent="0.25">
      <c r="P470" s="27">
        <v>3.2548184716220556E-2</v>
      </c>
      <c r="Q470" s="28">
        <f t="shared" si="11"/>
        <v>3.5548184716220559E-2</v>
      </c>
      <c r="R470" s="31">
        <v>0.15939660775771733</v>
      </c>
      <c r="S470" s="32">
        <v>6.6000000000000003E-2</v>
      </c>
    </row>
    <row r="471" spans="16:19" x14ac:dyDescent="0.25">
      <c r="P471" s="27">
        <v>3.2548184716220556E-2</v>
      </c>
      <c r="Q471" s="28">
        <f t="shared" si="11"/>
        <v>3.5548184716220559E-2</v>
      </c>
      <c r="R471" s="31">
        <v>0.15939660775771733</v>
      </c>
      <c r="S471" s="32">
        <v>6.5599999999999992E-2</v>
      </c>
    </row>
    <row r="472" spans="16:19" x14ac:dyDescent="0.25">
      <c r="P472" s="27">
        <v>3.2548184716220556E-2</v>
      </c>
      <c r="Q472" s="28">
        <f t="shared" si="11"/>
        <v>3.5548184716220559E-2</v>
      </c>
      <c r="R472" s="31">
        <v>0.15939660775771733</v>
      </c>
      <c r="S472" s="32">
        <v>6.2240000000000004E-2</v>
      </c>
    </row>
    <row r="473" spans="16:19" x14ac:dyDescent="0.25">
      <c r="P473" s="27">
        <v>3.2548184716220556E-2</v>
      </c>
      <c r="Q473" s="28">
        <f t="shared" si="11"/>
        <v>3.5548184716220559E-2</v>
      </c>
      <c r="R473" s="31">
        <v>0.15939660775771733</v>
      </c>
      <c r="S473" s="32">
        <v>6.0600000000000001E-2</v>
      </c>
    </row>
    <row r="474" spans="16:19" x14ac:dyDescent="0.25">
      <c r="P474" s="27">
        <v>3.2548184716220556E-2</v>
      </c>
      <c r="Q474" s="28">
        <f t="shared" si="11"/>
        <v>3.5548184716220559E-2</v>
      </c>
      <c r="R474" s="31">
        <v>0.15939660775771733</v>
      </c>
      <c r="S474" s="32">
        <v>6.3119999999999996E-2</v>
      </c>
    </row>
    <row r="475" spans="16:19" x14ac:dyDescent="0.25">
      <c r="P475" s="27">
        <v>3.2548184716220556E-2</v>
      </c>
      <c r="Q475" s="28">
        <f t="shared" si="11"/>
        <v>3.5548184716220559E-2</v>
      </c>
      <c r="R475" s="31">
        <v>0.15939660775771733</v>
      </c>
      <c r="S475" s="32">
        <v>6.5000000000000002E-2</v>
      </c>
    </row>
    <row r="476" spans="16:19" x14ac:dyDescent="0.25">
      <c r="P476" s="27">
        <v>3.2548184716220556E-2</v>
      </c>
      <c r="Q476" s="28">
        <f t="shared" si="11"/>
        <v>3.5548184716220559E-2</v>
      </c>
      <c r="R476" s="31">
        <v>0.15939660775771733</v>
      </c>
      <c r="S476" s="32">
        <v>6.5000000000000002E-2</v>
      </c>
    </row>
    <row r="477" spans="16:19" x14ac:dyDescent="0.25">
      <c r="P477" s="27">
        <v>3.2548184716220556E-2</v>
      </c>
      <c r="Q477" s="28">
        <f t="shared" si="11"/>
        <v>3.5548184716220559E-2</v>
      </c>
      <c r="R477" s="31">
        <v>0.15939660775771733</v>
      </c>
      <c r="S477" s="32">
        <v>7.3375506999999993E-2</v>
      </c>
    </row>
    <row r="478" spans="16:19" x14ac:dyDescent="0.25">
      <c r="P478" s="27">
        <v>3.2548184716220556E-2</v>
      </c>
      <c r="Q478" s="28">
        <f t="shared" si="11"/>
        <v>3.5548184716220559E-2</v>
      </c>
      <c r="R478" s="31">
        <v>0.15939660775771733</v>
      </c>
      <c r="S478" s="32">
        <v>6.9319999999999993E-2</v>
      </c>
    </row>
    <row r="479" spans="16:19" x14ac:dyDescent="0.25">
      <c r="P479" s="27">
        <v>3.2548184716220556E-2</v>
      </c>
      <c r="Q479" s="28">
        <f t="shared" si="11"/>
        <v>3.5548184716220559E-2</v>
      </c>
      <c r="R479" s="31">
        <v>0.15939660775771733</v>
      </c>
      <c r="S479" s="32">
        <v>6.5200000000000008E-2</v>
      </c>
    </row>
    <row r="480" spans="16:19" x14ac:dyDescent="0.25">
      <c r="P480" s="27">
        <v>3.2548184716220556E-2</v>
      </c>
      <c r="Q480" s="28">
        <f t="shared" si="11"/>
        <v>3.5548184716220559E-2</v>
      </c>
      <c r="R480" s="31">
        <v>0.15939660775771733</v>
      </c>
      <c r="S480" s="32">
        <v>6.2310000000000004E-2</v>
      </c>
    </row>
    <row r="481" spans="16:19" x14ac:dyDescent="0.25">
      <c r="P481" s="27">
        <v>3.2548184716220556E-2</v>
      </c>
      <c r="Q481" s="28">
        <f t="shared" si="11"/>
        <v>3.5548184716220559E-2</v>
      </c>
      <c r="R481" s="31">
        <v>0.15939660775771733</v>
      </c>
      <c r="S481" s="32">
        <v>6.0399999999999995E-2</v>
      </c>
    </row>
    <row r="482" spans="16:19" x14ac:dyDescent="0.25">
      <c r="P482" s="27">
        <v>3.2548184716220556E-2</v>
      </c>
      <c r="Q482" s="28">
        <f t="shared" si="11"/>
        <v>3.5548184716220559E-2</v>
      </c>
      <c r="R482" s="31">
        <v>0.15939660775771733</v>
      </c>
      <c r="S482" s="32">
        <v>5.8889999999999998E-2</v>
      </c>
    </row>
    <row r="483" spans="16:19" x14ac:dyDescent="0.25">
      <c r="P483" s="27">
        <v>3.2548184716220556E-2</v>
      </c>
      <c r="Q483" s="28">
        <f t="shared" si="11"/>
        <v>3.5548184716220559E-2</v>
      </c>
      <c r="R483" s="29">
        <v>0.15003660775771735</v>
      </c>
      <c r="S483" s="30">
        <v>0.05</v>
      </c>
    </row>
    <row r="484" spans="16:19" x14ac:dyDescent="0.25">
      <c r="P484" s="27">
        <v>3.2548184716220556E-2</v>
      </c>
      <c r="Q484" s="28">
        <f t="shared" si="11"/>
        <v>3.5548184716220559E-2</v>
      </c>
      <c r="R484" s="29">
        <v>0.15003660775771735</v>
      </c>
      <c r="S484" s="30">
        <v>4.4700000000000004E-2</v>
      </c>
    </row>
    <row r="485" spans="16:19" x14ac:dyDescent="0.25">
      <c r="P485" s="27">
        <v>3.2548184716220556E-2</v>
      </c>
      <c r="Q485" s="28">
        <f t="shared" si="11"/>
        <v>3.5548184716220559E-2</v>
      </c>
      <c r="R485" s="29">
        <v>0.15003660775771735</v>
      </c>
      <c r="S485" s="30">
        <v>3.8899999999999997E-2</v>
      </c>
    </row>
    <row r="486" spans="16:19" x14ac:dyDescent="0.25">
      <c r="P486" s="27">
        <v>3.2548184716220556E-2</v>
      </c>
      <c r="Q486" s="28">
        <f t="shared" si="11"/>
        <v>3.5548184716220559E-2</v>
      </c>
      <c r="R486" s="29">
        <v>0.15003660775771735</v>
      </c>
      <c r="S486" s="30">
        <v>3.5749999999999997E-2</v>
      </c>
    </row>
    <row r="487" spans="16:19" x14ac:dyDescent="0.25">
      <c r="P487" s="27">
        <v>3.2548184716220556E-2</v>
      </c>
      <c r="Q487" s="28">
        <f t="shared" si="11"/>
        <v>3.5548184716220559E-2</v>
      </c>
      <c r="R487" s="29">
        <v>0.15003660775771735</v>
      </c>
      <c r="S487" s="30">
        <v>2.8000000000000001E-2</v>
      </c>
    </row>
    <row r="488" spans="16:19" x14ac:dyDescent="0.25">
      <c r="P488" s="27">
        <v>3.2548184716220556E-2</v>
      </c>
      <c r="Q488" s="28">
        <f t="shared" si="11"/>
        <v>3.5548184716220559E-2</v>
      </c>
      <c r="R488" s="29">
        <v>0.15003660775771735</v>
      </c>
      <c r="S488" s="30">
        <v>2.954E-2</v>
      </c>
    </row>
    <row r="489" spans="16:19" x14ac:dyDescent="0.25">
      <c r="P489" s="27">
        <v>3.2548184716220556E-2</v>
      </c>
      <c r="Q489" s="28">
        <f t="shared" si="11"/>
        <v>3.5548184716220559E-2</v>
      </c>
      <c r="R489" s="29">
        <v>0.15003660775771735</v>
      </c>
      <c r="S489" s="30">
        <v>4.2043231E-2</v>
      </c>
    </row>
    <row r="490" spans="16:19" x14ac:dyDescent="0.25">
      <c r="P490" s="27">
        <v>3.2548184716220556E-2</v>
      </c>
      <c r="Q490" s="28">
        <f t="shared" si="11"/>
        <v>3.5548184716220559E-2</v>
      </c>
      <c r="R490" s="29">
        <v>0.15003660775771735</v>
      </c>
      <c r="S490" s="30">
        <v>6.0049999999999999E-2</v>
      </c>
    </row>
    <row r="491" spans="16:19" x14ac:dyDescent="0.25">
      <c r="P491" s="27">
        <v>3.2548184716220556E-2</v>
      </c>
      <c r="Q491" s="28">
        <f t="shared" si="11"/>
        <v>3.5548184716220559E-2</v>
      </c>
      <c r="R491" s="29">
        <v>0.15003660775771735</v>
      </c>
      <c r="S491" s="30">
        <v>6.9949999999999998E-2</v>
      </c>
    </row>
    <row r="492" spans="16:19" x14ac:dyDescent="0.25">
      <c r="P492" s="27">
        <v>3.2548184716220556E-2</v>
      </c>
      <c r="Q492" s="28">
        <f t="shared" si="11"/>
        <v>3.5548184716220559E-2</v>
      </c>
      <c r="R492" s="29">
        <v>0.15003660775771735</v>
      </c>
      <c r="S492" s="30">
        <v>7.2150000000000006E-2</v>
      </c>
    </row>
    <row r="493" spans="16:19" x14ac:dyDescent="0.25">
      <c r="P493" s="27">
        <v>3.2548184716220556E-2</v>
      </c>
      <c r="Q493" s="28">
        <f t="shared" si="11"/>
        <v>3.5548184716220559E-2</v>
      </c>
      <c r="R493" s="29">
        <v>0.15003660775771735</v>
      </c>
      <c r="S493" s="30">
        <v>7.1540000000000006E-2</v>
      </c>
    </row>
    <row r="494" spans="16:19" x14ac:dyDescent="0.25">
      <c r="P494" s="27">
        <v>3.2548184716220556E-2</v>
      </c>
      <c r="Q494" s="28">
        <f t="shared" si="11"/>
        <v>3.5548184716220559E-2</v>
      </c>
      <c r="R494" s="29">
        <v>0.15003660775771735</v>
      </c>
      <c r="S494" s="30">
        <v>6.7239999999999994E-2</v>
      </c>
    </row>
    <row r="495" spans="16:19" x14ac:dyDescent="0.25">
      <c r="P495" s="27">
        <v>3.2548184716220556E-2</v>
      </c>
      <c r="Q495" s="28">
        <f t="shared" si="11"/>
        <v>3.5548184716220559E-2</v>
      </c>
      <c r="R495" s="29">
        <v>0.15003660775771735</v>
      </c>
      <c r="S495" s="30">
        <v>6.8140000000000006E-2</v>
      </c>
    </row>
    <row r="496" spans="16:19" x14ac:dyDescent="0.25">
      <c r="P496" s="27">
        <v>3.2548184716220556E-2</v>
      </c>
      <c r="Q496" s="28">
        <f t="shared" si="11"/>
        <v>3.5548184716220559E-2</v>
      </c>
      <c r="R496" s="29">
        <v>0.15003660775771735</v>
      </c>
      <c r="S496" s="30">
        <v>6.1649999999999996E-2</v>
      </c>
    </row>
    <row r="497" spans="16:19" x14ac:dyDescent="0.25">
      <c r="P497" s="27">
        <v>3.2548184716220556E-2</v>
      </c>
      <c r="Q497" s="28">
        <f t="shared" si="11"/>
        <v>3.5548184716220559E-2</v>
      </c>
      <c r="R497" s="29">
        <v>0.15003660775771735</v>
      </c>
      <c r="S497" s="30">
        <v>6.13E-2</v>
      </c>
    </row>
    <row r="498" spans="16:19" x14ac:dyDescent="0.25">
      <c r="P498" s="27">
        <v>3.2548184716220556E-2</v>
      </c>
      <c r="Q498" s="28">
        <f t="shared" si="11"/>
        <v>3.5548184716220559E-2</v>
      </c>
      <c r="R498" s="29">
        <v>0.15003660775771735</v>
      </c>
      <c r="S498" s="30">
        <v>6.2530000000000002E-2</v>
      </c>
    </row>
    <row r="499" spans="16:19" x14ac:dyDescent="0.25">
      <c r="P499" s="27">
        <v>3.2548184716220556E-2</v>
      </c>
      <c r="Q499" s="28">
        <f t="shared" si="11"/>
        <v>3.5548184716220559E-2</v>
      </c>
      <c r="R499" s="29">
        <v>0.15003660775771735</v>
      </c>
      <c r="S499" s="30">
        <v>6.4000000000000001E-2</v>
      </c>
    </row>
    <row r="500" spans="16:19" x14ac:dyDescent="0.25">
      <c r="P500" s="27">
        <v>3.2548184716220556E-2</v>
      </c>
      <c r="Q500" s="28">
        <f t="shared" si="11"/>
        <v>3.5548184716220559E-2</v>
      </c>
      <c r="R500" s="29">
        <v>0.15003660775771735</v>
      </c>
      <c r="S500" s="30">
        <v>6.4700000000000008E-2</v>
      </c>
    </row>
    <row r="501" spans="16:19" x14ac:dyDescent="0.25">
      <c r="P501" s="27">
        <v>3.2548184716220556E-2</v>
      </c>
      <c r="Q501" s="28">
        <f t="shared" si="11"/>
        <v>3.5548184716220559E-2</v>
      </c>
      <c r="R501" s="29">
        <v>0.15003660775771735</v>
      </c>
      <c r="S501" s="30">
        <v>7.0999999999999994E-2</v>
      </c>
    </row>
    <row r="502" spans="16:19" x14ac:dyDescent="0.25">
      <c r="P502" s="27">
        <v>3.2548184716220556E-2</v>
      </c>
      <c r="Q502" s="28">
        <f t="shared" si="11"/>
        <v>3.5548184716220559E-2</v>
      </c>
      <c r="R502" s="29">
        <v>0.15003660775771735</v>
      </c>
      <c r="S502" s="30">
        <v>7.2819999999999996E-2</v>
      </c>
    </row>
    <row r="503" spans="16:19" x14ac:dyDescent="0.25">
      <c r="P503" s="27">
        <v>3.2548184716220556E-2</v>
      </c>
      <c r="Q503" s="28">
        <f t="shared" si="11"/>
        <v>3.5548184716220559E-2</v>
      </c>
      <c r="R503" s="29">
        <v>0.15003660775771735</v>
      </c>
      <c r="S503" s="30">
        <v>6.5259999999999999E-2</v>
      </c>
    </row>
    <row r="504" spans="16:19" x14ac:dyDescent="0.25">
      <c r="P504" s="27">
        <v>3.2548184716220556E-2</v>
      </c>
      <c r="Q504" s="28">
        <f t="shared" si="11"/>
        <v>3.5548184716220559E-2</v>
      </c>
      <c r="R504" s="29">
        <v>0.15003660775771735</v>
      </c>
      <c r="S504" s="30">
        <v>6.2719999999999998E-2</v>
      </c>
    </row>
    <row r="505" spans="16:19" x14ac:dyDescent="0.25">
      <c r="P505" s="27">
        <v>3.2548184716220556E-2</v>
      </c>
      <c r="Q505" s="28">
        <f t="shared" si="11"/>
        <v>3.5548184716220559E-2</v>
      </c>
      <c r="R505" s="29">
        <v>0.15003660775771735</v>
      </c>
      <c r="S505" s="30">
        <v>5.9499999999999997E-2</v>
      </c>
    </row>
    <row r="506" spans="16:19" x14ac:dyDescent="0.25">
      <c r="P506" s="27">
        <v>3.2548184716220556E-2</v>
      </c>
      <c r="Q506" s="28">
        <f t="shared" si="11"/>
        <v>3.5548184716220559E-2</v>
      </c>
      <c r="R506" s="29">
        <v>0.15003660775771735</v>
      </c>
      <c r="S506" s="30">
        <v>5.8319999999999997E-2</v>
      </c>
    </row>
    <row r="507" spans="16:19" x14ac:dyDescent="0.25">
      <c r="P507" s="27">
        <v>3.2548184716220556E-2</v>
      </c>
      <c r="Q507" s="28">
        <f t="shared" si="11"/>
        <v>3.5548184716220559E-2</v>
      </c>
      <c r="R507" s="29">
        <v>0.15003660775771735</v>
      </c>
      <c r="S507" s="30">
        <v>5.0970000000000001E-2</v>
      </c>
    </row>
    <row r="508" spans="16:19" x14ac:dyDescent="0.25">
      <c r="P508" s="27">
        <v>3.2548184716220556E-2</v>
      </c>
      <c r="Q508" s="28">
        <f t="shared" si="11"/>
        <v>3.5548184716220559E-2</v>
      </c>
      <c r="R508" s="29">
        <v>0.15003660775771735</v>
      </c>
      <c r="S508" s="30">
        <v>4.2590000000000003E-2</v>
      </c>
    </row>
    <row r="509" spans="16:19" x14ac:dyDescent="0.25">
      <c r="P509" s="27">
        <v>3.2548184716220556E-2</v>
      </c>
      <c r="Q509" s="28">
        <f t="shared" si="11"/>
        <v>3.5548184716220559E-2</v>
      </c>
      <c r="R509" s="29">
        <v>0.15003660775771735</v>
      </c>
      <c r="S509" s="30">
        <v>3.526E-2</v>
      </c>
    </row>
    <row r="510" spans="16:19" x14ac:dyDescent="0.25">
      <c r="P510" s="27">
        <v>3.2548184716220556E-2</v>
      </c>
      <c r="Q510" s="28">
        <f t="shared" si="11"/>
        <v>3.5548184716220559E-2</v>
      </c>
      <c r="R510" s="29">
        <v>0.15003660775771735</v>
      </c>
      <c r="S510" s="30">
        <v>3.1149999999999997E-2</v>
      </c>
    </row>
    <row r="511" spans="16:19" x14ac:dyDescent="0.25">
      <c r="P511" s="27">
        <v>3.2548184716220556E-2</v>
      </c>
      <c r="Q511" s="28">
        <f t="shared" si="11"/>
        <v>3.5548184716220559E-2</v>
      </c>
      <c r="R511" s="29">
        <v>0.15003660775771735</v>
      </c>
      <c r="S511" s="30">
        <v>0.03</v>
      </c>
    </row>
    <row r="512" spans="16:19" x14ac:dyDescent="0.25">
      <c r="P512" s="27">
        <v>3.2548184716220556E-2</v>
      </c>
      <c r="Q512" s="28">
        <f t="shared" si="11"/>
        <v>3.5548184716220559E-2</v>
      </c>
      <c r="R512" s="29">
        <v>0.15003660775771735</v>
      </c>
      <c r="S512" s="30">
        <v>3.0519999999999999E-2</v>
      </c>
    </row>
    <row r="513" spans="16:19" x14ac:dyDescent="0.25">
      <c r="P513" s="27">
        <v>3.2548184716220556E-2</v>
      </c>
      <c r="Q513" s="28">
        <f t="shared" si="11"/>
        <v>3.5548184716220559E-2</v>
      </c>
      <c r="R513" s="29">
        <v>0.15003660775771735</v>
      </c>
      <c r="S513" s="30">
        <v>4.0600000000000004E-2</v>
      </c>
    </row>
    <row r="514" spans="16:19" x14ac:dyDescent="0.25">
      <c r="P514" s="27">
        <v>3.2548184716220556E-2</v>
      </c>
      <c r="Q514" s="28">
        <f t="shared" si="11"/>
        <v>3.5548184716220559E-2</v>
      </c>
      <c r="R514" s="29">
        <v>0.15003660775771735</v>
      </c>
      <c r="S514" s="30">
        <v>5.8000000000000003E-2</v>
      </c>
    </row>
    <row r="515" spans="16:19" x14ac:dyDescent="0.25">
      <c r="P515" s="27">
        <v>3.2548184716220556E-2</v>
      </c>
      <c r="Q515" s="28">
        <f t="shared" si="11"/>
        <v>3.5548184716220559E-2</v>
      </c>
      <c r="R515" s="31">
        <v>0.15939660775771733</v>
      </c>
      <c r="S515" s="32">
        <v>6.6299999999999998E-2</v>
      </c>
    </row>
    <row r="516" spans="16:19" x14ac:dyDescent="0.25">
      <c r="P516" s="27">
        <v>3.2548184716220556E-2</v>
      </c>
      <c r="Q516" s="28">
        <f t="shared" si="11"/>
        <v>3.5548184716220559E-2</v>
      </c>
      <c r="R516" s="33">
        <v>0.16282860775771735</v>
      </c>
      <c r="S516" s="34">
        <v>7.0199999999999999E-2</v>
      </c>
    </row>
    <row r="517" spans="16:19" x14ac:dyDescent="0.25">
      <c r="P517" s="27">
        <v>3.2548184716220556E-2</v>
      </c>
      <c r="Q517" s="28">
        <f t="shared" ref="Q517:Q580" si="12">P517+0.003</f>
        <v>3.5548184716220559E-2</v>
      </c>
      <c r="R517" s="33">
        <v>0.16282860775771735</v>
      </c>
      <c r="S517" s="34">
        <v>6.8599999999999994E-2</v>
      </c>
    </row>
    <row r="518" spans="16:19" x14ac:dyDescent="0.25">
      <c r="P518" s="27">
        <v>3.2548184716220556E-2</v>
      </c>
      <c r="Q518" s="28">
        <f t="shared" si="12"/>
        <v>3.5548184716220559E-2</v>
      </c>
      <c r="R518" s="33">
        <v>0.16282860775771735</v>
      </c>
      <c r="S518" s="34">
        <v>6.6000000000000003E-2</v>
      </c>
    </row>
    <row r="519" spans="16:19" x14ac:dyDescent="0.25">
      <c r="P519" s="27">
        <v>3.2548184716220556E-2</v>
      </c>
      <c r="Q519" s="28">
        <f t="shared" si="12"/>
        <v>3.5548184716220559E-2</v>
      </c>
      <c r="R519" s="33">
        <v>0.16282860775771735</v>
      </c>
      <c r="S519" s="34">
        <v>6.584000000000001E-2</v>
      </c>
    </row>
    <row r="520" spans="16:19" x14ac:dyDescent="0.25">
      <c r="P520" s="27">
        <v>3.2548184716220556E-2</v>
      </c>
      <c r="Q520" s="28">
        <f t="shared" si="12"/>
        <v>3.5548184716220559E-2</v>
      </c>
      <c r="R520" s="33">
        <v>0.16282860775771735</v>
      </c>
      <c r="S520" s="34">
        <v>6.105E-2</v>
      </c>
    </row>
    <row r="521" spans="16:19" x14ac:dyDescent="0.25">
      <c r="P521" s="27">
        <v>3.2548184716220556E-2</v>
      </c>
      <c r="Q521" s="28">
        <f t="shared" si="12"/>
        <v>3.5548184716220559E-2</v>
      </c>
      <c r="R521" s="33">
        <v>0.16282860775771735</v>
      </c>
      <c r="S521" s="34">
        <v>6.08E-2</v>
      </c>
    </row>
    <row r="522" spans="16:19" x14ac:dyDescent="0.25">
      <c r="P522" s="27">
        <v>3.2548184716220556E-2</v>
      </c>
      <c r="Q522" s="28">
        <f t="shared" si="12"/>
        <v>3.5548184716220559E-2</v>
      </c>
      <c r="R522" s="33">
        <v>0.16282860775771735</v>
      </c>
      <c r="S522" s="34">
        <v>6.1840000000000006E-2</v>
      </c>
    </row>
    <row r="523" spans="16:19" x14ac:dyDescent="0.25">
      <c r="P523" s="27">
        <v>3.2548184716220556E-2</v>
      </c>
      <c r="Q523" s="28">
        <f t="shared" si="12"/>
        <v>3.5548184716220559E-2</v>
      </c>
      <c r="R523" s="33">
        <v>0.16282860775771735</v>
      </c>
      <c r="S523" s="34">
        <v>6.2806892000000003E-2</v>
      </c>
    </row>
    <row r="524" spans="16:19" x14ac:dyDescent="0.25">
      <c r="P524" s="27">
        <v>3.2548184716220556E-2</v>
      </c>
      <c r="Q524" s="28">
        <f t="shared" si="12"/>
        <v>3.5548184716220559E-2</v>
      </c>
      <c r="R524" s="33">
        <v>0.16282860775771735</v>
      </c>
      <c r="S524" s="34">
        <v>6.4000000000000001E-2</v>
      </c>
    </row>
    <row r="525" spans="16:19" x14ac:dyDescent="0.25">
      <c r="P525" s="27">
        <v>3.2548184716220556E-2</v>
      </c>
      <c r="Q525" s="28">
        <f t="shared" si="12"/>
        <v>3.5548184716220559E-2</v>
      </c>
      <c r="R525" s="33">
        <v>0.16282860775771735</v>
      </c>
      <c r="S525" s="34">
        <v>7.1779999999999997E-2</v>
      </c>
    </row>
    <row r="526" spans="16:19" x14ac:dyDescent="0.25">
      <c r="P526" s="27">
        <v>3.2548184716220556E-2</v>
      </c>
      <c r="Q526" s="28">
        <f t="shared" si="12"/>
        <v>3.5548184716220559E-2</v>
      </c>
      <c r="R526" s="33">
        <v>0.16282860775771735</v>
      </c>
      <c r="S526" s="34">
        <v>7.0999999999999994E-2</v>
      </c>
    </row>
    <row r="527" spans="16:19" x14ac:dyDescent="0.25">
      <c r="P527" s="27">
        <v>3.2548184716220556E-2</v>
      </c>
      <c r="Q527" s="28">
        <f t="shared" si="12"/>
        <v>3.5548184716220559E-2</v>
      </c>
      <c r="R527" s="31">
        <v>0.15939660775771733</v>
      </c>
      <c r="S527" s="32">
        <v>6.5269999999999995E-2</v>
      </c>
    </row>
    <row r="528" spans="16:19" x14ac:dyDescent="0.25">
      <c r="P528" s="27">
        <v>3.2548184716220556E-2</v>
      </c>
      <c r="Q528" s="28">
        <f t="shared" si="12"/>
        <v>3.5548184716220559E-2</v>
      </c>
      <c r="R528" s="31">
        <v>0.15939660775771733</v>
      </c>
      <c r="S528" s="32">
        <v>6.3E-2</v>
      </c>
    </row>
    <row r="529" spans="16:19" x14ac:dyDescent="0.25">
      <c r="P529" s="27">
        <v>3.2548184716220556E-2</v>
      </c>
      <c r="Q529" s="28">
        <f t="shared" si="12"/>
        <v>3.5548184716220559E-2</v>
      </c>
      <c r="R529" s="31">
        <v>0.15939660775771733</v>
      </c>
      <c r="S529" s="32">
        <v>6.003E-2</v>
      </c>
    </row>
    <row r="530" spans="16:19" x14ac:dyDescent="0.25">
      <c r="P530" s="27">
        <v>3.2548184716220556E-2</v>
      </c>
      <c r="Q530" s="28">
        <f t="shared" si="12"/>
        <v>3.5548184716220559E-2</v>
      </c>
      <c r="R530" s="31">
        <v>0.15939660775771733</v>
      </c>
      <c r="S530" s="32">
        <v>5.7020000000000001E-2</v>
      </c>
    </row>
    <row r="531" spans="16:19" x14ac:dyDescent="0.25">
      <c r="P531" s="27">
        <v>3.2548184716220556E-2</v>
      </c>
      <c r="Q531" s="28">
        <f t="shared" si="12"/>
        <v>3.5548184716220559E-2</v>
      </c>
      <c r="R531" s="29">
        <v>0.15003660775771735</v>
      </c>
      <c r="S531" s="30">
        <v>4.9710000000000004E-2</v>
      </c>
    </row>
    <row r="532" spans="16:19" x14ac:dyDescent="0.25">
      <c r="P532" s="27">
        <v>3.2548184716220556E-2</v>
      </c>
      <c r="Q532" s="28">
        <f t="shared" si="12"/>
        <v>3.5548184716220559E-2</v>
      </c>
      <c r="R532" s="29">
        <v>0.15003660775771735</v>
      </c>
      <c r="S532" s="30">
        <v>4.4069999999999998E-2</v>
      </c>
    </row>
    <row r="533" spans="16:19" x14ac:dyDescent="0.25">
      <c r="P533" s="27">
        <v>3.2548184716220556E-2</v>
      </c>
      <c r="Q533" s="28">
        <f t="shared" si="12"/>
        <v>3.5548184716220559E-2</v>
      </c>
      <c r="R533" s="29">
        <v>0.15003660775771735</v>
      </c>
      <c r="S533" s="30">
        <v>0.04</v>
      </c>
    </row>
    <row r="534" spans="16:19" x14ac:dyDescent="0.25">
      <c r="P534" s="27">
        <v>3.2548184716220556E-2</v>
      </c>
      <c r="Q534" s="28">
        <f t="shared" si="12"/>
        <v>3.5548184716220559E-2</v>
      </c>
      <c r="R534" s="29">
        <v>0.15003660775771735</v>
      </c>
      <c r="S534" s="30">
        <v>3.4479999999999997E-2</v>
      </c>
    </row>
    <row r="535" spans="16:19" x14ac:dyDescent="0.25">
      <c r="P535" s="27">
        <v>3.2548184716220556E-2</v>
      </c>
      <c r="Q535" s="28">
        <f t="shared" si="12"/>
        <v>3.5548184716220559E-2</v>
      </c>
      <c r="R535" s="29">
        <v>0.15003660775771735</v>
      </c>
      <c r="S535" s="30">
        <v>3.2049999999999995E-2</v>
      </c>
    </row>
    <row r="536" spans="16:19" x14ac:dyDescent="0.25">
      <c r="P536" s="27">
        <v>3.2548184716220556E-2</v>
      </c>
      <c r="Q536" s="28">
        <f t="shared" si="12"/>
        <v>3.5548184716220559E-2</v>
      </c>
      <c r="R536" s="29">
        <v>0.15003660775771735</v>
      </c>
      <c r="S536" s="30">
        <v>3.2560000000000006E-2</v>
      </c>
    </row>
    <row r="537" spans="16:19" x14ac:dyDescent="0.25">
      <c r="P537" s="27">
        <v>3.2548184716220556E-2</v>
      </c>
      <c r="Q537" s="28">
        <f t="shared" si="12"/>
        <v>3.5548184716220559E-2</v>
      </c>
      <c r="R537" s="29">
        <v>0.15003660775771735</v>
      </c>
      <c r="S537" s="30">
        <v>4.3999999999999997E-2</v>
      </c>
    </row>
    <row r="538" spans="16:19" x14ac:dyDescent="0.25">
      <c r="P538" s="27">
        <v>3.2548184716220556E-2</v>
      </c>
      <c r="Q538" s="28">
        <f t="shared" si="12"/>
        <v>3.5548184716220559E-2</v>
      </c>
      <c r="R538" s="29">
        <v>0.15003660775771735</v>
      </c>
      <c r="S538" s="30">
        <v>5.8310000000000001E-2</v>
      </c>
    </row>
    <row r="539" spans="16:19" x14ac:dyDescent="0.25">
      <c r="P539" s="27">
        <v>3.2548184716220556E-2</v>
      </c>
      <c r="Q539" s="28">
        <f t="shared" si="12"/>
        <v>3.5548184716220559E-2</v>
      </c>
      <c r="R539" s="31">
        <v>0.15939660775771733</v>
      </c>
      <c r="S539" s="32">
        <v>6.8010000000000001E-2</v>
      </c>
    </row>
    <row r="540" spans="16:19" x14ac:dyDescent="0.25">
      <c r="P540" s="27">
        <v>3.2548184716220556E-2</v>
      </c>
      <c r="Q540" s="28">
        <f t="shared" si="12"/>
        <v>3.5548184716220559E-2</v>
      </c>
      <c r="R540" s="33">
        <v>0.16282860775771735</v>
      </c>
      <c r="S540" s="34">
        <v>7.2040000000000007E-2</v>
      </c>
    </row>
    <row r="541" spans="16:19" x14ac:dyDescent="0.25">
      <c r="P541" s="27">
        <v>3.2548184716220556E-2</v>
      </c>
      <c r="Q541" s="28">
        <f t="shared" si="12"/>
        <v>3.5548184716220559E-2</v>
      </c>
      <c r="R541" s="33">
        <v>0.16282860775771735</v>
      </c>
      <c r="S541" s="34">
        <v>7.3999999999999996E-2</v>
      </c>
    </row>
    <row r="542" spans="16:19" x14ac:dyDescent="0.25">
      <c r="P542" s="27">
        <v>3.2548184716220556E-2</v>
      </c>
      <c r="Q542" s="28">
        <f t="shared" si="12"/>
        <v>3.5548184716220559E-2</v>
      </c>
      <c r="R542" s="33">
        <v>0.16282860775771735</v>
      </c>
      <c r="S542" s="34">
        <v>7.4128011000000008E-2</v>
      </c>
    </row>
    <row r="543" spans="16:19" x14ac:dyDescent="0.25">
      <c r="P543" s="27">
        <v>3.2548184716220556E-2</v>
      </c>
      <c r="Q543" s="28">
        <f t="shared" si="12"/>
        <v>3.5548184716220559E-2</v>
      </c>
      <c r="R543" s="33">
        <v>0.16282860775771735</v>
      </c>
      <c r="S543" s="34">
        <v>7.4053550999999995E-2</v>
      </c>
    </row>
    <row r="544" spans="16:19" x14ac:dyDescent="0.25">
      <c r="P544" s="27">
        <v>3.2548184716220556E-2</v>
      </c>
      <c r="Q544" s="28">
        <f t="shared" si="12"/>
        <v>3.5548184716220559E-2</v>
      </c>
      <c r="R544" s="33">
        <v>0.16282860775771735</v>
      </c>
      <c r="S544" s="34">
        <v>6.2670000000000003E-2</v>
      </c>
    </row>
    <row r="545" spans="16:19" x14ac:dyDescent="0.25">
      <c r="P545" s="27">
        <v>3.2548184716220556E-2</v>
      </c>
      <c r="Q545" s="28">
        <f t="shared" si="12"/>
        <v>3.5548184716220559E-2</v>
      </c>
      <c r="R545" s="33">
        <v>0.16282860775771735</v>
      </c>
      <c r="S545" s="34">
        <v>6.232E-2</v>
      </c>
    </row>
    <row r="546" spans="16:19" x14ac:dyDescent="0.25">
      <c r="P546" s="27">
        <v>3.2548184716220556E-2</v>
      </c>
      <c r="Q546" s="28">
        <f t="shared" si="12"/>
        <v>3.5548184716220559E-2</v>
      </c>
      <c r="R546" s="33">
        <v>0.16282860775771735</v>
      </c>
      <c r="S546" s="34">
        <v>6.498000000000001E-2</v>
      </c>
    </row>
    <row r="547" spans="16:19" x14ac:dyDescent="0.25">
      <c r="P547" s="27">
        <v>3.2548184716220556E-2</v>
      </c>
      <c r="Q547" s="28">
        <f t="shared" si="12"/>
        <v>3.5548184716220559E-2</v>
      </c>
      <c r="R547" s="33">
        <v>0.16282860775771735</v>
      </c>
      <c r="S547" s="34">
        <v>7.0629999999999998E-2</v>
      </c>
    </row>
    <row r="548" spans="16:19" x14ac:dyDescent="0.25">
      <c r="P548" s="27">
        <v>3.2548184716220556E-2</v>
      </c>
      <c r="Q548" s="28">
        <f t="shared" si="12"/>
        <v>3.5548184716220559E-2</v>
      </c>
      <c r="R548" s="33">
        <v>0.16282860775771735</v>
      </c>
      <c r="S548" s="34">
        <v>6.9000000000000006E-2</v>
      </c>
    </row>
    <row r="549" spans="16:19" x14ac:dyDescent="0.25">
      <c r="P549" s="27">
        <v>3.2548184716220556E-2</v>
      </c>
      <c r="Q549" s="28">
        <f t="shared" si="12"/>
        <v>3.5548184716220559E-2</v>
      </c>
      <c r="R549" s="33">
        <v>0.16282860775771735</v>
      </c>
      <c r="S549" s="34">
        <v>7.6810000000000003E-2</v>
      </c>
    </row>
    <row r="550" spans="16:19" x14ac:dyDescent="0.25">
      <c r="P550" s="27">
        <v>3.2548184716220556E-2</v>
      </c>
      <c r="Q550" s="28">
        <f t="shared" si="12"/>
        <v>3.5548184716220559E-2</v>
      </c>
      <c r="R550" s="33">
        <v>0.16282860775771735</v>
      </c>
      <c r="S550" s="34">
        <v>7.3015615999999992E-2</v>
      </c>
    </row>
    <row r="551" spans="16:19" x14ac:dyDescent="0.25">
      <c r="P551" s="27">
        <v>3.2548184716220556E-2</v>
      </c>
      <c r="Q551" s="28">
        <f t="shared" si="12"/>
        <v>3.5548184716220559E-2</v>
      </c>
      <c r="R551" s="31">
        <v>0.15939660775771733</v>
      </c>
      <c r="S551" s="32">
        <v>6.9000000000000006E-2</v>
      </c>
    </row>
    <row r="552" spans="16:19" x14ac:dyDescent="0.25">
      <c r="P552" s="27">
        <v>3.2548184716220556E-2</v>
      </c>
      <c r="Q552" s="28">
        <f t="shared" si="12"/>
        <v>3.5548184716220559E-2</v>
      </c>
      <c r="R552" s="31">
        <v>0.15939660775771733</v>
      </c>
      <c r="S552" s="32">
        <v>6.4211259999999992E-2</v>
      </c>
    </row>
    <row r="553" spans="16:19" x14ac:dyDescent="0.25">
      <c r="P553" s="27">
        <v>3.2548184716220556E-2</v>
      </c>
      <c r="Q553" s="28">
        <f t="shared" si="12"/>
        <v>3.5548184716220559E-2</v>
      </c>
      <c r="R553" s="31">
        <v>0.15939660775771733</v>
      </c>
      <c r="S553" s="32">
        <v>6.1020000000000005E-2</v>
      </c>
    </row>
    <row r="554" spans="16:19" x14ac:dyDescent="0.25">
      <c r="P554" s="27">
        <v>3.2548184716220556E-2</v>
      </c>
      <c r="Q554" s="28">
        <f t="shared" si="12"/>
        <v>3.5548184716220559E-2</v>
      </c>
      <c r="R554" s="31">
        <v>0.15939660775771733</v>
      </c>
      <c r="S554" s="32">
        <v>5.9400000000000001E-2</v>
      </c>
    </row>
    <row r="555" spans="16:19" x14ac:dyDescent="0.25">
      <c r="P555" s="27">
        <v>3.2548184716220556E-2</v>
      </c>
      <c r="Q555" s="28">
        <f t="shared" si="12"/>
        <v>3.5548184716220559E-2</v>
      </c>
      <c r="R555" s="29">
        <v>0.15003660775771735</v>
      </c>
      <c r="S555" s="30">
        <v>5.3499999999999999E-2</v>
      </c>
    </row>
    <row r="556" spans="16:19" x14ac:dyDescent="0.25">
      <c r="P556" s="27">
        <v>3.2548184716220556E-2</v>
      </c>
      <c r="Q556" s="28">
        <f t="shared" si="12"/>
        <v>3.5548184716220559E-2</v>
      </c>
      <c r="R556" s="29">
        <v>0.15003660775771735</v>
      </c>
      <c r="S556" s="30">
        <v>4.4060000000000002E-2</v>
      </c>
    </row>
    <row r="557" spans="16:19" x14ac:dyDescent="0.25">
      <c r="P557" s="27">
        <v>3.2548184716220556E-2</v>
      </c>
      <c r="Q557" s="28">
        <f t="shared" si="12"/>
        <v>3.5548184716220559E-2</v>
      </c>
      <c r="R557" s="29">
        <v>0.15003660775771735</v>
      </c>
      <c r="S557" s="30">
        <v>4.3889999999999998E-2</v>
      </c>
    </row>
    <row r="558" spans="16:19" x14ac:dyDescent="0.25">
      <c r="P558" s="27">
        <v>3.2548184716220556E-2</v>
      </c>
      <c r="Q558" s="28">
        <f t="shared" si="12"/>
        <v>3.5548184716220559E-2</v>
      </c>
      <c r="R558" s="29">
        <v>0.15003660775771735</v>
      </c>
      <c r="S558" s="30">
        <v>3.9159999999999993E-2</v>
      </c>
    </row>
    <row r="559" spans="16:19" x14ac:dyDescent="0.25">
      <c r="P559" s="27">
        <v>3.2548184716220556E-2</v>
      </c>
      <c r="Q559" s="28">
        <f t="shared" si="12"/>
        <v>3.5548184716220559E-2</v>
      </c>
      <c r="R559" s="29">
        <v>0.15003660775771735</v>
      </c>
      <c r="S559" s="30">
        <v>3.5000000000000003E-2</v>
      </c>
    </row>
    <row r="560" spans="16:19" x14ac:dyDescent="0.25">
      <c r="P560" s="27">
        <v>3.2548184716220556E-2</v>
      </c>
      <c r="Q560" s="28">
        <f t="shared" si="12"/>
        <v>3.5548184716220559E-2</v>
      </c>
      <c r="R560" s="29">
        <v>0.15003660775771735</v>
      </c>
      <c r="S560" s="30">
        <v>3.3600000000000005E-2</v>
      </c>
    </row>
    <row r="561" spans="16:19" x14ac:dyDescent="0.25">
      <c r="P561" s="27">
        <v>3.2548184716220556E-2</v>
      </c>
      <c r="Q561" s="28">
        <f t="shared" si="12"/>
        <v>3.5548184716220559E-2</v>
      </c>
      <c r="R561" s="29">
        <v>0.15003660775771735</v>
      </c>
      <c r="S561" s="30">
        <v>4.4010000000000001E-2</v>
      </c>
    </row>
    <row r="562" spans="16:19" x14ac:dyDescent="0.25">
      <c r="P562" s="27">
        <v>3.2548184716220556E-2</v>
      </c>
      <c r="Q562" s="28">
        <f t="shared" si="12"/>
        <v>3.5548184716220559E-2</v>
      </c>
      <c r="R562" s="29">
        <v>0.15003660775771735</v>
      </c>
      <c r="S562" s="30">
        <v>6.0049999999999999E-2</v>
      </c>
    </row>
    <row r="563" spans="16:19" x14ac:dyDescent="0.25">
      <c r="P563" s="27">
        <v>3.2548184716220556E-2</v>
      </c>
      <c r="Q563" s="28">
        <f t="shared" si="12"/>
        <v>3.5548184716220559E-2</v>
      </c>
      <c r="R563" s="31">
        <v>0.15939660775771733</v>
      </c>
      <c r="S563" s="32">
        <v>6.5500000000000003E-2</v>
      </c>
    </row>
    <row r="564" spans="16:19" x14ac:dyDescent="0.25">
      <c r="P564" s="27">
        <v>3.2548184716220556E-2</v>
      </c>
      <c r="Q564" s="28">
        <f t="shared" si="12"/>
        <v>3.5548184716220559E-2</v>
      </c>
      <c r="R564" s="33">
        <v>0.16282860775771735</v>
      </c>
      <c r="S564" s="34">
        <v>6.8250000000000005E-2</v>
      </c>
    </row>
    <row r="565" spans="16:19" x14ac:dyDescent="0.25">
      <c r="P565" s="27">
        <v>3.2548184716220556E-2</v>
      </c>
      <c r="Q565" s="28">
        <f t="shared" si="12"/>
        <v>3.5548184716220559E-2</v>
      </c>
      <c r="R565" s="33">
        <v>0.16282860775771735</v>
      </c>
      <c r="S565" s="34">
        <v>6.8890000000000007E-2</v>
      </c>
    </row>
    <row r="566" spans="16:19" x14ac:dyDescent="0.25">
      <c r="P566" s="27">
        <v>3.2548184716220556E-2</v>
      </c>
      <c r="Q566" s="28">
        <f t="shared" si="12"/>
        <v>3.5548184716220559E-2</v>
      </c>
      <c r="R566" s="33">
        <v>0.16282860775771735</v>
      </c>
      <c r="S566" s="34">
        <v>6.6000000000000003E-2</v>
      </c>
    </row>
    <row r="567" spans="16:19" x14ac:dyDescent="0.25">
      <c r="P567" s="27">
        <v>3.2548184716220556E-2</v>
      </c>
      <c r="Q567" s="28">
        <f t="shared" si="12"/>
        <v>3.5548184716220559E-2</v>
      </c>
      <c r="R567" s="33">
        <v>0.16282860775771735</v>
      </c>
      <c r="S567" s="34">
        <v>6.6390000000000005E-2</v>
      </c>
    </row>
    <row r="568" spans="16:19" x14ac:dyDescent="0.25">
      <c r="P568" s="27">
        <v>3.2548184716220556E-2</v>
      </c>
      <c r="Q568" s="28">
        <f t="shared" si="12"/>
        <v>3.5548184716220559E-2</v>
      </c>
      <c r="R568" s="33">
        <v>0.16282860775771735</v>
      </c>
      <c r="S568" s="34">
        <v>6.2290911999999997E-2</v>
      </c>
    </row>
    <row r="569" spans="16:19" x14ac:dyDescent="0.25">
      <c r="P569" s="27">
        <v>3.2548184716220556E-2</v>
      </c>
      <c r="Q569" s="28">
        <f t="shared" si="12"/>
        <v>3.5548184716220559E-2</v>
      </c>
      <c r="R569" s="33">
        <v>0.16282860775771735</v>
      </c>
      <c r="S569" s="34">
        <v>6.2649999999999997E-2</v>
      </c>
    </row>
    <row r="570" spans="16:19" x14ac:dyDescent="0.25">
      <c r="P570" s="27">
        <v>3.2548184716220556E-2</v>
      </c>
      <c r="Q570" s="28">
        <f t="shared" si="12"/>
        <v>3.5548184716220559E-2</v>
      </c>
      <c r="R570" s="33">
        <v>0.16282860775771735</v>
      </c>
      <c r="S570" s="34">
        <v>6.2380000000000005E-2</v>
      </c>
    </row>
    <row r="571" spans="16:19" x14ac:dyDescent="0.25">
      <c r="P571" s="27">
        <v>3.2548184716220556E-2</v>
      </c>
      <c r="Q571" s="28">
        <f t="shared" si="12"/>
        <v>3.5548184716220559E-2</v>
      </c>
      <c r="R571" s="33">
        <v>0.16282860775771735</v>
      </c>
      <c r="S571" s="34">
        <v>6.3E-2</v>
      </c>
    </row>
    <row r="572" spans="16:19" x14ac:dyDescent="0.25">
      <c r="P572" s="27">
        <v>3.2548184716220556E-2</v>
      </c>
      <c r="Q572" s="28">
        <f t="shared" si="12"/>
        <v>3.5548184716220559E-2</v>
      </c>
      <c r="R572" s="33">
        <v>0.16282860775771735</v>
      </c>
      <c r="S572" s="34">
        <v>6.2399999999999997E-2</v>
      </c>
    </row>
    <row r="573" spans="16:19" x14ac:dyDescent="0.25">
      <c r="P573" s="27">
        <v>3.2548184716220556E-2</v>
      </c>
      <c r="Q573" s="28">
        <f t="shared" si="12"/>
        <v>3.5548184716220559E-2</v>
      </c>
      <c r="R573" s="33">
        <v>0.16282860775771735</v>
      </c>
      <c r="S573" s="34">
        <v>6.8870000000000001E-2</v>
      </c>
    </row>
    <row r="574" spans="16:19" x14ac:dyDescent="0.25">
      <c r="P574" s="27">
        <v>3.2548184716220556E-2</v>
      </c>
      <c r="Q574" s="28">
        <f t="shared" si="12"/>
        <v>3.5548184716220559E-2</v>
      </c>
      <c r="R574" s="33">
        <v>0.16282860775771735</v>
      </c>
      <c r="S574" s="34">
        <v>6.8930000000000005E-2</v>
      </c>
    </row>
    <row r="575" spans="16:19" x14ac:dyDescent="0.25">
      <c r="P575" s="27">
        <v>3.2548184716220556E-2</v>
      </c>
      <c r="Q575" s="28">
        <f t="shared" si="12"/>
        <v>3.5548184716220559E-2</v>
      </c>
      <c r="R575" s="31">
        <v>0.15939660775771733</v>
      </c>
      <c r="S575" s="32">
        <v>6.5000000000000002E-2</v>
      </c>
    </row>
    <row r="576" spans="16:19" x14ac:dyDescent="0.25">
      <c r="P576" s="27">
        <v>3.2548184716220556E-2</v>
      </c>
      <c r="Q576" s="28">
        <f t="shared" si="12"/>
        <v>3.5548184716220559E-2</v>
      </c>
      <c r="R576" s="31">
        <v>0.15939660775771733</v>
      </c>
      <c r="S576" s="32">
        <v>6.164E-2</v>
      </c>
    </row>
    <row r="577" spans="16:19" x14ac:dyDescent="0.25">
      <c r="P577" s="27">
        <v>3.2548184716220556E-2</v>
      </c>
      <c r="Q577" s="28">
        <f t="shared" si="12"/>
        <v>3.5548184716220559E-2</v>
      </c>
      <c r="R577" s="31">
        <v>0.15939660775771733</v>
      </c>
      <c r="S577" s="32">
        <v>5.9499999999999997E-2</v>
      </c>
    </row>
    <row r="578" spans="16:19" x14ac:dyDescent="0.25">
      <c r="P578" s="27">
        <v>3.2548184716220556E-2</v>
      </c>
      <c r="Q578" s="28">
        <f t="shared" si="12"/>
        <v>3.5548184716220559E-2</v>
      </c>
      <c r="R578" s="31">
        <v>0.15939660775771733</v>
      </c>
      <c r="S578" s="32">
        <v>5.8259999999999999E-2</v>
      </c>
    </row>
    <row r="579" spans="16:19" x14ac:dyDescent="0.25">
      <c r="P579" s="27">
        <v>3.2548184716220556E-2</v>
      </c>
      <c r="Q579" s="28">
        <f t="shared" si="12"/>
        <v>3.5548184716220559E-2</v>
      </c>
      <c r="R579" s="29">
        <v>0.15003660775771735</v>
      </c>
      <c r="S579" s="30">
        <v>5.3499999999999999E-2</v>
      </c>
    </row>
    <row r="580" spans="16:19" x14ac:dyDescent="0.25">
      <c r="P580" s="27">
        <v>3.2548184716220556E-2</v>
      </c>
      <c r="Q580" s="28">
        <f t="shared" si="12"/>
        <v>3.5548184716220559E-2</v>
      </c>
      <c r="R580" s="29">
        <v>0.15003660775771735</v>
      </c>
      <c r="S580" s="30">
        <v>5.5E-2</v>
      </c>
    </row>
    <row r="581" spans="16:19" x14ac:dyDescent="0.25">
      <c r="P581" s="27">
        <v>3.2548184716220556E-2</v>
      </c>
      <c r="Q581" s="28">
        <f t="shared" ref="Q581:Q644" si="13">P581+0.003</f>
        <v>3.5548184716220559E-2</v>
      </c>
      <c r="R581" s="29">
        <v>0.15003660775771735</v>
      </c>
      <c r="S581" s="30">
        <v>5.058E-2</v>
      </c>
    </row>
    <row r="582" spans="16:19" x14ac:dyDescent="0.25">
      <c r="P582" s="27">
        <v>3.2548184716220556E-2</v>
      </c>
      <c r="Q582" s="28">
        <f t="shared" si="13"/>
        <v>3.5548184716220559E-2</v>
      </c>
      <c r="R582" s="29">
        <v>0.15003660775771735</v>
      </c>
      <c r="S582" s="30">
        <v>4.7750000000000001E-2</v>
      </c>
    </row>
    <row r="583" spans="16:19" x14ac:dyDescent="0.25">
      <c r="P583" s="27">
        <v>3.2548184716220556E-2</v>
      </c>
      <c r="Q583" s="28">
        <f t="shared" si="13"/>
        <v>3.5548184716220559E-2</v>
      </c>
      <c r="R583" s="29">
        <v>0.15003660775771735</v>
      </c>
      <c r="S583" s="30">
        <v>4.5999999999999999E-2</v>
      </c>
    </row>
    <row r="584" spans="16:19" x14ac:dyDescent="0.25">
      <c r="P584" s="27">
        <v>3.2548184716220556E-2</v>
      </c>
      <c r="Q584" s="28">
        <f t="shared" si="13"/>
        <v>3.5548184716220559E-2</v>
      </c>
      <c r="R584" s="29">
        <v>0.15003660775771735</v>
      </c>
      <c r="S584" s="30">
        <v>4.3470000000000002E-2</v>
      </c>
    </row>
    <row r="585" spans="16:19" x14ac:dyDescent="0.25">
      <c r="P585" s="27">
        <v>3.2548184716220556E-2</v>
      </c>
      <c r="Q585" s="28">
        <f t="shared" si="13"/>
        <v>3.5548184716220559E-2</v>
      </c>
      <c r="R585" s="29">
        <v>0.15003660775771735</v>
      </c>
      <c r="S585" s="30">
        <v>4.6649999999999997E-2</v>
      </c>
    </row>
    <row r="586" spans="16:19" x14ac:dyDescent="0.25">
      <c r="P586" s="27">
        <v>3.2548184716220556E-2</v>
      </c>
      <c r="Q586" s="28">
        <f t="shared" si="13"/>
        <v>3.5548184716220559E-2</v>
      </c>
      <c r="R586" s="29">
        <v>0.15003660775771735</v>
      </c>
      <c r="S586" s="30">
        <v>5.3380000000000004E-2</v>
      </c>
    </row>
    <row r="587" spans="16:19" x14ac:dyDescent="0.25">
      <c r="P587" s="27">
        <v>3.2548184716220556E-2</v>
      </c>
      <c r="Q587" s="28">
        <f t="shared" si="13"/>
        <v>3.5548184716220559E-2</v>
      </c>
      <c r="R587" s="31">
        <v>0.15939660775771733</v>
      </c>
      <c r="S587" s="32">
        <v>5.8880000000000002E-2</v>
      </c>
    </row>
    <row r="588" spans="16:19" x14ac:dyDescent="0.25">
      <c r="P588" s="27">
        <v>3.2548184716220556E-2</v>
      </c>
      <c r="Q588" s="28">
        <f t="shared" si="13"/>
        <v>3.5548184716220559E-2</v>
      </c>
      <c r="R588" s="33">
        <v>0.16282860775771735</v>
      </c>
      <c r="S588" s="34">
        <v>5.9060000000000001E-2</v>
      </c>
    </row>
    <row r="589" spans="16:19" x14ac:dyDescent="0.25">
      <c r="P589" s="27">
        <v>3.2548184716220556E-2</v>
      </c>
      <c r="Q589" s="28">
        <f t="shared" si="13"/>
        <v>3.5548184716220559E-2</v>
      </c>
      <c r="R589" s="33">
        <v>0.16282860775771735</v>
      </c>
      <c r="S589" s="34">
        <v>5.9130000000000002E-2</v>
      </c>
    </row>
    <row r="590" spans="16:19" x14ac:dyDescent="0.25">
      <c r="P590" s="27">
        <v>3.2548184716220556E-2</v>
      </c>
      <c r="Q590" s="28">
        <f t="shared" si="13"/>
        <v>3.5548184716220559E-2</v>
      </c>
      <c r="R590" s="33">
        <v>0.16282860775771735</v>
      </c>
      <c r="S590" s="34">
        <v>5.8369999999999998E-2</v>
      </c>
    </row>
    <row r="591" spans="16:19" x14ac:dyDescent="0.25">
      <c r="P591" s="27">
        <v>3.2548184716220556E-2</v>
      </c>
      <c r="Q591" s="28">
        <f t="shared" si="13"/>
        <v>3.5548184716220559E-2</v>
      </c>
      <c r="R591" s="33">
        <v>0.16282860775771735</v>
      </c>
      <c r="S591" s="34">
        <v>5.7709999999999997E-2</v>
      </c>
    </row>
    <row r="592" spans="16:19" x14ac:dyDescent="0.25">
      <c r="P592" s="27">
        <v>3.2548184716220556E-2</v>
      </c>
      <c r="Q592" s="28">
        <f t="shared" si="13"/>
        <v>3.5548184716220559E-2</v>
      </c>
      <c r="R592" s="33">
        <v>0.16282860775771735</v>
      </c>
      <c r="S592" s="34">
        <v>5.525E-2</v>
      </c>
    </row>
    <row r="593" spans="16:19" x14ac:dyDescent="0.25">
      <c r="P593" s="27">
        <v>3.2548184716220556E-2</v>
      </c>
      <c r="Q593" s="28">
        <f t="shared" si="13"/>
        <v>3.5548184716220559E-2</v>
      </c>
      <c r="R593" s="33">
        <v>0.16282860775771735</v>
      </c>
      <c r="S593" s="34">
        <v>0.05</v>
      </c>
    </row>
    <row r="594" spans="16:19" x14ac:dyDescent="0.25">
      <c r="P594" s="27">
        <v>3.2548184716220556E-2</v>
      </c>
      <c r="Q594" s="28">
        <f t="shared" si="13"/>
        <v>3.5548184716220559E-2</v>
      </c>
      <c r="R594" s="33">
        <v>0.16282860775771735</v>
      </c>
      <c r="S594" s="34">
        <v>4.9890000000000004E-2</v>
      </c>
    </row>
    <row r="595" spans="16:19" x14ac:dyDescent="0.25">
      <c r="P595" s="27">
        <v>3.2548184716220556E-2</v>
      </c>
      <c r="Q595" s="28">
        <f t="shared" si="13"/>
        <v>3.5548184716220559E-2</v>
      </c>
      <c r="R595" s="33">
        <v>0.16282860775771735</v>
      </c>
      <c r="S595" s="34">
        <v>5.2179999999999997E-2</v>
      </c>
    </row>
    <row r="596" spans="16:19" x14ac:dyDescent="0.25">
      <c r="P596" s="27">
        <v>3.2548184716220556E-2</v>
      </c>
      <c r="Q596" s="28">
        <f t="shared" si="13"/>
        <v>3.5548184716220559E-2</v>
      </c>
      <c r="R596" s="33">
        <v>0.16282860775771735</v>
      </c>
      <c r="S596" s="34">
        <v>5.543E-2</v>
      </c>
    </row>
    <row r="597" spans="16:19" x14ac:dyDescent="0.25">
      <c r="P597" s="27">
        <v>3.2548184716220556E-2</v>
      </c>
      <c r="Q597" s="28">
        <f t="shared" si="13"/>
        <v>3.5548184716220559E-2</v>
      </c>
      <c r="R597" s="33">
        <v>0.16282860775771735</v>
      </c>
      <c r="S597" s="34">
        <v>6.0859999999999997E-2</v>
      </c>
    </row>
    <row r="598" spans="16:19" x14ac:dyDescent="0.25">
      <c r="P598" s="27">
        <v>3.2548184716220556E-2</v>
      </c>
      <c r="Q598" s="28">
        <f t="shared" si="13"/>
        <v>3.5548184716220559E-2</v>
      </c>
      <c r="R598" s="33">
        <v>0.16282860775771735</v>
      </c>
      <c r="S598" s="34">
        <v>6.3149999999999998E-2</v>
      </c>
    </row>
    <row r="599" spans="16:19" x14ac:dyDescent="0.25">
      <c r="P599" s="27">
        <v>3.2548184716220556E-2</v>
      </c>
      <c r="Q599" s="28">
        <f t="shared" si="13"/>
        <v>3.5548184716220559E-2</v>
      </c>
      <c r="R599" s="31">
        <v>0.15939660775771733</v>
      </c>
      <c r="S599" s="32">
        <v>6.3E-2</v>
      </c>
    </row>
    <row r="600" spans="16:19" x14ac:dyDescent="0.25">
      <c r="P600" s="27">
        <v>3.2548184716220556E-2</v>
      </c>
      <c r="Q600" s="28">
        <f t="shared" si="13"/>
        <v>3.5548184716220559E-2</v>
      </c>
      <c r="R600" s="31">
        <v>0.15939660775771733</v>
      </c>
      <c r="S600" s="32">
        <v>6.0100000000000001E-2</v>
      </c>
    </row>
    <row r="601" spans="16:19" x14ac:dyDescent="0.25">
      <c r="P601" s="27">
        <v>3.2548184716220556E-2</v>
      </c>
      <c r="Q601" s="28">
        <f t="shared" si="13"/>
        <v>3.5548184716220559E-2</v>
      </c>
      <c r="R601" s="31">
        <v>0.15939660775771733</v>
      </c>
      <c r="S601" s="32">
        <v>5.79E-2</v>
      </c>
    </row>
    <row r="602" spans="16:19" x14ac:dyDescent="0.25">
      <c r="P602" s="27">
        <v>3.2548184716220556E-2</v>
      </c>
      <c r="Q602" s="28">
        <f t="shared" si="13"/>
        <v>3.5548184716220559E-2</v>
      </c>
      <c r="R602" s="31">
        <v>0.15939660775771733</v>
      </c>
      <c r="S602" s="32">
        <v>5.5E-2</v>
      </c>
    </row>
    <row r="603" spans="16:19" x14ac:dyDescent="0.25">
      <c r="P603" s="27">
        <v>3.2548184716220556E-2</v>
      </c>
      <c r="Q603" s="28">
        <f t="shared" si="13"/>
        <v>3.5548184716220559E-2</v>
      </c>
      <c r="R603" s="29">
        <v>0.15003660775771735</v>
      </c>
      <c r="S603" s="30">
        <v>5.11E-2</v>
      </c>
    </row>
    <row r="604" spans="16:19" x14ac:dyDescent="0.25">
      <c r="P604" s="27">
        <v>3.2548184716220556E-2</v>
      </c>
      <c r="Q604" s="28">
        <f t="shared" si="13"/>
        <v>3.5548184716220559E-2</v>
      </c>
      <c r="R604" s="29">
        <v>0.15003660775771735</v>
      </c>
      <c r="S604" s="30">
        <v>3.415E-2</v>
      </c>
    </row>
    <row r="605" spans="16:19" x14ac:dyDescent="0.25">
      <c r="P605" s="27">
        <v>3.2548184716220556E-2</v>
      </c>
      <c r="Q605" s="28">
        <f t="shared" si="13"/>
        <v>3.5548184716220559E-2</v>
      </c>
      <c r="R605" s="29">
        <v>0.15003660775771735</v>
      </c>
      <c r="S605" s="30">
        <v>2.3399999999999997E-2</v>
      </c>
    </row>
    <row r="606" spans="16:19" x14ac:dyDescent="0.25">
      <c r="P606" s="27">
        <v>3.2548184716220556E-2</v>
      </c>
      <c r="Q606" s="28">
        <f t="shared" si="13"/>
        <v>3.5548184716220559E-2</v>
      </c>
      <c r="R606" s="29">
        <v>0.15003660775771735</v>
      </c>
      <c r="S606" s="30">
        <v>1.738E-2</v>
      </c>
    </row>
    <row r="607" spans="16:19" x14ac:dyDescent="0.25">
      <c r="P607" s="27">
        <v>3.2548184716220556E-2</v>
      </c>
      <c r="Q607" s="28">
        <f t="shared" si="13"/>
        <v>3.5548184716220559E-2</v>
      </c>
      <c r="R607" s="29">
        <v>0.15003660775771735</v>
      </c>
      <c r="S607" s="30">
        <v>1.247E-2</v>
      </c>
    </row>
    <row r="608" spans="16:19" x14ac:dyDescent="0.25">
      <c r="P608" s="27">
        <v>3.2548184716220556E-2</v>
      </c>
      <c r="Q608" s="28">
        <f t="shared" si="13"/>
        <v>3.5548184716220559E-2</v>
      </c>
      <c r="R608" s="29">
        <v>0.15003660775771735</v>
      </c>
      <c r="S608" s="30">
        <v>1.2749999999999999E-2</v>
      </c>
    </row>
    <row r="609" spans="16:19" x14ac:dyDescent="0.25">
      <c r="P609" s="27">
        <v>3.2548184716220556E-2</v>
      </c>
      <c r="Q609" s="28">
        <f t="shared" si="13"/>
        <v>3.5548184716220559E-2</v>
      </c>
      <c r="R609" s="29">
        <v>0.15003660775771735</v>
      </c>
      <c r="S609" s="30">
        <v>1.6E-2</v>
      </c>
    </row>
    <row r="610" spans="16:19" x14ac:dyDescent="0.25">
      <c r="P610" s="27">
        <v>3.2548184716220556E-2</v>
      </c>
      <c r="Q610" s="28">
        <f t="shared" si="13"/>
        <v>3.5548184716220559E-2</v>
      </c>
      <c r="R610" s="29">
        <v>0.15003660775771735</v>
      </c>
      <c r="S610" s="30">
        <v>0.02</v>
      </c>
    </row>
    <row r="611" spans="16:19" x14ac:dyDescent="0.25">
      <c r="P611" s="27">
        <v>3.2548184716220556E-2</v>
      </c>
      <c r="Q611" s="28">
        <f t="shared" si="13"/>
        <v>3.5548184716220559E-2</v>
      </c>
      <c r="R611" s="31">
        <v>0.15939660775771733</v>
      </c>
      <c r="S611" s="32">
        <v>2.8399999999999998E-2</v>
      </c>
    </row>
    <row r="612" spans="16:19" x14ac:dyDescent="0.25">
      <c r="P612" s="27">
        <v>3.2548184716220556E-2</v>
      </c>
      <c r="Q612" s="28">
        <f t="shared" si="13"/>
        <v>3.5548184716220559E-2</v>
      </c>
      <c r="R612" s="33">
        <v>0.16282860775771735</v>
      </c>
      <c r="S612" s="34">
        <v>4.2000000000000003E-2</v>
      </c>
    </row>
    <row r="613" spans="16:19" x14ac:dyDescent="0.25">
      <c r="P613" s="27">
        <v>3.2548184716220556E-2</v>
      </c>
      <c r="Q613" s="28">
        <f t="shared" si="13"/>
        <v>3.5548184716220559E-2</v>
      </c>
      <c r="R613" s="33">
        <v>0.16282860775771735</v>
      </c>
      <c r="S613" s="34">
        <v>5.0610000000000002E-2</v>
      </c>
    </row>
    <row r="614" spans="16:19" x14ac:dyDescent="0.25">
      <c r="P614" s="27">
        <v>3.2548184716220556E-2</v>
      </c>
      <c r="Q614" s="28">
        <f t="shared" si="13"/>
        <v>3.5548184716220559E-2</v>
      </c>
      <c r="R614" s="33">
        <v>0.16282860775771735</v>
      </c>
      <c r="S614" s="34">
        <v>5.0999999999999997E-2</v>
      </c>
    </row>
    <row r="615" spans="16:19" x14ac:dyDescent="0.25">
      <c r="P615" s="27">
        <v>3.2548184716220556E-2</v>
      </c>
      <c r="Q615" s="28">
        <f t="shared" si="13"/>
        <v>3.5548184716220559E-2</v>
      </c>
      <c r="R615" s="33">
        <v>0.16282860775771735</v>
      </c>
      <c r="S615" s="34">
        <v>4.9369999999999997E-2</v>
      </c>
    </row>
    <row r="616" spans="16:19" x14ac:dyDescent="0.25">
      <c r="P616" s="27">
        <v>3.2548184716220556E-2</v>
      </c>
      <c r="Q616" s="28">
        <f t="shared" si="13"/>
        <v>3.5548184716220559E-2</v>
      </c>
      <c r="R616" s="33">
        <v>0.16282860775771735</v>
      </c>
      <c r="S616" s="34">
        <v>4.3249999999999997E-2</v>
      </c>
    </row>
    <row r="617" spans="16:19" x14ac:dyDescent="0.25">
      <c r="P617" s="27">
        <v>3.2548184716220556E-2</v>
      </c>
      <c r="Q617" s="28">
        <f t="shared" si="13"/>
        <v>3.5548184716220559E-2</v>
      </c>
      <c r="R617" s="33">
        <v>0.16282860775771735</v>
      </c>
      <c r="S617" s="34">
        <v>3.27E-2</v>
      </c>
    </row>
    <row r="618" spans="16:19" x14ac:dyDescent="0.25">
      <c r="P618" s="27">
        <v>3.2548184716220556E-2</v>
      </c>
      <c r="Q618" s="28">
        <f t="shared" si="13"/>
        <v>3.5548184716220559E-2</v>
      </c>
      <c r="R618" s="33">
        <v>0.16282860775771735</v>
      </c>
      <c r="S618" s="34">
        <v>3.2000000000000001E-2</v>
      </c>
    </row>
    <row r="619" spans="16:19" x14ac:dyDescent="0.25">
      <c r="P619" s="27">
        <v>3.2548184716220556E-2</v>
      </c>
      <c r="Q619" s="28">
        <f t="shared" si="13"/>
        <v>3.5548184716220559E-2</v>
      </c>
      <c r="R619" s="33">
        <v>0.16282860775771735</v>
      </c>
      <c r="S619" s="34">
        <v>4.1739999999999999E-2</v>
      </c>
    </row>
    <row r="620" spans="16:19" x14ac:dyDescent="0.25">
      <c r="P620" s="27">
        <v>3.2548184716220556E-2</v>
      </c>
      <c r="Q620" s="28">
        <f t="shared" si="13"/>
        <v>3.5548184716220559E-2</v>
      </c>
      <c r="R620" s="33">
        <v>0.16282860775771735</v>
      </c>
      <c r="S620" s="34">
        <v>0.05</v>
      </c>
    </row>
    <row r="621" spans="16:19" x14ac:dyDescent="0.25">
      <c r="P621" s="27">
        <v>3.2548184716220556E-2</v>
      </c>
      <c r="Q621" s="28">
        <f t="shared" si="13"/>
        <v>3.5548184716220559E-2</v>
      </c>
      <c r="R621" s="33">
        <v>0.16282860775771735</v>
      </c>
      <c r="S621" s="34">
        <v>6.0380000000000003E-2</v>
      </c>
    </row>
    <row r="622" spans="16:19" x14ac:dyDescent="0.25">
      <c r="P622" s="27">
        <v>3.2548184716220556E-2</v>
      </c>
      <c r="Q622" s="28">
        <f t="shared" si="13"/>
        <v>3.5548184716220559E-2</v>
      </c>
      <c r="R622" s="33">
        <v>0.16282860775771735</v>
      </c>
      <c r="S622" s="34">
        <v>6.25E-2</v>
      </c>
    </row>
    <row r="623" spans="16:19" x14ac:dyDescent="0.25">
      <c r="P623" s="27">
        <v>3.2548184716220556E-2</v>
      </c>
      <c r="Q623" s="28">
        <f t="shared" si="13"/>
        <v>3.5548184716220559E-2</v>
      </c>
      <c r="R623" s="31">
        <v>0.15939660775771733</v>
      </c>
      <c r="S623" s="32">
        <v>6.498000000000001E-2</v>
      </c>
    </row>
    <row r="624" spans="16:19" x14ac:dyDescent="0.25">
      <c r="P624" s="27">
        <v>3.2548184716220556E-2</v>
      </c>
      <c r="Q624" s="28">
        <f t="shared" si="13"/>
        <v>3.5548184716220559E-2</v>
      </c>
      <c r="R624" s="31">
        <v>0.15939660775771733</v>
      </c>
      <c r="S624" s="32">
        <v>6.0999999999999999E-2</v>
      </c>
    </row>
    <row r="625" spans="16:19" x14ac:dyDescent="0.25">
      <c r="P625" s="27">
        <v>3.2548184716220556E-2</v>
      </c>
      <c r="Q625" s="28">
        <f t="shared" si="13"/>
        <v>3.5548184716220559E-2</v>
      </c>
      <c r="R625" s="31">
        <v>0.15939660775771733</v>
      </c>
      <c r="S625" s="32">
        <v>5.944E-2</v>
      </c>
    </row>
    <row r="626" spans="16:19" x14ac:dyDescent="0.25">
      <c r="P626" s="27">
        <v>3.2548184716220556E-2</v>
      </c>
      <c r="Q626" s="28">
        <f t="shared" si="13"/>
        <v>3.5548184716220559E-2</v>
      </c>
      <c r="R626" s="31">
        <v>0.15939660775771733</v>
      </c>
      <c r="S626" s="32">
        <v>5.5759999999999997E-2</v>
      </c>
    </row>
    <row r="627" spans="16:19" x14ac:dyDescent="0.25">
      <c r="P627" s="27">
        <v>3.2548184716220556E-2</v>
      </c>
      <c r="Q627" s="28">
        <f t="shared" si="13"/>
        <v>3.5548184716220559E-2</v>
      </c>
      <c r="R627" s="29">
        <v>0.15003660775771735</v>
      </c>
      <c r="S627" s="30">
        <v>0.05</v>
      </c>
    </row>
    <row r="628" spans="16:19" x14ac:dyDescent="0.25">
      <c r="P628" s="27">
        <v>3.2548184716220556E-2</v>
      </c>
      <c r="Q628" s="28">
        <f t="shared" si="13"/>
        <v>3.5548184716220559E-2</v>
      </c>
      <c r="R628" s="29">
        <v>0.15003660775771735</v>
      </c>
      <c r="S628" s="30">
        <v>3.056E-2</v>
      </c>
    </row>
    <row r="629" spans="16:19" x14ac:dyDescent="0.25">
      <c r="P629" s="27">
        <v>3.2548184716220556E-2</v>
      </c>
      <c r="Q629" s="28">
        <f t="shared" si="13"/>
        <v>3.5548184716220559E-2</v>
      </c>
      <c r="R629" s="29">
        <v>0.15003660775771735</v>
      </c>
      <c r="S629" s="30">
        <v>2.487E-2</v>
      </c>
    </row>
    <row r="630" spans="16:19" x14ac:dyDescent="0.25">
      <c r="P630" s="27">
        <v>3.2548184716220556E-2</v>
      </c>
      <c r="Q630" s="28">
        <f t="shared" si="13"/>
        <v>3.5548184716220559E-2</v>
      </c>
      <c r="R630" s="29">
        <v>0.15003660775771735</v>
      </c>
      <c r="S630" s="30">
        <v>1.9100000000000002E-2</v>
      </c>
    </row>
    <row r="631" spans="16:19" x14ac:dyDescent="0.25">
      <c r="P631" s="27">
        <v>3.2548184716220556E-2</v>
      </c>
      <c r="Q631" s="28">
        <f t="shared" si="13"/>
        <v>3.5548184716220559E-2</v>
      </c>
      <c r="R631" s="29">
        <v>0.15003660775771735</v>
      </c>
      <c r="S631" s="30">
        <v>1.704E-2</v>
      </c>
    </row>
    <row r="632" spans="16:19" x14ac:dyDescent="0.25">
      <c r="P632" s="27">
        <v>3.2548184716220556E-2</v>
      </c>
      <c r="Q632" s="28">
        <f t="shared" si="13"/>
        <v>3.5548184716220559E-2</v>
      </c>
      <c r="R632" s="29">
        <v>0.15003660775771735</v>
      </c>
      <c r="S632" s="30">
        <v>1.9100000000000002E-2</v>
      </c>
    </row>
    <row r="633" spans="16:19" x14ac:dyDescent="0.25">
      <c r="P633" s="27">
        <v>3.2548184716220556E-2</v>
      </c>
      <c r="Q633" s="28">
        <f t="shared" si="13"/>
        <v>3.5548184716220559E-2</v>
      </c>
      <c r="R633" s="29">
        <v>0.15003660775771735</v>
      </c>
      <c r="S633" s="30">
        <v>3.0329999999999999E-2</v>
      </c>
    </row>
    <row r="634" spans="16:19" x14ac:dyDescent="0.25">
      <c r="P634" s="27">
        <v>3.2548184716220556E-2</v>
      </c>
      <c r="Q634" s="28">
        <f t="shared" si="13"/>
        <v>3.5548184716220559E-2</v>
      </c>
      <c r="R634" s="29">
        <v>0.15003660775771735</v>
      </c>
      <c r="S634" s="30">
        <v>5.4740000000000004E-2</v>
      </c>
    </row>
    <row r="635" spans="16:19" x14ac:dyDescent="0.25">
      <c r="P635" s="27">
        <v>3.2548184716220556E-2</v>
      </c>
      <c r="Q635" s="28">
        <f t="shared" si="13"/>
        <v>3.5548184716220559E-2</v>
      </c>
      <c r="R635" s="31">
        <v>0.15939999999999999</v>
      </c>
      <c r="S635" s="32">
        <v>6.7030000000000006E-2</v>
      </c>
    </row>
    <row r="636" spans="16:19" x14ac:dyDescent="0.25">
      <c r="P636" s="27">
        <v>3.2548184716220556E-2</v>
      </c>
      <c r="Q636" s="28">
        <f t="shared" si="13"/>
        <v>3.5548184716220559E-2</v>
      </c>
      <c r="R636" s="31">
        <v>0.15939999999999999</v>
      </c>
      <c r="S636" s="32">
        <v>7.0419999999999996E-2</v>
      </c>
    </row>
    <row r="637" spans="16:19" x14ac:dyDescent="0.25">
      <c r="P637" s="27">
        <v>3.2548184716220556E-2</v>
      </c>
      <c r="Q637" s="28">
        <f t="shared" si="13"/>
        <v>3.5548184716220559E-2</v>
      </c>
      <c r="R637" s="31">
        <v>0.15939999999999999</v>
      </c>
      <c r="S637" s="32">
        <v>6.9580000000000003E-2</v>
      </c>
    </row>
    <row r="638" spans="16:19" x14ac:dyDescent="0.25">
      <c r="P638" s="27">
        <v>3.2548184716220556E-2</v>
      </c>
      <c r="Q638" s="28">
        <f t="shared" si="13"/>
        <v>3.5548184716220559E-2</v>
      </c>
      <c r="R638" s="31">
        <v>0.15939999999999999</v>
      </c>
      <c r="S638" s="32">
        <v>6.6549999999999998E-2</v>
      </c>
    </row>
    <row r="639" spans="16:19" x14ac:dyDescent="0.25">
      <c r="P639" s="27">
        <v>3.2548184716220556E-2</v>
      </c>
      <c r="Q639" s="28">
        <f t="shared" si="13"/>
        <v>3.5548184716220559E-2</v>
      </c>
      <c r="R639" s="31">
        <v>0.15939999999999999</v>
      </c>
      <c r="S639" s="32">
        <v>6.6000000000000003E-2</v>
      </c>
    </row>
    <row r="640" spans="16:19" x14ac:dyDescent="0.25">
      <c r="P640" s="27">
        <v>3.2548184716220556E-2</v>
      </c>
      <c r="Q640" s="28">
        <f t="shared" si="13"/>
        <v>3.5548184716220559E-2</v>
      </c>
      <c r="R640" s="31">
        <v>0.15939999999999999</v>
      </c>
      <c r="S640" s="32">
        <v>6.0270000000000004E-2</v>
      </c>
    </row>
    <row r="641" spans="16:19" x14ac:dyDescent="0.25">
      <c r="P641" s="27">
        <v>3.2548184716220556E-2</v>
      </c>
      <c r="Q641" s="28">
        <f t="shared" si="13"/>
        <v>3.5548184716220559E-2</v>
      </c>
      <c r="R641" s="31">
        <v>0.15939999999999999</v>
      </c>
      <c r="S641" s="32">
        <v>6.055E-2</v>
      </c>
    </row>
    <row r="642" spans="16:19" x14ac:dyDescent="0.25">
      <c r="P642" s="27">
        <v>3.2548184716220556E-2</v>
      </c>
      <c r="Q642" s="28">
        <f t="shared" si="13"/>
        <v>3.5548184716220559E-2</v>
      </c>
      <c r="R642" s="31">
        <v>0.15939999999999999</v>
      </c>
      <c r="S642" s="32">
        <v>6.4189999999999997E-2</v>
      </c>
    </row>
    <row r="643" spans="16:19" x14ac:dyDescent="0.25">
      <c r="P643" s="27">
        <v>3.2548184716220556E-2</v>
      </c>
      <c r="Q643" s="28">
        <f t="shared" si="13"/>
        <v>3.5548184716220559E-2</v>
      </c>
      <c r="R643" s="31">
        <v>0.15939999999999999</v>
      </c>
      <c r="S643" s="32">
        <v>6.5599999999999992E-2</v>
      </c>
    </row>
    <row r="644" spans="16:19" x14ac:dyDescent="0.25">
      <c r="P644" s="27">
        <v>3.2548184716220556E-2</v>
      </c>
      <c r="Q644" s="28">
        <f t="shared" si="13"/>
        <v>3.5548184716220559E-2</v>
      </c>
      <c r="R644" s="31">
        <v>0.15939999999999999</v>
      </c>
      <c r="S644" s="32">
        <v>6.7019999999999996E-2</v>
      </c>
    </row>
    <row r="645" spans="16:19" x14ac:dyDescent="0.25">
      <c r="P645" s="27">
        <v>3.2548184716220556E-2</v>
      </c>
      <c r="Q645" s="28">
        <f t="shared" ref="Q645:Q708" si="14">P645+0.003</f>
        <v>3.5548184716220559E-2</v>
      </c>
      <c r="R645" s="31">
        <v>0.15939999999999999</v>
      </c>
      <c r="S645" s="32">
        <v>7.2650000000000006E-2</v>
      </c>
    </row>
    <row r="646" spans="16:19" x14ac:dyDescent="0.25">
      <c r="P646" s="27">
        <v>3.2548184716220556E-2</v>
      </c>
      <c r="Q646" s="28">
        <f t="shared" si="14"/>
        <v>3.5548184716220559E-2</v>
      </c>
      <c r="R646" s="31">
        <v>0.15939999999999999</v>
      </c>
      <c r="S646" s="32">
        <v>7.0999999999999994E-2</v>
      </c>
    </row>
    <row r="647" spans="16:19" x14ac:dyDescent="0.25">
      <c r="P647" s="27">
        <v>3.2548184716220556E-2</v>
      </c>
      <c r="Q647" s="28">
        <f t="shared" si="14"/>
        <v>3.5548184716220559E-2</v>
      </c>
      <c r="R647" s="31">
        <v>0.15939999999999999</v>
      </c>
      <c r="S647" s="32">
        <v>6.7280000000000006E-2</v>
      </c>
    </row>
    <row r="648" spans="16:19" x14ac:dyDescent="0.25">
      <c r="P648" s="27">
        <v>3.2548184716220556E-2</v>
      </c>
      <c r="Q648" s="28">
        <f t="shared" si="14"/>
        <v>3.5548184716220559E-2</v>
      </c>
      <c r="R648" s="31">
        <v>0.15939999999999999</v>
      </c>
      <c r="S648" s="32">
        <v>6.4579999999999999E-2</v>
      </c>
    </row>
    <row r="649" spans="16:19" x14ac:dyDescent="0.25">
      <c r="P649" s="27">
        <v>3.2548184716220556E-2</v>
      </c>
      <c r="Q649" s="28">
        <f t="shared" si="14"/>
        <v>3.5548184716220559E-2</v>
      </c>
      <c r="R649" s="31">
        <v>0.15939999999999999</v>
      </c>
      <c r="S649" s="32">
        <v>6.1079999999999995E-2</v>
      </c>
    </row>
    <row r="650" spans="16:19" x14ac:dyDescent="0.25">
      <c r="P650" s="27">
        <v>3.2548184716220556E-2</v>
      </c>
      <c r="Q650" s="28">
        <f t="shared" si="14"/>
        <v>3.5548184716220559E-2</v>
      </c>
      <c r="R650" s="31">
        <v>0.15939999999999999</v>
      </c>
      <c r="S650" s="32">
        <v>5.8076676000000001E-2</v>
      </c>
    </row>
    <row r="651" spans="16:19" x14ac:dyDescent="0.25">
      <c r="P651" s="27">
        <v>3.2548184716220556E-2</v>
      </c>
      <c r="Q651" s="28">
        <f t="shared" si="14"/>
        <v>3.5548184716220559E-2</v>
      </c>
      <c r="R651" s="29">
        <v>0.15</v>
      </c>
      <c r="S651" s="30">
        <v>5.4829999999999997E-2</v>
      </c>
    </row>
    <row r="652" spans="16:19" x14ac:dyDescent="0.25">
      <c r="P652" s="27">
        <v>3.2548184716220556E-2</v>
      </c>
      <c r="Q652" s="28">
        <f t="shared" si="14"/>
        <v>3.5548184716220559E-2</v>
      </c>
      <c r="R652" s="29">
        <v>0.15</v>
      </c>
      <c r="S652" s="30">
        <v>4.3590000000000004E-2</v>
      </c>
    </row>
    <row r="653" spans="16:19" x14ac:dyDescent="0.25">
      <c r="P653" s="27">
        <v>3.2548184716220556E-2</v>
      </c>
      <c r="Q653" s="28">
        <f t="shared" si="14"/>
        <v>3.5548184716220559E-2</v>
      </c>
      <c r="R653" s="29">
        <v>0.15</v>
      </c>
      <c r="S653" s="30">
        <v>3.9299999999999995E-2</v>
      </c>
    </row>
    <row r="654" spans="16:19" x14ac:dyDescent="0.25">
      <c r="P654" s="27">
        <v>3.2548184716220556E-2</v>
      </c>
      <c r="Q654" s="28">
        <f t="shared" si="14"/>
        <v>3.5548184716220559E-2</v>
      </c>
      <c r="R654" s="29">
        <v>0.15</v>
      </c>
      <c r="S654" s="30">
        <v>3.4540000000000001E-2</v>
      </c>
    </row>
    <row r="655" spans="16:19" x14ac:dyDescent="0.25">
      <c r="P655" s="27">
        <v>3.2548184716220556E-2</v>
      </c>
      <c r="Q655" s="28">
        <f t="shared" si="14"/>
        <v>3.5548184716220559E-2</v>
      </c>
      <c r="R655" s="29">
        <v>0.15</v>
      </c>
      <c r="S655" s="30">
        <v>3.2390000000000002E-2</v>
      </c>
    </row>
    <row r="656" spans="16:19" x14ac:dyDescent="0.25">
      <c r="P656" s="27">
        <v>3.2548184716220556E-2</v>
      </c>
      <c r="Q656" s="28">
        <f t="shared" si="14"/>
        <v>3.5548184716220559E-2</v>
      </c>
      <c r="R656" s="29">
        <v>0.15</v>
      </c>
      <c r="S656" s="30">
        <v>3.2000000000000001E-2</v>
      </c>
    </row>
    <row r="657" spans="16:19" x14ac:dyDescent="0.25">
      <c r="P657" s="27">
        <v>3.2548184716220556E-2</v>
      </c>
      <c r="Q657" s="28">
        <f t="shared" si="14"/>
        <v>3.5548184716220559E-2</v>
      </c>
      <c r="R657" s="29">
        <v>0.15</v>
      </c>
      <c r="S657" s="30">
        <v>4.0570000000000002E-2</v>
      </c>
    </row>
    <row r="658" spans="16:19" x14ac:dyDescent="0.25">
      <c r="P658" s="27">
        <v>3.2548184716220556E-2</v>
      </c>
      <c r="Q658" s="28">
        <f t="shared" si="14"/>
        <v>3.5548184716220559E-2</v>
      </c>
      <c r="R658" s="29">
        <v>0.15</v>
      </c>
      <c r="S658" s="30">
        <v>5.6689999999999997E-2</v>
      </c>
    </row>
    <row r="659" spans="16:19" x14ac:dyDescent="0.25">
      <c r="P659" s="27">
        <v>3.2548184716220556E-2</v>
      </c>
      <c r="Q659" s="28">
        <f t="shared" si="14"/>
        <v>3.5548184716220559E-2</v>
      </c>
      <c r="R659" s="29">
        <v>0.15</v>
      </c>
      <c r="S659" s="30">
        <v>6.5560000000000007E-2</v>
      </c>
    </row>
    <row r="660" spans="16:19" x14ac:dyDescent="0.25">
      <c r="P660" s="27">
        <v>3.2548184716220556E-2</v>
      </c>
      <c r="Q660" s="28">
        <f t="shared" si="14"/>
        <v>3.5548184716220559E-2</v>
      </c>
      <c r="R660" s="29">
        <v>0.15</v>
      </c>
      <c r="S660" s="30">
        <v>6.8319999999999992E-2</v>
      </c>
    </row>
    <row r="661" spans="16:19" x14ac:dyDescent="0.25">
      <c r="P661" s="27">
        <v>3.2548184716220556E-2</v>
      </c>
      <c r="Q661" s="28">
        <f t="shared" si="14"/>
        <v>3.5548184716220559E-2</v>
      </c>
      <c r="R661" s="29">
        <v>0.15</v>
      </c>
      <c r="S661" s="30">
        <v>6.6379999999999995E-2</v>
      </c>
    </row>
    <row r="662" spans="16:19" x14ac:dyDescent="0.25">
      <c r="P662" s="27">
        <v>3.2548184716220556E-2</v>
      </c>
      <c r="Q662" s="28">
        <f t="shared" si="14"/>
        <v>3.5548184716220559E-2</v>
      </c>
      <c r="R662" s="29">
        <v>0.15</v>
      </c>
      <c r="S662" s="30">
        <v>6.4680000000000001E-2</v>
      </c>
    </row>
    <row r="663" spans="16:19" x14ac:dyDescent="0.25">
      <c r="P663" s="27">
        <v>3.2548184716220556E-2</v>
      </c>
      <c r="Q663" s="28">
        <f t="shared" si="14"/>
        <v>3.5548184716220559E-2</v>
      </c>
      <c r="R663" s="29">
        <v>0.15</v>
      </c>
      <c r="S663" s="30">
        <v>6.3E-2</v>
      </c>
    </row>
    <row r="664" spans="16:19" x14ac:dyDescent="0.25">
      <c r="P664" s="27">
        <v>3.2548184716220556E-2</v>
      </c>
      <c r="Q664" s="28">
        <f t="shared" si="14"/>
        <v>3.5548184716220559E-2</v>
      </c>
      <c r="R664" s="29">
        <v>0.15</v>
      </c>
      <c r="S664" s="30">
        <v>5.9319999999999998E-2</v>
      </c>
    </row>
    <row r="665" spans="16:19" x14ac:dyDescent="0.25">
      <c r="P665" s="27">
        <v>3.2548184716220556E-2</v>
      </c>
      <c r="Q665" s="28">
        <f t="shared" si="14"/>
        <v>3.5548184716220559E-2</v>
      </c>
      <c r="R665" s="29">
        <v>0.15</v>
      </c>
      <c r="S665" s="30">
        <v>5.8999999999999997E-2</v>
      </c>
    </row>
    <row r="666" spans="16:19" x14ac:dyDescent="0.25">
      <c r="P666" s="27">
        <v>3.2548184716220556E-2</v>
      </c>
      <c r="Q666" s="28">
        <f t="shared" si="14"/>
        <v>3.5548184716220559E-2</v>
      </c>
      <c r="R666" s="29">
        <v>0.15</v>
      </c>
      <c r="S666" s="30">
        <v>6.1369999999999994E-2</v>
      </c>
    </row>
    <row r="667" spans="16:19" x14ac:dyDescent="0.25">
      <c r="P667" s="27">
        <v>3.2548184716220556E-2</v>
      </c>
      <c r="Q667" s="28">
        <f t="shared" si="14"/>
        <v>3.5548184716220559E-2</v>
      </c>
      <c r="R667" s="29">
        <v>0.15</v>
      </c>
      <c r="S667" s="30">
        <v>6.3E-2</v>
      </c>
    </row>
    <row r="668" spans="16:19" x14ac:dyDescent="0.25">
      <c r="P668" s="27">
        <v>3.2548184716220556E-2</v>
      </c>
      <c r="Q668" s="28">
        <f t="shared" si="14"/>
        <v>3.5548184716220559E-2</v>
      </c>
      <c r="R668" s="29">
        <v>0.15</v>
      </c>
      <c r="S668" s="30">
        <v>6.5360000000000001E-2</v>
      </c>
    </row>
    <row r="669" spans="16:19" x14ac:dyDescent="0.25">
      <c r="P669" s="27">
        <v>3.2548184716220556E-2</v>
      </c>
      <c r="Q669" s="28">
        <f t="shared" si="14"/>
        <v>3.5548184716220559E-2</v>
      </c>
      <c r="R669" s="29">
        <v>0.15</v>
      </c>
      <c r="S669" s="30">
        <v>7.0999999999999994E-2</v>
      </c>
    </row>
    <row r="670" spans="16:19" x14ac:dyDescent="0.25">
      <c r="P670" s="27">
        <v>3.2548184716220556E-2</v>
      </c>
      <c r="Q670" s="28">
        <f t="shared" si="14"/>
        <v>3.5548184716220559E-2</v>
      </c>
      <c r="R670" s="29">
        <v>0.15</v>
      </c>
      <c r="S670" s="30">
        <v>7.1749999999999994E-2</v>
      </c>
    </row>
    <row r="671" spans="16:19" x14ac:dyDescent="0.25">
      <c r="P671" s="27">
        <v>3.2548184716220556E-2</v>
      </c>
      <c r="Q671" s="28">
        <f t="shared" si="14"/>
        <v>3.5548184716220559E-2</v>
      </c>
      <c r="R671" s="29">
        <v>0.15</v>
      </c>
      <c r="S671" s="30">
        <v>6.7739999999999995E-2</v>
      </c>
    </row>
    <row r="672" spans="16:19" x14ac:dyDescent="0.25">
      <c r="P672" s="27">
        <v>3.2548184716220556E-2</v>
      </c>
      <c r="Q672" s="28">
        <f t="shared" si="14"/>
        <v>3.5548184716220559E-2</v>
      </c>
      <c r="R672" s="29">
        <v>0.15</v>
      </c>
      <c r="S672" s="30">
        <v>6.4500000000000002E-2</v>
      </c>
    </row>
    <row r="673" spans="16:19" x14ac:dyDescent="0.25">
      <c r="P673" s="27">
        <v>3.2548184716220556E-2</v>
      </c>
      <c r="Q673" s="28">
        <f t="shared" si="14"/>
        <v>3.5548184716220559E-2</v>
      </c>
      <c r="R673" s="29">
        <v>0.15</v>
      </c>
      <c r="S673" s="30">
        <v>6.1123642999999998E-2</v>
      </c>
    </row>
    <row r="674" spans="16:19" x14ac:dyDescent="0.25">
      <c r="P674" s="27">
        <v>3.2548184716220556E-2</v>
      </c>
      <c r="Q674" s="28">
        <f t="shared" si="14"/>
        <v>3.5548184716220559E-2</v>
      </c>
      <c r="R674" s="29">
        <v>0.15</v>
      </c>
      <c r="S674" s="30">
        <v>5.8549999999999998E-2</v>
      </c>
    </row>
    <row r="675" spans="16:19" x14ac:dyDescent="0.25">
      <c r="P675" s="27">
        <v>3.2548184716220556E-2</v>
      </c>
      <c r="Q675" s="28">
        <f t="shared" si="14"/>
        <v>3.5548184716220559E-2</v>
      </c>
      <c r="R675" s="29">
        <v>0.15</v>
      </c>
      <c r="S675" s="30">
        <v>5.5E-2</v>
      </c>
    </row>
    <row r="676" spans="16:19" x14ac:dyDescent="0.25">
      <c r="P676" s="27">
        <v>3.2548184716220556E-2</v>
      </c>
      <c r="Q676" s="28">
        <f t="shared" si="14"/>
        <v>3.5548184716220559E-2</v>
      </c>
      <c r="R676" s="29">
        <v>0.15</v>
      </c>
      <c r="S676" s="30">
        <v>5.4310000000000004E-2</v>
      </c>
    </row>
    <row r="677" spans="16:19" x14ac:dyDescent="0.25">
      <c r="P677" s="27">
        <v>3.2548184716220556E-2</v>
      </c>
      <c r="Q677" s="28">
        <f t="shared" si="14"/>
        <v>3.5548184716220559E-2</v>
      </c>
      <c r="R677" s="29">
        <v>0.15</v>
      </c>
      <c r="S677" s="30">
        <v>0.05</v>
      </c>
    </row>
    <row r="678" spans="16:19" x14ac:dyDescent="0.25">
      <c r="P678" s="27">
        <v>3.2548184716220556E-2</v>
      </c>
      <c r="Q678" s="28">
        <f t="shared" si="14"/>
        <v>3.5548184716220559E-2</v>
      </c>
      <c r="R678" s="29">
        <v>0.15</v>
      </c>
      <c r="S678" s="30">
        <v>4.403E-2</v>
      </c>
    </row>
    <row r="679" spans="16:19" x14ac:dyDescent="0.25">
      <c r="P679" s="27">
        <v>3.2548184716220556E-2</v>
      </c>
      <c r="Q679" s="28">
        <f t="shared" si="14"/>
        <v>3.5548184716220559E-2</v>
      </c>
      <c r="R679" s="29">
        <v>0.15</v>
      </c>
      <c r="S679" s="30">
        <v>4.4020000000000004E-2</v>
      </c>
    </row>
    <row r="680" spans="16:19" x14ac:dyDescent="0.25">
      <c r="P680" s="27">
        <v>3.2548184716220556E-2</v>
      </c>
      <c r="Q680" s="28">
        <f t="shared" si="14"/>
        <v>3.5548184716220559E-2</v>
      </c>
      <c r="R680" s="29">
        <v>0.15</v>
      </c>
      <c r="S680" s="30">
        <v>4.403E-2</v>
      </c>
    </row>
    <row r="681" spans="16:19" x14ac:dyDescent="0.25">
      <c r="P681" s="27">
        <v>3.2548184716220556E-2</v>
      </c>
      <c r="Q681" s="28">
        <f t="shared" si="14"/>
        <v>3.5548184716220559E-2</v>
      </c>
      <c r="R681" s="29">
        <v>0.15</v>
      </c>
      <c r="S681" s="30">
        <v>5.4310000000000004E-2</v>
      </c>
    </row>
    <row r="682" spans="16:19" x14ac:dyDescent="0.25">
      <c r="P682" s="27">
        <v>3.2548184716220556E-2</v>
      </c>
      <c r="Q682" s="28">
        <f t="shared" si="14"/>
        <v>3.5548184716220559E-2</v>
      </c>
      <c r="R682" s="29">
        <v>0.15</v>
      </c>
      <c r="S682" s="30">
        <v>6.0010000000000001E-2</v>
      </c>
    </row>
    <row r="683" spans="16:19" x14ac:dyDescent="0.25">
      <c r="P683" s="27">
        <v>3.2548184716220556E-2</v>
      </c>
      <c r="Q683" s="28">
        <f t="shared" si="14"/>
        <v>3.5548184716220559E-2</v>
      </c>
      <c r="R683" s="31">
        <v>0.15939660775771733</v>
      </c>
      <c r="S683" s="32">
        <v>7.1080000000000004E-2</v>
      </c>
    </row>
    <row r="684" spans="16:19" x14ac:dyDescent="0.25">
      <c r="P684" s="27">
        <v>3.2548184716220556E-2</v>
      </c>
      <c r="Q684" s="28">
        <f t="shared" si="14"/>
        <v>3.5548184716220559E-2</v>
      </c>
      <c r="R684" s="33">
        <v>0.16282860775771735</v>
      </c>
      <c r="S684" s="34">
        <v>7.8E-2</v>
      </c>
    </row>
    <row r="685" spans="16:19" x14ac:dyDescent="0.25">
      <c r="P685" s="27">
        <v>3.2548184716220556E-2</v>
      </c>
      <c r="Q685" s="28">
        <f t="shared" si="14"/>
        <v>3.5548184716220559E-2</v>
      </c>
      <c r="R685" s="33">
        <v>0.16282860775771735</v>
      </c>
      <c r="S685" s="34">
        <v>7.3859999999999995E-2</v>
      </c>
    </row>
    <row r="686" spans="16:19" x14ac:dyDescent="0.25">
      <c r="P686" s="27">
        <v>3.2548184716220556E-2</v>
      </c>
      <c r="Q686" s="28">
        <f t="shared" si="14"/>
        <v>3.5548184716220559E-2</v>
      </c>
      <c r="R686" s="33">
        <v>0.16282860775771735</v>
      </c>
      <c r="S686" s="34">
        <v>6.6000000000000003E-2</v>
      </c>
    </row>
    <row r="687" spans="16:19" x14ac:dyDescent="0.25">
      <c r="P687" s="27">
        <v>3.2548184716220556E-2</v>
      </c>
      <c r="Q687" s="28">
        <f t="shared" si="14"/>
        <v>3.5548184716220559E-2</v>
      </c>
      <c r="R687" s="33">
        <v>0.16282860775771735</v>
      </c>
      <c r="S687" s="34">
        <v>6.498000000000001E-2</v>
      </c>
    </row>
    <row r="688" spans="16:19" x14ac:dyDescent="0.25">
      <c r="P688" s="27">
        <v>3.2548184716220556E-2</v>
      </c>
      <c r="Q688" s="28">
        <f t="shared" si="14"/>
        <v>3.5548184716220559E-2</v>
      </c>
      <c r="R688" s="33">
        <v>0.16282860775771735</v>
      </c>
      <c r="S688" s="34">
        <v>0.06</v>
      </c>
    </row>
    <row r="689" spans="16:19" x14ac:dyDescent="0.25">
      <c r="P689" s="27">
        <v>3.2548184716220556E-2</v>
      </c>
      <c r="Q689" s="28">
        <f t="shared" si="14"/>
        <v>3.5548184716220559E-2</v>
      </c>
      <c r="R689" s="33">
        <v>0.16282860775771735</v>
      </c>
      <c r="S689" s="34">
        <v>6.0010000000000001E-2</v>
      </c>
    </row>
    <row r="690" spans="16:19" x14ac:dyDescent="0.25">
      <c r="P690" s="27">
        <v>3.2548184716220556E-2</v>
      </c>
      <c r="Q690" s="28">
        <f t="shared" si="14"/>
        <v>3.5548184716220559E-2</v>
      </c>
      <c r="R690" s="33">
        <v>0.16282860775771735</v>
      </c>
      <c r="S690" s="34">
        <v>6.2310000000000004E-2</v>
      </c>
    </row>
    <row r="691" spans="16:19" x14ac:dyDescent="0.25">
      <c r="P691" s="27">
        <v>3.2548184716220556E-2</v>
      </c>
      <c r="Q691" s="28">
        <f t="shared" si="14"/>
        <v>3.5548184716220559E-2</v>
      </c>
      <c r="R691" s="33">
        <v>0.16282860775771735</v>
      </c>
      <c r="S691" s="34">
        <v>6.5849999999999992E-2</v>
      </c>
    </row>
    <row r="692" spans="16:19" x14ac:dyDescent="0.25">
      <c r="P692" s="27">
        <v>3.2548184716220556E-2</v>
      </c>
      <c r="Q692" s="28">
        <f t="shared" si="14"/>
        <v>3.5548184716220559E-2</v>
      </c>
      <c r="R692" s="33">
        <v>0.16282860775771735</v>
      </c>
      <c r="S692" s="34">
        <v>6.9349999999999995E-2</v>
      </c>
    </row>
    <row r="693" spans="16:19" x14ac:dyDescent="0.25">
      <c r="P693" s="27">
        <v>3.2548184716220556E-2</v>
      </c>
      <c r="Q693" s="28">
        <f t="shared" si="14"/>
        <v>3.5548184716220559E-2</v>
      </c>
      <c r="R693" s="33">
        <v>0.16282860775771735</v>
      </c>
      <c r="S693" s="34">
        <v>7.5170000000000001E-2</v>
      </c>
    </row>
    <row r="694" spans="16:19" x14ac:dyDescent="0.25">
      <c r="P694" s="27">
        <v>3.2548184716220556E-2</v>
      </c>
      <c r="Q694" s="28">
        <f t="shared" si="14"/>
        <v>3.5548184716220559E-2</v>
      </c>
      <c r="R694" s="33">
        <v>0.16282860775771735</v>
      </c>
      <c r="S694" s="34">
        <v>7.5029999999999999E-2</v>
      </c>
    </row>
    <row r="695" spans="16:19" x14ac:dyDescent="0.25">
      <c r="P695" s="27">
        <v>3.2548184716220556E-2</v>
      </c>
      <c r="Q695" s="28">
        <f t="shared" si="14"/>
        <v>3.5548184716220559E-2</v>
      </c>
      <c r="R695" s="31">
        <v>0.15939660775771733</v>
      </c>
      <c r="S695" s="32">
        <v>7.0000000000000007E-2</v>
      </c>
    </row>
    <row r="696" spans="16:19" x14ac:dyDescent="0.25">
      <c r="P696" s="27">
        <v>3.2548184716220556E-2</v>
      </c>
      <c r="Q696" s="28">
        <f t="shared" si="14"/>
        <v>3.5548184716220559E-2</v>
      </c>
      <c r="R696" s="31">
        <v>0.15939660775771733</v>
      </c>
      <c r="S696" s="32">
        <v>6.5030000000000004E-2</v>
      </c>
    </row>
    <row r="697" spans="16:19" x14ac:dyDescent="0.25">
      <c r="P697" s="27">
        <v>3.2548184716220556E-2</v>
      </c>
      <c r="Q697" s="28">
        <f t="shared" si="14"/>
        <v>3.5548184716220559E-2</v>
      </c>
      <c r="R697" s="31">
        <v>0.15939660775771733</v>
      </c>
      <c r="S697" s="32">
        <v>6.1759999999999995E-2</v>
      </c>
    </row>
    <row r="698" spans="16:19" x14ac:dyDescent="0.25">
      <c r="P698" s="27">
        <v>3.2548184716220556E-2</v>
      </c>
      <c r="Q698" s="28">
        <f t="shared" si="14"/>
        <v>3.5548184716220559E-2</v>
      </c>
      <c r="R698" s="31">
        <v>0.15939660775771733</v>
      </c>
      <c r="S698" s="32">
        <v>5.8639999999999998E-2</v>
      </c>
    </row>
    <row r="699" spans="16:19" x14ac:dyDescent="0.25">
      <c r="P699" s="27">
        <v>3.2548184716220556E-2</v>
      </c>
      <c r="Q699" s="28">
        <f t="shared" si="14"/>
        <v>3.5548184716220559E-2</v>
      </c>
      <c r="R699" s="29">
        <v>0.15003660775771735</v>
      </c>
      <c r="S699" s="30">
        <v>5.4310000000000004E-2</v>
      </c>
    </row>
    <row r="700" spans="16:19" x14ac:dyDescent="0.25">
      <c r="P700" s="27">
        <v>3.2548184716220556E-2</v>
      </c>
      <c r="Q700" s="28">
        <f t="shared" si="14"/>
        <v>3.5548184716220559E-2</v>
      </c>
      <c r="R700" s="29">
        <v>0.15003660775771735</v>
      </c>
      <c r="S700" s="30">
        <v>5.21E-2</v>
      </c>
    </row>
    <row r="701" spans="16:19" x14ac:dyDescent="0.25">
      <c r="P701" s="27">
        <v>3.2548184716220556E-2</v>
      </c>
      <c r="Q701" s="28">
        <f t="shared" si="14"/>
        <v>3.5548184716220559E-2</v>
      </c>
      <c r="R701" s="29">
        <v>0.15003660775771735</v>
      </c>
      <c r="S701" s="30">
        <v>5.21E-2</v>
      </c>
    </row>
    <row r="702" spans="16:19" x14ac:dyDescent="0.25">
      <c r="P702" s="27">
        <v>3.2548184716220556E-2</v>
      </c>
      <c r="Q702" s="28">
        <f t="shared" si="14"/>
        <v>3.5548184716220559E-2</v>
      </c>
      <c r="R702" s="29">
        <v>0.15003660775771735</v>
      </c>
      <c r="S702" s="30">
        <v>4.752E-2</v>
      </c>
    </row>
    <row r="703" spans="16:19" x14ac:dyDescent="0.25">
      <c r="P703" s="27">
        <v>3.2548184716220556E-2</v>
      </c>
      <c r="Q703" s="28">
        <f t="shared" si="14"/>
        <v>3.5548184716220559E-2</v>
      </c>
      <c r="R703" s="29">
        <v>0.15003660775771735</v>
      </c>
      <c r="S703" s="30">
        <v>4.7320000000000001E-2</v>
      </c>
    </row>
    <row r="704" spans="16:19" x14ac:dyDescent="0.25">
      <c r="P704" s="27">
        <v>3.2548184716220556E-2</v>
      </c>
      <c r="Q704" s="28">
        <f t="shared" si="14"/>
        <v>3.5548184716220559E-2</v>
      </c>
      <c r="R704" s="29">
        <v>0.15003660775771735</v>
      </c>
      <c r="S704" s="30">
        <v>4.7479999999999994E-2</v>
      </c>
    </row>
    <row r="705" spans="16:19" x14ac:dyDescent="0.25">
      <c r="P705" s="27">
        <v>3.2548184716220556E-2</v>
      </c>
      <c r="Q705" s="28">
        <f t="shared" si="14"/>
        <v>3.5548184716220559E-2</v>
      </c>
      <c r="R705" s="29">
        <v>0.15003660775771735</v>
      </c>
      <c r="S705" s="30">
        <v>5.4520000000000006E-2</v>
      </c>
    </row>
    <row r="706" spans="16:19" x14ac:dyDescent="0.25">
      <c r="P706" s="27">
        <v>3.2548184716220556E-2</v>
      </c>
      <c r="Q706" s="28">
        <f t="shared" si="14"/>
        <v>3.5548184716220559E-2</v>
      </c>
      <c r="R706" s="29">
        <v>0.15003660775771735</v>
      </c>
      <c r="S706" s="30">
        <v>6.019E-2</v>
      </c>
    </row>
    <row r="707" spans="16:19" x14ac:dyDescent="0.25">
      <c r="P707" s="27">
        <v>3.2548184716220556E-2</v>
      </c>
      <c r="Q707" s="28">
        <f t="shared" si="14"/>
        <v>3.5548184716220559E-2</v>
      </c>
      <c r="R707" s="31">
        <v>0.15939660775771733</v>
      </c>
      <c r="S707" s="32">
        <v>6.7192757000000006E-2</v>
      </c>
    </row>
    <row r="708" spans="16:19" x14ac:dyDescent="0.25">
      <c r="P708" s="27">
        <v>3.2548184716220556E-2</v>
      </c>
      <c r="Q708" s="28">
        <f t="shared" si="14"/>
        <v>3.5548184716220559E-2</v>
      </c>
      <c r="R708" s="33">
        <v>0.16282860775771735</v>
      </c>
      <c r="S708" s="34">
        <v>7.3999999999999996E-2</v>
      </c>
    </row>
    <row r="709" spans="16:19" x14ac:dyDescent="0.25">
      <c r="P709" s="27">
        <v>3.2548184716220556E-2</v>
      </c>
      <c r="Q709" s="28">
        <f t="shared" ref="Q709:Q772" si="15">P709+0.003</f>
        <v>3.5548184716220559E-2</v>
      </c>
      <c r="R709" s="33">
        <v>0.16282860775771735</v>
      </c>
      <c r="S709" s="34">
        <v>7.0919954000000007E-2</v>
      </c>
    </row>
    <row r="710" spans="16:19" x14ac:dyDescent="0.25">
      <c r="P710" s="27">
        <v>3.2548184716220556E-2</v>
      </c>
      <c r="Q710" s="28">
        <f t="shared" si="15"/>
        <v>3.5548184716220559E-2</v>
      </c>
      <c r="R710" s="33">
        <v>0.16282860775771735</v>
      </c>
      <c r="S710" s="34">
        <v>6.8400000000000002E-2</v>
      </c>
    </row>
    <row r="711" spans="16:19" x14ac:dyDescent="0.25">
      <c r="P711" s="27">
        <v>3.2548184716220556E-2</v>
      </c>
      <c r="Q711" s="28">
        <f t="shared" si="15"/>
        <v>3.5548184716220559E-2</v>
      </c>
      <c r="R711" s="33">
        <v>0.16282860775771735</v>
      </c>
      <c r="S711" s="34">
        <v>6.658E-2</v>
      </c>
    </row>
    <row r="712" spans="16:19" x14ac:dyDescent="0.25">
      <c r="P712" s="27">
        <v>3.2548184716220556E-2</v>
      </c>
      <c r="Q712" s="28">
        <f t="shared" si="15"/>
        <v>3.5548184716220559E-2</v>
      </c>
      <c r="R712" s="33">
        <v>0.16282860775771735</v>
      </c>
      <c r="S712" s="34">
        <v>6.1700000000000005E-2</v>
      </c>
    </row>
    <row r="713" spans="16:19" x14ac:dyDescent="0.25">
      <c r="P713" s="27">
        <v>3.2548184716220556E-2</v>
      </c>
      <c r="Q713" s="28">
        <f t="shared" si="15"/>
        <v>3.5548184716220559E-2</v>
      </c>
      <c r="R713" s="33">
        <v>0.16282860775771735</v>
      </c>
      <c r="S713" s="34">
        <v>6.2E-2</v>
      </c>
    </row>
    <row r="714" spans="16:19" x14ac:dyDescent="0.25">
      <c r="P714" s="27">
        <v>3.2548184716220556E-2</v>
      </c>
      <c r="Q714" s="28">
        <f t="shared" si="15"/>
        <v>3.5548184716220559E-2</v>
      </c>
      <c r="R714" s="33">
        <v>0.16282860775771735</v>
      </c>
      <c r="S714" s="34">
        <v>6.2242883999999998E-2</v>
      </c>
    </row>
    <row r="715" spans="16:19" x14ac:dyDescent="0.25">
      <c r="P715" s="27">
        <v>3.2548184716220556E-2</v>
      </c>
      <c r="Q715" s="28">
        <f t="shared" si="15"/>
        <v>3.5548184716220559E-2</v>
      </c>
      <c r="R715" s="33">
        <v>0.16282860775771735</v>
      </c>
      <c r="S715" s="34">
        <v>6.4340000000000008E-2</v>
      </c>
    </row>
    <row r="716" spans="16:19" x14ac:dyDescent="0.25">
      <c r="P716" s="27">
        <v>3.2548184716220556E-2</v>
      </c>
      <c r="Q716" s="28">
        <f t="shared" si="15"/>
        <v>3.5548184716220559E-2</v>
      </c>
      <c r="R716" s="33">
        <v>0.16282860775771735</v>
      </c>
      <c r="S716" s="34">
        <v>6.5000000000000002E-2</v>
      </c>
    </row>
    <row r="717" spans="16:19" x14ac:dyDescent="0.25">
      <c r="P717" s="27">
        <v>3.2548184716220556E-2</v>
      </c>
      <c r="Q717" s="28">
        <f t="shared" si="15"/>
        <v>3.5548184716220559E-2</v>
      </c>
      <c r="R717" s="33">
        <v>0.16282860775771735</v>
      </c>
      <c r="S717" s="34">
        <v>7.0559999999999998E-2</v>
      </c>
    </row>
    <row r="718" spans="16:19" x14ac:dyDescent="0.25">
      <c r="P718" s="27">
        <v>3.2548184716220556E-2</v>
      </c>
      <c r="Q718" s="28">
        <f t="shared" si="15"/>
        <v>3.5548184716220559E-2</v>
      </c>
      <c r="R718" s="33">
        <v>0.16282860775771735</v>
      </c>
      <c r="S718" s="34">
        <v>7.5579999999999994E-2</v>
      </c>
    </row>
    <row r="719" spans="16:19" x14ac:dyDescent="0.25">
      <c r="P719" s="27">
        <v>3.2548184716220556E-2</v>
      </c>
      <c r="Q719" s="28">
        <f t="shared" si="15"/>
        <v>3.5548184716220559E-2</v>
      </c>
      <c r="R719" s="31">
        <v>0.15939660775771733</v>
      </c>
      <c r="S719" s="32">
        <v>7.0129999999999998E-2</v>
      </c>
    </row>
    <row r="720" spans="16:19" x14ac:dyDescent="0.25">
      <c r="P720" s="27">
        <v>3.2548184716220556E-2</v>
      </c>
      <c r="Q720" s="28">
        <f t="shared" si="15"/>
        <v>3.5548184716220559E-2</v>
      </c>
      <c r="R720" s="31">
        <v>0.15939660775771733</v>
      </c>
      <c r="S720" s="32">
        <v>6.4349999999999991E-2</v>
      </c>
    </row>
    <row r="721" spans="16:19" x14ac:dyDescent="0.25">
      <c r="P721" s="27">
        <v>3.2548184716220556E-2</v>
      </c>
      <c r="Q721" s="28">
        <f t="shared" si="15"/>
        <v>3.5548184716220559E-2</v>
      </c>
      <c r="R721" s="31">
        <v>0.15939660775771733</v>
      </c>
      <c r="S721" s="32">
        <v>5.9979999999999999E-2</v>
      </c>
    </row>
    <row r="722" spans="16:19" x14ac:dyDescent="0.25">
      <c r="P722" s="27">
        <v>3.2548184716220556E-2</v>
      </c>
      <c r="Q722" s="28">
        <f t="shared" si="15"/>
        <v>3.5548184716220559E-2</v>
      </c>
      <c r="R722" s="31">
        <v>0.15939660775771733</v>
      </c>
      <c r="S722" s="32">
        <v>5.7409999999999996E-2</v>
      </c>
    </row>
    <row r="723" spans="16:19" x14ac:dyDescent="0.25">
      <c r="P723" s="27">
        <v>3.2548184716220556E-2</v>
      </c>
      <c r="Q723" s="28">
        <f t="shared" si="15"/>
        <v>3.5548184716220559E-2</v>
      </c>
      <c r="R723" s="29">
        <v>0.15003660775771735</v>
      </c>
      <c r="S723" s="30">
        <v>5.3999999999999999E-2</v>
      </c>
    </row>
    <row r="724" spans="16:19" x14ac:dyDescent="0.25">
      <c r="P724" s="27">
        <v>3.2548184716220556E-2</v>
      </c>
      <c r="Q724" s="28">
        <f t="shared" si="15"/>
        <v>3.5548184716220559E-2</v>
      </c>
      <c r="R724" s="29">
        <v>0.15003660775771735</v>
      </c>
      <c r="S724" s="30">
        <v>5.0430000000000003E-2</v>
      </c>
    </row>
    <row r="725" spans="16:19" x14ac:dyDescent="0.25">
      <c r="P725" s="27">
        <v>3.2548184716220556E-2</v>
      </c>
      <c r="Q725" s="28">
        <f t="shared" si="15"/>
        <v>3.5548184716220559E-2</v>
      </c>
      <c r="R725" s="29">
        <v>0.15003660775771735</v>
      </c>
      <c r="S725" s="30">
        <v>4.7E-2</v>
      </c>
    </row>
    <row r="726" spans="16:19" x14ac:dyDescent="0.25">
      <c r="P726" s="27">
        <v>3.2548184716220556E-2</v>
      </c>
      <c r="Q726" s="28">
        <f t="shared" si="15"/>
        <v>3.5548184716220559E-2</v>
      </c>
      <c r="R726" s="29">
        <v>0.15003660775771735</v>
      </c>
      <c r="S726" s="30">
        <v>4.3869999999999999E-2</v>
      </c>
    </row>
    <row r="727" spans="16:19" x14ac:dyDescent="0.25">
      <c r="P727" s="27">
        <v>3.2548184716220556E-2</v>
      </c>
      <c r="Q727" s="28">
        <f t="shared" si="15"/>
        <v>3.5548184716220559E-2</v>
      </c>
      <c r="R727" s="29">
        <v>0.15003660775771735</v>
      </c>
      <c r="S727" s="30">
        <v>4.1000000000000002E-2</v>
      </c>
    </row>
    <row r="728" spans="16:19" x14ac:dyDescent="0.25">
      <c r="P728" s="27">
        <v>3.2548184716220556E-2</v>
      </c>
      <c r="Q728" s="28">
        <f t="shared" si="15"/>
        <v>3.5548184716220559E-2</v>
      </c>
      <c r="R728" s="29">
        <v>0.15003660775771735</v>
      </c>
      <c r="S728" s="30">
        <v>4.1907976999999999E-2</v>
      </c>
    </row>
    <row r="729" spans="16:19" x14ac:dyDescent="0.25">
      <c r="P729" s="27">
        <v>3.2548184716220556E-2</v>
      </c>
      <c r="Q729" s="28">
        <f t="shared" si="15"/>
        <v>3.5548184716220559E-2</v>
      </c>
      <c r="R729" s="29">
        <v>0.15003660775771735</v>
      </c>
      <c r="S729" s="30">
        <v>5.0601571999999997E-2</v>
      </c>
    </row>
    <row r="730" spans="16:19" x14ac:dyDescent="0.25">
      <c r="P730" s="27">
        <v>3.2548184716220556E-2</v>
      </c>
      <c r="Q730" s="28">
        <f t="shared" si="15"/>
        <v>3.5548184716220559E-2</v>
      </c>
      <c r="R730" s="29">
        <v>0.15003660775771735</v>
      </c>
      <c r="S730" s="30">
        <v>5.8209999999999998E-2</v>
      </c>
    </row>
    <row r="731" spans="16:19" x14ac:dyDescent="0.25">
      <c r="P731" s="27">
        <v>3.2548184716220556E-2</v>
      </c>
      <c r="Q731" s="28">
        <f t="shared" si="15"/>
        <v>3.5548184716220559E-2</v>
      </c>
      <c r="R731" s="31">
        <v>0.15939660775771733</v>
      </c>
      <c r="S731" s="32">
        <v>6.5000000000000002E-2</v>
      </c>
    </row>
    <row r="732" spans="16:19" x14ac:dyDescent="0.25">
      <c r="P732" s="27">
        <v>3.2548184716220556E-2</v>
      </c>
      <c r="Q732" s="28">
        <f t="shared" si="15"/>
        <v>3.5548184716220559E-2</v>
      </c>
      <c r="R732" s="33">
        <v>0.16282860775771735</v>
      </c>
      <c r="S732" s="34">
        <v>7.0290000000000005E-2</v>
      </c>
    </row>
    <row r="733" spans="16:19" x14ac:dyDescent="0.25">
      <c r="P733" s="27">
        <v>3.2548184716220556E-2</v>
      </c>
      <c r="Q733" s="28">
        <f t="shared" si="15"/>
        <v>3.5548184716220559E-2</v>
      </c>
      <c r="R733" s="33">
        <v>0.16282860775771735</v>
      </c>
      <c r="S733" s="34">
        <v>6.9000000000000006E-2</v>
      </c>
    </row>
    <row r="734" spans="16:19" x14ac:dyDescent="0.25">
      <c r="P734" s="27">
        <v>3.2548184716220556E-2</v>
      </c>
      <c r="Q734" s="28">
        <f t="shared" si="15"/>
        <v>3.5548184716220559E-2</v>
      </c>
      <c r="R734" s="33">
        <v>0.16282860775771735</v>
      </c>
      <c r="S734" s="34">
        <v>6.5000000000000002E-2</v>
      </c>
    </row>
    <row r="735" spans="16:19" x14ac:dyDescent="0.25">
      <c r="P735" s="27">
        <v>3.2548184716220556E-2</v>
      </c>
      <c r="Q735" s="28">
        <f t="shared" si="15"/>
        <v>3.5548184716220559E-2</v>
      </c>
      <c r="R735" s="33">
        <v>0.16282860775771735</v>
      </c>
      <c r="S735" s="34">
        <v>6.498000000000001E-2</v>
      </c>
    </row>
    <row r="736" spans="16:19" x14ac:dyDescent="0.25">
      <c r="P736" s="27">
        <v>3.2548184716220556E-2</v>
      </c>
      <c r="Q736" s="28">
        <f t="shared" si="15"/>
        <v>3.5548184716220559E-2</v>
      </c>
      <c r="R736" s="33">
        <v>0.16282860775771735</v>
      </c>
      <c r="S736" s="34">
        <v>6.0590000000000005E-2</v>
      </c>
    </row>
    <row r="737" spans="16:19" x14ac:dyDescent="0.25">
      <c r="P737" s="27">
        <v>3.2548184716220556E-2</v>
      </c>
      <c r="Q737" s="28">
        <f t="shared" si="15"/>
        <v>3.5548184716220559E-2</v>
      </c>
      <c r="R737" s="33">
        <v>0.16282860775771735</v>
      </c>
      <c r="S737" s="34">
        <v>6.0670000000000002E-2</v>
      </c>
    </row>
    <row r="738" spans="16:19" x14ac:dyDescent="0.25">
      <c r="P738" s="27">
        <v>3.2548184716220556E-2</v>
      </c>
      <c r="Q738" s="28">
        <f t="shared" si="15"/>
        <v>3.5548184716220559E-2</v>
      </c>
      <c r="R738" s="33">
        <v>0.16282860775771735</v>
      </c>
      <c r="S738" s="34">
        <v>6.105E-2</v>
      </c>
    </row>
    <row r="739" spans="16:19" x14ac:dyDescent="0.25">
      <c r="P739" s="27">
        <v>3.2548184716220556E-2</v>
      </c>
      <c r="Q739" s="28">
        <f t="shared" si="15"/>
        <v>3.5548184716220559E-2</v>
      </c>
      <c r="R739" s="33">
        <v>0.16282860775771735</v>
      </c>
      <c r="S739" s="34">
        <v>6.2390000000000001E-2</v>
      </c>
    </row>
    <row r="740" spans="16:19" x14ac:dyDescent="0.25">
      <c r="P740" s="27">
        <v>3.2548184716220556E-2</v>
      </c>
      <c r="Q740" s="28">
        <f t="shared" si="15"/>
        <v>3.5548184716220559E-2</v>
      </c>
      <c r="R740" s="33">
        <v>0.16282860775771735</v>
      </c>
      <c r="S740" s="34">
        <v>6.336E-2</v>
      </c>
    </row>
    <row r="741" spans="16:19" x14ac:dyDescent="0.25">
      <c r="P741" s="27">
        <v>3.2548184716220556E-2</v>
      </c>
      <c r="Q741" s="28">
        <f t="shared" si="15"/>
        <v>3.5548184716220559E-2</v>
      </c>
      <c r="R741" s="33">
        <v>0.16282860775771735</v>
      </c>
      <c r="S741" s="34">
        <v>6.8159999999999998E-2</v>
      </c>
    </row>
    <row r="742" spans="16:19" x14ac:dyDescent="0.25">
      <c r="P742" s="27">
        <v>3.2548184716220556E-2</v>
      </c>
      <c r="Q742" s="28">
        <f t="shared" si="15"/>
        <v>3.5548184716220559E-2</v>
      </c>
      <c r="R742" s="33">
        <v>0.16282860775771735</v>
      </c>
      <c r="S742" s="34">
        <v>7.0000000000000007E-2</v>
      </c>
    </row>
    <row r="743" spans="16:19" x14ac:dyDescent="0.25">
      <c r="P743" s="27">
        <v>3.2548184716220556E-2</v>
      </c>
      <c r="Q743" s="28">
        <f t="shared" si="15"/>
        <v>3.5548184716220559E-2</v>
      </c>
      <c r="R743" s="31">
        <v>0.15939660775771733</v>
      </c>
      <c r="S743" s="32">
        <v>6.615E-2</v>
      </c>
    </row>
    <row r="744" spans="16:19" x14ac:dyDescent="0.25">
      <c r="P744" s="27">
        <v>3.2548184716220556E-2</v>
      </c>
      <c r="Q744" s="28">
        <f t="shared" si="15"/>
        <v>3.5548184716220559E-2</v>
      </c>
      <c r="R744" s="31">
        <v>0.15939660775771733</v>
      </c>
      <c r="S744" s="32">
        <v>6.2090000000000006E-2</v>
      </c>
    </row>
    <row r="745" spans="16:19" x14ac:dyDescent="0.25">
      <c r="P745" s="27">
        <v>3.2548184716220556E-2</v>
      </c>
      <c r="Q745" s="28">
        <f t="shared" si="15"/>
        <v>3.5548184716220559E-2</v>
      </c>
      <c r="R745" s="31">
        <v>0.15939660775771733</v>
      </c>
      <c r="S745" s="32">
        <v>5.8400000000000001E-2</v>
      </c>
    </row>
    <row r="746" spans="16:19" x14ac:dyDescent="0.25">
      <c r="P746" s="27">
        <v>3.2548184716220556E-2</v>
      </c>
      <c r="Q746" s="28">
        <f t="shared" si="15"/>
        <v>3.5548184716220559E-2</v>
      </c>
      <c r="R746" s="31">
        <v>0.15939660775771733</v>
      </c>
      <c r="S746" s="32">
        <v>5.5E-2</v>
      </c>
    </row>
    <row r="747" spans="16:19" x14ac:dyDescent="0.25">
      <c r="P747" s="27">
        <v>3.2548184716220556E-2</v>
      </c>
      <c r="Q747" s="28">
        <f t="shared" si="15"/>
        <v>3.5548184716220559E-2</v>
      </c>
      <c r="R747" s="29">
        <v>0.15003660775771735</v>
      </c>
      <c r="S747" s="30">
        <v>5.1999999999999998E-2</v>
      </c>
    </row>
    <row r="748" spans="16:19" x14ac:dyDescent="0.25">
      <c r="P748" s="27">
        <v>3.2548184716220556E-2</v>
      </c>
      <c r="Q748" s="28">
        <f t="shared" si="15"/>
        <v>3.5548184716220559E-2</v>
      </c>
      <c r="R748" s="29">
        <v>0.15003660775771735</v>
      </c>
      <c r="S748" s="30">
        <v>4.5409999999999999E-2</v>
      </c>
    </row>
    <row r="749" spans="16:19" x14ac:dyDescent="0.25">
      <c r="P749" s="27">
        <v>3.2548184716220556E-2</v>
      </c>
      <c r="Q749" s="28">
        <f t="shared" si="15"/>
        <v>3.5548184716220559E-2</v>
      </c>
      <c r="R749" s="29">
        <v>0.15003660775771735</v>
      </c>
      <c r="S749" s="30">
        <v>3.9960000000000002E-2</v>
      </c>
    </row>
    <row r="750" spans="16:19" x14ac:dyDescent="0.25">
      <c r="P750" s="27">
        <v>3.2548184716220556E-2</v>
      </c>
      <c r="Q750" s="28">
        <f t="shared" si="15"/>
        <v>3.5548184716220559E-2</v>
      </c>
      <c r="R750" s="29">
        <v>0.15003660775771735</v>
      </c>
      <c r="S750" s="30">
        <v>3.7659999999999999E-2</v>
      </c>
    </row>
    <row r="751" spans="16:19" x14ac:dyDescent="0.25">
      <c r="P751" s="27">
        <v>3.2548184716220556E-2</v>
      </c>
      <c r="Q751" s="28">
        <f t="shared" si="15"/>
        <v>3.5548184716220559E-2</v>
      </c>
      <c r="R751" s="29">
        <v>0.15003660775771735</v>
      </c>
      <c r="S751" s="30">
        <v>3.5279999999999999E-2</v>
      </c>
    </row>
    <row r="752" spans="16:19" x14ac:dyDescent="0.25">
      <c r="P752" s="27">
        <v>3.2548184716220556E-2</v>
      </c>
      <c r="Q752" s="28">
        <f t="shared" si="15"/>
        <v>3.5548184716220559E-2</v>
      </c>
      <c r="R752" s="29">
        <v>0.15003660775771735</v>
      </c>
      <c r="S752" s="30">
        <v>3.4079999999999999E-2</v>
      </c>
    </row>
    <row r="753" spans="16:19" x14ac:dyDescent="0.25">
      <c r="P753" s="27">
        <v>3.2548184716220556E-2</v>
      </c>
      <c r="Q753" s="28">
        <f t="shared" si="15"/>
        <v>3.5548184716220559E-2</v>
      </c>
      <c r="R753" s="29">
        <v>0.15003660775771735</v>
      </c>
      <c r="S753" s="30">
        <v>3.7329999999999995E-2</v>
      </c>
    </row>
    <row r="754" spans="16:19" x14ac:dyDescent="0.25">
      <c r="P754" s="27">
        <v>3.2548184716220556E-2</v>
      </c>
      <c r="Q754" s="28">
        <f t="shared" si="15"/>
        <v>3.5548184716220559E-2</v>
      </c>
      <c r="R754" s="29">
        <v>0.15003660775771735</v>
      </c>
      <c r="S754" s="30">
        <v>4.4950000000000004E-2</v>
      </c>
    </row>
    <row r="755" spans="16:19" x14ac:dyDescent="0.25">
      <c r="P755" s="27">
        <v>3.2548184716220556E-2</v>
      </c>
      <c r="Q755" s="28">
        <f t="shared" si="15"/>
        <v>3.5548184716220559E-2</v>
      </c>
      <c r="R755" s="31">
        <v>0.15939660775771733</v>
      </c>
      <c r="S755" s="32">
        <v>5.4810000000000005E-2</v>
      </c>
    </row>
    <row r="756" spans="16:19" x14ac:dyDescent="0.25">
      <c r="P756" s="27">
        <v>3.2548184716220556E-2</v>
      </c>
      <c r="Q756" s="28">
        <f t="shared" si="15"/>
        <v>3.5548184716220559E-2</v>
      </c>
      <c r="R756" s="33">
        <v>0.16282860775771735</v>
      </c>
      <c r="S756" s="34">
        <v>5.8650000000000001E-2</v>
      </c>
    </row>
    <row r="757" spans="16:19" x14ac:dyDescent="0.25">
      <c r="P757" s="27">
        <v>3.2548184716220556E-2</v>
      </c>
      <c r="Q757" s="28">
        <f t="shared" si="15"/>
        <v>3.5548184716220559E-2</v>
      </c>
      <c r="R757" s="33">
        <v>0.16282860775771735</v>
      </c>
      <c r="S757" s="34">
        <v>6.498000000000001E-2</v>
      </c>
    </row>
    <row r="758" spans="16:19" x14ac:dyDescent="0.25">
      <c r="P758" s="27">
        <v>3.2548184716220556E-2</v>
      </c>
      <c r="Q758" s="28">
        <f t="shared" si="15"/>
        <v>3.5548184716220559E-2</v>
      </c>
      <c r="R758" s="33">
        <v>0.16282860775771735</v>
      </c>
      <c r="S758" s="34">
        <v>6.0020000000000004E-2</v>
      </c>
    </row>
    <row r="759" spans="16:19" x14ac:dyDescent="0.25">
      <c r="P759" s="27">
        <v>3.2548184716220556E-2</v>
      </c>
      <c r="Q759" s="28">
        <f t="shared" si="15"/>
        <v>3.5548184716220559E-2</v>
      </c>
      <c r="R759" s="33">
        <v>0.16282860775771735</v>
      </c>
      <c r="S759" s="34">
        <v>5.8540000000000002E-2</v>
      </c>
    </row>
    <row r="760" spans="16:19" x14ac:dyDescent="0.25">
      <c r="P760" s="27">
        <v>3.2548184716220556E-2</v>
      </c>
      <c r="Q760" s="28">
        <f t="shared" si="15"/>
        <v>3.5548184716220559E-2</v>
      </c>
      <c r="R760" s="33">
        <v>0.16282860775771735</v>
      </c>
      <c r="S760" s="34">
        <v>5.4609999999999999E-2</v>
      </c>
    </row>
    <row r="761" spans="16:19" x14ac:dyDescent="0.25">
      <c r="P761" s="27">
        <v>3.2548184716220556E-2</v>
      </c>
      <c r="Q761" s="28">
        <f t="shared" si="15"/>
        <v>3.5548184716220559E-2</v>
      </c>
      <c r="R761" s="33">
        <v>0.16282860775771735</v>
      </c>
      <c r="S761" s="34">
        <v>0.05</v>
      </c>
    </row>
    <row r="762" spans="16:19" x14ac:dyDescent="0.25">
      <c r="P762" s="27">
        <v>3.2548184716220556E-2</v>
      </c>
      <c r="Q762" s="28">
        <f t="shared" si="15"/>
        <v>3.5548184716220559E-2</v>
      </c>
      <c r="R762" s="33">
        <v>0.16282860775771735</v>
      </c>
      <c r="S762" s="34">
        <v>5.0999999999999997E-2</v>
      </c>
    </row>
    <row r="763" spans="16:19" x14ac:dyDescent="0.25">
      <c r="P763" s="27">
        <v>3.2548184716220556E-2</v>
      </c>
      <c r="Q763" s="28">
        <f t="shared" si="15"/>
        <v>3.5548184716220559E-2</v>
      </c>
      <c r="R763" s="33">
        <v>0.16282860775771735</v>
      </c>
      <c r="S763" s="34">
        <v>5.3499999999999999E-2</v>
      </c>
    </row>
    <row r="764" spans="16:19" x14ac:dyDescent="0.25">
      <c r="P764" s="27">
        <v>3.2548184716220556E-2</v>
      </c>
      <c r="Q764" s="28">
        <f t="shared" si="15"/>
        <v>3.5548184716220559E-2</v>
      </c>
      <c r="R764" s="33">
        <v>0.16282860775771735</v>
      </c>
      <c r="S764" s="34">
        <v>5.6219999999999999E-2</v>
      </c>
    </row>
    <row r="765" spans="16:19" x14ac:dyDescent="0.25">
      <c r="P765" s="27">
        <v>3.2548184716220556E-2</v>
      </c>
      <c r="Q765" s="28">
        <f t="shared" si="15"/>
        <v>3.5548184716220559E-2</v>
      </c>
      <c r="R765" s="33">
        <v>0.16282860775771735</v>
      </c>
      <c r="S765" s="34">
        <v>6.1969999999999997E-2</v>
      </c>
    </row>
    <row r="766" spans="16:19" x14ac:dyDescent="0.25">
      <c r="P766" s="27">
        <v>3.2548184716220556E-2</v>
      </c>
      <c r="Q766" s="28">
        <f t="shared" si="15"/>
        <v>3.5548184716220559E-2</v>
      </c>
      <c r="R766" s="33">
        <v>0.16282860775771735</v>
      </c>
      <c r="S766" s="34">
        <v>7.0000000000000007E-2</v>
      </c>
    </row>
    <row r="767" spans="16:19" x14ac:dyDescent="0.25">
      <c r="P767" s="27">
        <v>3.2548184716220556E-2</v>
      </c>
      <c r="Q767" s="28">
        <f t="shared" si="15"/>
        <v>3.5548184716220559E-2</v>
      </c>
      <c r="R767" s="31">
        <v>0.15939660775771733</v>
      </c>
      <c r="S767" s="32">
        <v>7.0999999999999994E-2</v>
      </c>
    </row>
    <row r="768" spans="16:19" x14ac:dyDescent="0.25">
      <c r="P768" s="27">
        <v>3.2548184716220556E-2</v>
      </c>
      <c r="Q768" s="28">
        <f t="shared" si="15"/>
        <v>3.5548184716220559E-2</v>
      </c>
      <c r="R768" s="31">
        <v>0.15939660775771733</v>
      </c>
      <c r="S768" s="32">
        <v>6.3E-2</v>
      </c>
    </row>
    <row r="769" spans="16:19" x14ac:dyDescent="0.25">
      <c r="P769" s="27">
        <v>3.2548184716220556E-2</v>
      </c>
      <c r="Q769" s="28">
        <f t="shared" si="15"/>
        <v>3.5548184716220559E-2</v>
      </c>
      <c r="R769" s="31">
        <v>0.15939660775771733</v>
      </c>
      <c r="S769" s="32">
        <v>5.7630000000000001E-2</v>
      </c>
    </row>
    <row r="770" spans="16:19" x14ac:dyDescent="0.25">
      <c r="P770" s="27">
        <v>3.2548184716220556E-2</v>
      </c>
      <c r="Q770" s="28">
        <f t="shared" si="15"/>
        <v>3.5548184716220559E-2</v>
      </c>
      <c r="R770" s="31">
        <v>0.15939660775771733</v>
      </c>
      <c r="S770" s="32">
        <v>5.3490000000000003E-2</v>
      </c>
    </row>
    <row r="771" spans="16:19" x14ac:dyDescent="0.25">
      <c r="P771" s="27">
        <v>3.2548184716220556E-2</v>
      </c>
      <c r="Q771" s="28">
        <f t="shared" si="15"/>
        <v>3.5548184716220559E-2</v>
      </c>
      <c r="R771" s="29">
        <v>0.15003660775771735</v>
      </c>
      <c r="S771" s="30">
        <v>4.8612727000000001E-2</v>
      </c>
    </row>
    <row r="772" spans="16:19" x14ac:dyDescent="0.25">
      <c r="P772" s="27">
        <v>3.2548184716220556E-2</v>
      </c>
      <c r="Q772" s="28">
        <f t="shared" si="15"/>
        <v>3.5548184716220559E-2</v>
      </c>
      <c r="R772" s="29">
        <v>0.15003660775771735</v>
      </c>
      <c r="S772" s="30">
        <v>3.6400000000000002E-2</v>
      </c>
    </row>
    <row r="773" spans="16:19" x14ac:dyDescent="0.25">
      <c r="P773" s="27">
        <v>3.2548184716220556E-2</v>
      </c>
      <c r="Q773" s="28">
        <f t="shared" ref="Q773:Q836" si="16">P773+0.003</f>
        <v>3.5548184716220559E-2</v>
      </c>
      <c r="R773" s="29">
        <v>0.15003660775771735</v>
      </c>
      <c r="S773" s="30">
        <v>3.1559999999999998E-2</v>
      </c>
    </row>
    <row r="774" spans="16:19" x14ac:dyDescent="0.25">
      <c r="P774" s="27">
        <v>3.2548184716220556E-2</v>
      </c>
      <c r="Q774" s="28">
        <f t="shared" si="16"/>
        <v>3.5548184716220559E-2</v>
      </c>
      <c r="R774" s="29">
        <v>0.15003660775771735</v>
      </c>
      <c r="S774" s="30">
        <v>2.2380000000000001E-2</v>
      </c>
    </row>
    <row r="775" spans="16:19" x14ac:dyDescent="0.25">
      <c r="P775" s="27">
        <v>3.2548184716220556E-2</v>
      </c>
      <c r="Q775" s="28">
        <f t="shared" si="16"/>
        <v>3.5548184716220559E-2</v>
      </c>
      <c r="R775" s="29">
        <v>0.15003660775771735</v>
      </c>
      <c r="S775" s="30">
        <v>1.8710000000000001E-2</v>
      </c>
    </row>
    <row r="776" spans="16:19" x14ac:dyDescent="0.25">
      <c r="P776" s="27">
        <v>3.2548184716220556E-2</v>
      </c>
      <c r="Q776" s="28">
        <f t="shared" si="16"/>
        <v>3.5548184716220559E-2</v>
      </c>
      <c r="R776" s="29">
        <v>0.15003660775771735</v>
      </c>
      <c r="S776" s="30">
        <v>1.7329999999999998E-2</v>
      </c>
    </row>
    <row r="777" spans="16:19" x14ac:dyDescent="0.25">
      <c r="P777" s="27">
        <v>3.2548184716220556E-2</v>
      </c>
      <c r="Q777" s="28">
        <f t="shared" si="16"/>
        <v>3.5548184716220559E-2</v>
      </c>
      <c r="R777" s="29">
        <v>0.15003660775771735</v>
      </c>
      <c r="S777" s="30">
        <v>1.9100000000000002E-2</v>
      </c>
    </row>
    <row r="778" spans="16:19" x14ac:dyDescent="0.25">
      <c r="P778" s="27">
        <v>3.2548184716220556E-2</v>
      </c>
      <c r="Q778" s="28">
        <f t="shared" si="16"/>
        <v>3.5548184716220559E-2</v>
      </c>
      <c r="R778" s="29">
        <v>0.15003660775771735</v>
      </c>
      <c r="S778" s="30">
        <v>2.419E-2</v>
      </c>
    </row>
    <row r="779" spans="16:19" x14ac:dyDescent="0.25">
      <c r="P779" s="27">
        <v>3.2548184716220556E-2</v>
      </c>
      <c r="Q779" s="28">
        <f t="shared" si="16"/>
        <v>3.5548184716220559E-2</v>
      </c>
      <c r="R779" s="31">
        <v>0.15939660775771733</v>
      </c>
      <c r="S779" s="32">
        <v>3.0079999999999999E-2</v>
      </c>
    </row>
    <row r="780" spans="16:19" x14ac:dyDescent="0.25">
      <c r="P780" s="27">
        <v>3.2548184716220556E-2</v>
      </c>
      <c r="Q780" s="28">
        <f t="shared" si="16"/>
        <v>3.5548184716220559E-2</v>
      </c>
      <c r="R780" s="33">
        <v>0.16282860775771735</v>
      </c>
      <c r="S780" s="34">
        <v>4.0299999999999996E-2</v>
      </c>
    </row>
    <row r="781" spans="16:19" x14ac:dyDescent="0.25">
      <c r="P781" s="27">
        <v>3.2548184716220556E-2</v>
      </c>
      <c r="Q781" s="28">
        <f t="shared" si="16"/>
        <v>3.5548184716220559E-2</v>
      </c>
      <c r="R781" s="33">
        <v>0.16282860775771735</v>
      </c>
      <c r="S781" s="34">
        <v>5.2899999999999996E-2</v>
      </c>
    </row>
    <row r="782" spans="16:19" x14ac:dyDescent="0.25">
      <c r="P782" s="27">
        <v>3.2548184716220556E-2</v>
      </c>
      <c r="Q782" s="28">
        <f t="shared" si="16"/>
        <v>3.5548184716220559E-2</v>
      </c>
      <c r="R782" s="33">
        <v>0.16282860775771735</v>
      </c>
      <c r="S782" s="34">
        <v>5.3999999999999999E-2</v>
      </c>
    </row>
    <row r="783" spans="16:19" x14ac:dyDescent="0.25">
      <c r="P783" s="27">
        <v>3.2548184716220556E-2</v>
      </c>
      <c r="Q783" s="28">
        <f t="shared" si="16"/>
        <v>3.5548184716220559E-2</v>
      </c>
      <c r="R783" s="33">
        <v>0.16282860775771735</v>
      </c>
      <c r="S783" s="34">
        <v>5.4579999999999997E-2</v>
      </c>
    </row>
    <row r="784" spans="16:19" x14ac:dyDescent="0.25">
      <c r="P784" s="27">
        <v>3.2548184716220556E-2</v>
      </c>
      <c r="Q784" s="28">
        <f t="shared" si="16"/>
        <v>3.5548184716220559E-2</v>
      </c>
      <c r="R784" s="33">
        <v>0.16282860775771735</v>
      </c>
      <c r="S784" s="34">
        <v>5.1999999999999998E-2</v>
      </c>
    </row>
    <row r="785" spans="16:19" x14ac:dyDescent="0.25">
      <c r="P785" s="27">
        <v>3.2548184716220556E-2</v>
      </c>
      <c r="Q785" s="28">
        <f t="shared" si="16"/>
        <v>3.5548184716220559E-2</v>
      </c>
      <c r="R785" s="33">
        <v>0.16282860775771735</v>
      </c>
      <c r="S785" s="34">
        <v>4.3720000000000002E-2</v>
      </c>
    </row>
    <row r="786" spans="16:19" x14ac:dyDescent="0.25">
      <c r="P786" s="27">
        <v>3.2548184716220556E-2</v>
      </c>
      <c r="Q786" s="28">
        <f t="shared" si="16"/>
        <v>3.5548184716220559E-2</v>
      </c>
      <c r="R786" s="33">
        <v>0.16282860775771735</v>
      </c>
      <c r="S786" s="34">
        <v>4.3729999999999998E-2</v>
      </c>
    </row>
    <row r="787" spans="16:19" x14ac:dyDescent="0.25">
      <c r="P787" s="27">
        <v>3.2548184716220556E-2</v>
      </c>
      <c r="Q787" s="28">
        <f t="shared" si="16"/>
        <v>3.5548184716220559E-2</v>
      </c>
      <c r="R787" s="33">
        <v>0.16282860775771735</v>
      </c>
      <c r="S787" s="34">
        <v>4.6538955E-2</v>
      </c>
    </row>
    <row r="788" spans="16:19" x14ac:dyDescent="0.25">
      <c r="P788" s="27">
        <v>3.2548184716220556E-2</v>
      </c>
      <c r="Q788" s="28">
        <f t="shared" si="16"/>
        <v>3.5548184716220559E-2</v>
      </c>
      <c r="R788" s="33">
        <v>0.16282860775771735</v>
      </c>
      <c r="S788" s="34">
        <v>5.253E-2</v>
      </c>
    </row>
    <row r="789" spans="16:19" x14ac:dyDescent="0.25">
      <c r="P789" s="27">
        <v>3.2548184716220556E-2</v>
      </c>
      <c r="Q789" s="28">
        <f t="shared" si="16"/>
        <v>3.5548184716220559E-2</v>
      </c>
      <c r="R789" s="33">
        <v>0.16282860775771735</v>
      </c>
      <c r="S789" s="34">
        <v>5.892E-2</v>
      </c>
    </row>
    <row r="790" spans="16:19" x14ac:dyDescent="0.25">
      <c r="P790" s="27">
        <v>3.2548184716220556E-2</v>
      </c>
      <c r="Q790" s="28">
        <f t="shared" si="16"/>
        <v>3.5548184716220559E-2</v>
      </c>
      <c r="R790" s="33">
        <v>0.16282860775771735</v>
      </c>
      <c r="S790" s="34">
        <v>6.9000000000000006E-2</v>
      </c>
    </row>
    <row r="791" spans="16:19" x14ac:dyDescent="0.25">
      <c r="P791" s="27">
        <v>3.2548184716220556E-2</v>
      </c>
      <c r="Q791" s="28">
        <f t="shared" si="16"/>
        <v>3.5548184716220559E-2</v>
      </c>
      <c r="R791" s="31">
        <v>0.15939660775771733</v>
      </c>
      <c r="S791" s="32">
        <v>7.2999999999999995E-2</v>
      </c>
    </row>
    <row r="792" spans="16:19" x14ac:dyDescent="0.25">
      <c r="P792" s="27">
        <v>3.2548184716220556E-2</v>
      </c>
      <c r="Q792" s="28">
        <f t="shared" si="16"/>
        <v>3.5548184716220559E-2</v>
      </c>
      <c r="R792" s="31">
        <v>0.15939660775771733</v>
      </c>
      <c r="S792" s="32">
        <v>6.5000000000000002E-2</v>
      </c>
    </row>
    <row r="793" spans="16:19" x14ac:dyDescent="0.25">
      <c r="P793" s="27">
        <v>3.2548184716220556E-2</v>
      </c>
      <c r="Q793" s="28">
        <f t="shared" si="16"/>
        <v>3.5548184716220559E-2</v>
      </c>
      <c r="R793" s="31">
        <v>0.15939660775771733</v>
      </c>
      <c r="S793" s="32">
        <v>6.1439999999999995E-2</v>
      </c>
    </row>
    <row r="794" spans="16:19" x14ac:dyDescent="0.25">
      <c r="P794" s="27">
        <v>3.2548184716220556E-2</v>
      </c>
      <c r="Q794" s="28">
        <f t="shared" si="16"/>
        <v>3.5548184716220559E-2</v>
      </c>
      <c r="R794" s="31">
        <v>0.15939660775771733</v>
      </c>
      <c r="S794" s="32">
        <v>5.7210000000000004E-2</v>
      </c>
    </row>
    <row r="795" spans="16:19" x14ac:dyDescent="0.25">
      <c r="P795" s="27">
        <v>3.2548184716220556E-2</v>
      </c>
      <c r="Q795" s="28">
        <f t="shared" si="16"/>
        <v>3.5548184716220559E-2</v>
      </c>
      <c r="R795" s="29">
        <v>0.15003660775771735</v>
      </c>
      <c r="S795" s="30">
        <v>5.1999999999999998E-2</v>
      </c>
    </row>
    <row r="796" spans="16:19" x14ac:dyDescent="0.25">
      <c r="P796" s="27">
        <v>3.2548184716220556E-2</v>
      </c>
      <c r="Q796" s="28">
        <f t="shared" si="16"/>
        <v>3.5548184716220559E-2</v>
      </c>
      <c r="R796" s="29">
        <v>0.15003660775771735</v>
      </c>
      <c r="S796" s="30">
        <v>3.4029999999999998E-2</v>
      </c>
    </row>
    <row r="797" spans="16:19" x14ac:dyDescent="0.25">
      <c r="P797" s="27">
        <v>3.2548184716220556E-2</v>
      </c>
      <c r="Q797" s="28">
        <f t="shared" si="16"/>
        <v>3.5548184716220559E-2</v>
      </c>
      <c r="R797" s="29">
        <v>0.15003660775771735</v>
      </c>
      <c r="S797" s="30">
        <v>3.0079999999999999E-2</v>
      </c>
    </row>
    <row r="798" spans="16:19" x14ac:dyDescent="0.25">
      <c r="P798" s="27">
        <v>3.2548184716220556E-2</v>
      </c>
      <c r="Q798" s="28">
        <f t="shared" si="16"/>
        <v>3.5548184716220559E-2</v>
      </c>
      <c r="R798" s="29">
        <v>0.15003660775771735</v>
      </c>
      <c r="S798" s="30">
        <v>2.5000000000000001E-2</v>
      </c>
    </row>
    <row r="799" spans="16:19" x14ac:dyDescent="0.25">
      <c r="P799" s="27">
        <v>3.2548184716220556E-2</v>
      </c>
      <c r="Q799" s="28">
        <f t="shared" si="16"/>
        <v>3.5548184716220559E-2</v>
      </c>
      <c r="R799" s="29">
        <v>0.15003660775771735</v>
      </c>
      <c r="S799" s="30">
        <v>2.2760000000000002E-2</v>
      </c>
    </row>
    <row r="800" spans="16:19" x14ac:dyDescent="0.25">
      <c r="P800" s="27">
        <v>3.2548184716220556E-2</v>
      </c>
      <c r="Q800" s="28">
        <f t="shared" si="16"/>
        <v>3.5548184716220559E-2</v>
      </c>
      <c r="R800" s="29">
        <v>0.15003660775771735</v>
      </c>
      <c r="S800" s="30">
        <v>2.366E-2</v>
      </c>
    </row>
    <row r="801" spans="16:19" x14ac:dyDescent="0.25">
      <c r="P801" s="27">
        <v>3.2548184716220556E-2</v>
      </c>
      <c r="Q801" s="28">
        <f t="shared" si="16"/>
        <v>3.5548184716220559E-2</v>
      </c>
      <c r="R801" s="29">
        <v>0.15003660775771735</v>
      </c>
      <c r="S801" s="30">
        <v>3.5000000000000003E-2</v>
      </c>
    </row>
    <row r="802" spans="16:19" x14ac:dyDescent="0.25">
      <c r="P802" s="27">
        <v>3.2548184716220556E-2</v>
      </c>
      <c r="Q802" s="28">
        <f t="shared" si="16"/>
        <v>3.5548184716220559E-2</v>
      </c>
      <c r="R802" s="29">
        <v>0.15003660775771735</v>
      </c>
      <c r="S802" s="30">
        <v>5.6860000000000001E-2</v>
      </c>
    </row>
    <row r="803" spans="16:19" x14ac:dyDescent="0.25">
      <c r="P803" s="27">
        <v>3.2548184716220556E-2</v>
      </c>
      <c r="Q803" s="28">
        <f t="shared" si="16"/>
        <v>3.5548184716220559E-2</v>
      </c>
      <c r="R803" s="31">
        <v>0.15939999999999999</v>
      </c>
      <c r="S803" s="32">
        <v>6.5030000000000004E-2</v>
      </c>
    </row>
    <row r="804" spans="16:19" x14ac:dyDescent="0.25">
      <c r="P804" s="27">
        <v>3.2548184716220556E-2</v>
      </c>
      <c r="Q804" s="28">
        <f t="shared" si="16"/>
        <v>3.5548184716220559E-2</v>
      </c>
      <c r="R804" s="31">
        <v>0.15939999999999999</v>
      </c>
      <c r="S804" s="32">
        <v>7.4859999999999996E-2</v>
      </c>
    </row>
    <row r="805" spans="16:19" x14ac:dyDescent="0.25">
      <c r="P805" s="27">
        <v>3.2548184716220556E-2</v>
      </c>
      <c r="Q805" s="28">
        <f t="shared" si="16"/>
        <v>3.5548184716220559E-2</v>
      </c>
      <c r="R805" s="31">
        <v>0.15939999999999999</v>
      </c>
      <c r="S805" s="32">
        <v>7.041E-2</v>
      </c>
    </row>
    <row r="806" spans="16:19" x14ac:dyDescent="0.25">
      <c r="P806" s="27">
        <v>3.2548184716220556E-2</v>
      </c>
      <c r="Q806" s="28">
        <f t="shared" si="16"/>
        <v>3.5548184716220559E-2</v>
      </c>
      <c r="R806" s="31">
        <v>0.15939999999999999</v>
      </c>
      <c r="S806" s="32">
        <v>6.6659999999999997E-2</v>
      </c>
    </row>
    <row r="807" spans="16:19" x14ac:dyDescent="0.25">
      <c r="P807" s="27">
        <v>3.2548184716220556E-2</v>
      </c>
      <c r="Q807" s="28">
        <f t="shared" si="16"/>
        <v>3.5548184716220559E-2</v>
      </c>
      <c r="R807" s="31">
        <v>0.15939999999999999</v>
      </c>
      <c r="S807" s="32">
        <v>6.6159999999999997E-2</v>
      </c>
    </row>
    <row r="808" spans="16:19" x14ac:dyDescent="0.25">
      <c r="P808" s="27">
        <v>3.2548184716220556E-2</v>
      </c>
      <c r="Q808" s="28">
        <f t="shared" si="16"/>
        <v>3.5548184716220559E-2</v>
      </c>
      <c r="R808" s="31">
        <v>0.15939999999999999</v>
      </c>
      <c r="S808" s="32">
        <v>6.2E-2</v>
      </c>
    </row>
    <row r="809" spans="16:19" x14ac:dyDescent="0.25">
      <c r="P809" s="27">
        <v>3.2548184716220556E-2</v>
      </c>
      <c r="Q809" s="28">
        <f t="shared" si="16"/>
        <v>3.5548184716220559E-2</v>
      </c>
      <c r="R809" s="31">
        <v>0.15939999999999999</v>
      </c>
      <c r="S809" s="32">
        <v>6.0999999999999999E-2</v>
      </c>
    </row>
    <row r="810" spans="16:19" x14ac:dyDescent="0.25">
      <c r="P810" s="27">
        <v>3.2548184716220556E-2</v>
      </c>
      <c r="Q810" s="28">
        <f t="shared" si="16"/>
        <v>3.5548184716220559E-2</v>
      </c>
      <c r="R810" s="31">
        <v>0.15939999999999999</v>
      </c>
      <c r="S810" s="32">
        <v>6.4000000000000001E-2</v>
      </c>
    </row>
    <row r="811" spans="16:19" x14ac:dyDescent="0.25">
      <c r="P811" s="27">
        <v>3.2548184716220556E-2</v>
      </c>
      <c r="Q811" s="28">
        <f t="shared" si="16"/>
        <v>3.5548184716220559E-2</v>
      </c>
      <c r="R811" s="31">
        <v>0.15939999999999999</v>
      </c>
      <c r="S811" s="32">
        <v>6.6530000000000006E-2</v>
      </c>
    </row>
    <row r="812" spans="16:19" x14ac:dyDescent="0.25">
      <c r="P812" s="27">
        <v>3.2548184716220556E-2</v>
      </c>
      <c r="Q812" s="28">
        <f t="shared" si="16"/>
        <v>3.5548184716220559E-2</v>
      </c>
      <c r="R812" s="31">
        <v>0.15939999999999999</v>
      </c>
      <c r="S812" s="32">
        <v>6.6670000000000007E-2</v>
      </c>
    </row>
    <row r="813" spans="16:19" x14ac:dyDescent="0.25">
      <c r="P813" s="27">
        <v>3.2548184716220556E-2</v>
      </c>
      <c r="Q813" s="28">
        <f t="shared" si="16"/>
        <v>3.5548184716220559E-2</v>
      </c>
      <c r="R813" s="31">
        <v>0.15939999999999999</v>
      </c>
      <c r="S813" s="32">
        <v>6.8599999999999994E-2</v>
      </c>
    </row>
    <row r="814" spans="16:19" x14ac:dyDescent="0.25">
      <c r="P814" s="27">
        <v>3.2548184716220556E-2</v>
      </c>
      <c r="Q814" s="28">
        <f t="shared" si="16"/>
        <v>3.5548184716220559E-2</v>
      </c>
      <c r="R814" s="31">
        <v>0.15939999999999999</v>
      </c>
      <c r="S814" s="32">
        <v>7.3520000000000002E-2</v>
      </c>
    </row>
    <row r="815" spans="16:19" x14ac:dyDescent="0.25">
      <c r="P815" s="27">
        <v>3.2548184716220556E-2</v>
      </c>
      <c r="Q815" s="28">
        <f t="shared" si="16"/>
        <v>3.5548184716220559E-2</v>
      </c>
      <c r="R815" s="31">
        <v>0.15939999999999999</v>
      </c>
      <c r="S815" s="32">
        <v>7.0000000000000007E-2</v>
      </c>
    </row>
    <row r="816" spans="16:19" x14ac:dyDescent="0.25">
      <c r="P816" s="27">
        <v>3.2548184716220556E-2</v>
      </c>
      <c r="Q816" s="28">
        <f t="shared" si="16"/>
        <v>3.5548184716220559E-2</v>
      </c>
      <c r="R816" s="31">
        <v>0.15939999999999999</v>
      </c>
      <c r="S816" s="32">
        <v>6.565E-2</v>
      </c>
    </row>
    <row r="817" spans="16:19" x14ac:dyDescent="0.25">
      <c r="P817" s="27">
        <v>3.2548184716220556E-2</v>
      </c>
      <c r="Q817" s="28">
        <f t="shared" si="16"/>
        <v>3.5548184716220559E-2</v>
      </c>
      <c r="R817" s="31">
        <v>0.15939999999999999</v>
      </c>
      <c r="S817" s="32">
        <v>6.2399999999999997E-2</v>
      </c>
    </row>
    <row r="818" spans="16:19" x14ac:dyDescent="0.25">
      <c r="P818" s="27">
        <v>3.2548184716220556E-2</v>
      </c>
      <c r="Q818" s="28">
        <f t="shared" si="16"/>
        <v>3.5548184716220559E-2</v>
      </c>
      <c r="R818" s="31">
        <v>0.15939999999999999</v>
      </c>
      <c r="S818" s="32">
        <v>5.901E-2</v>
      </c>
    </row>
    <row r="819" spans="16:19" x14ac:dyDescent="0.25">
      <c r="P819" s="27">
        <v>3.2548184716220556E-2</v>
      </c>
      <c r="Q819" s="28">
        <f t="shared" si="16"/>
        <v>3.5548184716220559E-2</v>
      </c>
      <c r="R819" s="29">
        <v>0.15</v>
      </c>
      <c r="S819" s="30">
        <v>5.5E-2</v>
      </c>
    </row>
    <row r="820" spans="16:19" x14ac:dyDescent="0.25">
      <c r="P820" s="27">
        <v>3.2548184716220556E-2</v>
      </c>
      <c r="Q820" s="28">
        <f t="shared" si="16"/>
        <v>3.5548184716220559E-2</v>
      </c>
      <c r="R820" s="29">
        <v>0.15</v>
      </c>
      <c r="S820" s="30">
        <v>4.8329999999999998E-2</v>
      </c>
    </row>
    <row r="821" spans="16:19" x14ac:dyDescent="0.25">
      <c r="P821" s="27">
        <v>3.2548184716220556E-2</v>
      </c>
      <c r="Q821" s="28">
        <f t="shared" si="16"/>
        <v>3.5548184716220559E-2</v>
      </c>
      <c r="R821" s="29">
        <v>0.15</v>
      </c>
      <c r="S821" s="30">
        <v>4.4999999999999998E-2</v>
      </c>
    </row>
    <row r="822" spans="16:19" x14ac:dyDescent="0.25">
      <c r="P822" s="27">
        <v>3.2548184716220556E-2</v>
      </c>
      <c r="Q822" s="28">
        <f t="shared" si="16"/>
        <v>3.5548184716220559E-2</v>
      </c>
      <c r="R822" s="29">
        <v>0.15</v>
      </c>
      <c r="S822" s="30">
        <v>4.3999999999999997E-2</v>
      </c>
    </row>
    <row r="823" spans="16:19" x14ac:dyDescent="0.25">
      <c r="P823" s="27">
        <v>3.2548184716220556E-2</v>
      </c>
      <c r="Q823" s="28">
        <f t="shared" si="16"/>
        <v>3.5548184716220559E-2</v>
      </c>
      <c r="R823" s="29">
        <v>0.15</v>
      </c>
      <c r="S823" s="30">
        <v>4.1161579000000004E-2</v>
      </c>
    </row>
    <row r="824" spans="16:19" x14ac:dyDescent="0.25">
      <c r="P824" s="27">
        <v>3.2548184716220556E-2</v>
      </c>
      <c r="Q824" s="28">
        <f t="shared" si="16"/>
        <v>3.5548184716220559E-2</v>
      </c>
      <c r="R824" s="29">
        <v>0.15</v>
      </c>
      <c r="S824" s="30">
        <v>4.0250000000000001E-2</v>
      </c>
    </row>
    <row r="825" spans="16:19" x14ac:dyDescent="0.25">
      <c r="P825" s="27">
        <v>3.2548184716220556E-2</v>
      </c>
      <c r="Q825" s="28">
        <f t="shared" si="16"/>
        <v>3.5548184716220559E-2</v>
      </c>
      <c r="R825" s="29">
        <v>0.15</v>
      </c>
      <c r="S825" s="30">
        <v>4.7091377000000004E-2</v>
      </c>
    </row>
    <row r="826" spans="16:19" x14ac:dyDescent="0.25">
      <c r="P826" s="27">
        <v>3.2548184716220556E-2</v>
      </c>
      <c r="Q826" s="28">
        <f t="shared" si="16"/>
        <v>3.5548184716220559E-2</v>
      </c>
      <c r="R826" s="29">
        <v>0.15</v>
      </c>
      <c r="S826" s="30">
        <v>5.8500000000000003E-2</v>
      </c>
    </row>
    <row r="827" spans="16:19" x14ac:dyDescent="0.25">
      <c r="P827" s="27">
        <v>3.2548184716220556E-2</v>
      </c>
      <c r="Q827" s="28">
        <f t="shared" si="16"/>
        <v>3.5548184716220559E-2</v>
      </c>
      <c r="R827" s="29">
        <v>0.15</v>
      </c>
      <c r="S827" s="30">
        <v>6.8510000000000001E-2</v>
      </c>
    </row>
    <row r="828" spans="16:19" x14ac:dyDescent="0.25">
      <c r="P828" s="27">
        <v>3.2548184716220556E-2</v>
      </c>
      <c r="Q828" s="28">
        <f t="shared" si="16"/>
        <v>3.5548184716220559E-2</v>
      </c>
      <c r="R828" s="29">
        <v>0.15</v>
      </c>
      <c r="S828" s="30">
        <v>7.7643186000000003E-2</v>
      </c>
    </row>
    <row r="829" spans="16:19" x14ac:dyDescent="0.25">
      <c r="P829" s="27">
        <v>3.2548184716220556E-2</v>
      </c>
      <c r="Q829" s="28">
        <f t="shared" si="16"/>
        <v>3.5548184716220559E-2</v>
      </c>
      <c r="R829" s="29">
        <v>0.15</v>
      </c>
      <c r="S829" s="30">
        <v>7.3010000000000005E-2</v>
      </c>
    </row>
    <row r="830" spans="16:19" x14ac:dyDescent="0.25">
      <c r="P830" s="27">
        <v>3.2548184716220556E-2</v>
      </c>
      <c r="Q830" s="28">
        <f t="shared" si="16"/>
        <v>3.5548184716220559E-2</v>
      </c>
      <c r="R830" s="29">
        <v>0.15</v>
      </c>
      <c r="S830" s="30">
        <v>7.0000000000000007E-2</v>
      </c>
    </row>
    <row r="831" spans="16:19" x14ac:dyDescent="0.25">
      <c r="P831" s="27">
        <v>3.2548184716220556E-2</v>
      </c>
      <c r="Q831" s="28">
        <f t="shared" si="16"/>
        <v>3.5548184716220559E-2</v>
      </c>
      <c r="R831" s="29">
        <v>0.15</v>
      </c>
      <c r="S831" s="30">
        <v>6.7890000000000006E-2</v>
      </c>
    </row>
    <row r="832" spans="16:19" x14ac:dyDescent="0.25">
      <c r="P832" s="27">
        <v>3.2548184716220556E-2</v>
      </c>
      <c r="Q832" s="28">
        <f t="shared" si="16"/>
        <v>3.5548184716220559E-2</v>
      </c>
      <c r="R832" s="29">
        <v>0.15</v>
      </c>
      <c r="S832" s="30">
        <v>6.2899999999999998E-2</v>
      </c>
    </row>
    <row r="833" spans="16:19" x14ac:dyDescent="0.25">
      <c r="P833" s="27">
        <v>3.2548184716220556E-2</v>
      </c>
      <c r="Q833" s="28">
        <f t="shared" si="16"/>
        <v>3.5548184716220559E-2</v>
      </c>
      <c r="R833" s="29">
        <v>0.15</v>
      </c>
      <c r="S833" s="30">
        <v>6.207E-2</v>
      </c>
    </row>
    <row r="834" spans="16:19" x14ac:dyDescent="0.25">
      <c r="P834" s="27">
        <v>3.2548184716220556E-2</v>
      </c>
      <c r="Q834" s="28">
        <f t="shared" si="16"/>
        <v>3.5548184716220559E-2</v>
      </c>
      <c r="R834" s="29">
        <v>0.15</v>
      </c>
      <c r="S834" s="30">
        <v>6.4519999999999994E-2</v>
      </c>
    </row>
    <row r="835" spans="16:19" x14ac:dyDescent="0.25">
      <c r="P835" s="27">
        <v>3.2548184716220556E-2</v>
      </c>
      <c r="Q835" s="28">
        <f t="shared" si="16"/>
        <v>3.5548184716220559E-2</v>
      </c>
      <c r="R835" s="29">
        <v>0.15</v>
      </c>
      <c r="S835" s="30">
        <v>6.5970000000000001E-2</v>
      </c>
    </row>
    <row r="836" spans="16:19" x14ac:dyDescent="0.25">
      <c r="P836" s="27">
        <v>3.2548184716220556E-2</v>
      </c>
      <c r="Q836" s="28">
        <f t="shared" si="16"/>
        <v>3.5548184716220559E-2</v>
      </c>
      <c r="R836" s="29">
        <v>0.15</v>
      </c>
      <c r="S836" s="30">
        <v>6.6489999999999994E-2</v>
      </c>
    </row>
    <row r="837" spans="16:19" x14ac:dyDescent="0.25">
      <c r="P837" s="27">
        <v>3.2548184716220556E-2</v>
      </c>
      <c r="Q837" s="28">
        <f t="shared" ref="Q837:Q900" si="17">P837+0.003</f>
        <v>3.5548184716220559E-2</v>
      </c>
      <c r="R837" s="29">
        <v>0.15</v>
      </c>
      <c r="S837" s="30">
        <v>6.8599999999999994E-2</v>
      </c>
    </row>
    <row r="838" spans="16:19" x14ac:dyDescent="0.25">
      <c r="P838" s="27">
        <v>3.2548184716220556E-2</v>
      </c>
      <c r="Q838" s="28">
        <f t="shared" si="17"/>
        <v>3.5548184716220559E-2</v>
      </c>
      <c r="R838" s="29">
        <v>0.15</v>
      </c>
      <c r="S838" s="30">
        <v>7.1300000000000002E-2</v>
      </c>
    </row>
    <row r="839" spans="16:19" x14ac:dyDescent="0.25">
      <c r="P839" s="27">
        <v>3.2548184716220556E-2</v>
      </c>
      <c r="Q839" s="28">
        <f t="shared" si="17"/>
        <v>3.5548184716220559E-2</v>
      </c>
      <c r="R839" s="29">
        <v>0.15</v>
      </c>
      <c r="S839" s="30">
        <v>6.8510000000000001E-2</v>
      </c>
    </row>
    <row r="840" spans="16:19" x14ac:dyDescent="0.25">
      <c r="P840" s="27">
        <v>3.2548184716220556E-2</v>
      </c>
      <c r="Q840" s="28">
        <f t="shared" si="17"/>
        <v>3.5548184716220559E-2</v>
      </c>
      <c r="R840" s="29">
        <v>0.15</v>
      </c>
      <c r="S840" s="30">
        <v>6.3380000000000006E-2</v>
      </c>
    </row>
    <row r="841" spans="16:19" x14ac:dyDescent="0.25">
      <c r="P841" s="27">
        <v>3.2548184716220556E-2</v>
      </c>
      <c r="Q841" s="28">
        <f t="shared" si="17"/>
        <v>3.5548184716220559E-2</v>
      </c>
      <c r="R841" s="29">
        <v>0.15</v>
      </c>
      <c r="S841" s="30">
        <v>5.9830000000000001E-2</v>
      </c>
    </row>
    <row r="842" spans="16:19" x14ac:dyDescent="0.25">
      <c r="P842" s="27">
        <v>3.2548184716220556E-2</v>
      </c>
      <c r="Q842" s="28">
        <f t="shared" si="17"/>
        <v>3.5548184716220559E-2</v>
      </c>
      <c r="R842" s="29">
        <v>0.15</v>
      </c>
      <c r="S842" s="30">
        <v>5.7079999999999999E-2</v>
      </c>
    </row>
    <row r="843" spans="16:19" x14ac:dyDescent="0.25">
      <c r="P843" s="27">
        <v>3.2548184716220556E-2</v>
      </c>
      <c r="Q843" s="28">
        <f t="shared" si="17"/>
        <v>3.5548184716220559E-2</v>
      </c>
      <c r="R843" s="29">
        <v>0.15</v>
      </c>
      <c r="S843" s="30">
        <v>5.3999999999999999E-2</v>
      </c>
    </row>
    <row r="844" spans="16:19" x14ac:dyDescent="0.25">
      <c r="P844" s="27">
        <v>3.2548184716220556E-2</v>
      </c>
      <c r="Q844" s="28">
        <f t="shared" si="17"/>
        <v>3.5548184716220559E-2</v>
      </c>
      <c r="R844" s="29">
        <v>0.15</v>
      </c>
      <c r="S844" s="30">
        <v>0.05</v>
      </c>
    </row>
    <row r="845" spans="16:19" x14ac:dyDescent="0.25">
      <c r="P845" s="27">
        <v>3.2548184716220556E-2</v>
      </c>
      <c r="Q845" s="28">
        <f t="shared" si="17"/>
        <v>3.5548184716220559E-2</v>
      </c>
      <c r="R845" s="29">
        <v>0.15</v>
      </c>
      <c r="S845" s="30">
        <v>4.4999999999999998E-2</v>
      </c>
    </row>
    <row r="846" spans="16:19" x14ac:dyDescent="0.25">
      <c r="P846" s="27">
        <v>3.2548184716220556E-2</v>
      </c>
      <c r="Q846" s="28">
        <f t="shared" si="17"/>
        <v>3.5548184716220559E-2</v>
      </c>
      <c r="R846" s="29">
        <v>0.15</v>
      </c>
      <c r="S846" s="30">
        <v>4.2630000000000001E-2</v>
      </c>
    </row>
    <row r="847" spans="16:19" x14ac:dyDescent="0.25">
      <c r="P847" s="27">
        <v>3.2548184716220556E-2</v>
      </c>
      <c r="Q847" s="28">
        <f t="shared" si="17"/>
        <v>3.5548184716220559E-2</v>
      </c>
      <c r="R847" s="29">
        <v>0.15</v>
      </c>
      <c r="S847" s="30">
        <v>4.1500000000000002E-2</v>
      </c>
    </row>
    <row r="848" spans="16:19" x14ac:dyDescent="0.25">
      <c r="P848" s="27">
        <v>3.2548184716220556E-2</v>
      </c>
      <c r="Q848" s="28">
        <f t="shared" si="17"/>
        <v>3.5548184716220559E-2</v>
      </c>
      <c r="R848" s="29">
        <v>0.15</v>
      </c>
      <c r="S848" s="30">
        <v>4.0770000000000001E-2</v>
      </c>
    </row>
    <row r="849" spans="16:19" x14ac:dyDescent="0.25">
      <c r="P849" s="27">
        <v>3.2548184716220556E-2</v>
      </c>
      <c r="Q849" s="28">
        <f t="shared" si="17"/>
        <v>3.5548184716220559E-2</v>
      </c>
      <c r="R849" s="29">
        <v>0.15</v>
      </c>
      <c r="S849" s="30">
        <v>4.8000000000000001E-2</v>
      </c>
    </row>
    <row r="850" spans="16:19" x14ac:dyDescent="0.25">
      <c r="P850" s="27">
        <v>3.2548184716220556E-2</v>
      </c>
      <c r="Q850" s="28">
        <f t="shared" si="17"/>
        <v>3.5548184716220559E-2</v>
      </c>
      <c r="R850" s="29">
        <v>0.15</v>
      </c>
      <c r="S850" s="30">
        <v>5.7000000000000002E-2</v>
      </c>
    </row>
    <row r="851" spans="16:19" x14ac:dyDescent="0.25">
      <c r="P851" s="27">
        <v>3.2548184716220556E-2</v>
      </c>
      <c r="Q851" s="28">
        <f t="shared" si="17"/>
        <v>3.5548184716220559E-2</v>
      </c>
      <c r="R851" s="31">
        <v>0.15939660775771733</v>
      </c>
      <c r="S851" s="32">
        <v>6.0766347000000005E-2</v>
      </c>
    </row>
    <row r="852" spans="16:19" x14ac:dyDescent="0.25">
      <c r="P852" s="27">
        <v>3.2548184716220556E-2</v>
      </c>
      <c r="Q852" s="28">
        <f t="shared" si="17"/>
        <v>3.5548184716220559E-2</v>
      </c>
      <c r="R852" s="33">
        <v>0.16282860775771735</v>
      </c>
      <c r="S852" s="34">
        <v>7.0545337999999999E-2</v>
      </c>
    </row>
    <row r="853" spans="16:19" x14ac:dyDescent="0.25">
      <c r="P853" s="27">
        <v>3.2548184716220556E-2</v>
      </c>
      <c r="Q853" s="28">
        <f t="shared" si="17"/>
        <v>3.5548184716220559E-2</v>
      </c>
      <c r="R853" s="33">
        <v>0.16282860775771735</v>
      </c>
      <c r="S853" s="34">
        <v>6.6930000000000003E-2</v>
      </c>
    </row>
    <row r="854" spans="16:19" x14ac:dyDescent="0.25">
      <c r="P854" s="27">
        <v>3.2548184716220556E-2</v>
      </c>
      <c r="Q854" s="28">
        <f t="shared" si="17"/>
        <v>3.5548184716220559E-2</v>
      </c>
      <c r="R854" s="33">
        <v>0.16282860775771735</v>
      </c>
      <c r="S854" s="34">
        <v>6.4200000000000007E-2</v>
      </c>
    </row>
    <row r="855" spans="16:19" x14ac:dyDescent="0.25">
      <c r="P855" s="27">
        <v>3.2548184716220556E-2</v>
      </c>
      <c r="Q855" s="28">
        <f t="shared" si="17"/>
        <v>3.5548184716220559E-2</v>
      </c>
      <c r="R855" s="33">
        <v>0.16282860775771735</v>
      </c>
      <c r="S855" s="34">
        <v>6.3E-2</v>
      </c>
    </row>
    <row r="856" spans="16:19" x14ac:dyDescent="0.25">
      <c r="P856" s="27">
        <v>3.2548184716220556E-2</v>
      </c>
      <c r="Q856" s="28">
        <f t="shared" si="17"/>
        <v>3.5548184716220559E-2</v>
      </c>
      <c r="R856" s="33">
        <v>0.16282860775771735</v>
      </c>
      <c r="S856" s="34">
        <v>5.7820000000000003E-2</v>
      </c>
    </row>
    <row r="857" spans="16:19" x14ac:dyDescent="0.25">
      <c r="P857" s="27">
        <v>3.2548184716220556E-2</v>
      </c>
      <c r="Q857" s="28">
        <f t="shared" si="17"/>
        <v>3.5548184716220559E-2</v>
      </c>
      <c r="R857" s="33">
        <v>0.16282860775771735</v>
      </c>
      <c r="S857" s="34">
        <v>5.7820000000000003E-2</v>
      </c>
    </row>
    <row r="858" spans="16:19" x14ac:dyDescent="0.25">
      <c r="P858" s="27">
        <v>3.2548184716220556E-2</v>
      </c>
      <c r="Q858" s="28">
        <f t="shared" si="17"/>
        <v>3.5548184716220559E-2</v>
      </c>
      <c r="R858" s="33">
        <v>0.16282860775771735</v>
      </c>
      <c r="S858" s="34">
        <v>5.9080000000000001E-2</v>
      </c>
    </row>
    <row r="859" spans="16:19" x14ac:dyDescent="0.25">
      <c r="P859" s="27">
        <v>3.2548184716220556E-2</v>
      </c>
      <c r="Q859" s="28">
        <f t="shared" si="17"/>
        <v>3.5548184716220559E-2</v>
      </c>
      <c r="R859" s="33">
        <v>0.16282860775771735</v>
      </c>
      <c r="S859" s="34">
        <v>5.9770000000000004E-2</v>
      </c>
    </row>
    <row r="860" spans="16:19" x14ac:dyDescent="0.25">
      <c r="P860" s="27">
        <v>3.2548184716220556E-2</v>
      </c>
      <c r="Q860" s="28">
        <f t="shared" si="17"/>
        <v>3.5548184716220559E-2</v>
      </c>
      <c r="R860" s="33">
        <v>0.16282860775771735</v>
      </c>
      <c r="S860" s="34">
        <v>6.2E-2</v>
      </c>
    </row>
    <row r="861" spans="16:19" x14ac:dyDescent="0.25">
      <c r="P861" s="27">
        <v>3.2548184716220556E-2</v>
      </c>
      <c r="Q861" s="28">
        <f t="shared" si="17"/>
        <v>3.5548184716220559E-2</v>
      </c>
      <c r="R861" s="33">
        <v>0.16282860775771735</v>
      </c>
      <c r="S861" s="34">
        <v>6.3600000000000004E-2</v>
      </c>
    </row>
    <row r="862" spans="16:19" x14ac:dyDescent="0.25">
      <c r="P862" s="27">
        <v>3.2548184716220556E-2</v>
      </c>
      <c r="Q862" s="28">
        <f t="shared" si="17"/>
        <v>3.5548184716220559E-2</v>
      </c>
      <c r="R862" s="33">
        <v>0.16282860775771735</v>
      </c>
      <c r="S862" s="34">
        <v>6.7360000000000003E-2</v>
      </c>
    </row>
    <row r="863" spans="16:19" x14ac:dyDescent="0.25">
      <c r="P863" s="27">
        <v>3.2548184716220556E-2</v>
      </c>
      <c r="Q863" s="28">
        <f t="shared" si="17"/>
        <v>3.5548184716220559E-2</v>
      </c>
      <c r="R863" s="31">
        <v>0.15939660775771733</v>
      </c>
      <c r="S863" s="32">
        <v>6.5329999999999999E-2</v>
      </c>
    </row>
    <row r="864" spans="16:19" x14ac:dyDescent="0.25">
      <c r="P864" s="27">
        <v>3.2548184716220556E-2</v>
      </c>
      <c r="Q864" s="28">
        <f t="shared" si="17"/>
        <v>3.5548184716220559E-2</v>
      </c>
      <c r="R864" s="31">
        <v>0.15939660775771733</v>
      </c>
      <c r="S864" s="32">
        <v>6.0649999999999996E-2</v>
      </c>
    </row>
    <row r="865" spans="16:19" x14ac:dyDescent="0.25">
      <c r="P865" s="27">
        <v>3.2548184716220556E-2</v>
      </c>
      <c r="Q865" s="28">
        <f t="shared" si="17"/>
        <v>3.5548184716220559E-2</v>
      </c>
      <c r="R865" s="31">
        <v>0.15939660775771733</v>
      </c>
      <c r="S865" s="32">
        <v>5.7299999999999997E-2</v>
      </c>
    </row>
    <row r="866" spans="16:19" x14ac:dyDescent="0.25">
      <c r="P866" s="27">
        <v>3.2548184716220556E-2</v>
      </c>
      <c r="Q866" s="28">
        <f t="shared" si="17"/>
        <v>3.5548184716220559E-2</v>
      </c>
      <c r="R866" s="31">
        <v>0.15939660775771733</v>
      </c>
      <c r="S866" s="32">
        <v>5.3009999999999995E-2</v>
      </c>
    </row>
    <row r="867" spans="16:19" x14ac:dyDescent="0.25">
      <c r="P867" s="27">
        <v>3.2548184716220556E-2</v>
      </c>
      <c r="Q867" s="28">
        <f t="shared" si="17"/>
        <v>3.5548184716220559E-2</v>
      </c>
      <c r="R867" s="29">
        <v>0.15003660775771735</v>
      </c>
      <c r="S867" s="30">
        <v>4.6979999999999994E-2</v>
      </c>
    </row>
    <row r="868" spans="16:19" x14ac:dyDescent="0.25">
      <c r="P868" s="27">
        <v>3.2548184716220556E-2</v>
      </c>
      <c r="Q868" s="28">
        <f t="shared" si="17"/>
        <v>3.5548184716220559E-2</v>
      </c>
      <c r="R868" s="29">
        <v>0.15003660775771735</v>
      </c>
      <c r="S868" s="30">
        <v>3.943E-2</v>
      </c>
    </row>
    <row r="869" spans="16:19" x14ac:dyDescent="0.25">
      <c r="P869" s="27">
        <v>3.2548184716220556E-2</v>
      </c>
      <c r="Q869" s="28">
        <f t="shared" si="17"/>
        <v>3.5548184716220559E-2</v>
      </c>
      <c r="R869" s="29">
        <v>0.15003660775771735</v>
      </c>
      <c r="S869" s="30">
        <v>3.4689999999999999E-2</v>
      </c>
    </row>
    <row r="870" spans="16:19" x14ac:dyDescent="0.25">
      <c r="P870" s="27">
        <v>3.2548184716220556E-2</v>
      </c>
      <c r="Q870" s="28">
        <f t="shared" si="17"/>
        <v>3.5548184716220559E-2</v>
      </c>
      <c r="R870" s="29">
        <v>0.15003660775771735</v>
      </c>
      <c r="S870" s="30">
        <v>2.972E-2</v>
      </c>
    </row>
    <row r="871" spans="16:19" x14ac:dyDescent="0.25">
      <c r="P871" s="27">
        <v>3.2548184716220556E-2</v>
      </c>
      <c r="Q871" s="28">
        <f t="shared" si="17"/>
        <v>3.5548184716220559E-2</v>
      </c>
      <c r="R871" s="29">
        <v>0.15003660775771735</v>
      </c>
      <c r="S871" s="30">
        <v>2.5360000000000001E-2</v>
      </c>
    </row>
    <row r="872" spans="16:19" x14ac:dyDescent="0.25">
      <c r="P872" s="27">
        <v>3.2548184716220556E-2</v>
      </c>
      <c r="Q872" s="28">
        <f t="shared" si="17"/>
        <v>3.5548184716220559E-2</v>
      </c>
      <c r="R872" s="29">
        <v>0.15003660775771735</v>
      </c>
      <c r="S872" s="30">
        <v>2.5190000000000001E-2</v>
      </c>
    </row>
    <row r="873" spans="16:19" x14ac:dyDescent="0.25">
      <c r="P873" s="27">
        <v>3.2548184716220556E-2</v>
      </c>
      <c r="Q873" s="28">
        <f t="shared" si="17"/>
        <v>3.5548184716220559E-2</v>
      </c>
      <c r="R873" s="29">
        <v>0.15003660775771735</v>
      </c>
      <c r="S873" s="30">
        <v>3.4709999999999998E-2</v>
      </c>
    </row>
    <row r="874" spans="16:19" x14ac:dyDescent="0.25">
      <c r="P874" s="27">
        <v>3.2548184716220556E-2</v>
      </c>
      <c r="Q874" s="28">
        <f t="shared" si="17"/>
        <v>3.5548184716220559E-2</v>
      </c>
      <c r="R874" s="29">
        <v>0.15003660775771735</v>
      </c>
      <c r="S874" s="30">
        <v>5.4200000000000005E-2</v>
      </c>
    </row>
    <row r="875" spans="16:19" x14ac:dyDescent="0.25">
      <c r="P875" s="27">
        <v>3.2548184716220556E-2</v>
      </c>
      <c r="Q875" s="28">
        <f t="shared" si="17"/>
        <v>3.5548184716220559E-2</v>
      </c>
      <c r="R875" s="31">
        <v>0.15939660775771733</v>
      </c>
      <c r="S875" s="32">
        <v>5.7759999999999999E-2</v>
      </c>
    </row>
    <row r="876" spans="16:19" x14ac:dyDescent="0.25">
      <c r="P876" s="27">
        <v>3.2548184716220556E-2</v>
      </c>
      <c r="Q876" s="28">
        <f t="shared" si="17"/>
        <v>3.5548184716220559E-2</v>
      </c>
      <c r="R876" s="33">
        <v>0.16282860775771735</v>
      </c>
      <c r="S876" s="34">
        <v>6.4930000000000002E-2</v>
      </c>
    </row>
    <row r="877" spans="16:19" x14ac:dyDescent="0.25">
      <c r="P877" s="27">
        <v>3.2548184716220556E-2</v>
      </c>
      <c r="Q877" s="28">
        <f t="shared" si="17"/>
        <v>3.5548184716220559E-2</v>
      </c>
      <c r="R877" s="33">
        <v>0.16282860775771735</v>
      </c>
      <c r="S877" s="34">
        <v>6.3420000000000004E-2</v>
      </c>
    </row>
    <row r="878" spans="16:19" x14ac:dyDescent="0.25">
      <c r="P878" s="27">
        <v>3.2548184716220556E-2</v>
      </c>
      <c r="Q878" s="28">
        <f t="shared" si="17"/>
        <v>3.5548184716220559E-2</v>
      </c>
      <c r="R878" s="33">
        <v>0.16282860775771735</v>
      </c>
      <c r="S878" s="34">
        <v>6.0740000000000002E-2</v>
      </c>
    </row>
    <row r="879" spans="16:19" x14ac:dyDescent="0.25">
      <c r="P879" s="27">
        <v>3.2548184716220556E-2</v>
      </c>
      <c r="Q879" s="28">
        <f t="shared" si="17"/>
        <v>3.5548184716220559E-2</v>
      </c>
      <c r="R879" s="33">
        <v>0.16282860775771735</v>
      </c>
      <c r="S879" s="34">
        <v>0.06</v>
      </c>
    </row>
    <row r="880" spans="16:19" x14ac:dyDescent="0.25">
      <c r="P880" s="27">
        <v>3.2548184716220556E-2</v>
      </c>
      <c r="Q880" s="28">
        <f t="shared" si="17"/>
        <v>3.5548184716220559E-2</v>
      </c>
      <c r="R880" s="33">
        <v>0.16282860775771735</v>
      </c>
      <c r="S880" s="34">
        <v>5.3090000000000005E-2</v>
      </c>
    </row>
    <row r="881" spans="16:19" x14ac:dyDescent="0.25">
      <c r="P881" s="27">
        <v>3.2548184716220556E-2</v>
      </c>
      <c r="Q881" s="28">
        <f t="shared" si="17"/>
        <v>3.5548184716220559E-2</v>
      </c>
      <c r="R881" s="33">
        <v>0.16282860775771735</v>
      </c>
      <c r="S881" s="34">
        <v>5.3499999999999999E-2</v>
      </c>
    </row>
    <row r="882" spans="16:19" x14ac:dyDescent="0.25">
      <c r="P882" s="27">
        <v>3.2548184716220556E-2</v>
      </c>
      <c r="Q882" s="28">
        <f t="shared" si="17"/>
        <v>3.5548184716220559E-2</v>
      </c>
      <c r="R882" s="33">
        <v>0.16282860775771735</v>
      </c>
      <c r="S882" s="34">
        <v>5.4450000000000005E-2</v>
      </c>
    </row>
    <row r="883" spans="16:19" x14ac:dyDescent="0.25">
      <c r="P883" s="27">
        <v>3.2548184716220556E-2</v>
      </c>
      <c r="Q883" s="28">
        <f t="shared" si="17"/>
        <v>3.5548184716220559E-2</v>
      </c>
      <c r="R883" s="33">
        <v>0.16282860775771735</v>
      </c>
      <c r="S883" s="34">
        <v>5.6799999999999996E-2</v>
      </c>
    </row>
    <row r="884" spans="16:19" x14ac:dyDescent="0.25">
      <c r="P884" s="27">
        <v>3.2548184716220556E-2</v>
      </c>
      <c r="Q884" s="28">
        <f t="shared" si="17"/>
        <v>3.5548184716220559E-2</v>
      </c>
      <c r="R884" s="33">
        <v>0.16282860775771735</v>
      </c>
      <c r="S884" s="34">
        <v>6.0020000000000004E-2</v>
      </c>
    </row>
    <row r="885" spans="16:19" x14ac:dyDescent="0.25">
      <c r="P885" s="27">
        <v>3.2548184716220556E-2</v>
      </c>
      <c r="Q885" s="28">
        <f t="shared" si="17"/>
        <v>3.5548184716220559E-2</v>
      </c>
      <c r="R885" s="33">
        <v>0.16282860775771735</v>
      </c>
      <c r="S885" s="34">
        <v>6.3E-2</v>
      </c>
    </row>
    <row r="886" spans="16:19" x14ac:dyDescent="0.25">
      <c r="P886" s="27">
        <v>3.2548184716220556E-2</v>
      </c>
      <c r="Q886" s="28">
        <f t="shared" si="17"/>
        <v>3.5548184716220559E-2</v>
      </c>
      <c r="R886" s="33">
        <v>0.16282860775771735</v>
      </c>
      <c r="S886" s="34">
        <v>6.5140000000000003E-2</v>
      </c>
    </row>
    <row r="887" spans="16:19" x14ac:dyDescent="0.25">
      <c r="P887" s="27">
        <v>3.2548184716220556E-2</v>
      </c>
      <c r="Q887" s="28">
        <f t="shared" si="17"/>
        <v>3.5548184716220559E-2</v>
      </c>
      <c r="R887" s="31">
        <v>0.15939660775771733</v>
      </c>
      <c r="S887" s="32">
        <v>6.3979999999999995E-2</v>
      </c>
    </row>
    <row r="888" spans="16:19" x14ac:dyDescent="0.25">
      <c r="P888" s="27">
        <v>3.2548184716220556E-2</v>
      </c>
      <c r="Q888" s="28">
        <f t="shared" si="17"/>
        <v>3.5548184716220559E-2</v>
      </c>
      <c r="R888" s="31">
        <v>0.15939660775771733</v>
      </c>
      <c r="S888" s="32">
        <v>0.06</v>
      </c>
    </row>
    <row r="889" spans="16:19" x14ac:dyDescent="0.25">
      <c r="P889" s="27">
        <v>3.2548184716220556E-2</v>
      </c>
      <c r="Q889" s="28">
        <f t="shared" si="17"/>
        <v>3.5548184716220559E-2</v>
      </c>
      <c r="R889" s="31">
        <v>0.15939660775771733</v>
      </c>
      <c r="S889" s="32">
        <v>5.6000000000000001E-2</v>
      </c>
    </row>
    <row r="890" spans="16:19" x14ac:dyDescent="0.25">
      <c r="P890" s="27">
        <v>3.2548184716220556E-2</v>
      </c>
      <c r="Q890" s="28">
        <f t="shared" si="17"/>
        <v>3.5548184716220559E-2</v>
      </c>
      <c r="R890" s="31">
        <v>0.15939660775771733</v>
      </c>
      <c r="S890" s="32">
        <v>5.5500000000000001E-2</v>
      </c>
    </row>
    <row r="891" spans="16:19" x14ac:dyDescent="0.25">
      <c r="P891" s="27">
        <v>3.2548184716220556E-2</v>
      </c>
      <c r="Q891" s="28">
        <f t="shared" si="17"/>
        <v>3.5548184716220559E-2</v>
      </c>
      <c r="R891" s="29">
        <v>0.15003660775771735</v>
      </c>
      <c r="S891" s="30">
        <v>0.05</v>
      </c>
    </row>
    <row r="892" spans="16:19" x14ac:dyDescent="0.25">
      <c r="P892" s="27">
        <v>3.2548184716220556E-2</v>
      </c>
      <c r="Q892" s="28">
        <f t="shared" si="17"/>
        <v>3.5548184716220559E-2</v>
      </c>
      <c r="R892" s="29">
        <v>0.15003660775771735</v>
      </c>
      <c r="S892" s="30">
        <v>5.3079999999999995E-2</v>
      </c>
    </row>
    <row r="893" spans="16:19" x14ac:dyDescent="0.25">
      <c r="P893" s="27">
        <v>3.2548184716220556E-2</v>
      </c>
      <c r="Q893" s="28">
        <f t="shared" si="17"/>
        <v>3.5548184716220559E-2</v>
      </c>
      <c r="R893" s="29">
        <v>0.15003660775771735</v>
      </c>
      <c r="S893" s="30">
        <v>4.4020000000000004E-2</v>
      </c>
    </row>
    <row r="894" spans="16:19" x14ac:dyDescent="0.25">
      <c r="P894" s="27">
        <v>3.2548184716220556E-2</v>
      </c>
      <c r="Q894" s="28">
        <f t="shared" si="17"/>
        <v>3.5548184716220559E-2</v>
      </c>
      <c r="R894" s="29">
        <v>0.15003660775771735</v>
      </c>
      <c r="S894" s="30">
        <v>3.8329999999999996E-2</v>
      </c>
    </row>
    <row r="895" spans="16:19" x14ac:dyDescent="0.25">
      <c r="P895" s="27">
        <v>3.2548184716220556E-2</v>
      </c>
      <c r="Q895" s="28">
        <f t="shared" si="17"/>
        <v>3.5548184716220559E-2</v>
      </c>
      <c r="R895" s="29">
        <v>0.15003660775771735</v>
      </c>
      <c r="S895" s="30">
        <v>3.3890000000000003E-2</v>
      </c>
    </row>
    <row r="896" spans="16:19" x14ac:dyDescent="0.25">
      <c r="P896" s="27">
        <v>3.2548184716220556E-2</v>
      </c>
      <c r="Q896" s="28">
        <f t="shared" si="17"/>
        <v>3.5548184716220559E-2</v>
      </c>
      <c r="R896" s="29">
        <v>0.15003660775771735</v>
      </c>
      <c r="S896" s="30">
        <v>3.3890000000000003E-2</v>
      </c>
    </row>
    <row r="897" spans="16:19" x14ac:dyDescent="0.25">
      <c r="P897" s="27">
        <v>3.2548184716220556E-2</v>
      </c>
      <c r="Q897" s="28">
        <f t="shared" si="17"/>
        <v>3.5548184716220559E-2</v>
      </c>
      <c r="R897" s="29">
        <v>0.15003660775771735</v>
      </c>
      <c r="S897" s="30">
        <v>4.3999999999999997E-2</v>
      </c>
    </row>
    <row r="898" spans="16:19" x14ac:dyDescent="0.25">
      <c r="P898" s="27">
        <v>3.2548184716220556E-2</v>
      </c>
      <c r="Q898" s="28">
        <f t="shared" si="17"/>
        <v>3.5548184716220559E-2</v>
      </c>
      <c r="R898" s="29">
        <v>0.15003660775771735</v>
      </c>
      <c r="S898" s="30">
        <v>5.7729999999999997E-2</v>
      </c>
    </row>
    <row r="899" spans="16:19" x14ac:dyDescent="0.25">
      <c r="P899" s="27">
        <v>3.2548184716220556E-2</v>
      </c>
      <c r="Q899" s="28">
        <f t="shared" si="17"/>
        <v>3.5548184716220559E-2</v>
      </c>
      <c r="R899" s="31">
        <v>0.15939660775771733</v>
      </c>
      <c r="S899" s="32">
        <v>6.498000000000001E-2</v>
      </c>
    </row>
    <row r="900" spans="16:19" x14ac:dyDescent="0.25">
      <c r="P900" s="27">
        <v>3.2548184716220556E-2</v>
      </c>
      <c r="Q900" s="28">
        <f t="shared" si="17"/>
        <v>3.5548184716220559E-2</v>
      </c>
      <c r="R900" s="33">
        <v>0.16282860775771735</v>
      </c>
      <c r="S900" s="34">
        <v>7.8430000000000014E-2</v>
      </c>
    </row>
    <row r="901" spans="16:19" x14ac:dyDescent="0.25">
      <c r="P901" s="27">
        <v>3.2548184716220556E-2</v>
      </c>
      <c r="Q901" s="28">
        <f t="shared" ref="Q901:Q964" si="18">P901+0.003</f>
        <v>3.5548184716220559E-2</v>
      </c>
      <c r="R901" s="33">
        <v>0.16282860775771735</v>
      </c>
      <c r="S901" s="34">
        <v>7.3499999999999996E-2</v>
      </c>
    </row>
    <row r="902" spans="16:19" x14ac:dyDescent="0.25">
      <c r="P902" s="27">
        <v>3.2548184716220556E-2</v>
      </c>
      <c r="Q902" s="28">
        <f t="shared" si="18"/>
        <v>3.5548184716220559E-2</v>
      </c>
      <c r="R902" s="33">
        <v>0.16282860775771735</v>
      </c>
      <c r="S902" s="34">
        <v>7.4999999999999997E-2</v>
      </c>
    </row>
    <row r="903" spans="16:19" x14ac:dyDescent="0.25">
      <c r="P903" s="27">
        <v>3.2548184716220556E-2</v>
      </c>
      <c r="Q903" s="28">
        <f t="shared" si="18"/>
        <v>3.5548184716220559E-2</v>
      </c>
      <c r="R903" s="33">
        <v>0.16282860775771735</v>
      </c>
      <c r="S903" s="34">
        <v>7.4999999999999997E-2</v>
      </c>
    </row>
    <row r="904" spans="16:19" x14ac:dyDescent="0.25">
      <c r="P904" s="27">
        <v>3.2548184716220556E-2</v>
      </c>
      <c r="Q904" s="28">
        <f t="shared" si="18"/>
        <v>3.5548184716220559E-2</v>
      </c>
      <c r="R904" s="33">
        <v>0.16282860775771735</v>
      </c>
      <c r="S904" s="34">
        <v>5.8000000000000003E-2</v>
      </c>
    </row>
    <row r="905" spans="16:19" x14ac:dyDescent="0.25">
      <c r="P905" s="27">
        <v>3.2548184716220556E-2</v>
      </c>
      <c r="Q905" s="28">
        <f t="shared" si="18"/>
        <v>3.5548184716220559E-2</v>
      </c>
      <c r="R905" s="33">
        <v>0.16282860775771735</v>
      </c>
      <c r="S905" s="34">
        <v>5.8000000000000003E-2</v>
      </c>
    </row>
    <row r="906" spans="16:19" x14ac:dyDescent="0.25">
      <c r="P906" s="27">
        <v>3.2548184716220556E-2</v>
      </c>
      <c r="Q906" s="28">
        <f t="shared" si="18"/>
        <v>3.5548184716220559E-2</v>
      </c>
      <c r="R906" s="33">
        <v>0.16282860775771735</v>
      </c>
      <c r="S906" s="34">
        <v>6.3E-2</v>
      </c>
    </row>
    <row r="907" spans="16:19" x14ac:dyDescent="0.25">
      <c r="P907" s="27">
        <v>3.2548184716220556E-2</v>
      </c>
      <c r="Q907" s="28">
        <f t="shared" si="18"/>
        <v>3.5548184716220559E-2</v>
      </c>
      <c r="R907" s="33">
        <v>0.16282860775771735</v>
      </c>
      <c r="S907" s="34">
        <v>6.7000000000000004E-2</v>
      </c>
    </row>
    <row r="908" spans="16:19" x14ac:dyDescent="0.25">
      <c r="P908" s="27">
        <v>3.2548184716220556E-2</v>
      </c>
      <c r="Q908" s="28">
        <f t="shared" si="18"/>
        <v>3.5548184716220559E-2</v>
      </c>
      <c r="R908" s="33">
        <v>0.16282860775771735</v>
      </c>
      <c r="S908" s="34">
        <v>6.3619999999999996E-2</v>
      </c>
    </row>
    <row r="909" spans="16:19" x14ac:dyDescent="0.25">
      <c r="P909" s="27">
        <v>3.2548184716220556E-2</v>
      </c>
      <c r="Q909" s="28">
        <f t="shared" si="18"/>
        <v>3.5548184716220559E-2</v>
      </c>
      <c r="R909" s="33">
        <v>0.16282860775771735</v>
      </c>
      <c r="S909" s="34">
        <v>6.7000000000000004E-2</v>
      </c>
    </row>
    <row r="910" spans="16:19" x14ac:dyDescent="0.25">
      <c r="P910" s="27">
        <v>3.2548184716220556E-2</v>
      </c>
      <c r="Q910" s="28">
        <f t="shared" si="18"/>
        <v>3.5548184716220559E-2</v>
      </c>
      <c r="R910" s="33">
        <v>0.16282860775771735</v>
      </c>
      <c r="S910" s="34">
        <v>7.2612575000000013E-2</v>
      </c>
    </row>
    <row r="911" spans="16:19" x14ac:dyDescent="0.25">
      <c r="P911" s="27">
        <v>3.2548184716220556E-2</v>
      </c>
      <c r="Q911" s="28">
        <f t="shared" si="18"/>
        <v>3.5548184716220559E-2</v>
      </c>
      <c r="R911" s="31">
        <v>0.15939660775771733</v>
      </c>
      <c r="S911" s="32">
        <v>7.0000000000000007E-2</v>
      </c>
    </row>
    <row r="912" spans="16:19" x14ac:dyDescent="0.25">
      <c r="P912" s="27">
        <v>3.2548184716220556E-2</v>
      </c>
      <c r="Q912" s="28">
        <f t="shared" si="18"/>
        <v>3.5548184716220559E-2</v>
      </c>
      <c r="R912" s="31">
        <v>0.15939660775771733</v>
      </c>
      <c r="S912" s="32">
        <v>6.2920000000000004E-2</v>
      </c>
    </row>
    <row r="913" spans="16:19" x14ac:dyDescent="0.25">
      <c r="P913" s="27">
        <v>3.2548184716220556E-2</v>
      </c>
      <c r="Q913" s="28">
        <f t="shared" si="18"/>
        <v>3.5548184716220559E-2</v>
      </c>
      <c r="R913" s="31">
        <v>0.15939660775771733</v>
      </c>
      <c r="S913" s="32">
        <v>5.6960000000000004E-2</v>
      </c>
    </row>
    <row r="914" spans="16:19" x14ac:dyDescent="0.25">
      <c r="P914" s="27">
        <v>3.2548184716220556E-2</v>
      </c>
      <c r="Q914" s="28">
        <f t="shared" si="18"/>
        <v>3.5548184716220559E-2</v>
      </c>
      <c r="R914" s="31">
        <v>0.15939660775771733</v>
      </c>
      <c r="S914" s="32">
        <v>5.3499999999999999E-2</v>
      </c>
    </row>
    <row r="915" spans="16:19" x14ac:dyDescent="0.25">
      <c r="P915" s="27">
        <v>3.2548184716220556E-2</v>
      </c>
      <c r="Q915" s="28">
        <f t="shared" si="18"/>
        <v>3.5548184716220559E-2</v>
      </c>
      <c r="R915" s="29">
        <v>0.15003660775771735</v>
      </c>
      <c r="S915" s="30">
        <v>4.8100000000000004E-2</v>
      </c>
    </row>
    <row r="916" spans="16:19" x14ac:dyDescent="0.25">
      <c r="P916" s="27">
        <v>3.2548184716220556E-2</v>
      </c>
      <c r="Q916" s="28">
        <f t="shared" si="18"/>
        <v>3.5548184716220559E-2</v>
      </c>
      <c r="R916" s="29">
        <v>0.15003660775771735</v>
      </c>
      <c r="S916" s="30">
        <v>4.1189999999999997E-2</v>
      </c>
    </row>
    <row r="917" spans="16:19" x14ac:dyDescent="0.25">
      <c r="P917" s="27">
        <v>3.2548184716220556E-2</v>
      </c>
      <c r="Q917" s="28">
        <f t="shared" si="18"/>
        <v>3.5548184716220559E-2</v>
      </c>
      <c r="R917" s="29">
        <v>0.15003660775771735</v>
      </c>
      <c r="S917" s="30">
        <v>3.8030000000000001E-2</v>
      </c>
    </row>
    <row r="918" spans="16:19" x14ac:dyDescent="0.25">
      <c r="P918" s="27">
        <v>3.2548184716220556E-2</v>
      </c>
      <c r="Q918" s="28">
        <f t="shared" si="18"/>
        <v>3.5548184716220559E-2</v>
      </c>
      <c r="R918" s="29">
        <v>0.15003660775771735</v>
      </c>
      <c r="S918" s="30">
        <v>2.9000000000000001E-2</v>
      </c>
    </row>
    <row r="919" spans="16:19" x14ac:dyDescent="0.25">
      <c r="P919" s="27">
        <v>3.2548184716220556E-2</v>
      </c>
      <c r="Q919" s="28">
        <f t="shared" si="18"/>
        <v>3.5548184716220559E-2</v>
      </c>
      <c r="R919" s="29">
        <v>0.15003660775771735</v>
      </c>
      <c r="S919" s="30">
        <v>2.6375312000000001E-2</v>
      </c>
    </row>
    <row r="920" spans="16:19" x14ac:dyDescent="0.25">
      <c r="P920" s="27">
        <v>3.2548184716220556E-2</v>
      </c>
      <c r="Q920" s="28">
        <f t="shared" si="18"/>
        <v>3.5548184716220559E-2</v>
      </c>
      <c r="R920" s="29">
        <v>0.15003660775771735</v>
      </c>
      <c r="S920" s="30">
        <v>2.6040000000000001E-2</v>
      </c>
    </row>
    <row r="921" spans="16:19" x14ac:dyDescent="0.25">
      <c r="P921" s="27">
        <v>3.2548184716220556E-2</v>
      </c>
      <c r="Q921" s="28">
        <f t="shared" si="18"/>
        <v>3.5548184716220559E-2</v>
      </c>
      <c r="R921" s="29">
        <v>0.15003660775771735</v>
      </c>
      <c r="S921" s="30">
        <v>3.0100000000000002E-2</v>
      </c>
    </row>
    <row r="922" spans="16:19" x14ac:dyDescent="0.25">
      <c r="P922" s="27">
        <v>3.2548184716220556E-2</v>
      </c>
      <c r="Q922" s="28">
        <f t="shared" si="18"/>
        <v>3.5548184716220559E-2</v>
      </c>
      <c r="R922" s="29">
        <v>0.15003660775771735</v>
      </c>
      <c r="S922" s="30">
        <v>0.04</v>
      </c>
    </row>
    <row r="923" spans="16:19" x14ac:dyDescent="0.25">
      <c r="P923" s="27">
        <v>3.2548184716220556E-2</v>
      </c>
      <c r="Q923" s="28">
        <f t="shared" si="18"/>
        <v>3.5548184716220559E-2</v>
      </c>
      <c r="R923" s="31">
        <v>0.15939660775771733</v>
      </c>
      <c r="S923" s="32">
        <v>4.8000000000000001E-2</v>
      </c>
    </row>
    <row r="924" spans="16:19" x14ac:dyDescent="0.25">
      <c r="P924" s="27">
        <v>3.2548184716220556E-2</v>
      </c>
      <c r="Q924" s="28">
        <f t="shared" si="18"/>
        <v>3.5548184716220559E-2</v>
      </c>
      <c r="R924" s="33">
        <v>0.16282860775771735</v>
      </c>
      <c r="S924" s="34">
        <v>5.1659999999999998E-2</v>
      </c>
    </row>
    <row r="925" spans="16:19" x14ac:dyDescent="0.25">
      <c r="P925" s="27">
        <v>3.2548184716220556E-2</v>
      </c>
      <c r="Q925" s="28">
        <f t="shared" si="18"/>
        <v>3.5548184716220559E-2</v>
      </c>
      <c r="R925" s="33">
        <v>0.16282860775771735</v>
      </c>
      <c r="S925" s="34">
        <v>5.3899999999999997E-2</v>
      </c>
    </row>
    <row r="926" spans="16:19" x14ac:dyDescent="0.25">
      <c r="P926" s="27">
        <v>3.2548184716220556E-2</v>
      </c>
      <c r="Q926" s="28">
        <f t="shared" si="18"/>
        <v>3.5548184716220559E-2</v>
      </c>
      <c r="R926" s="33">
        <v>0.16282860775771735</v>
      </c>
      <c r="S926" s="34">
        <v>5.0999999999999997E-2</v>
      </c>
    </row>
    <row r="927" spans="16:19" x14ac:dyDescent="0.25">
      <c r="P927" s="27">
        <v>3.2548184716220556E-2</v>
      </c>
      <c r="Q927" s="28">
        <f t="shared" si="18"/>
        <v>3.5548184716220559E-2</v>
      </c>
      <c r="R927" s="33">
        <v>0.16282860775771735</v>
      </c>
      <c r="S927" s="34">
        <v>0.05</v>
      </c>
    </row>
    <row r="928" spans="16:19" x14ac:dyDescent="0.25">
      <c r="P928" s="27">
        <v>3.2548184716220556E-2</v>
      </c>
      <c r="Q928" s="28">
        <f t="shared" si="18"/>
        <v>3.5548184716220559E-2</v>
      </c>
      <c r="R928" s="33">
        <v>0.16282860775771735</v>
      </c>
      <c r="S928" s="34">
        <v>4.3999999999999997E-2</v>
      </c>
    </row>
    <row r="929" spans="16:19" x14ac:dyDescent="0.25">
      <c r="P929" s="27">
        <v>3.2548184716220556E-2</v>
      </c>
      <c r="Q929" s="28">
        <f t="shared" si="18"/>
        <v>3.5548184716220559E-2</v>
      </c>
      <c r="R929" s="33">
        <v>0.16282860775771735</v>
      </c>
      <c r="S929" s="34">
        <v>3.8090000000000006E-2</v>
      </c>
    </row>
    <row r="930" spans="16:19" x14ac:dyDescent="0.25">
      <c r="P930" s="27">
        <v>3.2548184716220556E-2</v>
      </c>
      <c r="Q930" s="28">
        <f t="shared" si="18"/>
        <v>3.5548184716220559E-2</v>
      </c>
      <c r="R930" s="33">
        <v>0.16282860775771735</v>
      </c>
      <c r="S930" s="34">
        <v>3.832E-2</v>
      </c>
    </row>
    <row r="931" spans="16:19" x14ac:dyDescent="0.25">
      <c r="P931" s="27">
        <v>3.2548184716220556E-2</v>
      </c>
      <c r="Q931" s="28">
        <f t="shared" si="18"/>
        <v>3.5548184716220559E-2</v>
      </c>
      <c r="R931" s="33">
        <v>0.16282860775771735</v>
      </c>
      <c r="S931" s="34">
        <v>0.04</v>
      </c>
    </row>
    <row r="932" spans="16:19" x14ac:dyDescent="0.25">
      <c r="P932" s="27">
        <v>3.2548184716220556E-2</v>
      </c>
      <c r="Q932" s="28">
        <f t="shared" si="18"/>
        <v>3.5548184716220559E-2</v>
      </c>
      <c r="R932" s="33">
        <v>0.16282860775771735</v>
      </c>
      <c r="S932" s="34">
        <v>4.0549999999999996E-2</v>
      </c>
    </row>
    <row r="933" spans="16:19" x14ac:dyDescent="0.25">
      <c r="P933" s="27">
        <v>3.2548184716220556E-2</v>
      </c>
      <c r="Q933" s="28">
        <f t="shared" si="18"/>
        <v>3.5548184716220559E-2</v>
      </c>
      <c r="R933" s="33">
        <v>0.16282860775771735</v>
      </c>
      <c r="S933" s="34">
        <v>5.4859999999999999E-2</v>
      </c>
    </row>
    <row r="934" spans="16:19" x14ac:dyDescent="0.25">
      <c r="P934" s="27">
        <v>3.2548184716220556E-2</v>
      </c>
      <c r="Q934" s="28">
        <f t="shared" si="18"/>
        <v>3.5548184716220559E-2</v>
      </c>
      <c r="R934" s="33">
        <v>0.16282860775771735</v>
      </c>
      <c r="S934" s="34">
        <v>6.3009999999999997E-2</v>
      </c>
    </row>
    <row r="935" spans="16:19" x14ac:dyDescent="0.25">
      <c r="P935" s="27">
        <v>3.2548184716220556E-2</v>
      </c>
      <c r="Q935" s="28">
        <f t="shared" si="18"/>
        <v>3.5548184716220559E-2</v>
      </c>
      <c r="R935" s="31">
        <v>0.15939660775771733</v>
      </c>
      <c r="S935" s="32">
        <v>6.3E-2</v>
      </c>
    </row>
    <row r="936" spans="16:19" x14ac:dyDescent="0.25">
      <c r="P936" s="27">
        <v>3.2548184716220556E-2</v>
      </c>
      <c r="Q936" s="28">
        <f t="shared" si="18"/>
        <v>3.5548184716220559E-2</v>
      </c>
      <c r="R936" s="31">
        <v>0.15939660775771733</v>
      </c>
      <c r="S936" s="32">
        <v>5.5320000000000001E-2</v>
      </c>
    </row>
    <row r="937" spans="16:19" x14ac:dyDescent="0.25">
      <c r="P937" s="27">
        <v>3.2548184716220556E-2</v>
      </c>
      <c r="Q937" s="28">
        <f t="shared" si="18"/>
        <v>3.5548184716220559E-2</v>
      </c>
      <c r="R937" s="31">
        <v>0.15939660775771733</v>
      </c>
      <c r="S937" s="32">
        <v>4.7390000000000002E-2</v>
      </c>
    </row>
    <row r="938" spans="16:19" x14ac:dyDescent="0.25">
      <c r="P938" s="27">
        <v>3.2548184716220556E-2</v>
      </c>
      <c r="Q938" s="28">
        <f t="shared" si="18"/>
        <v>3.5548184716220559E-2</v>
      </c>
      <c r="R938" s="31">
        <v>0.15939660775771733</v>
      </c>
      <c r="S938" s="32">
        <v>4.1000000000000002E-2</v>
      </c>
    </row>
    <row r="939" spans="16:19" x14ac:dyDescent="0.25">
      <c r="P939" s="27">
        <v>3.2548184716220556E-2</v>
      </c>
      <c r="Q939" s="28">
        <f t="shared" si="18"/>
        <v>3.5548184716220559E-2</v>
      </c>
      <c r="R939" s="29">
        <v>0.15003660775771735</v>
      </c>
      <c r="S939" s="30">
        <v>3.8090000000000006E-2</v>
      </c>
    </row>
    <row r="940" spans="16:19" x14ac:dyDescent="0.25">
      <c r="P940" s="27">
        <v>3.2548184716220556E-2</v>
      </c>
      <c r="Q940" s="28">
        <f t="shared" si="18"/>
        <v>3.5548184716220559E-2</v>
      </c>
      <c r="R940" s="29">
        <v>0.15003660775771735</v>
      </c>
      <c r="S940" s="30">
        <v>2.3E-2</v>
      </c>
    </row>
    <row r="941" spans="16:19" x14ac:dyDescent="0.25">
      <c r="P941" s="27">
        <v>3.2548184716220556E-2</v>
      </c>
      <c r="Q941" s="28">
        <f t="shared" si="18"/>
        <v>3.5548184716220559E-2</v>
      </c>
      <c r="R941" s="29">
        <v>0.15003660775771735</v>
      </c>
      <c r="S941" s="30">
        <v>1.499E-2</v>
      </c>
    </row>
    <row r="942" spans="16:19" x14ac:dyDescent="0.25">
      <c r="P942" s="27">
        <v>3.2548184716220556E-2</v>
      </c>
      <c r="Q942" s="28">
        <f t="shared" si="18"/>
        <v>3.5548184716220559E-2</v>
      </c>
      <c r="R942" s="29">
        <v>0.15003660775771735</v>
      </c>
      <c r="S942" s="30">
        <v>9.0299999999999998E-3</v>
      </c>
    </row>
    <row r="943" spans="16:19" x14ac:dyDescent="0.25">
      <c r="P943" s="27">
        <v>3.2548184716220556E-2</v>
      </c>
      <c r="Q943" s="28">
        <f t="shared" si="18"/>
        <v>3.5548184716220559E-2</v>
      </c>
      <c r="R943" s="29">
        <v>0.15003660775771735</v>
      </c>
      <c r="S943" s="30">
        <v>5.0000000000000001E-3</v>
      </c>
    </row>
    <row r="944" spans="16:19" x14ac:dyDescent="0.25">
      <c r="P944" s="27">
        <v>3.2548184716220556E-2</v>
      </c>
      <c r="Q944" s="28">
        <f t="shared" si="18"/>
        <v>3.5548184716220559E-2</v>
      </c>
      <c r="R944" s="29">
        <v>0.15003660775771735</v>
      </c>
      <c r="S944" s="30">
        <v>5.0000000000000001E-3</v>
      </c>
    </row>
    <row r="945" spans="16:19" x14ac:dyDescent="0.25">
      <c r="P945" s="27">
        <v>3.2548184716220556E-2</v>
      </c>
      <c r="Q945" s="28">
        <f t="shared" si="18"/>
        <v>3.5548184716220559E-2</v>
      </c>
      <c r="R945" s="29">
        <v>0.15003660775771735</v>
      </c>
      <c r="S945" s="30">
        <v>5.0000000000000001E-3</v>
      </c>
    </row>
    <row r="946" spans="16:19" x14ac:dyDescent="0.25">
      <c r="P946" s="27">
        <v>3.2548184716220556E-2</v>
      </c>
      <c r="Q946" s="28">
        <f t="shared" si="18"/>
        <v>3.5548184716220559E-2</v>
      </c>
      <c r="R946" s="29">
        <v>0.15003660775771735</v>
      </c>
      <c r="S946" s="30">
        <v>5.0099999999999997E-3</v>
      </c>
    </row>
    <row r="947" spans="16:19" x14ac:dyDescent="0.25">
      <c r="P947" s="27">
        <v>3.2548184716220556E-2</v>
      </c>
      <c r="Q947" s="28">
        <f t="shared" si="18"/>
        <v>3.5548184716220559E-2</v>
      </c>
      <c r="R947" s="31">
        <v>0.15939660775771733</v>
      </c>
      <c r="S947" s="32">
        <v>6.0000000000000001E-3</v>
      </c>
    </row>
    <row r="948" spans="16:19" x14ac:dyDescent="0.25">
      <c r="P948" s="27">
        <v>3.2548184716220556E-2</v>
      </c>
      <c r="Q948" s="28">
        <f t="shared" si="18"/>
        <v>3.5548184716220559E-2</v>
      </c>
      <c r="R948" s="33">
        <v>0.16282860775771735</v>
      </c>
      <c r="S948" s="34">
        <v>1.4999999999999999E-2</v>
      </c>
    </row>
    <row r="949" spans="16:19" x14ac:dyDescent="0.25">
      <c r="P949" s="27">
        <v>3.2548184716220556E-2</v>
      </c>
      <c r="Q949" s="28">
        <f t="shared" si="18"/>
        <v>3.5548184716220559E-2</v>
      </c>
      <c r="R949" s="33">
        <v>0.16282860775771735</v>
      </c>
      <c r="S949" s="34">
        <v>2.2370000000000001E-2</v>
      </c>
    </row>
    <row r="950" spans="16:19" x14ac:dyDescent="0.25">
      <c r="P950" s="27">
        <v>3.2548184716220556E-2</v>
      </c>
      <c r="Q950" s="28">
        <f t="shared" si="18"/>
        <v>3.5548184716220559E-2</v>
      </c>
      <c r="R950" s="33">
        <v>0.16282860775771735</v>
      </c>
      <c r="S950" s="34">
        <v>2.263331E-2</v>
      </c>
    </row>
    <row r="951" spans="16:19" x14ac:dyDescent="0.25">
      <c r="P951" s="27">
        <v>3.2548184716220556E-2</v>
      </c>
      <c r="Q951" s="28">
        <f t="shared" si="18"/>
        <v>3.5548184716220559E-2</v>
      </c>
      <c r="R951" s="33">
        <v>0.16282860775771735</v>
      </c>
      <c r="S951" s="34">
        <v>0.02</v>
      </c>
    </row>
    <row r="952" spans="16:19" x14ac:dyDescent="0.25">
      <c r="P952" s="27">
        <v>3.2548184716220556E-2</v>
      </c>
      <c r="Q952" s="28">
        <f t="shared" si="18"/>
        <v>3.5548184716220559E-2</v>
      </c>
      <c r="R952" s="33">
        <v>0.16282860775771735</v>
      </c>
      <c r="S952" s="34">
        <v>1.4049359000000001E-2</v>
      </c>
    </row>
    <row r="953" spans="16:19" x14ac:dyDescent="0.25">
      <c r="P953" s="27">
        <v>3.2548184716220556E-2</v>
      </c>
      <c r="Q953" s="28">
        <f t="shared" si="18"/>
        <v>3.5548184716220559E-2</v>
      </c>
      <c r="R953" s="33">
        <v>0.16282860775771735</v>
      </c>
      <c r="S953" s="34">
        <v>5.1999999999999998E-3</v>
      </c>
    </row>
    <row r="954" spans="16:19" x14ac:dyDescent="0.25">
      <c r="P954" s="27">
        <v>3.2548184716220556E-2</v>
      </c>
      <c r="Q954" s="28">
        <f t="shared" si="18"/>
        <v>3.5548184716220559E-2</v>
      </c>
      <c r="R954" s="33">
        <v>0.16282860775771735</v>
      </c>
      <c r="S954" s="34">
        <v>5.8399999999999997E-3</v>
      </c>
    </row>
    <row r="955" spans="16:19" x14ac:dyDescent="0.25">
      <c r="P955" s="27">
        <v>3.2548184716220556E-2</v>
      </c>
      <c r="Q955" s="28">
        <f t="shared" si="18"/>
        <v>3.5548184716220559E-2</v>
      </c>
      <c r="R955" s="33">
        <v>0.16282860775771735</v>
      </c>
      <c r="S955" s="34">
        <v>7.6900000000000007E-3</v>
      </c>
    </row>
    <row r="956" spans="16:19" x14ac:dyDescent="0.25">
      <c r="P956" s="27">
        <v>3.2548184716220556E-2</v>
      </c>
      <c r="Q956" s="28">
        <f t="shared" si="18"/>
        <v>3.5548184716220559E-2</v>
      </c>
      <c r="R956" s="33">
        <v>0.16282860775771735</v>
      </c>
      <c r="S956" s="34">
        <v>0.02</v>
      </c>
    </row>
    <row r="957" spans="16:19" x14ac:dyDescent="0.25">
      <c r="P957" s="27">
        <v>3.2548184716220556E-2</v>
      </c>
      <c r="Q957" s="28">
        <f t="shared" si="18"/>
        <v>3.5548184716220559E-2</v>
      </c>
      <c r="R957" s="33">
        <v>0.16282860775771735</v>
      </c>
      <c r="S957" s="34">
        <v>4.4219999999999995E-2</v>
      </c>
    </row>
    <row r="958" spans="16:19" x14ac:dyDescent="0.25">
      <c r="P958" s="27">
        <v>3.2548184716220556E-2</v>
      </c>
      <c r="Q958" s="28">
        <f t="shared" si="18"/>
        <v>3.5548184716220559E-2</v>
      </c>
      <c r="R958" s="33">
        <v>0.16282860775771735</v>
      </c>
      <c r="S958" s="34">
        <v>0.06</v>
      </c>
    </row>
    <row r="959" spans="16:19" x14ac:dyDescent="0.25">
      <c r="P959" s="27">
        <v>3.2548184716220556E-2</v>
      </c>
      <c r="Q959" s="28">
        <f t="shared" si="18"/>
        <v>3.5548184716220559E-2</v>
      </c>
      <c r="R959" s="31">
        <v>0.15939660775771733</v>
      </c>
      <c r="S959" s="32">
        <v>6.3591812999999997E-2</v>
      </c>
    </row>
    <row r="960" spans="16:19" x14ac:dyDescent="0.25">
      <c r="P960" s="27">
        <v>3.2548184716220556E-2</v>
      </c>
      <c r="Q960" s="28">
        <f t="shared" si="18"/>
        <v>3.5548184716220559E-2</v>
      </c>
      <c r="R960" s="31">
        <v>0.15939660775771733</v>
      </c>
      <c r="S960" s="32">
        <v>0.06</v>
      </c>
    </row>
    <row r="961" spans="16:19" x14ac:dyDescent="0.25">
      <c r="P961" s="27">
        <v>3.2548184716220556E-2</v>
      </c>
      <c r="Q961" s="28">
        <f t="shared" si="18"/>
        <v>3.5548184716220559E-2</v>
      </c>
      <c r="R961" s="31">
        <v>0.15939660775771733</v>
      </c>
      <c r="S961" s="32">
        <v>5.4979999999999994E-2</v>
      </c>
    </row>
    <row r="962" spans="16:19" x14ac:dyDescent="0.25">
      <c r="P962" s="27">
        <v>3.2548184716220556E-2</v>
      </c>
      <c r="Q962" s="28">
        <f t="shared" si="18"/>
        <v>3.5548184716220559E-2</v>
      </c>
      <c r="R962" s="31">
        <v>0.15939660775771733</v>
      </c>
      <c r="S962" s="32">
        <v>4.8000000000000001E-2</v>
      </c>
    </row>
    <row r="963" spans="16:19" x14ac:dyDescent="0.25">
      <c r="P963" s="27">
        <v>3.2548184716220556E-2</v>
      </c>
      <c r="Q963" s="28">
        <f t="shared" si="18"/>
        <v>3.5548184716220559E-2</v>
      </c>
      <c r="R963" s="29">
        <v>0.15003660775771735</v>
      </c>
      <c r="S963" s="30">
        <v>4.1710000000000004E-2</v>
      </c>
    </row>
    <row r="964" spans="16:19" x14ac:dyDescent="0.25">
      <c r="P964" s="27">
        <v>3.2548184716220556E-2</v>
      </c>
      <c r="Q964" s="28">
        <f t="shared" si="18"/>
        <v>3.5548184716220559E-2</v>
      </c>
      <c r="R964" s="29">
        <v>0.15003660775771735</v>
      </c>
      <c r="S964" s="30">
        <v>3.5000000000000003E-2</v>
      </c>
    </row>
    <row r="965" spans="16:19" x14ac:dyDescent="0.25">
      <c r="P965" s="27">
        <v>3.2548184716220556E-2</v>
      </c>
      <c r="Q965" s="28">
        <f t="shared" ref="Q965:Q1028" si="19">P965+0.003</f>
        <v>3.5548184716220559E-2</v>
      </c>
      <c r="R965" s="29">
        <v>0.15003660775771735</v>
      </c>
      <c r="S965" s="30">
        <v>2.7329999999999997E-2</v>
      </c>
    </row>
    <row r="966" spans="16:19" x14ac:dyDescent="0.25">
      <c r="P966" s="27">
        <v>3.2548184716220556E-2</v>
      </c>
      <c r="Q966" s="28">
        <f t="shared" si="19"/>
        <v>3.5548184716220559E-2</v>
      </c>
      <c r="R966" s="29">
        <v>0.15003660775771735</v>
      </c>
      <c r="S966" s="30">
        <v>2.2300878E-2</v>
      </c>
    </row>
    <row r="967" spans="16:19" x14ac:dyDescent="0.25">
      <c r="P967" s="27">
        <v>3.2548184716220556E-2</v>
      </c>
      <c r="Q967" s="28">
        <f t="shared" si="19"/>
        <v>3.5548184716220559E-2</v>
      </c>
      <c r="R967" s="29">
        <v>0.15003660775771735</v>
      </c>
      <c r="S967" s="30">
        <v>1.9949999999999999E-2</v>
      </c>
    </row>
    <row r="968" spans="16:19" x14ac:dyDescent="0.25">
      <c r="P968" s="27">
        <v>3.2548184716220556E-2</v>
      </c>
      <c r="Q968" s="28">
        <f t="shared" si="19"/>
        <v>3.5548184716220559E-2</v>
      </c>
      <c r="R968" s="29">
        <v>0.15003660775771735</v>
      </c>
      <c r="S968" s="30">
        <v>2.1999999999999999E-2</v>
      </c>
    </row>
    <row r="969" spans="16:19" x14ac:dyDescent="0.25">
      <c r="P969" s="27">
        <v>3.2548184716220556E-2</v>
      </c>
      <c r="Q969" s="28">
        <f t="shared" si="19"/>
        <v>3.5548184716220559E-2</v>
      </c>
      <c r="R969" s="29">
        <v>0.15003660775771735</v>
      </c>
      <c r="S969" s="30">
        <v>3.4290000000000001E-2</v>
      </c>
    </row>
    <row r="970" spans="16:19" x14ac:dyDescent="0.25">
      <c r="P970" s="27">
        <v>3.2548184716220556E-2</v>
      </c>
      <c r="Q970" s="28">
        <f t="shared" si="19"/>
        <v>3.5548184716220559E-2</v>
      </c>
      <c r="R970" s="29">
        <v>0.15003660775771735</v>
      </c>
      <c r="S970" s="30">
        <v>5.2020000000000004E-2</v>
      </c>
    </row>
    <row r="971" spans="16:19" x14ac:dyDescent="0.25">
      <c r="P971" s="27">
        <v>3.2548184716220556E-2</v>
      </c>
      <c r="Q971" s="28">
        <f t="shared" si="19"/>
        <v>3.5548184716220559E-2</v>
      </c>
      <c r="R971" s="31">
        <v>0.15939999999999999</v>
      </c>
      <c r="S971" s="32">
        <v>6.1789999999999998E-2</v>
      </c>
    </row>
    <row r="972" spans="16:19" x14ac:dyDescent="0.25">
      <c r="P972" s="27">
        <v>3.2548184716220556E-2</v>
      </c>
      <c r="Q972" s="28">
        <f t="shared" si="19"/>
        <v>3.5548184716220559E-2</v>
      </c>
      <c r="R972" s="31">
        <v>0.15939999999999999</v>
      </c>
      <c r="S972" s="32">
        <v>6.9026343000000004E-2</v>
      </c>
    </row>
    <row r="973" spans="16:19" x14ac:dyDescent="0.25">
      <c r="P973" s="27">
        <v>3.2548184716220556E-2</v>
      </c>
      <c r="Q973" s="28">
        <f t="shared" si="19"/>
        <v>3.5548184716220559E-2</v>
      </c>
      <c r="R973" s="31">
        <v>0.15939999999999999</v>
      </c>
      <c r="S973" s="32">
        <v>6.676E-2</v>
      </c>
    </row>
    <row r="974" spans="16:19" x14ac:dyDescent="0.25">
      <c r="P974" s="27">
        <v>3.2548184716220556E-2</v>
      </c>
      <c r="Q974" s="28">
        <f t="shared" si="19"/>
        <v>3.5548184716220559E-2</v>
      </c>
      <c r="R974" s="31">
        <v>0.15939999999999999</v>
      </c>
      <c r="S974" s="32">
        <v>6.4649999999999999E-2</v>
      </c>
    </row>
    <row r="975" spans="16:19" x14ac:dyDescent="0.25">
      <c r="P975" s="27">
        <v>3.2548184716220556E-2</v>
      </c>
      <c r="Q975" s="28">
        <f t="shared" si="19"/>
        <v>3.5548184716220559E-2</v>
      </c>
      <c r="R975" s="31">
        <v>0.15939999999999999</v>
      </c>
      <c r="S975" s="32">
        <v>6.2060000000000004E-2</v>
      </c>
    </row>
    <row r="976" spans="16:19" x14ac:dyDescent="0.25">
      <c r="P976" s="27">
        <v>3.2548184716220556E-2</v>
      </c>
      <c r="Q976" s="28">
        <f t="shared" si="19"/>
        <v>3.5548184716220559E-2</v>
      </c>
      <c r="R976" s="31">
        <v>0.15939999999999999</v>
      </c>
      <c r="S976" s="32">
        <v>5.7549999999999997E-2</v>
      </c>
    </row>
    <row r="977" spans="16:19" x14ac:dyDescent="0.25">
      <c r="P977" s="27">
        <v>3.2548184716220556E-2</v>
      </c>
      <c r="Q977" s="28">
        <f t="shared" si="19"/>
        <v>3.5548184716220559E-2</v>
      </c>
      <c r="R977" s="31">
        <v>0.15939999999999999</v>
      </c>
      <c r="S977" s="32">
        <v>5.7970000000000001E-2</v>
      </c>
    </row>
    <row r="978" spans="16:19" x14ac:dyDescent="0.25">
      <c r="P978" s="27">
        <v>3.2548184716220556E-2</v>
      </c>
      <c r="Q978" s="28">
        <f t="shared" si="19"/>
        <v>3.5548184716220559E-2</v>
      </c>
      <c r="R978" s="31">
        <v>0.15939999999999999</v>
      </c>
      <c r="S978" s="32">
        <v>6.148E-2</v>
      </c>
    </row>
    <row r="979" spans="16:19" x14ac:dyDescent="0.25">
      <c r="P979" s="27">
        <v>3.2548184716220556E-2</v>
      </c>
      <c r="Q979" s="28">
        <f t="shared" si="19"/>
        <v>3.5548184716220559E-2</v>
      </c>
      <c r="R979" s="31">
        <v>0.15939999999999999</v>
      </c>
      <c r="S979" s="32">
        <v>6.2649999999999997E-2</v>
      </c>
    </row>
    <row r="980" spans="16:19" x14ac:dyDescent="0.25">
      <c r="P980" s="27">
        <v>3.2548184716220556E-2</v>
      </c>
      <c r="Q980" s="28">
        <f t="shared" si="19"/>
        <v>3.5548184716220559E-2</v>
      </c>
      <c r="R980" s="31">
        <v>0.15939999999999999</v>
      </c>
      <c r="S980" s="32">
        <v>6.2649999999999997E-2</v>
      </c>
    </row>
    <row r="981" spans="16:19" x14ac:dyDescent="0.25">
      <c r="P981" s="27">
        <v>3.2548184716220556E-2</v>
      </c>
      <c r="Q981" s="28">
        <f t="shared" si="19"/>
        <v>3.5548184716220559E-2</v>
      </c>
      <c r="R981" s="31">
        <v>0.15939999999999999</v>
      </c>
      <c r="S981" s="32">
        <v>6.4170517999999996E-2</v>
      </c>
    </row>
    <row r="982" spans="16:19" x14ac:dyDescent="0.25">
      <c r="P982" s="27">
        <v>3.2548184716220556E-2</v>
      </c>
      <c r="Q982" s="28">
        <f t="shared" si="19"/>
        <v>3.5548184716220559E-2</v>
      </c>
      <c r="R982" s="31">
        <v>0.15939999999999999</v>
      </c>
      <c r="S982" s="32">
        <v>6.8250000000000005E-2</v>
      </c>
    </row>
    <row r="983" spans="16:19" x14ac:dyDescent="0.25">
      <c r="P983" s="27">
        <v>3.2548184716220556E-2</v>
      </c>
      <c r="Q983" s="28">
        <f t="shared" si="19"/>
        <v>3.5548184716220559E-2</v>
      </c>
      <c r="R983" s="31">
        <v>0.15939999999999999</v>
      </c>
      <c r="S983" s="32">
        <v>6.3590000000000008E-2</v>
      </c>
    </row>
    <row r="984" spans="16:19" x14ac:dyDescent="0.25">
      <c r="P984" s="27">
        <v>3.2548184716220556E-2</v>
      </c>
      <c r="Q984" s="28">
        <f t="shared" si="19"/>
        <v>3.5548184716220559E-2</v>
      </c>
      <c r="R984" s="31">
        <v>0.15939999999999999</v>
      </c>
      <c r="S984" s="32">
        <v>5.8999999999999997E-2</v>
      </c>
    </row>
    <row r="985" spans="16:19" x14ac:dyDescent="0.25">
      <c r="P985" s="27">
        <v>3.2548184716220556E-2</v>
      </c>
      <c r="Q985" s="28">
        <f t="shared" si="19"/>
        <v>3.5548184716220559E-2</v>
      </c>
      <c r="R985" s="31">
        <v>0.15939999999999999</v>
      </c>
      <c r="S985" s="32">
        <v>5.4187859000000005E-2</v>
      </c>
    </row>
    <row r="986" spans="16:19" x14ac:dyDescent="0.25">
      <c r="P986" s="27">
        <v>3.2548184716220556E-2</v>
      </c>
      <c r="Q986" s="28">
        <f t="shared" si="19"/>
        <v>3.5548184716220559E-2</v>
      </c>
      <c r="R986" s="31">
        <v>0.15939999999999999</v>
      </c>
      <c r="S986" s="32">
        <v>5.0549999999999998E-2</v>
      </c>
    </row>
    <row r="987" spans="16:19" x14ac:dyDescent="0.25">
      <c r="P987" s="27">
        <v>3.2548184716220556E-2</v>
      </c>
      <c r="Q987" s="28">
        <f t="shared" si="19"/>
        <v>3.5548184716220559E-2</v>
      </c>
      <c r="R987" s="29">
        <v>0.15</v>
      </c>
      <c r="S987" s="30">
        <v>4.4999999999999998E-2</v>
      </c>
    </row>
    <row r="988" spans="16:19" x14ac:dyDescent="0.25">
      <c r="P988" s="27">
        <v>3.2548184716220556E-2</v>
      </c>
      <c r="Q988" s="28">
        <f t="shared" si="19"/>
        <v>3.5548184716220559E-2</v>
      </c>
      <c r="R988" s="29">
        <v>0.15</v>
      </c>
      <c r="S988" s="30">
        <v>3.9640000000000002E-2</v>
      </c>
    </row>
    <row r="989" spans="16:19" x14ac:dyDescent="0.25">
      <c r="P989" s="27">
        <v>3.2548184716220556E-2</v>
      </c>
      <c r="Q989" s="28">
        <f t="shared" si="19"/>
        <v>3.5548184716220559E-2</v>
      </c>
      <c r="R989" s="29">
        <v>0.15</v>
      </c>
      <c r="S989" s="30">
        <v>3.5000000000000003E-2</v>
      </c>
    </row>
    <row r="990" spans="16:19" x14ac:dyDescent="0.25">
      <c r="P990" s="27">
        <v>3.2548184716220556E-2</v>
      </c>
      <c r="Q990" s="28">
        <f t="shared" si="19"/>
        <v>3.5548184716220559E-2</v>
      </c>
      <c r="R990" s="29">
        <v>0.15</v>
      </c>
      <c r="S990" s="30">
        <v>3.2500000000000001E-2</v>
      </c>
    </row>
    <row r="991" spans="16:19" x14ac:dyDescent="0.25">
      <c r="P991" s="27">
        <v>3.2548184716220556E-2</v>
      </c>
      <c r="Q991" s="28">
        <f t="shared" si="19"/>
        <v>3.5548184716220559E-2</v>
      </c>
      <c r="R991" s="29">
        <v>0.15</v>
      </c>
      <c r="S991" s="30">
        <v>2.8000000000000001E-2</v>
      </c>
    </row>
    <row r="992" spans="16:19" x14ac:dyDescent="0.25">
      <c r="P992" s="27">
        <v>3.2548184716220556E-2</v>
      </c>
      <c r="Q992" s="28">
        <f t="shared" si="19"/>
        <v>3.5548184716220559E-2</v>
      </c>
      <c r="R992" s="29">
        <v>0.15</v>
      </c>
      <c r="S992" s="30">
        <v>2.7170000000000003E-2</v>
      </c>
    </row>
    <row r="993" spans="16:19" x14ac:dyDescent="0.25">
      <c r="P993" s="27">
        <v>3.2548184716220556E-2</v>
      </c>
      <c r="Q993" s="28">
        <f t="shared" si="19"/>
        <v>3.5548184716220559E-2</v>
      </c>
      <c r="R993" s="29">
        <v>0.15</v>
      </c>
      <c r="S993" s="30">
        <v>3.5540000000000002E-2</v>
      </c>
    </row>
    <row r="994" spans="16:19" x14ac:dyDescent="0.25">
      <c r="P994" s="27">
        <v>3.2548184716220556E-2</v>
      </c>
      <c r="Q994" s="28">
        <f t="shared" si="19"/>
        <v>3.5548184716220559E-2</v>
      </c>
      <c r="R994" s="29">
        <v>0.15</v>
      </c>
      <c r="S994" s="30">
        <v>5.2899999999999996E-2</v>
      </c>
    </row>
    <row r="995" spans="16:19" x14ac:dyDescent="0.25">
      <c r="P995" s="27">
        <v>3.2548184716220556E-2</v>
      </c>
      <c r="Q995" s="28">
        <f t="shared" si="19"/>
        <v>3.5548184716220559E-2</v>
      </c>
      <c r="R995" s="29">
        <v>0.15</v>
      </c>
      <c r="S995" s="30">
        <v>5.9069999999999998E-2</v>
      </c>
    </row>
    <row r="996" spans="16:19" x14ac:dyDescent="0.25">
      <c r="P996" s="27">
        <v>3.2548184716220556E-2</v>
      </c>
      <c r="Q996" s="28">
        <f t="shared" si="19"/>
        <v>3.5548184716220559E-2</v>
      </c>
      <c r="R996" s="29">
        <v>0.15</v>
      </c>
      <c r="S996" s="30">
        <v>6.7030000000000006E-2</v>
      </c>
    </row>
    <row r="997" spans="16:19" x14ac:dyDescent="0.25">
      <c r="P997" s="27">
        <v>3.2548184716220556E-2</v>
      </c>
      <c r="Q997" s="28">
        <f t="shared" si="19"/>
        <v>3.5548184716220559E-2</v>
      </c>
      <c r="R997" s="29">
        <v>0.15</v>
      </c>
      <c r="S997" s="30">
        <v>6.4890000000000003E-2</v>
      </c>
    </row>
    <row r="998" spans="16:19" x14ac:dyDescent="0.25">
      <c r="P998" s="27">
        <v>3.2548184716220556E-2</v>
      </c>
      <c r="Q998" s="28">
        <f t="shared" si="19"/>
        <v>3.5548184716220559E-2</v>
      </c>
      <c r="R998" s="29">
        <v>0.15</v>
      </c>
      <c r="S998" s="30">
        <v>6.2729999999999994E-2</v>
      </c>
    </row>
    <row r="999" spans="16:19" x14ac:dyDescent="0.25">
      <c r="P999" s="27">
        <v>3.2548184716220556E-2</v>
      </c>
      <c r="Q999" s="28">
        <f t="shared" si="19"/>
        <v>3.5548184716220559E-2</v>
      </c>
      <c r="R999" s="29">
        <v>0.15</v>
      </c>
      <c r="S999" s="30">
        <v>6.0039999999999996E-2</v>
      </c>
    </row>
    <row r="1000" spans="16:19" x14ac:dyDescent="0.25">
      <c r="P1000" s="27">
        <v>3.2548184716220556E-2</v>
      </c>
      <c r="Q1000" s="28">
        <f t="shared" si="19"/>
        <v>3.5548184716220559E-2</v>
      </c>
      <c r="R1000" s="29">
        <v>0.15</v>
      </c>
      <c r="S1000" s="30">
        <v>5.5909999999999994E-2</v>
      </c>
    </row>
    <row r="1001" spans="16:19" x14ac:dyDescent="0.25">
      <c r="P1001" s="27">
        <v>3.2548184716220556E-2</v>
      </c>
      <c r="Q1001" s="28">
        <f t="shared" si="19"/>
        <v>3.5548184716220559E-2</v>
      </c>
      <c r="R1001" s="29">
        <v>0.15</v>
      </c>
      <c r="S1001" s="30">
        <v>5.5840000000000001E-2</v>
      </c>
    </row>
    <row r="1002" spans="16:19" x14ac:dyDescent="0.25">
      <c r="P1002" s="27">
        <v>3.2548184716220556E-2</v>
      </c>
      <c r="Q1002" s="28">
        <f t="shared" si="19"/>
        <v>3.5548184716220559E-2</v>
      </c>
      <c r="R1002" s="29">
        <v>0.15</v>
      </c>
      <c r="S1002" s="30">
        <v>5.7430000000000002E-2</v>
      </c>
    </row>
    <row r="1003" spans="16:19" x14ac:dyDescent="0.25">
      <c r="P1003" s="27">
        <v>3.2548184716220556E-2</v>
      </c>
      <c r="Q1003" s="28">
        <f t="shared" si="19"/>
        <v>3.5548184716220559E-2</v>
      </c>
      <c r="R1003" s="29">
        <v>0.15</v>
      </c>
      <c r="S1003" s="30">
        <v>0.06</v>
      </c>
    </row>
    <row r="1004" spans="16:19" x14ac:dyDescent="0.25">
      <c r="P1004" s="27">
        <v>3.2548184716220556E-2</v>
      </c>
      <c r="Q1004" s="28">
        <f t="shared" si="19"/>
        <v>3.5548184716220559E-2</v>
      </c>
      <c r="R1004" s="29">
        <v>0.15</v>
      </c>
      <c r="S1004" s="30">
        <v>6.2399999999999997E-2</v>
      </c>
    </row>
    <row r="1005" spans="16:19" x14ac:dyDescent="0.25">
      <c r="P1005" s="27">
        <v>3.2548184716220556E-2</v>
      </c>
      <c r="Q1005" s="28">
        <f t="shared" si="19"/>
        <v>3.5548184716220559E-2</v>
      </c>
      <c r="R1005" s="29">
        <v>0.15</v>
      </c>
      <c r="S1005" s="30">
        <v>6.3500000000000001E-2</v>
      </c>
    </row>
    <row r="1006" spans="16:19" x14ac:dyDescent="0.25">
      <c r="P1006" s="27">
        <v>3.2548184716220556E-2</v>
      </c>
      <c r="Q1006" s="28">
        <f t="shared" si="19"/>
        <v>3.5548184716220559E-2</v>
      </c>
      <c r="R1006" s="29">
        <v>0.15</v>
      </c>
      <c r="S1006" s="30">
        <v>7.0999999999999994E-2</v>
      </c>
    </row>
    <row r="1007" spans="16:19" x14ac:dyDescent="0.25">
      <c r="P1007" s="27">
        <v>3.2548184716220556E-2</v>
      </c>
      <c r="Q1007" s="28">
        <f t="shared" si="19"/>
        <v>3.5548184716220559E-2</v>
      </c>
      <c r="R1007" s="29">
        <v>0.15</v>
      </c>
      <c r="S1007" s="30">
        <v>6.5290000000000001E-2</v>
      </c>
    </row>
    <row r="1008" spans="16:19" x14ac:dyDescent="0.25">
      <c r="P1008" s="27">
        <v>3.2548184716220556E-2</v>
      </c>
      <c r="Q1008" s="28">
        <f t="shared" si="19"/>
        <v>3.5548184716220559E-2</v>
      </c>
      <c r="R1008" s="29">
        <v>0.15</v>
      </c>
      <c r="S1008" s="30">
        <v>5.8529999999999999E-2</v>
      </c>
    </row>
    <row r="1009" spans="16:19" x14ac:dyDescent="0.25">
      <c r="P1009" s="27">
        <v>3.2548184716220556E-2</v>
      </c>
      <c r="Q1009" s="28">
        <f t="shared" si="19"/>
        <v>3.5548184716220559E-2</v>
      </c>
      <c r="R1009" s="29">
        <v>0.15</v>
      </c>
      <c r="S1009" s="30">
        <v>5.4109999999999998E-2</v>
      </c>
    </row>
    <row r="1010" spans="16:19" x14ac:dyDescent="0.25">
      <c r="P1010" s="27">
        <v>3.2548184716220556E-2</v>
      </c>
      <c r="Q1010" s="28">
        <f t="shared" si="19"/>
        <v>3.5548184716220559E-2</v>
      </c>
      <c r="R1010" s="29">
        <v>0.15</v>
      </c>
      <c r="S1010" s="30">
        <v>5.1369999999999999E-2</v>
      </c>
    </row>
    <row r="1011" spans="16:19" x14ac:dyDescent="0.25">
      <c r="P1011" s="27">
        <v>3.2548184716220556E-2</v>
      </c>
      <c r="Q1011" s="28">
        <f t="shared" si="19"/>
        <v>3.5548184716220559E-2</v>
      </c>
      <c r="R1011" s="29">
        <v>0.15</v>
      </c>
      <c r="S1011" s="30">
        <v>4.4999999999999998E-2</v>
      </c>
    </row>
    <row r="1012" spans="16:19" x14ac:dyDescent="0.25">
      <c r="P1012" s="27">
        <v>3.2548184716220556E-2</v>
      </c>
      <c r="Q1012" s="28">
        <f t="shared" si="19"/>
        <v>3.5548184716220559E-2</v>
      </c>
      <c r="R1012" s="29">
        <v>0.15</v>
      </c>
      <c r="S1012" s="30">
        <v>4.0500000000000001E-2</v>
      </c>
    </row>
    <row r="1013" spans="16:19" x14ac:dyDescent="0.25">
      <c r="P1013" s="27">
        <v>3.2548184716220556E-2</v>
      </c>
      <c r="Q1013" s="28">
        <f t="shared" si="19"/>
        <v>3.5548184716220559E-2</v>
      </c>
      <c r="R1013" s="29">
        <v>0.15</v>
      </c>
      <c r="S1013" s="30">
        <v>3.5999999999999997E-2</v>
      </c>
    </row>
    <row r="1014" spans="16:19" x14ac:dyDescent="0.25">
      <c r="P1014" s="27">
        <v>3.2548184716220556E-2</v>
      </c>
      <c r="Q1014" s="28">
        <f t="shared" si="19"/>
        <v>3.5548184716220559E-2</v>
      </c>
      <c r="R1014" s="29">
        <v>0.15</v>
      </c>
      <c r="S1014" s="30">
        <v>3.3350000000000005E-2</v>
      </c>
    </row>
    <row r="1015" spans="16:19" x14ac:dyDescent="0.25">
      <c r="P1015" s="27">
        <v>3.2548184716220556E-2</v>
      </c>
      <c r="Q1015" s="28">
        <f t="shared" si="19"/>
        <v>3.5548184716220559E-2</v>
      </c>
      <c r="R1015" s="29">
        <v>0.15</v>
      </c>
      <c r="S1015" s="30">
        <v>3.1E-2</v>
      </c>
    </row>
    <row r="1016" spans="16:19" x14ac:dyDescent="0.25">
      <c r="P1016" s="27">
        <v>3.2548184716220556E-2</v>
      </c>
      <c r="Q1016" s="28">
        <f t="shared" si="19"/>
        <v>3.5548184716220559E-2</v>
      </c>
      <c r="R1016" s="29">
        <v>0.15</v>
      </c>
      <c r="S1016" s="30">
        <v>3.1219999999999998E-2</v>
      </c>
    </row>
    <row r="1017" spans="16:19" x14ac:dyDescent="0.25">
      <c r="P1017" s="27">
        <v>3.2548184716220556E-2</v>
      </c>
      <c r="Q1017" s="28">
        <f t="shared" si="19"/>
        <v>3.5548184716220559E-2</v>
      </c>
      <c r="R1017" s="29">
        <v>0.15</v>
      </c>
      <c r="S1017" s="30">
        <v>3.8607343999999995E-2</v>
      </c>
    </row>
    <row r="1018" spans="16:19" x14ac:dyDescent="0.25">
      <c r="P1018" s="27">
        <v>3.2548184716220556E-2</v>
      </c>
      <c r="Q1018" s="28">
        <f t="shared" si="19"/>
        <v>3.5548184716220559E-2</v>
      </c>
      <c r="R1018" s="29">
        <v>0.15</v>
      </c>
      <c r="S1018" s="30">
        <v>5.5329999999999997E-2</v>
      </c>
    </row>
    <row r="1019" spans="16:19" x14ac:dyDescent="0.25">
      <c r="P1019" s="27">
        <v>3.2548184716220556E-2</v>
      </c>
      <c r="Q1019" s="28">
        <f t="shared" si="19"/>
        <v>3.5548184716220559E-2</v>
      </c>
      <c r="R1019" s="31">
        <v>0.15939660775771733</v>
      </c>
      <c r="S1019" s="32">
        <v>6.2979999999999994E-2</v>
      </c>
    </row>
    <row r="1020" spans="16:19" x14ac:dyDescent="0.25">
      <c r="P1020" s="27">
        <v>3.2548184716220556E-2</v>
      </c>
      <c r="Q1020" s="28">
        <f t="shared" si="19"/>
        <v>3.5548184716220559E-2</v>
      </c>
      <c r="R1020" s="33">
        <v>0.16282860775771735</v>
      </c>
      <c r="S1020" s="34">
        <v>6.7650000000000002E-2</v>
      </c>
    </row>
    <row r="1021" spans="16:19" x14ac:dyDescent="0.25">
      <c r="P1021" s="27">
        <v>3.2548184716220556E-2</v>
      </c>
      <c r="Q1021" s="28">
        <f t="shared" si="19"/>
        <v>3.5548184716220559E-2</v>
      </c>
      <c r="R1021" s="33">
        <v>0.16282860775771735</v>
      </c>
      <c r="S1021" s="34">
        <v>6.4659999999999995E-2</v>
      </c>
    </row>
    <row r="1022" spans="16:19" x14ac:dyDescent="0.25">
      <c r="P1022" s="27">
        <v>3.2548184716220556E-2</v>
      </c>
      <c r="Q1022" s="28">
        <f t="shared" si="19"/>
        <v>3.5548184716220559E-2</v>
      </c>
      <c r="R1022" s="33">
        <v>0.16282860775771735</v>
      </c>
      <c r="S1022" s="34">
        <v>6.0010000000000001E-2</v>
      </c>
    </row>
    <row r="1023" spans="16:19" x14ac:dyDescent="0.25">
      <c r="P1023" s="27">
        <v>3.2548184716220556E-2</v>
      </c>
      <c r="Q1023" s="28">
        <f t="shared" si="19"/>
        <v>3.5548184716220559E-2</v>
      </c>
      <c r="R1023" s="33">
        <v>0.16282860775771735</v>
      </c>
      <c r="S1023" s="34">
        <v>0.06</v>
      </c>
    </row>
    <row r="1024" spans="16:19" x14ac:dyDescent="0.25">
      <c r="P1024" s="27">
        <v>3.2548184716220556E-2</v>
      </c>
      <c r="Q1024" s="28">
        <f t="shared" si="19"/>
        <v>3.5548184716220559E-2</v>
      </c>
      <c r="R1024" s="33">
        <v>0.16282860775771735</v>
      </c>
      <c r="S1024" s="34">
        <v>5.3999999999999999E-2</v>
      </c>
    </row>
    <row r="1025" spans="16:19" x14ac:dyDescent="0.25">
      <c r="P1025" s="27">
        <v>3.2548184716220556E-2</v>
      </c>
      <c r="Q1025" s="28">
        <f t="shared" si="19"/>
        <v>3.5548184716220559E-2</v>
      </c>
      <c r="R1025" s="33">
        <v>0.16282860775771735</v>
      </c>
      <c r="S1025" s="34">
        <v>5.3990000000000003E-2</v>
      </c>
    </row>
    <row r="1026" spans="16:19" x14ac:dyDescent="0.25">
      <c r="P1026" s="27">
        <v>3.2548184716220556E-2</v>
      </c>
      <c r="Q1026" s="28">
        <f t="shared" si="19"/>
        <v>3.5548184716220559E-2</v>
      </c>
      <c r="R1026" s="33">
        <v>0.16282860775771735</v>
      </c>
      <c r="S1026" s="34">
        <v>5.5850000000000004E-2</v>
      </c>
    </row>
    <row r="1027" spans="16:19" x14ac:dyDescent="0.25">
      <c r="P1027" s="27">
        <v>3.2548184716220556E-2</v>
      </c>
      <c r="Q1027" s="28">
        <f t="shared" si="19"/>
        <v>3.5548184716220559E-2</v>
      </c>
      <c r="R1027" s="33">
        <v>0.16282860775771735</v>
      </c>
      <c r="S1027" s="34">
        <v>5.9700000000000003E-2</v>
      </c>
    </row>
    <row r="1028" spans="16:19" x14ac:dyDescent="0.25">
      <c r="P1028" s="27">
        <v>3.2548184716220556E-2</v>
      </c>
      <c r="Q1028" s="28">
        <f t="shared" si="19"/>
        <v>3.5548184716220559E-2</v>
      </c>
      <c r="R1028" s="33">
        <v>0.16282860775771735</v>
      </c>
      <c r="S1028" s="34">
        <v>6.3E-2</v>
      </c>
    </row>
    <row r="1029" spans="16:19" x14ac:dyDescent="0.25">
      <c r="P1029" s="27">
        <v>3.2548184716220556E-2</v>
      </c>
      <c r="Q1029" s="28">
        <f t="shared" ref="Q1029:Q1092" si="20">P1029+0.003</f>
        <v>3.5548184716220559E-2</v>
      </c>
      <c r="R1029" s="33">
        <v>0.16282860775771735</v>
      </c>
      <c r="S1029" s="34">
        <v>6.6680000000000003E-2</v>
      </c>
    </row>
    <row r="1030" spans="16:19" x14ac:dyDescent="0.25">
      <c r="P1030" s="27">
        <v>3.2548184716220556E-2</v>
      </c>
      <c r="Q1030" s="28">
        <f t="shared" si="20"/>
        <v>3.5548184716220559E-2</v>
      </c>
      <c r="R1030" s="33">
        <v>0.16282860775771735</v>
      </c>
      <c r="S1030" s="34">
        <v>7.5879999999999989E-2</v>
      </c>
    </row>
    <row r="1031" spans="16:19" x14ac:dyDescent="0.25">
      <c r="P1031" s="27">
        <v>3.2548184716220556E-2</v>
      </c>
      <c r="Q1031" s="28">
        <f t="shared" si="20"/>
        <v>3.5548184716220559E-2</v>
      </c>
      <c r="R1031" s="31">
        <v>0.15939660775771733</v>
      </c>
      <c r="S1031" s="32">
        <v>6.9550000000000001E-2</v>
      </c>
    </row>
    <row r="1032" spans="16:19" x14ac:dyDescent="0.25">
      <c r="P1032" s="27">
        <v>3.2548184716220556E-2</v>
      </c>
      <c r="Q1032" s="28">
        <f t="shared" si="20"/>
        <v>3.5548184716220559E-2</v>
      </c>
      <c r="R1032" s="31">
        <v>0.15939660775771733</v>
      </c>
      <c r="S1032" s="32">
        <v>6.2979999999999994E-2</v>
      </c>
    </row>
    <row r="1033" spans="16:19" x14ac:dyDescent="0.25">
      <c r="P1033" s="27">
        <v>3.2548184716220556E-2</v>
      </c>
      <c r="Q1033" s="28">
        <f t="shared" si="20"/>
        <v>3.5548184716220559E-2</v>
      </c>
      <c r="R1033" s="31">
        <v>0.15939660775771733</v>
      </c>
      <c r="S1033" s="32">
        <v>5.8500000000000003E-2</v>
      </c>
    </row>
    <row r="1034" spans="16:19" x14ac:dyDescent="0.25">
      <c r="P1034" s="27">
        <v>3.2548184716220556E-2</v>
      </c>
      <c r="Q1034" s="28">
        <f t="shared" si="20"/>
        <v>3.5548184716220559E-2</v>
      </c>
      <c r="R1034" s="31">
        <v>0.15939660775771733</v>
      </c>
      <c r="S1034" s="32">
        <v>5.5920000000000004E-2</v>
      </c>
    </row>
    <row r="1035" spans="16:19" x14ac:dyDescent="0.25">
      <c r="P1035" s="27">
        <v>3.2548184716220556E-2</v>
      </c>
      <c r="Q1035" s="28">
        <f t="shared" si="20"/>
        <v>3.5548184716220559E-2</v>
      </c>
      <c r="R1035" s="29">
        <v>0.15003660775771735</v>
      </c>
      <c r="S1035" s="30">
        <v>5.203E-2</v>
      </c>
    </row>
    <row r="1036" spans="16:19" x14ac:dyDescent="0.25">
      <c r="P1036" s="27">
        <v>3.2548184716220556E-2</v>
      </c>
      <c r="Q1036" s="28">
        <f t="shared" si="20"/>
        <v>3.5548184716220559E-2</v>
      </c>
      <c r="R1036" s="29">
        <v>0.15003660775771735</v>
      </c>
      <c r="S1036" s="30">
        <v>4.3999999999999997E-2</v>
      </c>
    </row>
    <row r="1037" spans="16:19" x14ac:dyDescent="0.25">
      <c r="P1037" s="27">
        <v>3.2548184716220556E-2</v>
      </c>
      <c r="Q1037" s="28">
        <f t="shared" si="20"/>
        <v>3.5548184716220559E-2</v>
      </c>
      <c r="R1037" s="29">
        <v>0.15003660775771735</v>
      </c>
      <c r="S1037" s="30">
        <v>3.8090000000000006E-2</v>
      </c>
    </row>
    <row r="1038" spans="16:19" x14ac:dyDescent="0.25">
      <c r="P1038" s="27">
        <v>3.2548184716220556E-2</v>
      </c>
      <c r="Q1038" s="28">
        <f t="shared" si="20"/>
        <v>3.5548184716220559E-2</v>
      </c>
      <c r="R1038" s="29">
        <v>0.15003660775771735</v>
      </c>
      <c r="S1038" s="30">
        <v>3.4799999999999998E-2</v>
      </c>
    </row>
    <row r="1039" spans="16:19" x14ac:dyDescent="0.25">
      <c r="P1039" s="27">
        <v>3.2548184716220556E-2</v>
      </c>
      <c r="Q1039" s="28">
        <f t="shared" si="20"/>
        <v>3.5548184716220559E-2</v>
      </c>
      <c r="R1039" s="29">
        <v>0.15003660775771735</v>
      </c>
      <c r="S1039" s="30">
        <v>3.2100000000000004E-2</v>
      </c>
    </row>
    <row r="1040" spans="16:19" x14ac:dyDescent="0.25">
      <c r="P1040" s="27">
        <v>3.2548184716220556E-2</v>
      </c>
      <c r="Q1040" s="28">
        <f t="shared" si="20"/>
        <v>3.5548184716220559E-2</v>
      </c>
      <c r="R1040" s="29">
        <v>0.15003660775771735</v>
      </c>
      <c r="S1040" s="30">
        <v>3.4070000000000003E-2</v>
      </c>
    </row>
    <row r="1041" spans="16:19" x14ac:dyDescent="0.25">
      <c r="P1041" s="27">
        <v>3.2548184716220556E-2</v>
      </c>
      <c r="Q1041" s="28">
        <f t="shared" si="20"/>
        <v>3.5548184716220559E-2</v>
      </c>
      <c r="R1041" s="29">
        <v>0.15003660775771735</v>
      </c>
      <c r="S1041" s="30">
        <v>4.1000000000000002E-2</v>
      </c>
    </row>
    <row r="1042" spans="16:19" x14ac:dyDescent="0.25">
      <c r="P1042" s="27">
        <v>3.2548184716220556E-2</v>
      </c>
      <c r="Q1042" s="28">
        <f t="shared" si="20"/>
        <v>3.5548184716220559E-2</v>
      </c>
      <c r="R1042" s="29">
        <v>0.15003660775771735</v>
      </c>
      <c r="S1042" s="30">
        <v>5.6460000000000003E-2</v>
      </c>
    </row>
    <row r="1043" spans="16:19" x14ac:dyDescent="0.25">
      <c r="P1043" s="27">
        <v>3.2548184716220556E-2</v>
      </c>
      <c r="Q1043" s="28">
        <f t="shared" si="20"/>
        <v>3.5548184716220559E-2</v>
      </c>
      <c r="R1043" s="31">
        <v>0.15939660775771733</v>
      </c>
      <c r="S1043" s="32">
        <v>6.515E-2</v>
      </c>
    </row>
    <row r="1044" spans="16:19" x14ac:dyDescent="0.25">
      <c r="P1044" s="27">
        <v>3.2548184716220556E-2</v>
      </c>
      <c r="Q1044" s="28">
        <f t="shared" si="20"/>
        <v>3.5548184716220559E-2</v>
      </c>
      <c r="R1044" s="33">
        <v>0.16282860775771735</v>
      </c>
      <c r="S1044" s="34">
        <v>8.5029999999999994E-2</v>
      </c>
    </row>
    <row r="1045" spans="16:19" x14ac:dyDescent="0.25">
      <c r="P1045" s="27">
        <v>3.2548184716220556E-2</v>
      </c>
      <c r="Q1045" s="28">
        <f t="shared" si="20"/>
        <v>3.5548184716220559E-2</v>
      </c>
      <c r="R1045" s="33">
        <v>0.16282860775771735</v>
      </c>
      <c r="S1045" s="34">
        <v>7.0000000000000007E-2</v>
      </c>
    </row>
    <row r="1046" spans="16:19" x14ac:dyDescent="0.25">
      <c r="P1046" s="27">
        <v>3.2548184716220556E-2</v>
      </c>
      <c r="Q1046" s="28">
        <f t="shared" si="20"/>
        <v>3.5548184716220559E-2</v>
      </c>
      <c r="R1046" s="33">
        <v>0.16282860775771735</v>
      </c>
      <c r="S1046" s="34">
        <v>6.0999999999999999E-2</v>
      </c>
    </row>
    <row r="1047" spans="16:19" x14ac:dyDescent="0.25">
      <c r="P1047" s="27">
        <v>3.2548184716220556E-2</v>
      </c>
      <c r="Q1047" s="28">
        <f t="shared" si="20"/>
        <v>3.5548184716220559E-2</v>
      </c>
      <c r="R1047" s="33">
        <v>0.16282860775771735</v>
      </c>
      <c r="S1047" s="34">
        <v>5.9209999999999999E-2</v>
      </c>
    </row>
    <row r="1048" spans="16:19" x14ac:dyDescent="0.25">
      <c r="P1048" s="27">
        <v>3.2548184716220556E-2</v>
      </c>
      <c r="Q1048" s="28">
        <f t="shared" si="20"/>
        <v>3.5548184716220559E-2</v>
      </c>
      <c r="R1048" s="33">
        <v>0.16282860775771735</v>
      </c>
      <c r="S1048" s="34">
        <v>5.203E-2</v>
      </c>
    </row>
    <row r="1049" spans="16:19" x14ac:dyDescent="0.25">
      <c r="P1049" s="27">
        <v>3.2548184716220556E-2</v>
      </c>
      <c r="Q1049" s="28">
        <f t="shared" si="20"/>
        <v>3.5548184716220559E-2</v>
      </c>
      <c r="R1049" s="33">
        <v>0.16282860775771735</v>
      </c>
      <c r="S1049" s="34">
        <v>5.1119999999999999E-2</v>
      </c>
    </row>
    <row r="1050" spans="16:19" x14ac:dyDescent="0.25">
      <c r="P1050" s="27">
        <v>3.2548184716220556E-2</v>
      </c>
      <c r="Q1050" s="28">
        <f t="shared" si="20"/>
        <v>3.5548184716220559E-2</v>
      </c>
      <c r="R1050" s="33">
        <v>0.16282860775771735</v>
      </c>
      <c r="S1050" s="34">
        <v>5.5869999999999996E-2</v>
      </c>
    </row>
    <row r="1051" spans="16:19" x14ac:dyDescent="0.25">
      <c r="P1051" s="27">
        <v>3.2548184716220556E-2</v>
      </c>
      <c r="Q1051" s="28">
        <f t="shared" si="20"/>
        <v>3.5548184716220559E-2</v>
      </c>
      <c r="R1051" s="33">
        <v>0.16282860775771735</v>
      </c>
      <c r="S1051" s="34">
        <v>5.9700000000000003E-2</v>
      </c>
    </row>
    <row r="1052" spans="16:19" x14ac:dyDescent="0.25">
      <c r="P1052" s="27">
        <v>3.2548184716220556E-2</v>
      </c>
      <c r="Q1052" s="28">
        <f t="shared" si="20"/>
        <v>3.5548184716220559E-2</v>
      </c>
      <c r="R1052" s="33">
        <v>0.16282860775771735</v>
      </c>
      <c r="S1052" s="34">
        <v>6.0999999999999999E-2</v>
      </c>
    </row>
    <row r="1053" spans="16:19" x14ac:dyDescent="0.25">
      <c r="P1053" s="27">
        <v>3.2548184716220556E-2</v>
      </c>
      <c r="Q1053" s="28">
        <f t="shared" si="20"/>
        <v>3.5548184716220559E-2</v>
      </c>
      <c r="R1053" s="33">
        <v>0.16282860775771735</v>
      </c>
      <c r="S1053" s="34">
        <v>6.412000000000001E-2</v>
      </c>
    </row>
    <row r="1054" spans="16:19" x14ac:dyDescent="0.25">
      <c r="P1054" s="27">
        <v>3.2548184716220556E-2</v>
      </c>
      <c r="Q1054" s="28">
        <f t="shared" si="20"/>
        <v>3.5548184716220559E-2</v>
      </c>
      <c r="R1054" s="33">
        <v>0.16282860775771735</v>
      </c>
      <c r="S1054" s="34">
        <v>7.399E-2</v>
      </c>
    </row>
    <row r="1055" spans="16:19" x14ac:dyDescent="0.25">
      <c r="P1055" s="27">
        <v>3.2548184716220556E-2</v>
      </c>
      <c r="Q1055" s="28">
        <f t="shared" si="20"/>
        <v>3.5548184716220559E-2</v>
      </c>
      <c r="R1055" s="31">
        <v>0.15939660775771733</v>
      </c>
      <c r="S1055" s="32">
        <v>6.7000000000000004E-2</v>
      </c>
    </row>
    <row r="1056" spans="16:19" x14ac:dyDescent="0.25">
      <c r="P1056" s="27">
        <v>3.2548184716220556E-2</v>
      </c>
      <c r="Q1056" s="28">
        <f t="shared" si="20"/>
        <v>3.5548184716220559E-2</v>
      </c>
      <c r="R1056" s="31">
        <v>0.15939660775771733</v>
      </c>
      <c r="S1056" s="32">
        <v>6.0990000000000003E-2</v>
      </c>
    </row>
    <row r="1057" spans="16:19" x14ac:dyDescent="0.25">
      <c r="P1057" s="27">
        <v>3.2548184716220556E-2</v>
      </c>
      <c r="Q1057" s="28">
        <f t="shared" si="20"/>
        <v>3.5548184716220559E-2</v>
      </c>
      <c r="R1057" s="31">
        <v>0.15939660775771733</v>
      </c>
      <c r="S1057" s="32">
        <v>5.6299999999999996E-2</v>
      </c>
    </row>
    <row r="1058" spans="16:19" x14ac:dyDescent="0.25">
      <c r="P1058" s="27">
        <v>3.2548184716220556E-2</v>
      </c>
      <c r="Q1058" s="28">
        <f t="shared" si="20"/>
        <v>3.5548184716220559E-2</v>
      </c>
      <c r="R1058" s="31">
        <v>0.15939660775771733</v>
      </c>
      <c r="S1058" s="32">
        <v>5.1069999999999997E-2</v>
      </c>
    </row>
    <row r="1059" spans="16:19" x14ac:dyDescent="0.25">
      <c r="P1059" s="27">
        <v>3.2548184716220556E-2</v>
      </c>
      <c r="Q1059" s="28">
        <f t="shared" si="20"/>
        <v>3.5548184716220559E-2</v>
      </c>
      <c r="R1059" s="29">
        <v>0.15003660775771735</v>
      </c>
      <c r="S1059" s="30">
        <v>4.641E-2</v>
      </c>
    </row>
    <row r="1060" spans="16:19" x14ac:dyDescent="0.25">
      <c r="P1060" s="27">
        <v>3.2548184716220556E-2</v>
      </c>
      <c r="Q1060" s="28">
        <f t="shared" si="20"/>
        <v>3.5548184716220559E-2</v>
      </c>
      <c r="R1060" s="29">
        <v>0.15003660775771735</v>
      </c>
      <c r="S1060" s="30">
        <v>4.1860000000000001E-2</v>
      </c>
    </row>
    <row r="1061" spans="16:19" x14ac:dyDescent="0.25">
      <c r="P1061" s="27">
        <v>3.2548184716220556E-2</v>
      </c>
      <c r="Q1061" s="28">
        <f t="shared" si="20"/>
        <v>3.5548184716220559E-2</v>
      </c>
      <c r="R1061" s="29">
        <v>0.15003660775771735</v>
      </c>
      <c r="S1061" s="30">
        <v>3.7200000000000004E-2</v>
      </c>
    </row>
    <row r="1062" spans="16:19" x14ac:dyDescent="0.25">
      <c r="P1062" s="27">
        <v>3.2548184716220556E-2</v>
      </c>
      <c r="Q1062" s="28">
        <f t="shared" si="20"/>
        <v>3.5548184716220559E-2</v>
      </c>
      <c r="R1062" s="29">
        <v>0.15003660775771735</v>
      </c>
      <c r="S1062" s="30">
        <v>3.3799999999999997E-2</v>
      </c>
    </row>
    <row r="1063" spans="16:19" x14ac:dyDescent="0.25">
      <c r="P1063" s="27">
        <v>3.2548184716220556E-2</v>
      </c>
      <c r="Q1063" s="28">
        <f t="shared" si="20"/>
        <v>3.5548184716220559E-2</v>
      </c>
      <c r="R1063" s="29">
        <v>0.15003660775771735</v>
      </c>
      <c r="S1063" s="30">
        <v>2.8050000000000002E-2</v>
      </c>
    </row>
    <row r="1064" spans="16:19" x14ac:dyDescent="0.25">
      <c r="P1064" s="27">
        <v>3.2548184716220556E-2</v>
      </c>
      <c r="Q1064" s="28">
        <f t="shared" si="20"/>
        <v>3.5548184716220559E-2</v>
      </c>
      <c r="R1064" s="29">
        <v>0.15003660775771735</v>
      </c>
      <c r="S1064" s="30">
        <v>3.15E-2</v>
      </c>
    </row>
    <row r="1065" spans="16:19" x14ac:dyDescent="0.25">
      <c r="P1065" s="27">
        <v>3.2548184716220556E-2</v>
      </c>
      <c r="Q1065" s="28">
        <f t="shared" si="20"/>
        <v>3.5548184716220559E-2</v>
      </c>
      <c r="R1065" s="29">
        <v>0.15003660775771735</v>
      </c>
      <c r="S1065" s="30">
        <v>4.3999999999999997E-2</v>
      </c>
    </row>
    <row r="1066" spans="16:19" x14ac:dyDescent="0.25">
      <c r="P1066" s="27">
        <v>3.2548184716220556E-2</v>
      </c>
      <c r="Q1066" s="28">
        <f t="shared" si="20"/>
        <v>3.5548184716220559E-2</v>
      </c>
      <c r="R1066" s="29">
        <v>0.15003660775771735</v>
      </c>
      <c r="S1066" s="30">
        <v>5.7159999999999996E-2</v>
      </c>
    </row>
    <row r="1067" spans="16:19" x14ac:dyDescent="0.25">
      <c r="P1067" s="27">
        <v>3.2548184716220556E-2</v>
      </c>
      <c r="Q1067" s="28">
        <f t="shared" si="20"/>
        <v>3.5548184716220559E-2</v>
      </c>
      <c r="R1067" s="31">
        <v>0.15939660775771733</v>
      </c>
      <c r="S1067" s="32">
        <v>5.9159999999999997E-2</v>
      </c>
    </row>
    <row r="1068" spans="16:19" x14ac:dyDescent="0.25">
      <c r="P1068" s="27">
        <v>3.2548184716220556E-2</v>
      </c>
      <c r="Q1068" s="28">
        <f t="shared" si="20"/>
        <v>3.5548184716220559E-2</v>
      </c>
      <c r="R1068" s="33">
        <v>0.16282860775771735</v>
      </c>
      <c r="S1068" s="34">
        <v>7.1999999999999995E-2</v>
      </c>
    </row>
    <row r="1069" spans="16:19" x14ac:dyDescent="0.25">
      <c r="P1069" s="27">
        <v>3.2548184716220556E-2</v>
      </c>
      <c r="Q1069" s="28">
        <f t="shared" si="20"/>
        <v>3.5548184716220559E-2</v>
      </c>
      <c r="R1069" s="33">
        <v>0.16282860775771735</v>
      </c>
      <c r="S1069" s="34">
        <v>6.0010000000000001E-2</v>
      </c>
    </row>
    <row r="1070" spans="16:19" x14ac:dyDescent="0.25">
      <c r="P1070" s="27">
        <v>3.2548184716220556E-2</v>
      </c>
      <c r="Q1070" s="28">
        <f t="shared" si="20"/>
        <v>3.5548184716220559E-2</v>
      </c>
      <c r="R1070" s="33">
        <v>0.16282860775771735</v>
      </c>
      <c r="S1070" s="34">
        <v>5.8000000000000003E-2</v>
      </c>
    </row>
    <row r="1071" spans="16:19" x14ac:dyDescent="0.25">
      <c r="P1071" s="27">
        <v>3.2548184716220556E-2</v>
      </c>
      <c r="Q1071" s="28">
        <f t="shared" si="20"/>
        <v>3.5548184716220559E-2</v>
      </c>
      <c r="R1071" s="33">
        <v>0.16282860775771735</v>
      </c>
      <c r="S1071" s="34">
        <v>5.6240000000000005E-2</v>
      </c>
    </row>
    <row r="1072" spans="16:19" x14ac:dyDescent="0.25">
      <c r="P1072" s="27">
        <v>3.2548184716220556E-2</v>
      </c>
      <c r="Q1072" s="28">
        <f t="shared" si="20"/>
        <v>3.5548184716220559E-2</v>
      </c>
      <c r="R1072" s="33">
        <v>0.16282860775771735</v>
      </c>
      <c r="S1072" s="34">
        <v>5.0650000000000001E-2</v>
      </c>
    </row>
    <row r="1073" spans="16:19" x14ac:dyDescent="0.25">
      <c r="P1073" s="27">
        <v>3.2548184716220556E-2</v>
      </c>
      <c r="Q1073" s="28">
        <f t="shared" si="20"/>
        <v>3.5548184716220559E-2</v>
      </c>
      <c r="R1073" s="33">
        <v>0.16282860775771735</v>
      </c>
      <c r="S1073" s="34">
        <v>5.0009999999999999E-2</v>
      </c>
    </row>
    <row r="1074" spans="16:19" x14ac:dyDescent="0.25">
      <c r="P1074" s="27">
        <v>3.2548184716220556E-2</v>
      </c>
      <c r="Q1074" s="28">
        <f t="shared" si="20"/>
        <v>3.5548184716220559E-2</v>
      </c>
      <c r="R1074" s="33">
        <v>0.16282860775771735</v>
      </c>
      <c r="S1074" s="34">
        <v>5.0999999999999997E-2</v>
      </c>
    </row>
    <row r="1075" spans="16:19" x14ac:dyDescent="0.25">
      <c r="P1075" s="27">
        <v>3.2548184716220556E-2</v>
      </c>
      <c r="Q1075" s="28">
        <f t="shared" si="20"/>
        <v>3.5548184716220559E-2</v>
      </c>
      <c r="R1075" s="33">
        <v>0.16282860775771735</v>
      </c>
      <c r="S1075" s="34">
        <v>5.5E-2</v>
      </c>
    </row>
    <row r="1076" spans="16:19" x14ac:dyDescent="0.25">
      <c r="P1076" s="27">
        <v>3.2548184716220556E-2</v>
      </c>
      <c r="Q1076" s="28">
        <f t="shared" si="20"/>
        <v>3.5548184716220559E-2</v>
      </c>
      <c r="R1076" s="33">
        <v>0.16282860775771735</v>
      </c>
      <c r="S1076" s="34">
        <v>5.7099999999999998E-2</v>
      </c>
    </row>
    <row r="1077" spans="16:19" x14ac:dyDescent="0.25">
      <c r="P1077" s="27">
        <v>3.2548184716220556E-2</v>
      </c>
      <c r="Q1077" s="28">
        <f t="shared" si="20"/>
        <v>3.5548184716220559E-2</v>
      </c>
      <c r="R1077" s="33">
        <v>0.16282860775771735</v>
      </c>
      <c r="S1077" s="34">
        <v>6.2759999999999996E-2</v>
      </c>
    </row>
    <row r="1078" spans="16:19" x14ac:dyDescent="0.25">
      <c r="P1078" s="27">
        <v>3.2548184716220556E-2</v>
      </c>
      <c r="Q1078" s="28">
        <f t="shared" si="20"/>
        <v>3.5548184716220559E-2</v>
      </c>
      <c r="R1078" s="33">
        <v>0.16282860775771735</v>
      </c>
      <c r="S1078" s="34">
        <v>7.4999999999999997E-2</v>
      </c>
    </row>
    <row r="1079" spans="16:19" x14ac:dyDescent="0.25">
      <c r="P1079" s="27">
        <v>3.2548184716220556E-2</v>
      </c>
      <c r="Q1079" s="28">
        <f t="shared" si="20"/>
        <v>3.5548184716220559E-2</v>
      </c>
      <c r="R1079" s="31">
        <v>0.15939660775771733</v>
      </c>
      <c r="S1079" s="32">
        <v>6.8000000000000005E-2</v>
      </c>
    </row>
    <row r="1080" spans="16:19" x14ac:dyDescent="0.25">
      <c r="P1080" s="27">
        <v>3.2548184716220556E-2</v>
      </c>
      <c r="Q1080" s="28">
        <f t="shared" si="20"/>
        <v>3.5548184716220559E-2</v>
      </c>
      <c r="R1080" s="31">
        <v>0.15939660775771733</v>
      </c>
      <c r="S1080" s="32">
        <v>6.1069999999999999E-2</v>
      </c>
    </row>
    <row r="1081" spans="16:19" x14ac:dyDescent="0.25">
      <c r="P1081" s="27">
        <v>3.2548184716220556E-2</v>
      </c>
      <c r="Q1081" s="28">
        <f t="shared" si="20"/>
        <v>3.5548184716220559E-2</v>
      </c>
      <c r="R1081" s="31">
        <v>0.15939660775771733</v>
      </c>
      <c r="S1081" s="32">
        <v>5.6270000000000001E-2</v>
      </c>
    </row>
    <row r="1082" spans="16:19" x14ac:dyDescent="0.25">
      <c r="P1082" s="27">
        <v>3.2548184716220556E-2</v>
      </c>
      <c r="Q1082" s="28">
        <f t="shared" si="20"/>
        <v>3.5548184716220559E-2</v>
      </c>
      <c r="R1082" s="31">
        <v>0.15939660775771733</v>
      </c>
      <c r="S1082" s="32">
        <v>5.2999999999999999E-2</v>
      </c>
    </row>
    <row r="1083" spans="16:19" x14ac:dyDescent="0.25">
      <c r="P1083" s="27">
        <v>3.2548184716220556E-2</v>
      </c>
      <c r="Q1083" s="28">
        <f t="shared" si="20"/>
        <v>3.5548184716220559E-2</v>
      </c>
      <c r="R1083" s="29">
        <v>0.15003660775771735</v>
      </c>
      <c r="S1083" s="30">
        <v>5.0270653000000005E-2</v>
      </c>
    </row>
    <row r="1084" spans="16:19" x14ac:dyDescent="0.25">
      <c r="P1084" s="27">
        <v>3.2548184716220556E-2</v>
      </c>
      <c r="Q1084" s="28">
        <f t="shared" si="20"/>
        <v>3.5548184716220559E-2</v>
      </c>
      <c r="R1084" s="29">
        <v>0.15003660775771735</v>
      </c>
      <c r="S1084" s="30">
        <v>5.2499999999999998E-2</v>
      </c>
    </row>
    <row r="1085" spans="16:19" x14ac:dyDescent="0.25">
      <c r="P1085" s="27">
        <v>3.2548184716220556E-2</v>
      </c>
      <c r="Q1085" s="28">
        <f t="shared" si="20"/>
        <v>3.5548184716220559E-2</v>
      </c>
      <c r="R1085" s="29">
        <v>0.15003660775771735</v>
      </c>
      <c r="S1085" s="30">
        <v>0.05</v>
      </c>
    </row>
    <row r="1086" spans="16:19" x14ac:dyDescent="0.25">
      <c r="P1086" s="27">
        <v>3.2548184716220556E-2</v>
      </c>
      <c r="Q1086" s="28">
        <f t="shared" si="20"/>
        <v>3.5548184716220559E-2</v>
      </c>
      <c r="R1086" s="29">
        <v>0.15003660775771735</v>
      </c>
      <c r="S1086" s="30">
        <v>4.5999999999999999E-2</v>
      </c>
    </row>
    <row r="1087" spans="16:19" x14ac:dyDescent="0.25">
      <c r="P1087" s="27">
        <v>3.2548184716220556E-2</v>
      </c>
      <c r="Q1087" s="28">
        <f t="shared" si="20"/>
        <v>3.5548184716220559E-2</v>
      </c>
      <c r="R1087" s="29">
        <v>0.15003660775771735</v>
      </c>
      <c r="S1087" s="30">
        <v>4.4010000000000001E-2</v>
      </c>
    </row>
    <row r="1088" spans="16:19" x14ac:dyDescent="0.25">
      <c r="P1088" s="27">
        <v>3.2548184716220556E-2</v>
      </c>
      <c r="Q1088" s="28">
        <f t="shared" si="20"/>
        <v>3.5548184716220559E-2</v>
      </c>
      <c r="R1088" s="29">
        <v>0.15003660775771735</v>
      </c>
      <c r="S1088" s="30">
        <v>4.3999999999999997E-2</v>
      </c>
    </row>
    <row r="1089" spans="16:19" x14ac:dyDescent="0.25">
      <c r="P1089" s="27">
        <v>3.2548184716220556E-2</v>
      </c>
      <c r="Q1089" s="28">
        <f t="shared" si="20"/>
        <v>3.5548184716220559E-2</v>
      </c>
      <c r="R1089" s="29">
        <v>0.15003660775771735</v>
      </c>
      <c r="S1089" s="30">
        <v>4.4539999999999996E-2</v>
      </c>
    </row>
    <row r="1090" spans="16:19" x14ac:dyDescent="0.25">
      <c r="P1090" s="27">
        <v>3.2548184716220556E-2</v>
      </c>
      <c r="Q1090" s="28">
        <f t="shared" si="20"/>
        <v>3.5548184716220559E-2</v>
      </c>
      <c r="R1090" s="29">
        <v>0.15003660775771735</v>
      </c>
      <c r="S1090" s="30">
        <v>5.3899999999999997E-2</v>
      </c>
    </row>
    <row r="1091" spans="16:19" x14ac:dyDescent="0.25">
      <c r="P1091" s="27">
        <v>3.2548184716220556E-2</v>
      </c>
      <c r="Q1091" s="28">
        <f t="shared" si="20"/>
        <v>3.5548184716220559E-2</v>
      </c>
      <c r="R1091" s="31">
        <v>0.15939660775771733</v>
      </c>
      <c r="S1091" s="32">
        <v>5.7180000000000002E-2</v>
      </c>
    </row>
    <row r="1092" spans="16:19" x14ac:dyDescent="0.25">
      <c r="P1092" s="27">
        <v>3.2548184716220556E-2</v>
      </c>
      <c r="Q1092" s="28">
        <f t="shared" si="20"/>
        <v>3.5548184716220559E-2</v>
      </c>
      <c r="R1092" s="33">
        <v>0.16282860775771735</v>
      </c>
      <c r="S1092" s="34">
        <v>5.8159999999999996E-2</v>
      </c>
    </row>
    <row r="1093" spans="16:19" x14ac:dyDescent="0.25">
      <c r="P1093" s="27">
        <v>3.2548184716220556E-2</v>
      </c>
      <c r="Q1093" s="28">
        <f t="shared" ref="Q1093:Q1156" si="21">P1093+0.003</f>
        <v>3.5548184716220559E-2</v>
      </c>
      <c r="R1093" s="33">
        <v>0.16282860775771735</v>
      </c>
      <c r="S1093" s="34">
        <v>5.7044091999999998E-2</v>
      </c>
    </row>
    <row r="1094" spans="16:19" x14ac:dyDescent="0.25">
      <c r="P1094" s="27">
        <v>3.2548184716220556E-2</v>
      </c>
      <c r="Q1094" s="28">
        <f t="shared" si="21"/>
        <v>3.5548184716220559E-2</v>
      </c>
      <c r="R1094" s="33">
        <v>0.16282860775771735</v>
      </c>
      <c r="S1094" s="34">
        <v>5.1999999999999998E-2</v>
      </c>
    </row>
    <row r="1095" spans="16:19" x14ac:dyDescent="0.25">
      <c r="P1095" s="27">
        <v>3.2548184716220556E-2</v>
      </c>
      <c r="Q1095" s="28">
        <f t="shared" si="21"/>
        <v>3.5548184716220559E-2</v>
      </c>
      <c r="R1095" s="33">
        <v>0.16282860775771735</v>
      </c>
      <c r="S1095" s="34">
        <v>4.6340000000000006E-2</v>
      </c>
    </row>
    <row r="1096" spans="16:19" x14ac:dyDescent="0.25">
      <c r="P1096" s="27">
        <v>3.2548184716220556E-2</v>
      </c>
      <c r="Q1096" s="28">
        <f t="shared" si="21"/>
        <v>3.5548184716220559E-2</v>
      </c>
      <c r="R1096" s="33">
        <v>0.16282860775771735</v>
      </c>
      <c r="S1096" s="34">
        <v>3.7999999999999999E-2</v>
      </c>
    </row>
    <row r="1097" spans="16:19" x14ac:dyDescent="0.25">
      <c r="P1097" s="27">
        <v>3.2548184716220556E-2</v>
      </c>
      <c r="Q1097" s="28">
        <f t="shared" si="21"/>
        <v>3.5548184716220559E-2</v>
      </c>
      <c r="R1097" s="33">
        <v>0.16282860775771735</v>
      </c>
      <c r="S1097" s="34">
        <v>3.363E-2</v>
      </c>
    </row>
    <row r="1098" spans="16:19" x14ac:dyDescent="0.25">
      <c r="P1098" s="27">
        <v>3.2548184716220556E-2</v>
      </c>
      <c r="Q1098" s="28">
        <f t="shared" si="21"/>
        <v>3.5548184716220559E-2</v>
      </c>
      <c r="R1098" s="33">
        <v>0.16282860775771735</v>
      </c>
      <c r="S1098" s="34">
        <v>3.5000000000000003E-2</v>
      </c>
    </row>
    <row r="1099" spans="16:19" x14ac:dyDescent="0.25">
      <c r="P1099" s="27">
        <v>3.2548184716220556E-2</v>
      </c>
      <c r="Q1099" s="28">
        <f t="shared" si="21"/>
        <v>3.5548184716220559E-2</v>
      </c>
      <c r="R1099" s="33">
        <v>0.16282860775771735</v>
      </c>
      <c r="S1099" s="34">
        <v>0.04</v>
      </c>
    </row>
    <row r="1100" spans="16:19" x14ac:dyDescent="0.25">
      <c r="P1100" s="27">
        <v>3.2548184716220556E-2</v>
      </c>
      <c r="Q1100" s="28">
        <f t="shared" si="21"/>
        <v>3.5548184716220559E-2</v>
      </c>
      <c r="R1100" s="33">
        <v>0.16282860775771735</v>
      </c>
      <c r="S1100" s="34">
        <v>4.8000000000000001E-2</v>
      </c>
    </row>
    <row r="1101" spans="16:19" x14ac:dyDescent="0.25">
      <c r="P1101" s="27">
        <v>3.2548184716220556E-2</v>
      </c>
      <c r="Q1101" s="28">
        <f t="shared" si="21"/>
        <v>3.5548184716220559E-2</v>
      </c>
      <c r="R1101" s="33">
        <v>0.16282860775771735</v>
      </c>
      <c r="S1101" s="34">
        <v>5.8000000000000003E-2</v>
      </c>
    </row>
    <row r="1102" spans="16:19" x14ac:dyDescent="0.25">
      <c r="P1102" s="27">
        <v>3.2548184716220556E-2</v>
      </c>
      <c r="Q1102" s="28">
        <f t="shared" si="21"/>
        <v>3.5548184716220559E-2</v>
      </c>
      <c r="R1102" s="33">
        <v>0.16282860775771735</v>
      </c>
      <c r="S1102" s="34">
        <v>7.3999999999999996E-2</v>
      </c>
    </row>
    <row r="1103" spans="16:19" x14ac:dyDescent="0.25">
      <c r="P1103" s="27">
        <v>3.2548184716220556E-2</v>
      </c>
      <c r="Q1103" s="28">
        <f t="shared" si="21"/>
        <v>3.5548184716220559E-2</v>
      </c>
      <c r="R1103" s="31">
        <v>0.15939660775771733</v>
      </c>
      <c r="S1103" s="32">
        <v>7.399E-2</v>
      </c>
    </row>
    <row r="1104" spans="16:19" x14ac:dyDescent="0.25">
      <c r="P1104" s="27">
        <v>3.2548184716220556E-2</v>
      </c>
      <c r="Q1104" s="28">
        <f t="shared" si="21"/>
        <v>3.5548184716220559E-2</v>
      </c>
      <c r="R1104" s="31">
        <v>0.15939660775771733</v>
      </c>
      <c r="S1104" s="32">
        <v>6.1700000000000005E-2</v>
      </c>
    </row>
    <row r="1105" spans="16:19" x14ac:dyDescent="0.25">
      <c r="P1105" s="27">
        <v>3.2548184716220556E-2</v>
      </c>
      <c r="Q1105" s="28">
        <f t="shared" si="21"/>
        <v>3.5548184716220559E-2</v>
      </c>
      <c r="R1105" s="31">
        <v>0.15939660775771733</v>
      </c>
      <c r="S1105" s="32">
        <v>5.5539999999999999E-2</v>
      </c>
    </row>
    <row r="1106" spans="16:19" x14ac:dyDescent="0.25">
      <c r="P1106" s="27">
        <v>3.2548184716220556E-2</v>
      </c>
      <c r="Q1106" s="28">
        <f t="shared" si="21"/>
        <v>3.5548184716220559E-2</v>
      </c>
      <c r="R1106" s="31">
        <v>0.15939660775771733</v>
      </c>
      <c r="S1106" s="32">
        <v>5.0099999999999999E-2</v>
      </c>
    </row>
    <row r="1107" spans="16:19" x14ac:dyDescent="0.25">
      <c r="P1107" s="27">
        <v>3.2548184716220556E-2</v>
      </c>
      <c r="Q1107" s="28">
        <f t="shared" si="21"/>
        <v>3.5548184716220559E-2</v>
      </c>
      <c r="R1107" s="29">
        <v>0.15003660775771735</v>
      </c>
      <c r="S1107" s="30">
        <v>4.4999999999999998E-2</v>
      </c>
    </row>
    <row r="1108" spans="16:19" x14ac:dyDescent="0.25">
      <c r="P1108" s="27">
        <v>3.2548184716220556E-2</v>
      </c>
      <c r="Q1108" s="28">
        <f t="shared" si="21"/>
        <v>3.5548184716220559E-2</v>
      </c>
      <c r="R1108" s="29">
        <v>0.15003660775771735</v>
      </c>
      <c r="S1108" s="30">
        <v>3.7380000000000004E-2</v>
      </c>
    </row>
    <row r="1109" spans="16:19" x14ac:dyDescent="0.25">
      <c r="P1109" s="27">
        <v>3.2548184716220556E-2</v>
      </c>
      <c r="Q1109" s="28">
        <f t="shared" si="21"/>
        <v>3.5548184716220559E-2</v>
      </c>
      <c r="R1109" s="29">
        <v>0.15003660775771735</v>
      </c>
      <c r="S1109" s="30">
        <v>3.1760000000000004E-2</v>
      </c>
    </row>
    <row r="1110" spans="16:19" x14ac:dyDescent="0.25">
      <c r="P1110" s="27">
        <v>3.2548184716220556E-2</v>
      </c>
      <c r="Q1110" s="28">
        <f t="shared" si="21"/>
        <v>3.5548184716220559E-2</v>
      </c>
      <c r="R1110" s="29">
        <v>0.15003660775771735</v>
      </c>
      <c r="S1110" s="30">
        <v>2.0980000000000002E-2</v>
      </c>
    </row>
    <row r="1111" spans="16:19" x14ac:dyDescent="0.25">
      <c r="P1111" s="27">
        <v>3.2548184716220556E-2</v>
      </c>
      <c r="Q1111" s="28">
        <f t="shared" si="21"/>
        <v>3.5548184716220559E-2</v>
      </c>
      <c r="R1111" s="29">
        <v>0.15003660775771735</v>
      </c>
      <c r="S1111" s="30">
        <v>1.9899999999999998E-2</v>
      </c>
    </row>
    <row r="1112" spans="16:19" x14ac:dyDescent="0.25">
      <c r="P1112" s="27">
        <v>3.2548184716220556E-2</v>
      </c>
      <c r="Q1112" s="28">
        <f t="shared" si="21"/>
        <v>3.5548184716220559E-2</v>
      </c>
      <c r="R1112" s="29">
        <v>0.15003660775771735</v>
      </c>
      <c r="S1112" s="30">
        <v>1.9899999999999998E-2</v>
      </c>
    </row>
    <row r="1113" spans="16:19" x14ac:dyDescent="0.25">
      <c r="P1113" s="27">
        <v>3.2548184716220556E-2</v>
      </c>
      <c r="Q1113" s="28">
        <f t="shared" si="21"/>
        <v>3.5548184716220559E-2</v>
      </c>
      <c r="R1113" s="29">
        <v>0.15003660775771735</v>
      </c>
      <c r="S1113" s="30">
        <v>2.1999999999999999E-2</v>
      </c>
    </row>
    <row r="1114" spans="16:19" x14ac:dyDescent="0.25">
      <c r="P1114" s="27">
        <v>3.2548184716220556E-2</v>
      </c>
      <c r="Q1114" s="28">
        <f t="shared" si="21"/>
        <v>3.5548184716220559E-2</v>
      </c>
      <c r="R1114" s="29">
        <v>0.15003660775771735</v>
      </c>
      <c r="S1114" s="30">
        <v>2.9399999999999999E-2</v>
      </c>
    </row>
    <row r="1115" spans="16:19" x14ac:dyDescent="0.25">
      <c r="P1115" s="27">
        <v>3.2548184716220556E-2</v>
      </c>
      <c r="Q1115" s="28">
        <f t="shared" si="21"/>
        <v>3.5548184716220559E-2</v>
      </c>
      <c r="R1115" s="31">
        <v>0.15939660775771733</v>
      </c>
      <c r="S1115" s="32">
        <v>3.0980000000000001E-2</v>
      </c>
    </row>
    <row r="1116" spans="16:19" x14ac:dyDescent="0.25">
      <c r="P1116" s="27">
        <v>3.2548184716220556E-2</v>
      </c>
      <c r="Q1116" s="28">
        <f t="shared" si="21"/>
        <v>3.5548184716220559E-2</v>
      </c>
      <c r="R1116" s="33">
        <v>0.16282860775771735</v>
      </c>
      <c r="S1116" s="34">
        <v>0.03</v>
      </c>
    </row>
    <row r="1117" spans="16:19" x14ac:dyDescent="0.25">
      <c r="P1117" s="27">
        <v>3.2548184716220556E-2</v>
      </c>
      <c r="Q1117" s="28">
        <f t="shared" si="21"/>
        <v>3.5548184716220559E-2</v>
      </c>
      <c r="R1117" s="33">
        <v>0.16282860775771735</v>
      </c>
      <c r="S1117" s="34">
        <v>3.0420000000000003E-2</v>
      </c>
    </row>
    <row r="1118" spans="16:19" x14ac:dyDescent="0.25">
      <c r="P1118" s="27">
        <v>3.2548184716220556E-2</v>
      </c>
      <c r="Q1118" s="28">
        <f t="shared" si="21"/>
        <v>3.5548184716220559E-2</v>
      </c>
      <c r="R1118" s="33">
        <v>0.16282860775771735</v>
      </c>
      <c r="S1118" s="34">
        <v>2.512E-2</v>
      </c>
    </row>
    <row r="1119" spans="16:19" x14ac:dyDescent="0.25">
      <c r="P1119" s="27">
        <v>3.2548184716220556E-2</v>
      </c>
      <c r="Q1119" s="28">
        <f t="shared" si="21"/>
        <v>3.5548184716220559E-2</v>
      </c>
      <c r="R1119" s="33">
        <v>0.16282860775771735</v>
      </c>
      <c r="S1119" s="34">
        <v>2.1499999999999998E-2</v>
      </c>
    </row>
    <row r="1120" spans="16:19" x14ac:dyDescent="0.25">
      <c r="P1120" s="27">
        <v>3.2548184716220556E-2</v>
      </c>
      <c r="Q1120" s="28">
        <f t="shared" si="21"/>
        <v>3.5548184716220559E-2</v>
      </c>
      <c r="R1120" s="33">
        <v>0.16282860775771735</v>
      </c>
      <c r="S1120" s="34">
        <v>1.7637156000000001E-2</v>
      </c>
    </row>
    <row r="1121" spans="16:19" x14ac:dyDescent="0.25">
      <c r="P1121" s="27">
        <v>3.2548184716220556E-2</v>
      </c>
      <c r="Q1121" s="28">
        <f t="shared" si="21"/>
        <v>3.5548184716220559E-2</v>
      </c>
      <c r="R1121" s="33">
        <v>0.16282860775771735</v>
      </c>
      <c r="S1121" s="34">
        <v>1.3009999999999999E-2</v>
      </c>
    </row>
    <row r="1122" spans="16:19" x14ac:dyDescent="0.25">
      <c r="P1122" s="27">
        <v>3.2548184716220556E-2</v>
      </c>
      <c r="Q1122" s="28">
        <f t="shared" si="21"/>
        <v>3.5548184716220559E-2</v>
      </c>
      <c r="R1122" s="33">
        <v>0.16282860775771735</v>
      </c>
      <c r="S1122" s="34">
        <v>1.5300000000000001E-2</v>
      </c>
    </row>
    <row r="1123" spans="16:19" x14ac:dyDescent="0.25">
      <c r="P1123" s="27">
        <v>3.2548184716220556E-2</v>
      </c>
      <c r="Q1123" s="28">
        <f t="shared" si="21"/>
        <v>3.5548184716220559E-2</v>
      </c>
      <c r="R1123" s="33">
        <v>0.16282860775771735</v>
      </c>
      <c r="S1123" s="34">
        <v>2.5000000000000001E-2</v>
      </c>
    </row>
    <row r="1124" spans="16:19" x14ac:dyDescent="0.25">
      <c r="P1124" s="27">
        <v>3.2548184716220556E-2</v>
      </c>
      <c r="Q1124" s="28">
        <f t="shared" si="21"/>
        <v>3.5548184716220559E-2</v>
      </c>
      <c r="R1124" s="33">
        <v>0.16282860775771735</v>
      </c>
      <c r="S1124" s="34">
        <v>3.5000000000000003E-2</v>
      </c>
    </row>
    <row r="1125" spans="16:19" x14ac:dyDescent="0.25">
      <c r="P1125" s="27">
        <v>3.2548184716220556E-2</v>
      </c>
      <c r="Q1125" s="28">
        <f t="shared" si="21"/>
        <v>3.5548184716220559E-2</v>
      </c>
      <c r="R1125" s="33">
        <v>0.16282860775771735</v>
      </c>
      <c r="S1125" s="34">
        <v>4.9300462000000003E-2</v>
      </c>
    </row>
    <row r="1126" spans="16:19" x14ac:dyDescent="0.25">
      <c r="P1126" s="27">
        <v>3.2548184716220556E-2</v>
      </c>
      <c r="Q1126" s="28">
        <f t="shared" si="21"/>
        <v>3.5548184716220559E-2</v>
      </c>
      <c r="R1126" s="33">
        <v>0.16282860775771735</v>
      </c>
      <c r="S1126" s="34">
        <v>5.7930000000000002E-2</v>
      </c>
    </row>
    <row r="1127" spans="16:19" x14ac:dyDescent="0.25">
      <c r="P1127" s="27">
        <v>3.2548184716220556E-2</v>
      </c>
      <c r="Q1127" s="28">
        <f t="shared" si="21"/>
        <v>3.5548184716220559E-2</v>
      </c>
      <c r="R1127" s="31">
        <v>0.15939660775771733</v>
      </c>
      <c r="S1127" s="32">
        <v>6.1170000000000002E-2</v>
      </c>
    </row>
    <row r="1128" spans="16:19" x14ac:dyDescent="0.25">
      <c r="P1128" s="27">
        <v>3.2548184716220556E-2</v>
      </c>
      <c r="Q1128" s="28">
        <f t="shared" si="21"/>
        <v>3.5548184716220559E-2</v>
      </c>
      <c r="R1128" s="31">
        <v>0.15939660775771733</v>
      </c>
      <c r="S1128" s="32">
        <v>5.7880000000000001E-2</v>
      </c>
    </row>
    <row r="1129" spans="16:19" x14ac:dyDescent="0.25">
      <c r="P1129" s="27">
        <v>3.2548184716220556E-2</v>
      </c>
      <c r="Q1129" s="28">
        <f t="shared" si="21"/>
        <v>3.5548184716220559E-2</v>
      </c>
      <c r="R1129" s="31">
        <v>0.15939660775771733</v>
      </c>
      <c r="S1129" s="32">
        <v>5.5439999999999996E-2</v>
      </c>
    </row>
    <row r="1130" spans="16:19" x14ac:dyDescent="0.25">
      <c r="P1130" s="27">
        <v>3.2548184716220556E-2</v>
      </c>
      <c r="Q1130" s="28">
        <f t="shared" si="21"/>
        <v>3.5548184716220559E-2</v>
      </c>
      <c r="R1130" s="31">
        <v>0.15939660775771733</v>
      </c>
      <c r="S1130" s="32">
        <v>4.8000000000000001E-2</v>
      </c>
    </row>
    <row r="1131" spans="16:19" x14ac:dyDescent="0.25">
      <c r="P1131" s="27">
        <v>3.2548184716220556E-2</v>
      </c>
      <c r="Q1131" s="28">
        <f t="shared" si="21"/>
        <v>3.5548184716220559E-2</v>
      </c>
      <c r="R1131" s="29">
        <v>0.15003660775771735</v>
      </c>
      <c r="S1131" s="30">
        <v>4.0030000000000003E-2</v>
      </c>
    </row>
    <row r="1132" spans="16:19" x14ac:dyDescent="0.25">
      <c r="P1132" s="27">
        <v>3.2548184716220556E-2</v>
      </c>
      <c r="Q1132" s="28">
        <f t="shared" si="21"/>
        <v>3.5548184716220559E-2</v>
      </c>
      <c r="R1132" s="29">
        <v>0.15003660775771735</v>
      </c>
      <c r="S1132" s="30">
        <v>3.6810000000000002E-2</v>
      </c>
    </row>
    <row r="1133" spans="16:19" x14ac:dyDescent="0.25">
      <c r="P1133" s="27">
        <v>3.2548184716220556E-2</v>
      </c>
      <c r="Q1133" s="28">
        <f t="shared" si="21"/>
        <v>3.5548184716220559E-2</v>
      </c>
      <c r="R1133" s="29">
        <v>0.15003660775771735</v>
      </c>
      <c r="S1133" s="30">
        <v>0.03</v>
      </c>
    </row>
    <row r="1134" spans="16:19" x14ac:dyDescent="0.25">
      <c r="P1134" s="27">
        <v>3.2548184716220556E-2</v>
      </c>
      <c r="Q1134" s="28">
        <f t="shared" si="21"/>
        <v>3.5548184716220559E-2</v>
      </c>
      <c r="R1134" s="29">
        <v>0.15003660775771735</v>
      </c>
      <c r="S1134" s="30">
        <v>2.5219999999999999E-2</v>
      </c>
    </row>
    <row r="1135" spans="16:19" x14ac:dyDescent="0.25">
      <c r="P1135" s="27">
        <v>3.2548184716220556E-2</v>
      </c>
      <c r="Q1135" s="28">
        <f t="shared" si="21"/>
        <v>3.5548184716220559E-2</v>
      </c>
      <c r="R1135" s="29">
        <v>0.15003660775771735</v>
      </c>
      <c r="S1135" s="30">
        <v>2.1739999999999999E-2</v>
      </c>
    </row>
    <row r="1136" spans="16:19" x14ac:dyDescent="0.25">
      <c r="P1136" s="27">
        <v>3.2548184716220556E-2</v>
      </c>
      <c r="Q1136" s="28">
        <f t="shared" si="21"/>
        <v>3.5548184716220559E-2</v>
      </c>
      <c r="R1136" s="29">
        <v>0.15003660775771735</v>
      </c>
      <c r="S1136" s="30">
        <v>2.3600000000000003E-2</v>
      </c>
    </row>
    <row r="1137" spans="16:19" x14ac:dyDescent="0.25">
      <c r="P1137" s="27">
        <v>3.2548184716220556E-2</v>
      </c>
      <c r="Q1137" s="28">
        <f t="shared" si="21"/>
        <v>3.5548184716220559E-2</v>
      </c>
      <c r="R1137" s="29">
        <v>0.15003660775771735</v>
      </c>
      <c r="S1137" s="30">
        <v>3.4880000000000001E-2</v>
      </c>
    </row>
    <row r="1138" spans="16:19" x14ac:dyDescent="0.25">
      <c r="P1138" s="27">
        <v>3.2548184716220556E-2</v>
      </c>
      <c r="Q1138" s="28">
        <f t="shared" si="21"/>
        <v>3.5548184716220559E-2</v>
      </c>
      <c r="R1138" s="29">
        <v>0.15003660775771735</v>
      </c>
      <c r="S1138" s="30">
        <v>5.2499999999999998E-2</v>
      </c>
    </row>
    <row r="1139" spans="16:19" x14ac:dyDescent="0.25">
      <c r="P1139" s="27">
        <v>3.2548184716220556E-2</v>
      </c>
      <c r="Q1139" s="28">
        <f t="shared" si="21"/>
        <v>3.5548184716220559E-2</v>
      </c>
      <c r="R1139" s="31">
        <v>0.15939999999999999</v>
      </c>
      <c r="S1139" s="32">
        <v>6.2719999999999998E-2</v>
      </c>
    </row>
    <row r="1140" spans="16:19" x14ac:dyDescent="0.25">
      <c r="P1140" s="27">
        <v>3.2548184716220556E-2</v>
      </c>
      <c r="Q1140" s="28">
        <f t="shared" si="21"/>
        <v>3.5548184716220559E-2</v>
      </c>
      <c r="R1140" s="31">
        <v>0.15939999999999999</v>
      </c>
      <c r="S1140" s="32">
        <v>6.6530000000000006E-2</v>
      </c>
    </row>
    <row r="1141" spans="16:19" x14ac:dyDescent="0.25">
      <c r="P1141" s="27">
        <v>3.2548184716220556E-2</v>
      </c>
      <c r="Q1141" s="28">
        <f t="shared" si="21"/>
        <v>3.5548184716220559E-2</v>
      </c>
      <c r="R1141" s="31">
        <v>0.15939999999999999</v>
      </c>
      <c r="S1141" s="32">
        <v>6.2200000000000005E-2</v>
      </c>
    </row>
    <row r="1142" spans="16:19" x14ac:dyDescent="0.25">
      <c r="P1142" s="27">
        <v>3.2548184716220556E-2</v>
      </c>
      <c r="Q1142" s="28">
        <f t="shared" si="21"/>
        <v>3.5548184716220559E-2</v>
      </c>
      <c r="R1142" s="31">
        <v>0.15939999999999999</v>
      </c>
      <c r="S1142" s="32">
        <v>6.0399999999999995E-2</v>
      </c>
    </row>
    <row r="1143" spans="16:19" x14ac:dyDescent="0.25">
      <c r="P1143" s="27">
        <v>3.2548184716220556E-2</v>
      </c>
      <c r="Q1143" s="28">
        <f t="shared" si="21"/>
        <v>3.5548184716220559E-2</v>
      </c>
      <c r="R1143" s="31">
        <v>0.15939999999999999</v>
      </c>
      <c r="S1143" s="32">
        <v>5.7360000000000001E-2</v>
      </c>
    </row>
    <row r="1144" spans="16:19" x14ac:dyDescent="0.25">
      <c r="P1144" s="27">
        <v>3.2548184716220556E-2</v>
      </c>
      <c r="Q1144" s="28">
        <f t="shared" si="21"/>
        <v>3.5548184716220559E-2</v>
      </c>
      <c r="R1144" s="31">
        <v>0.15939999999999999</v>
      </c>
      <c r="S1144" s="32">
        <v>5.3240000000000003E-2</v>
      </c>
    </row>
    <row r="1145" spans="16:19" x14ac:dyDescent="0.25">
      <c r="P1145" s="27">
        <v>3.2548184716220556E-2</v>
      </c>
      <c r="Q1145" s="28">
        <f t="shared" si="21"/>
        <v>3.5548184716220559E-2</v>
      </c>
      <c r="R1145" s="31">
        <v>0.15939999999999999</v>
      </c>
      <c r="S1145" s="32">
        <v>5.2330000000000002E-2</v>
      </c>
    </row>
    <row r="1146" spans="16:19" x14ac:dyDescent="0.25">
      <c r="P1146" s="27">
        <v>3.2548184716220556E-2</v>
      </c>
      <c r="Q1146" s="28">
        <f t="shared" si="21"/>
        <v>3.5548184716220559E-2</v>
      </c>
      <c r="R1146" s="31">
        <v>0.15939999999999999</v>
      </c>
      <c r="S1146" s="32">
        <v>5.7599999999999998E-2</v>
      </c>
    </row>
    <row r="1147" spans="16:19" x14ac:dyDescent="0.25">
      <c r="P1147" s="27">
        <v>3.2548184716220556E-2</v>
      </c>
      <c r="Q1147" s="28">
        <f t="shared" si="21"/>
        <v>3.5548184716220559E-2</v>
      </c>
      <c r="R1147" s="31">
        <v>0.15939999999999999</v>
      </c>
      <c r="S1147" s="32">
        <v>5.9279999999999999E-2</v>
      </c>
    </row>
    <row r="1148" spans="16:19" x14ac:dyDescent="0.25">
      <c r="P1148" s="27">
        <v>3.2548184716220556E-2</v>
      </c>
      <c r="Q1148" s="28">
        <f t="shared" si="21"/>
        <v>3.5548184716220559E-2</v>
      </c>
      <c r="R1148" s="31">
        <v>0.15939999999999999</v>
      </c>
      <c r="S1148" s="32">
        <v>5.9040000000000002E-2</v>
      </c>
    </row>
    <row r="1149" spans="16:19" x14ac:dyDescent="0.25">
      <c r="P1149" s="27">
        <v>3.2548184716220556E-2</v>
      </c>
      <c r="Q1149" s="28">
        <f t="shared" si="21"/>
        <v>3.5548184716220559E-2</v>
      </c>
      <c r="R1149" s="31">
        <v>0.15939999999999999</v>
      </c>
      <c r="S1149" s="32">
        <v>6.2890000000000001E-2</v>
      </c>
    </row>
    <row r="1150" spans="16:19" x14ac:dyDescent="0.25">
      <c r="P1150" s="27">
        <v>3.2548184716220556E-2</v>
      </c>
      <c r="Q1150" s="28">
        <f t="shared" si="21"/>
        <v>3.5548184716220559E-2</v>
      </c>
      <c r="R1150" s="31">
        <v>0.15939999999999999</v>
      </c>
      <c r="S1150" s="32">
        <v>7.0000000000000007E-2</v>
      </c>
    </row>
    <row r="1151" spans="16:19" x14ac:dyDescent="0.25">
      <c r="P1151" s="27">
        <v>3.2548184716220556E-2</v>
      </c>
      <c r="Q1151" s="28">
        <f t="shared" si="21"/>
        <v>3.5548184716220559E-2</v>
      </c>
      <c r="R1151" s="31">
        <v>0.15939999999999999</v>
      </c>
      <c r="S1151" s="32">
        <v>6.6640000000000005E-2</v>
      </c>
    </row>
    <row r="1152" spans="16:19" x14ac:dyDescent="0.25">
      <c r="P1152" s="27">
        <v>3.2548184716220556E-2</v>
      </c>
      <c r="Q1152" s="28">
        <f t="shared" si="21"/>
        <v>3.5548184716220559E-2</v>
      </c>
      <c r="R1152" s="31">
        <v>0.15939999999999999</v>
      </c>
      <c r="S1152" s="32">
        <v>6.0049999999999999E-2</v>
      </c>
    </row>
    <row r="1153" spans="16:19" x14ac:dyDescent="0.25">
      <c r="P1153" s="27">
        <v>3.2548184716220556E-2</v>
      </c>
      <c r="Q1153" s="28">
        <f t="shared" si="21"/>
        <v>3.5548184716220559E-2</v>
      </c>
      <c r="R1153" s="31">
        <v>0.15939999999999999</v>
      </c>
      <c r="S1153" s="32">
        <v>5.7009999999999998E-2</v>
      </c>
    </row>
    <row r="1154" spans="16:19" x14ac:dyDescent="0.25">
      <c r="P1154" s="27">
        <v>3.2548184716220556E-2</v>
      </c>
      <c r="Q1154" s="28">
        <f t="shared" si="21"/>
        <v>3.5548184716220559E-2</v>
      </c>
      <c r="R1154" s="31">
        <v>0.15939999999999999</v>
      </c>
      <c r="S1154" s="32">
        <v>5.5450000000000006E-2</v>
      </c>
    </row>
    <row r="1155" spans="16:19" x14ac:dyDescent="0.25">
      <c r="P1155" s="27">
        <v>3.2548184716220556E-2</v>
      </c>
      <c r="Q1155" s="28">
        <f t="shared" si="21"/>
        <v>3.5548184716220559E-2</v>
      </c>
      <c r="R1155" s="29">
        <v>0.15</v>
      </c>
      <c r="S1155" s="30">
        <v>5.0711070999999996E-2</v>
      </c>
    </row>
    <row r="1156" spans="16:19" x14ac:dyDescent="0.25">
      <c r="P1156" s="27">
        <v>3.2548184716220556E-2</v>
      </c>
      <c r="Q1156" s="28">
        <f t="shared" si="21"/>
        <v>3.5548184716220559E-2</v>
      </c>
      <c r="R1156" s="29">
        <v>0.15</v>
      </c>
      <c r="S1156" s="30">
        <v>4.3999999999999997E-2</v>
      </c>
    </row>
    <row r="1157" spans="16:19" x14ac:dyDescent="0.25">
      <c r="P1157" s="27">
        <v>3.2548184716220556E-2</v>
      </c>
      <c r="Q1157" s="28">
        <f t="shared" ref="Q1157:Q1220" si="22">P1157+0.003</f>
        <v>3.5548184716220559E-2</v>
      </c>
      <c r="R1157" s="29">
        <v>0.15</v>
      </c>
      <c r="S1157" s="30">
        <v>3.8979999999999994E-2</v>
      </c>
    </row>
    <row r="1158" spans="16:19" x14ac:dyDescent="0.25">
      <c r="P1158" s="27">
        <v>3.2548184716220556E-2</v>
      </c>
      <c r="Q1158" s="28">
        <f t="shared" si="22"/>
        <v>3.5548184716220559E-2</v>
      </c>
      <c r="R1158" s="29">
        <v>0.15</v>
      </c>
      <c r="S1158" s="30">
        <v>3.8969999999999998E-2</v>
      </c>
    </row>
    <row r="1159" spans="16:19" x14ac:dyDescent="0.25">
      <c r="P1159" s="27">
        <v>3.2548184716220556E-2</v>
      </c>
      <c r="Q1159" s="28">
        <f t="shared" si="22"/>
        <v>3.5548184716220559E-2</v>
      </c>
      <c r="R1159" s="29">
        <v>0.15</v>
      </c>
      <c r="S1159" s="30">
        <v>3.5270000000000003E-2</v>
      </c>
    </row>
    <row r="1160" spans="16:19" x14ac:dyDescent="0.25">
      <c r="P1160" s="27">
        <v>3.2548184716220556E-2</v>
      </c>
      <c r="Q1160" s="28">
        <f t="shared" si="22"/>
        <v>3.5548184716220559E-2</v>
      </c>
      <c r="R1160" s="29">
        <v>0.15</v>
      </c>
      <c r="S1160" s="30">
        <v>3.8225380999999996E-2</v>
      </c>
    </row>
    <row r="1161" spans="16:19" x14ac:dyDescent="0.25">
      <c r="P1161" s="27">
        <v>3.2548184716220556E-2</v>
      </c>
      <c r="Q1161" s="28">
        <f t="shared" si="22"/>
        <v>3.5548184716220559E-2</v>
      </c>
      <c r="R1161" s="29">
        <v>0.15</v>
      </c>
      <c r="S1161" s="30">
        <v>4.3175294999999995E-2</v>
      </c>
    </row>
    <row r="1162" spans="16:19" x14ac:dyDescent="0.25">
      <c r="P1162" s="27">
        <v>3.2548184716220556E-2</v>
      </c>
      <c r="Q1162" s="28">
        <f t="shared" si="22"/>
        <v>3.5548184716220559E-2</v>
      </c>
      <c r="R1162" s="29">
        <v>0.15</v>
      </c>
      <c r="S1162" s="30">
        <v>5.6809999999999999E-2</v>
      </c>
    </row>
    <row r="1163" spans="16:19" x14ac:dyDescent="0.25">
      <c r="P1163" s="27">
        <v>3.2548184716220556E-2</v>
      </c>
      <c r="Q1163" s="28">
        <f t="shared" si="22"/>
        <v>3.5548184716220559E-2</v>
      </c>
      <c r="R1163" s="29">
        <v>0.15</v>
      </c>
      <c r="S1163" s="30">
        <v>6.6000000000000003E-2</v>
      </c>
    </row>
    <row r="1164" spans="16:19" x14ac:dyDescent="0.25">
      <c r="P1164" s="27">
        <v>3.2548184716220556E-2</v>
      </c>
      <c r="Q1164" s="28">
        <f t="shared" si="22"/>
        <v>3.5548184716220559E-2</v>
      </c>
      <c r="R1164" s="29">
        <v>0.15</v>
      </c>
      <c r="S1164" s="30">
        <v>7.1529999999999996E-2</v>
      </c>
    </row>
    <row r="1165" spans="16:19" x14ac:dyDescent="0.25">
      <c r="P1165" s="27">
        <v>3.2548184716220556E-2</v>
      </c>
      <c r="Q1165" s="28">
        <f t="shared" si="22"/>
        <v>3.5548184716220559E-2</v>
      </c>
      <c r="R1165" s="29">
        <v>0.15</v>
      </c>
      <c r="S1165" s="30">
        <v>6.3039999999999999E-2</v>
      </c>
    </row>
    <row r="1166" spans="16:19" x14ac:dyDescent="0.25">
      <c r="P1166" s="27">
        <v>3.2548184716220556E-2</v>
      </c>
      <c r="Q1166" s="28">
        <f t="shared" si="22"/>
        <v>3.5548184716220559E-2</v>
      </c>
      <c r="R1166" s="29">
        <v>0.15</v>
      </c>
      <c r="S1166" s="30">
        <v>6.2E-2</v>
      </c>
    </row>
    <row r="1167" spans="16:19" x14ac:dyDescent="0.25">
      <c r="P1167" s="27">
        <v>3.2548184716220556E-2</v>
      </c>
      <c r="Q1167" s="28">
        <f t="shared" si="22"/>
        <v>3.5548184716220559E-2</v>
      </c>
      <c r="R1167" s="29">
        <v>0.15</v>
      </c>
      <c r="S1167" s="30">
        <v>5.9359999999999996E-2</v>
      </c>
    </row>
    <row r="1168" spans="16:19" x14ac:dyDescent="0.25">
      <c r="P1168" s="27">
        <v>3.2548184716220556E-2</v>
      </c>
      <c r="Q1168" s="28">
        <f t="shared" si="22"/>
        <v>3.5548184716220559E-2</v>
      </c>
      <c r="R1168" s="29">
        <v>0.15</v>
      </c>
      <c r="S1168" s="30">
        <v>5.5009999999999996E-2</v>
      </c>
    </row>
    <row r="1169" spans="16:19" x14ac:dyDescent="0.25">
      <c r="P1169" s="27">
        <v>3.2548184716220556E-2</v>
      </c>
      <c r="Q1169" s="28">
        <f t="shared" si="22"/>
        <v>3.5548184716220559E-2</v>
      </c>
      <c r="R1169" s="29">
        <v>0.15</v>
      </c>
      <c r="S1169" s="30">
        <v>5.3149999999999996E-2</v>
      </c>
    </row>
    <row r="1170" spans="16:19" x14ac:dyDescent="0.25">
      <c r="P1170" s="27">
        <v>3.2548184716220556E-2</v>
      </c>
      <c r="Q1170" s="28">
        <f t="shared" si="22"/>
        <v>3.5548184716220559E-2</v>
      </c>
      <c r="R1170" s="29">
        <v>0.15</v>
      </c>
      <c r="S1170" s="30">
        <v>5.6149999999999999E-2</v>
      </c>
    </row>
    <row r="1171" spans="16:19" x14ac:dyDescent="0.25">
      <c r="P1171" s="27">
        <v>3.2548184716220556E-2</v>
      </c>
      <c r="Q1171" s="28">
        <f t="shared" si="22"/>
        <v>3.5548184716220559E-2</v>
      </c>
      <c r="R1171" s="29">
        <v>0.15</v>
      </c>
      <c r="S1171" s="30">
        <v>5.9667082000000003E-2</v>
      </c>
    </row>
    <row r="1172" spans="16:19" x14ac:dyDescent="0.25">
      <c r="P1172" s="27">
        <v>3.2548184716220556E-2</v>
      </c>
      <c r="Q1172" s="28">
        <f t="shared" si="22"/>
        <v>3.5548184716220559E-2</v>
      </c>
      <c r="R1172" s="29">
        <v>0.15</v>
      </c>
      <c r="S1172" s="30">
        <v>6.1759999999999995E-2</v>
      </c>
    </row>
    <row r="1173" spans="16:19" x14ac:dyDescent="0.25">
      <c r="P1173" s="27">
        <v>3.2548184716220556E-2</v>
      </c>
      <c r="Q1173" s="28">
        <f t="shared" si="22"/>
        <v>3.5548184716220559E-2</v>
      </c>
      <c r="R1173" s="29">
        <v>0.15</v>
      </c>
      <c r="S1173" s="30">
        <v>6.3210000000000002E-2</v>
      </c>
    </row>
    <row r="1174" spans="16:19" x14ac:dyDescent="0.25">
      <c r="P1174" s="27">
        <v>3.2548184716220556E-2</v>
      </c>
      <c r="Q1174" s="28">
        <f t="shared" si="22"/>
        <v>3.5548184716220559E-2</v>
      </c>
      <c r="R1174" s="29">
        <v>0.15</v>
      </c>
      <c r="S1174" s="30">
        <v>7.4999999999999997E-2</v>
      </c>
    </row>
    <row r="1175" spans="16:19" x14ac:dyDescent="0.25">
      <c r="P1175" s="27">
        <v>3.2548184716220556E-2</v>
      </c>
      <c r="Q1175" s="28">
        <f t="shared" si="22"/>
        <v>3.5548184716220559E-2</v>
      </c>
      <c r="R1175" s="29">
        <v>0.15</v>
      </c>
      <c r="S1175" s="30">
        <v>7.399E-2</v>
      </c>
    </row>
    <row r="1176" spans="16:19" x14ac:dyDescent="0.25">
      <c r="P1176" s="27">
        <v>3.2548184716220556E-2</v>
      </c>
      <c r="Q1176" s="28">
        <f t="shared" si="22"/>
        <v>3.5548184716220559E-2</v>
      </c>
      <c r="R1176" s="29">
        <v>0.15</v>
      </c>
      <c r="S1176" s="30">
        <v>6.3799999999999996E-2</v>
      </c>
    </row>
    <row r="1177" spans="16:19" x14ac:dyDescent="0.25">
      <c r="P1177" s="27">
        <v>3.2548184716220556E-2</v>
      </c>
      <c r="Q1177" s="28">
        <f t="shared" si="22"/>
        <v>3.5548184716220559E-2</v>
      </c>
      <c r="R1177" s="29">
        <v>0.15</v>
      </c>
      <c r="S1177" s="30">
        <v>5.7049999999999997E-2</v>
      </c>
    </row>
    <row r="1178" spans="16:19" x14ac:dyDescent="0.25">
      <c r="P1178" s="27">
        <v>3.2548184716220556E-2</v>
      </c>
      <c r="Q1178" s="28">
        <f t="shared" si="22"/>
        <v>3.5548184716220559E-2</v>
      </c>
      <c r="R1178" s="29">
        <v>0.15</v>
      </c>
      <c r="S1178" s="30">
        <v>5.5320000000000001E-2</v>
      </c>
    </row>
    <row r="1179" spans="16:19" x14ac:dyDescent="0.25">
      <c r="P1179" s="27">
        <v>3.2548184716220556E-2</v>
      </c>
      <c r="Q1179" s="28">
        <f t="shared" si="22"/>
        <v>3.5548184716220559E-2</v>
      </c>
      <c r="R1179" s="29">
        <v>0.15</v>
      </c>
      <c r="S1179" s="30">
        <v>0.05</v>
      </c>
    </row>
    <row r="1180" spans="16:19" x14ac:dyDescent="0.25">
      <c r="P1180" s="27">
        <v>3.2548184716220556E-2</v>
      </c>
      <c r="Q1180" s="28">
        <f t="shared" si="22"/>
        <v>3.5548184716220559E-2</v>
      </c>
      <c r="R1180" s="29">
        <v>0.15</v>
      </c>
      <c r="S1180" s="30">
        <v>4.215E-2</v>
      </c>
    </row>
    <row r="1181" spans="16:19" x14ac:dyDescent="0.25">
      <c r="P1181" s="27">
        <v>3.2548184716220556E-2</v>
      </c>
      <c r="Q1181" s="28">
        <f t="shared" si="22"/>
        <v>3.5548184716220559E-2</v>
      </c>
      <c r="R1181" s="29">
        <v>0.15</v>
      </c>
      <c r="S1181" s="30">
        <v>3.8969999999999998E-2</v>
      </c>
    </row>
    <row r="1182" spans="16:19" x14ac:dyDescent="0.25">
      <c r="P1182" s="27">
        <v>3.2548184716220556E-2</v>
      </c>
      <c r="Q1182" s="28">
        <f t="shared" si="22"/>
        <v>3.5548184716220559E-2</v>
      </c>
      <c r="R1182" s="29">
        <v>0.15</v>
      </c>
      <c r="S1182" s="30">
        <v>3.5499999999999997E-2</v>
      </c>
    </row>
    <row r="1183" spans="16:19" x14ac:dyDescent="0.25">
      <c r="P1183" s="27">
        <v>3.2548184716220556E-2</v>
      </c>
      <c r="Q1183" s="28">
        <f t="shared" si="22"/>
        <v>3.5548184716220559E-2</v>
      </c>
      <c r="R1183" s="29">
        <v>0.15</v>
      </c>
      <c r="S1183" s="30">
        <v>3.465E-2</v>
      </c>
    </row>
    <row r="1184" spans="16:19" x14ac:dyDescent="0.25">
      <c r="P1184" s="27">
        <v>3.2548184716220556E-2</v>
      </c>
      <c r="Q1184" s="28">
        <f t="shared" si="22"/>
        <v>3.5548184716220559E-2</v>
      </c>
      <c r="R1184" s="29">
        <v>0.15</v>
      </c>
      <c r="S1184" s="30">
        <v>3.4000000000000002E-2</v>
      </c>
    </row>
    <row r="1185" spans="16:19" x14ac:dyDescent="0.25">
      <c r="P1185" s="27">
        <v>3.2548184716220556E-2</v>
      </c>
      <c r="Q1185" s="28">
        <f t="shared" si="22"/>
        <v>3.5548184716220559E-2</v>
      </c>
      <c r="R1185" s="29">
        <v>0.15</v>
      </c>
      <c r="S1185" s="30">
        <v>3.8649999999999997E-2</v>
      </c>
    </row>
    <row r="1186" spans="16:19" x14ac:dyDescent="0.25">
      <c r="P1186" s="27">
        <v>3.2548184716220556E-2</v>
      </c>
      <c r="Q1186" s="28">
        <f t="shared" si="22"/>
        <v>3.5548184716220559E-2</v>
      </c>
      <c r="R1186" s="29">
        <v>0.15</v>
      </c>
      <c r="S1186" s="30">
        <v>5.4579999999999997E-2</v>
      </c>
    </row>
    <row r="1187" spans="16:19" x14ac:dyDescent="0.25">
      <c r="P1187" s="27">
        <v>3.2548184716220556E-2</v>
      </c>
      <c r="Q1187" s="28">
        <f t="shared" si="22"/>
        <v>3.5548184716220559E-2</v>
      </c>
      <c r="R1187" s="31">
        <v>0.15939660775771733</v>
      </c>
      <c r="S1187" s="32">
        <v>0.06</v>
      </c>
    </row>
    <row r="1188" spans="16:19" x14ac:dyDescent="0.25">
      <c r="P1188" s="27">
        <v>3.2548184716220556E-2</v>
      </c>
      <c r="Q1188" s="28">
        <f t="shared" si="22"/>
        <v>3.5548184716220559E-2</v>
      </c>
      <c r="R1188" s="33">
        <v>0.16282860775771735</v>
      </c>
      <c r="S1188" s="34">
        <v>6.8599999999999994E-2</v>
      </c>
    </row>
    <row r="1189" spans="16:19" x14ac:dyDescent="0.25">
      <c r="P1189" s="27">
        <v>3.2548184716220556E-2</v>
      </c>
      <c r="Q1189" s="28">
        <f t="shared" si="22"/>
        <v>3.5548184716220559E-2</v>
      </c>
      <c r="R1189" s="33">
        <v>0.16282860775771735</v>
      </c>
      <c r="S1189" s="34">
        <v>6.1251457000000002E-2</v>
      </c>
    </row>
    <row r="1190" spans="16:19" x14ac:dyDescent="0.25">
      <c r="P1190" s="27">
        <v>3.2548184716220556E-2</v>
      </c>
      <c r="Q1190" s="28">
        <f t="shared" si="22"/>
        <v>3.5548184716220559E-2</v>
      </c>
      <c r="R1190" s="33">
        <v>0.16282860775771735</v>
      </c>
      <c r="S1190" s="34">
        <v>6.0630000000000003E-2</v>
      </c>
    </row>
    <row r="1191" spans="16:19" x14ac:dyDescent="0.25">
      <c r="P1191" s="27">
        <v>3.2548184716220556E-2</v>
      </c>
      <c r="Q1191" s="28">
        <f t="shared" si="22"/>
        <v>3.5548184716220559E-2</v>
      </c>
      <c r="R1191" s="33">
        <v>0.16282860775771735</v>
      </c>
      <c r="S1191" s="34">
        <v>5.8000000000000003E-2</v>
      </c>
    </row>
    <row r="1192" spans="16:19" x14ac:dyDescent="0.25">
      <c r="P1192" s="27">
        <v>3.2548184716220556E-2</v>
      </c>
      <c r="Q1192" s="28">
        <f t="shared" si="22"/>
        <v>3.5548184716220559E-2</v>
      </c>
      <c r="R1192" s="33">
        <v>0.16282860775771735</v>
      </c>
      <c r="S1192" s="34">
        <v>5.5009999999999996E-2</v>
      </c>
    </row>
    <row r="1193" spans="16:19" x14ac:dyDescent="0.25">
      <c r="P1193" s="27">
        <v>3.2548184716220556E-2</v>
      </c>
      <c r="Q1193" s="28">
        <f t="shared" si="22"/>
        <v>3.5548184716220559E-2</v>
      </c>
      <c r="R1193" s="33">
        <v>0.16282860775771735</v>
      </c>
      <c r="S1193" s="34">
        <v>5.4909999999999994E-2</v>
      </c>
    </row>
    <row r="1194" spans="16:19" x14ac:dyDescent="0.25">
      <c r="P1194" s="27">
        <v>3.2548184716220556E-2</v>
      </c>
      <c r="Q1194" s="28">
        <f t="shared" si="22"/>
        <v>3.5548184716220559E-2</v>
      </c>
      <c r="R1194" s="33">
        <v>0.16282860775771735</v>
      </c>
      <c r="S1194" s="34">
        <v>5.5149999999999998E-2</v>
      </c>
    </row>
    <row r="1195" spans="16:19" x14ac:dyDescent="0.25">
      <c r="P1195" s="27">
        <v>3.2548184716220556E-2</v>
      </c>
      <c r="Q1195" s="28">
        <f t="shared" si="22"/>
        <v>3.5548184716220559E-2</v>
      </c>
      <c r="R1195" s="33">
        <v>0.16282860775771735</v>
      </c>
      <c r="S1195" s="34">
        <v>5.611E-2</v>
      </c>
    </row>
    <row r="1196" spans="16:19" x14ac:dyDescent="0.25">
      <c r="P1196" s="27">
        <v>3.2548184716220556E-2</v>
      </c>
      <c r="Q1196" s="28">
        <f t="shared" si="22"/>
        <v>3.5548184716220559E-2</v>
      </c>
      <c r="R1196" s="33">
        <v>0.16282860775771735</v>
      </c>
      <c r="S1196" s="34">
        <v>5.8000000000000003E-2</v>
      </c>
    </row>
    <row r="1197" spans="16:19" x14ac:dyDescent="0.25">
      <c r="P1197" s="27">
        <v>3.2548184716220556E-2</v>
      </c>
      <c r="Q1197" s="28">
        <f t="shared" si="22"/>
        <v>3.5548184716220559E-2</v>
      </c>
      <c r="R1197" s="33">
        <v>0.16282860775771735</v>
      </c>
      <c r="S1197" s="34">
        <v>6.0170000000000001E-2</v>
      </c>
    </row>
    <row r="1198" spans="16:19" x14ac:dyDescent="0.25">
      <c r="P1198" s="27">
        <v>3.2548184716220556E-2</v>
      </c>
      <c r="Q1198" s="28">
        <f t="shared" si="22"/>
        <v>3.5548184716220559E-2</v>
      </c>
      <c r="R1198" s="33">
        <v>0.16282860775771735</v>
      </c>
      <c r="S1198" s="34">
        <v>7.2029999999999997E-2</v>
      </c>
    </row>
    <row r="1199" spans="16:19" x14ac:dyDescent="0.25">
      <c r="P1199" s="27">
        <v>3.2548184716220556E-2</v>
      </c>
      <c r="Q1199" s="28">
        <f t="shared" si="22"/>
        <v>3.5548184716220559E-2</v>
      </c>
      <c r="R1199" s="31">
        <v>0.15939660775771733</v>
      </c>
      <c r="S1199" s="32">
        <v>6.762E-2</v>
      </c>
    </row>
    <row r="1200" spans="16:19" x14ac:dyDescent="0.25">
      <c r="P1200" s="27">
        <v>3.2548184716220556E-2</v>
      </c>
      <c r="Q1200" s="28">
        <f t="shared" si="22"/>
        <v>3.5548184716220559E-2</v>
      </c>
      <c r="R1200" s="31">
        <v>0.15939660775771733</v>
      </c>
      <c r="S1200" s="32">
        <v>5.978E-2</v>
      </c>
    </row>
    <row r="1201" spans="16:19" x14ac:dyDescent="0.25">
      <c r="P1201" s="27">
        <v>3.2548184716220556E-2</v>
      </c>
      <c r="Q1201" s="28">
        <f t="shared" si="22"/>
        <v>3.5548184716220559E-2</v>
      </c>
      <c r="R1201" s="31">
        <v>0.15939660775771733</v>
      </c>
      <c r="S1201" s="32">
        <v>5.4909999999999994E-2</v>
      </c>
    </row>
    <row r="1202" spans="16:19" x14ac:dyDescent="0.25">
      <c r="P1202" s="27">
        <v>3.2548184716220556E-2</v>
      </c>
      <c r="Q1202" s="28">
        <f t="shared" si="22"/>
        <v>3.5548184716220559E-2</v>
      </c>
      <c r="R1202" s="31">
        <v>0.15939660775771733</v>
      </c>
      <c r="S1202" s="32">
        <v>5.1999999999999998E-2</v>
      </c>
    </row>
    <row r="1203" spans="16:19" x14ac:dyDescent="0.25">
      <c r="P1203" s="27">
        <v>3.2548184716220556E-2</v>
      </c>
      <c r="Q1203" s="28">
        <f t="shared" si="22"/>
        <v>3.5548184716220559E-2</v>
      </c>
      <c r="R1203" s="29">
        <v>0.15003660775771735</v>
      </c>
      <c r="S1203" s="30">
        <v>4.7500000000000001E-2</v>
      </c>
    </row>
    <row r="1204" spans="16:19" x14ac:dyDescent="0.25">
      <c r="P1204" s="27">
        <v>3.2548184716220556E-2</v>
      </c>
      <c r="Q1204" s="28">
        <f t="shared" si="22"/>
        <v>3.5548184716220559E-2</v>
      </c>
      <c r="R1204" s="29">
        <v>0.15003660775771735</v>
      </c>
      <c r="S1204" s="30">
        <v>4.2560000000000001E-2</v>
      </c>
    </row>
    <row r="1205" spans="16:19" x14ac:dyDescent="0.25">
      <c r="P1205" s="27">
        <v>3.2548184716220556E-2</v>
      </c>
      <c r="Q1205" s="28">
        <f t="shared" si="22"/>
        <v>3.5548184716220559E-2</v>
      </c>
      <c r="R1205" s="29">
        <v>0.15003660775771735</v>
      </c>
      <c r="S1205" s="30">
        <v>3.9310000000000005E-2</v>
      </c>
    </row>
    <row r="1206" spans="16:19" x14ac:dyDescent="0.25">
      <c r="P1206" s="27">
        <v>3.2548184716220556E-2</v>
      </c>
      <c r="Q1206" s="28">
        <f t="shared" si="22"/>
        <v>3.5548184716220559E-2</v>
      </c>
      <c r="R1206" s="29">
        <v>0.15003660775771735</v>
      </c>
      <c r="S1206" s="30">
        <v>3.5249999999999997E-2</v>
      </c>
    </row>
    <row r="1207" spans="16:19" x14ac:dyDescent="0.25">
      <c r="P1207" s="27">
        <v>3.2548184716220556E-2</v>
      </c>
      <c r="Q1207" s="28">
        <f t="shared" si="22"/>
        <v>3.5548184716220559E-2</v>
      </c>
      <c r="R1207" s="29">
        <v>0.15003660775771735</v>
      </c>
      <c r="S1207" s="30">
        <v>3.4700000000000002E-2</v>
      </c>
    </row>
    <row r="1208" spans="16:19" x14ac:dyDescent="0.25">
      <c r="P1208" s="27">
        <v>3.2548184716220556E-2</v>
      </c>
      <c r="Q1208" s="28">
        <f t="shared" si="22"/>
        <v>3.5548184716220559E-2</v>
      </c>
      <c r="R1208" s="29">
        <v>0.15003660775771735</v>
      </c>
      <c r="S1208" s="30">
        <v>3.3000000000000002E-2</v>
      </c>
    </row>
    <row r="1209" spans="16:19" x14ac:dyDescent="0.25">
      <c r="P1209" s="27">
        <v>3.2548184716220556E-2</v>
      </c>
      <c r="Q1209" s="28">
        <f t="shared" si="22"/>
        <v>3.5548184716220559E-2</v>
      </c>
      <c r="R1209" s="29">
        <v>0.15003660775771735</v>
      </c>
      <c r="S1209" s="30">
        <v>3.8979999999999994E-2</v>
      </c>
    </row>
    <row r="1210" spans="16:19" x14ac:dyDescent="0.25">
      <c r="P1210" s="27">
        <v>3.2548184716220556E-2</v>
      </c>
      <c r="Q1210" s="28">
        <f t="shared" si="22"/>
        <v>3.5548184716220559E-2</v>
      </c>
      <c r="R1210" s="29">
        <v>0.15003660775771735</v>
      </c>
      <c r="S1210" s="30">
        <v>5.2049999999999999E-2</v>
      </c>
    </row>
    <row r="1211" spans="16:19" x14ac:dyDescent="0.25">
      <c r="P1211" s="27">
        <v>3.2548184716220556E-2</v>
      </c>
      <c r="Q1211" s="28">
        <f t="shared" si="22"/>
        <v>3.5548184716220559E-2</v>
      </c>
      <c r="R1211" s="31">
        <v>0.15939660775771733</v>
      </c>
      <c r="S1211" s="32">
        <v>0.06</v>
      </c>
    </row>
    <row r="1212" spans="16:19" x14ac:dyDescent="0.25">
      <c r="P1212" s="27">
        <v>3.2548184716220556E-2</v>
      </c>
      <c r="Q1212" s="28">
        <f t="shared" si="22"/>
        <v>3.5548184716220559E-2</v>
      </c>
      <c r="R1212" s="33">
        <v>0.16282860775771735</v>
      </c>
      <c r="S1212" s="34">
        <v>6.8250000000000005E-2</v>
      </c>
    </row>
    <row r="1213" spans="16:19" x14ac:dyDescent="0.25">
      <c r="P1213" s="27">
        <v>3.2548184716220556E-2</v>
      </c>
      <c r="Q1213" s="28">
        <f t="shared" si="22"/>
        <v>3.5548184716220559E-2</v>
      </c>
      <c r="R1213" s="33">
        <v>0.16282860775771735</v>
      </c>
      <c r="S1213" s="34">
        <v>6.3E-2</v>
      </c>
    </row>
    <row r="1214" spans="16:19" x14ac:dyDescent="0.25">
      <c r="P1214" s="27">
        <v>3.2548184716220556E-2</v>
      </c>
      <c r="Q1214" s="28">
        <f t="shared" si="22"/>
        <v>3.5548184716220559E-2</v>
      </c>
      <c r="R1214" s="33">
        <v>0.16282860775771735</v>
      </c>
      <c r="S1214" s="34">
        <v>5.985E-2</v>
      </c>
    </row>
    <row r="1215" spans="16:19" x14ac:dyDescent="0.25">
      <c r="P1215" s="27">
        <v>3.2548184716220556E-2</v>
      </c>
      <c r="Q1215" s="28">
        <f t="shared" si="22"/>
        <v>3.5548184716220559E-2</v>
      </c>
      <c r="R1215" s="33">
        <v>0.16282860775771735</v>
      </c>
      <c r="S1215" s="34">
        <v>5.79E-2</v>
      </c>
    </row>
    <row r="1216" spans="16:19" x14ac:dyDescent="0.25">
      <c r="P1216" s="27">
        <v>3.2548184716220556E-2</v>
      </c>
      <c r="Q1216" s="28">
        <f t="shared" si="22"/>
        <v>3.5548184716220559E-2</v>
      </c>
      <c r="R1216" s="33">
        <v>0.16282860775771735</v>
      </c>
      <c r="S1216" s="34">
        <v>5.1499999999999997E-2</v>
      </c>
    </row>
    <row r="1217" spans="16:19" x14ac:dyDescent="0.25">
      <c r="P1217" s="27">
        <v>3.2548184716220556E-2</v>
      </c>
      <c r="Q1217" s="28">
        <f t="shared" si="22"/>
        <v>3.5548184716220559E-2</v>
      </c>
      <c r="R1217" s="33">
        <v>0.16282860775771735</v>
      </c>
      <c r="S1217" s="34">
        <v>0.05</v>
      </c>
    </row>
    <row r="1218" spans="16:19" x14ac:dyDescent="0.25">
      <c r="P1218" s="27">
        <v>3.2548184716220556E-2</v>
      </c>
      <c r="Q1218" s="28">
        <f t="shared" si="22"/>
        <v>3.5548184716220559E-2</v>
      </c>
      <c r="R1218" s="33">
        <v>0.16282860775771735</v>
      </c>
      <c r="S1218" s="34">
        <v>5.4869999999999995E-2</v>
      </c>
    </row>
    <row r="1219" spans="16:19" x14ac:dyDescent="0.25">
      <c r="P1219" s="27">
        <v>3.2548184716220556E-2</v>
      </c>
      <c r="Q1219" s="28">
        <f t="shared" si="22"/>
        <v>3.5548184716220559E-2</v>
      </c>
      <c r="R1219" s="33">
        <v>0.16282860775771735</v>
      </c>
      <c r="S1219" s="34">
        <v>5.6939999999999998E-2</v>
      </c>
    </row>
    <row r="1220" spans="16:19" x14ac:dyDescent="0.25">
      <c r="P1220" s="27">
        <v>3.2548184716220556E-2</v>
      </c>
      <c r="Q1220" s="28">
        <f t="shared" si="22"/>
        <v>3.5548184716220559E-2</v>
      </c>
      <c r="R1220" s="33">
        <v>0.16282860775771735</v>
      </c>
      <c r="S1220" s="34">
        <v>5.9020000000000003E-2</v>
      </c>
    </row>
    <row r="1221" spans="16:19" x14ac:dyDescent="0.25">
      <c r="P1221" s="27">
        <v>3.2548184716220556E-2</v>
      </c>
      <c r="Q1221" s="28">
        <f t="shared" ref="Q1221:Q1284" si="23">P1221+0.003</f>
        <v>3.5548184716220559E-2</v>
      </c>
      <c r="R1221" s="33">
        <v>0.16282860775771735</v>
      </c>
      <c r="S1221" s="34">
        <v>6.08E-2</v>
      </c>
    </row>
    <row r="1222" spans="16:19" x14ac:dyDescent="0.25">
      <c r="P1222" s="27">
        <v>3.2548184716220556E-2</v>
      </c>
      <c r="Q1222" s="28">
        <f t="shared" si="23"/>
        <v>3.5548184716220559E-2</v>
      </c>
      <c r="R1222" s="33">
        <v>0.16282860775771735</v>
      </c>
      <c r="S1222" s="34">
        <v>7.3999999999999996E-2</v>
      </c>
    </row>
    <row r="1223" spans="16:19" x14ac:dyDescent="0.25">
      <c r="P1223" s="27">
        <v>3.2548184716220556E-2</v>
      </c>
      <c r="Q1223" s="28">
        <f t="shared" si="23"/>
        <v>3.5548184716220559E-2</v>
      </c>
      <c r="R1223" s="31">
        <v>0.15939660775771733</v>
      </c>
      <c r="S1223" s="32">
        <v>6.7280000000000006E-2</v>
      </c>
    </row>
    <row r="1224" spans="16:19" x14ac:dyDescent="0.25">
      <c r="P1224" s="27">
        <v>3.2548184716220556E-2</v>
      </c>
      <c r="Q1224" s="28">
        <f t="shared" si="23"/>
        <v>3.5548184716220559E-2</v>
      </c>
      <c r="R1224" s="31">
        <v>0.15939660775771733</v>
      </c>
      <c r="S1224" s="32">
        <v>6.3E-2</v>
      </c>
    </row>
    <row r="1225" spans="16:19" x14ac:dyDescent="0.25">
      <c r="P1225" s="27">
        <v>3.2548184716220556E-2</v>
      </c>
      <c r="Q1225" s="28">
        <f t="shared" si="23"/>
        <v>3.5548184716220559E-2</v>
      </c>
      <c r="R1225" s="31">
        <v>0.15939660775771733</v>
      </c>
      <c r="S1225" s="32">
        <v>5.8779999999999999E-2</v>
      </c>
    </row>
    <row r="1226" spans="16:19" x14ac:dyDescent="0.25">
      <c r="P1226" s="27">
        <v>3.2548184716220556E-2</v>
      </c>
      <c r="Q1226" s="28">
        <f t="shared" si="23"/>
        <v>3.5548184716220559E-2</v>
      </c>
      <c r="R1226" s="31">
        <v>0.15939660775771733</v>
      </c>
      <c r="S1226" s="32">
        <v>5.4990000000000004E-2</v>
      </c>
    </row>
    <row r="1227" spans="16:19" x14ac:dyDescent="0.25">
      <c r="P1227" s="27">
        <v>3.2548184716220556E-2</v>
      </c>
      <c r="Q1227" s="28">
        <f t="shared" si="23"/>
        <v>3.5548184716220559E-2</v>
      </c>
      <c r="R1227" s="29">
        <v>0.15003660775771735</v>
      </c>
      <c r="S1227" s="30">
        <v>5.0130000000000001E-2</v>
      </c>
    </row>
    <row r="1228" spans="16:19" x14ac:dyDescent="0.25">
      <c r="P1228" s="27">
        <v>3.2548184716220556E-2</v>
      </c>
      <c r="Q1228" s="28">
        <f t="shared" si="23"/>
        <v>3.5548184716220559E-2</v>
      </c>
      <c r="R1228" s="29">
        <v>0.15003660775771735</v>
      </c>
      <c r="S1228" s="30">
        <v>4.2810000000000001E-2</v>
      </c>
    </row>
    <row r="1229" spans="16:19" x14ac:dyDescent="0.25">
      <c r="P1229" s="27">
        <v>3.2548184716220556E-2</v>
      </c>
      <c r="Q1229" s="28">
        <f t="shared" si="23"/>
        <v>3.5548184716220559E-2</v>
      </c>
      <c r="R1229" s="29">
        <v>0.15003660775771735</v>
      </c>
      <c r="S1229" s="30">
        <v>4.0409999999999995E-2</v>
      </c>
    </row>
    <row r="1230" spans="16:19" x14ac:dyDescent="0.25">
      <c r="P1230" s="27">
        <v>3.2548184716220556E-2</v>
      </c>
      <c r="Q1230" s="28">
        <f t="shared" si="23"/>
        <v>3.5548184716220559E-2</v>
      </c>
      <c r="R1230" s="29">
        <v>0.15003660775771735</v>
      </c>
      <c r="S1230" s="30">
        <v>3.5619999999999999E-2</v>
      </c>
    </row>
    <row r="1231" spans="16:19" x14ac:dyDescent="0.25">
      <c r="P1231" s="27">
        <v>3.2548184716220556E-2</v>
      </c>
      <c r="Q1231" s="28">
        <f t="shared" si="23"/>
        <v>3.5548184716220559E-2</v>
      </c>
      <c r="R1231" s="29">
        <v>0.15003660775771735</v>
      </c>
      <c r="S1231" s="30">
        <v>3.4880000000000001E-2</v>
      </c>
    </row>
    <row r="1232" spans="16:19" x14ac:dyDescent="0.25">
      <c r="P1232" s="27">
        <v>3.2548184716220556E-2</v>
      </c>
      <c r="Q1232" s="28">
        <f t="shared" si="23"/>
        <v>3.5548184716220559E-2</v>
      </c>
      <c r="R1232" s="29">
        <v>0.15003660775771735</v>
      </c>
      <c r="S1232" s="30">
        <v>3.5000000000000003E-2</v>
      </c>
    </row>
    <row r="1233" spans="16:19" x14ac:dyDescent="0.25">
      <c r="P1233" s="27">
        <v>3.2548184716220556E-2</v>
      </c>
      <c r="Q1233" s="28">
        <f t="shared" si="23"/>
        <v>3.5548184716220559E-2</v>
      </c>
      <c r="R1233" s="29">
        <v>0.15003660775771735</v>
      </c>
      <c r="S1233" s="30">
        <v>4.0600000000000004E-2</v>
      </c>
    </row>
    <row r="1234" spans="16:19" x14ac:dyDescent="0.25">
      <c r="P1234" s="27">
        <v>3.2548184716220556E-2</v>
      </c>
      <c r="Q1234" s="28">
        <f t="shared" si="23"/>
        <v>3.5548184716220559E-2</v>
      </c>
      <c r="R1234" s="29">
        <v>0.15003660775771735</v>
      </c>
      <c r="S1234" s="30">
        <v>5.5990000000000005E-2</v>
      </c>
    </row>
    <row r="1235" spans="16:19" x14ac:dyDescent="0.25">
      <c r="P1235" s="27">
        <v>3.2548184716220556E-2</v>
      </c>
      <c r="Q1235" s="28">
        <f t="shared" si="23"/>
        <v>3.5548184716220559E-2</v>
      </c>
      <c r="R1235" s="31">
        <v>0.15939660775771733</v>
      </c>
      <c r="S1235" s="32">
        <v>6.2729999999999994E-2</v>
      </c>
    </row>
    <row r="1236" spans="16:19" x14ac:dyDescent="0.25">
      <c r="P1236" s="27">
        <v>3.2548184716220556E-2</v>
      </c>
      <c r="Q1236" s="28">
        <f t="shared" si="23"/>
        <v>3.5548184716220559E-2</v>
      </c>
      <c r="R1236" s="33">
        <v>0.16282860775771735</v>
      </c>
      <c r="S1236" s="34">
        <v>7.2520000000000001E-2</v>
      </c>
    </row>
    <row r="1237" spans="16:19" x14ac:dyDescent="0.25">
      <c r="P1237" s="27">
        <v>3.2548184716220556E-2</v>
      </c>
      <c r="Q1237" s="28">
        <f t="shared" si="23"/>
        <v>3.5548184716220559E-2</v>
      </c>
      <c r="R1237" s="33">
        <v>0.16282860775771735</v>
      </c>
      <c r="S1237" s="34">
        <v>6.5000000000000002E-2</v>
      </c>
    </row>
    <row r="1238" spans="16:19" x14ac:dyDescent="0.25">
      <c r="P1238" s="27">
        <v>3.2548184716220556E-2</v>
      </c>
      <c r="Q1238" s="28">
        <f t="shared" si="23"/>
        <v>3.5548184716220559E-2</v>
      </c>
      <c r="R1238" s="33">
        <v>0.16282860775771735</v>
      </c>
      <c r="S1238" s="34">
        <v>6.08E-2</v>
      </c>
    </row>
    <row r="1239" spans="16:19" x14ac:dyDescent="0.25">
      <c r="P1239" s="27">
        <v>3.2548184716220556E-2</v>
      </c>
      <c r="Q1239" s="28">
        <f t="shared" si="23"/>
        <v>3.5548184716220559E-2</v>
      </c>
      <c r="R1239" s="33">
        <v>0.16282860775771735</v>
      </c>
      <c r="S1239" s="34">
        <v>5.8000000000000003E-2</v>
      </c>
    </row>
    <row r="1240" spans="16:19" x14ac:dyDescent="0.25">
      <c r="P1240" s="27">
        <v>3.2548184716220556E-2</v>
      </c>
      <c r="Q1240" s="28">
        <f t="shared" si="23"/>
        <v>3.5548184716220559E-2</v>
      </c>
      <c r="R1240" s="33">
        <v>0.16282860775771735</v>
      </c>
      <c r="S1240" s="34">
        <v>5.5E-2</v>
      </c>
    </row>
    <row r="1241" spans="16:19" x14ac:dyDescent="0.25">
      <c r="P1241" s="27">
        <v>3.2548184716220556E-2</v>
      </c>
      <c r="Q1241" s="28">
        <f t="shared" si="23"/>
        <v>3.5548184716220559E-2</v>
      </c>
      <c r="R1241" s="33">
        <v>0.16282860775771735</v>
      </c>
      <c r="S1241" s="34">
        <v>5.1840000000000004E-2</v>
      </c>
    </row>
    <row r="1242" spans="16:19" x14ac:dyDescent="0.25">
      <c r="P1242" s="27">
        <v>3.2548184716220556E-2</v>
      </c>
      <c r="Q1242" s="28">
        <f t="shared" si="23"/>
        <v>3.5548184716220559E-2</v>
      </c>
      <c r="R1242" s="33">
        <v>0.16282860775771735</v>
      </c>
      <c r="S1242" s="34">
        <v>5.5439999999999996E-2</v>
      </c>
    </row>
    <row r="1243" spans="16:19" x14ac:dyDescent="0.25">
      <c r="P1243" s="27">
        <v>3.2548184716220556E-2</v>
      </c>
      <c r="Q1243" s="28">
        <f t="shared" si="23"/>
        <v>3.5548184716220559E-2</v>
      </c>
      <c r="R1243" s="33">
        <v>0.16282860775771735</v>
      </c>
      <c r="S1243" s="34">
        <v>5.7820000000000003E-2</v>
      </c>
    </row>
    <row r="1244" spans="16:19" x14ac:dyDescent="0.25">
      <c r="P1244" s="27">
        <v>3.2548184716220556E-2</v>
      </c>
      <c r="Q1244" s="28">
        <f t="shared" si="23"/>
        <v>3.5548184716220559E-2</v>
      </c>
      <c r="R1244" s="33">
        <v>0.16282860775771735</v>
      </c>
      <c r="S1244" s="34">
        <v>5.9020000000000003E-2</v>
      </c>
    </row>
    <row r="1245" spans="16:19" x14ac:dyDescent="0.25">
      <c r="P1245" s="27">
        <v>3.2548184716220556E-2</v>
      </c>
      <c r="Q1245" s="28">
        <f t="shared" si="23"/>
        <v>3.5548184716220559E-2</v>
      </c>
      <c r="R1245" s="33">
        <v>0.16282860775771735</v>
      </c>
      <c r="S1245" s="34">
        <v>6.3E-2</v>
      </c>
    </row>
    <row r="1246" spans="16:19" x14ac:dyDescent="0.25">
      <c r="P1246" s="27">
        <v>3.2548184716220556E-2</v>
      </c>
      <c r="Q1246" s="28">
        <f t="shared" si="23"/>
        <v>3.5548184716220559E-2</v>
      </c>
      <c r="R1246" s="33">
        <v>0.16282860775771735</v>
      </c>
      <c r="S1246" s="34">
        <v>7.5870000000000007E-2</v>
      </c>
    </row>
    <row r="1247" spans="16:19" x14ac:dyDescent="0.25">
      <c r="P1247" s="27">
        <v>3.2548184716220556E-2</v>
      </c>
      <c r="Q1247" s="28">
        <f t="shared" si="23"/>
        <v>3.5548184716220559E-2</v>
      </c>
      <c r="R1247" s="31">
        <v>0.15939660775771733</v>
      </c>
      <c r="S1247" s="32">
        <v>7.3400000000000007E-2</v>
      </c>
    </row>
    <row r="1248" spans="16:19" x14ac:dyDescent="0.25">
      <c r="P1248" s="27">
        <v>3.2548184716220556E-2</v>
      </c>
      <c r="Q1248" s="28">
        <f t="shared" si="23"/>
        <v>3.5548184716220559E-2</v>
      </c>
      <c r="R1248" s="31">
        <v>0.15939660775771733</v>
      </c>
      <c r="S1248" s="32">
        <v>6.2229999999999994E-2</v>
      </c>
    </row>
    <row r="1249" spans="16:19" x14ac:dyDescent="0.25">
      <c r="P1249" s="27">
        <v>3.2548184716220556E-2</v>
      </c>
      <c r="Q1249" s="28">
        <f t="shared" si="23"/>
        <v>3.5548184716220559E-2</v>
      </c>
      <c r="R1249" s="31">
        <v>0.15939660775771733</v>
      </c>
      <c r="S1249" s="32">
        <v>5.5890000000000002E-2</v>
      </c>
    </row>
    <row r="1250" spans="16:19" x14ac:dyDescent="0.25">
      <c r="P1250" s="27">
        <v>3.2548184716220556E-2</v>
      </c>
      <c r="Q1250" s="28">
        <f t="shared" si="23"/>
        <v>3.5548184716220559E-2</v>
      </c>
      <c r="R1250" s="31">
        <v>0.15939660775771733</v>
      </c>
      <c r="S1250" s="32">
        <v>5.2479999999999999E-2</v>
      </c>
    </row>
    <row r="1251" spans="16:19" x14ac:dyDescent="0.25">
      <c r="P1251" s="27">
        <v>3.2548184716220556E-2</v>
      </c>
      <c r="Q1251" s="28">
        <f t="shared" si="23"/>
        <v>3.5548184716220559E-2</v>
      </c>
      <c r="R1251" s="29">
        <v>0.15003660775771735</v>
      </c>
      <c r="S1251" s="30">
        <v>4.854E-2</v>
      </c>
    </row>
    <row r="1252" spans="16:19" x14ac:dyDescent="0.25">
      <c r="P1252" s="27">
        <v>3.2548184716220556E-2</v>
      </c>
      <c r="Q1252" s="28">
        <f t="shared" si="23"/>
        <v>3.5548184716220559E-2</v>
      </c>
      <c r="R1252" s="29">
        <v>0.15003660775771735</v>
      </c>
      <c r="S1252" s="30">
        <v>4.0750000000000001E-2</v>
      </c>
    </row>
    <row r="1253" spans="16:19" x14ac:dyDescent="0.25">
      <c r="P1253" s="27">
        <v>3.2548184716220556E-2</v>
      </c>
      <c r="Q1253" s="28">
        <f t="shared" si="23"/>
        <v>3.5548184716220559E-2</v>
      </c>
      <c r="R1253" s="29">
        <v>0.15003660775771735</v>
      </c>
      <c r="S1253" s="30">
        <v>3.8799999999999994E-2</v>
      </c>
    </row>
    <row r="1254" spans="16:19" x14ac:dyDescent="0.25">
      <c r="P1254" s="27">
        <v>3.2548184716220556E-2</v>
      </c>
      <c r="Q1254" s="28">
        <f t="shared" si="23"/>
        <v>3.5548184716220559E-2</v>
      </c>
      <c r="R1254" s="29">
        <v>0.15003660775771735</v>
      </c>
      <c r="S1254" s="30">
        <v>3.4680000000000002E-2</v>
      </c>
    </row>
    <row r="1255" spans="16:19" x14ac:dyDescent="0.25">
      <c r="P1255" s="27">
        <v>3.2548184716220556E-2</v>
      </c>
      <c r="Q1255" s="28">
        <f t="shared" si="23"/>
        <v>3.5548184716220559E-2</v>
      </c>
      <c r="R1255" s="29">
        <v>0.15003660775771735</v>
      </c>
      <c r="S1255" s="30">
        <v>0.03</v>
      </c>
    </row>
    <row r="1256" spans="16:19" x14ac:dyDescent="0.25">
      <c r="P1256" s="27">
        <v>3.2548184716220556E-2</v>
      </c>
      <c r="Q1256" s="28">
        <f t="shared" si="23"/>
        <v>3.5548184716220559E-2</v>
      </c>
      <c r="R1256" s="29">
        <v>0.15003660775771735</v>
      </c>
      <c r="S1256" s="30">
        <v>2.581E-2</v>
      </c>
    </row>
    <row r="1257" spans="16:19" x14ac:dyDescent="0.25">
      <c r="P1257" s="27">
        <v>3.2548184716220556E-2</v>
      </c>
      <c r="Q1257" s="28">
        <f t="shared" si="23"/>
        <v>3.5548184716220559E-2</v>
      </c>
      <c r="R1257" s="29">
        <v>0.15003660775771735</v>
      </c>
      <c r="S1257" s="30">
        <v>3.0670000000000003E-2</v>
      </c>
    </row>
    <row r="1258" spans="16:19" x14ac:dyDescent="0.25">
      <c r="P1258" s="27">
        <v>3.2548184716220556E-2</v>
      </c>
      <c r="Q1258" s="28">
        <f t="shared" si="23"/>
        <v>3.5548184716220559E-2</v>
      </c>
      <c r="R1258" s="29">
        <v>0.15003660775771735</v>
      </c>
      <c r="S1258" s="30">
        <v>3.7999999999999999E-2</v>
      </c>
    </row>
    <row r="1259" spans="16:19" x14ac:dyDescent="0.25">
      <c r="P1259" s="27">
        <v>3.2548184716220556E-2</v>
      </c>
      <c r="Q1259" s="28">
        <f t="shared" si="23"/>
        <v>3.5548184716220559E-2</v>
      </c>
      <c r="R1259" s="31">
        <v>0.15939660775771733</v>
      </c>
      <c r="S1259" s="32">
        <v>4.1299999999999996E-2</v>
      </c>
    </row>
    <row r="1260" spans="16:19" x14ac:dyDescent="0.25">
      <c r="P1260" s="27">
        <v>3.2548184716220556E-2</v>
      </c>
      <c r="Q1260" s="28">
        <f t="shared" si="23"/>
        <v>3.5548184716220559E-2</v>
      </c>
      <c r="R1260" s="33">
        <v>0.16282860775771735</v>
      </c>
      <c r="S1260" s="34">
        <v>4.4289999999999996E-2</v>
      </c>
    </row>
    <row r="1261" spans="16:19" x14ac:dyDescent="0.25">
      <c r="P1261" s="27">
        <v>3.2548184716220556E-2</v>
      </c>
      <c r="Q1261" s="28">
        <f t="shared" si="23"/>
        <v>3.5548184716220559E-2</v>
      </c>
      <c r="R1261" s="33">
        <v>0.16282860775771735</v>
      </c>
      <c r="S1261" s="34">
        <v>4.5999999999999999E-2</v>
      </c>
    </row>
    <row r="1262" spans="16:19" x14ac:dyDescent="0.25">
      <c r="P1262" s="27">
        <v>3.2548184716220556E-2</v>
      </c>
      <c r="Q1262" s="28">
        <f t="shared" si="23"/>
        <v>3.5548184716220559E-2</v>
      </c>
      <c r="R1262" s="33">
        <v>0.16282860775771735</v>
      </c>
      <c r="S1262" s="34">
        <v>4.4479999999999999E-2</v>
      </c>
    </row>
    <row r="1263" spans="16:19" x14ac:dyDescent="0.25">
      <c r="P1263" s="27">
        <v>3.2548184716220556E-2</v>
      </c>
      <c r="Q1263" s="28">
        <f t="shared" si="23"/>
        <v>3.5548184716220559E-2</v>
      </c>
      <c r="R1263" s="33">
        <v>0.16282860775771735</v>
      </c>
      <c r="S1263" s="34">
        <v>3.9149999999999997E-2</v>
      </c>
    </row>
    <row r="1264" spans="16:19" x14ac:dyDescent="0.25">
      <c r="P1264" s="27">
        <v>3.2548184716220556E-2</v>
      </c>
      <c r="Q1264" s="28">
        <f t="shared" si="23"/>
        <v>3.5548184716220559E-2</v>
      </c>
      <c r="R1264" s="33">
        <v>0.16282860775771735</v>
      </c>
      <c r="S1264" s="34">
        <v>3.5740000000000001E-2</v>
      </c>
    </row>
    <row r="1265" spans="16:19" x14ac:dyDescent="0.25">
      <c r="P1265" s="27">
        <v>3.2548184716220556E-2</v>
      </c>
      <c r="Q1265" s="28">
        <f t="shared" si="23"/>
        <v>3.5548184716220559E-2</v>
      </c>
      <c r="R1265" s="33">
        <v>0.16282860775771735</v>
      </c>
      <c r="S1265" s="34">
        <v>2.972E-2</v>
      </c>
    </row>
    <row r="1266" spans="16:19" x14ac:dyDescent="0.25">
      <c r="P1266" s="27">
        <v>3.2548184716220556E-2</v>
      </c>
      <c r="Q1266" s="28">
        <f t="shared" si="23"/>
        <v>3.5548184716220559E-2</v>
      </c>
      <c r="R1266" s="33">
        <v>0.16282860775771735</v>
      </c>
      <c r="S1266" s="34">
        <v>2.8799999999999999E-2</v>
      </c>
    </row>
    <row r="1267" spans="16:19" x14ac:dyDescent="0.25">
      <c r="P1267" s="27">
        <v>3.2548184716220556E-2</v>
      </c>
      <c r="Q1267" s="28">
        <f t="shared" si="23"/>
        <v>3.5548184716220559E-2</v>
      </c>
      <c r="R1267" s="33">
        <v>0.16282860775771735</v>
      </c>
      <c r="S1267" s="34">
        <v>3.3149999999999999E-2</v>
      </c>
    </row>
    <row r="1268" spans="16:19" x14ac:dyDescent="0.25">
      <c r="P1268" s="27">
        <v>3.2548184716220556E-2</v>
      </c>
      <c r="Q1268" s="28">
        <f t="shared" si="23"/>
        <v>3.5548184716220559E-2</v>
      </c>
      <c r="R1268" s="33">
        <v>0.16282860775771735</v>
      </c>
      <c r="S1268" s="34">
        <v>4.0460000000000003E-2</v>
      </c>
    </row>
    <row r="1269" spans="16:19" x14ac:dyDescent="0.25">
      <c r="P1269" s="27">
        <v>3.2548184716220556E-2</v>
      </c>
      <c r="Q1269" s="28">
        <f t="shared" si="23"/>
        <v>3.5548184716220559E-2</v>
      </c>
      <c r="R1269" s="33">
        <v>0.16282860775771735</v>
      </c>
      <c r="S1269" s="34">
        <v>4.8000000000000001E-2</v>
      </c>
    </row>
    <row r="1270" spans="16:19" x14ac:dyDescent="0.25">
      <c r="P1270" s="27">
        <v>3.2548184716220556E-2</v>
      </c>
      <c r="Q1270" s="28">
        <f t="shared" si="23"/>
        <v>3.5548184716220559E-2</v>
      </c>
      <c r="R1270" s="33">
        <v>0.16282860775771735</v>
      </c>
      <c r="S1270" s="34">
        <v>6.1359839999999999E-2</v>
      </c>
    </row>
    <row r="1271" spans="16:19" x14ac:dyDescent="0.25">
      <c r="P1271" s="27">
        <v>3.2548184716220556E-2</v>
      </c>
      <c r="Q1271" s="28">
        <f t="shared" si="23"/>
        <v>3.5548184716220559E-2</v>
      </c>
      <c r="R1271" s="31">
        <v>0.15939660775771733</v>
      </c>
      <c r="S1271" s="32">
        <v>7.0000000000000007E-2</v>
      </c>
    </row>
    <row r="1272" spans="16:19" x14ac:dyDescent="0.25">
      <c r="P1272" s="27">
        <v>3.2548184716220556E-2</v>
      </c>
      <c r="Q1272" s="28">
        <f t="shared" si="23"/>
        <v>3.5548184716220559E-2</v>
      </c>
      <c r="R1272" s="31">
        <v>0.15939660775771733</v>
      </c>
      <c r="S1272" s="32">
        <v>5.654E-2</v>
      </c>
    </row>
    <row r="1273" spans="16:19" x14ac:dyDescent="0.25">
      <c r="P1273" s="27">
        <v>3.2548184716220556E-2</v>
      </c>
      <c r="Q1273" s="28">
        <f t="shared" si="23"/>
        <v>3.5548184716220559E-2</v>
      </c>
      <c r="R1273" s="31">
        <v>0.15939660775771733</v>
      </c>
      <c r="S1273" s="32">
        <v>4.8000000000000001E-2</v>
      </c>
    </row>
    <row r="1274" spans="16:19" x14ac:dyDescent="0.25">
      <c r="P1274" s="27">
        <v>3.2548184716220556E-2</v>
      </c>
      <c r="Q1274" s="28">
        <f t="shared" si="23"/>
        <v>3.5548184716220559E-2</v>
      </c>
      <c r="R1274" s="31">
        <v>0.15939660775771733</v>
      </c>
      <c r="S1274" s="32">
        <v>4.335E-2</v>
      </c>
    </row>
    <row r="1275" spans="16:19" x14ac:dyDescent="0.25">
      <c r="P1275" s="27">
        <v>3.2548184716220556E-2</v>
      </c>
      <c r="Q1275" s="28">
        <f t="shared" si="23"/>
        <v>3.5548184716220559E-2</v>
      </c>
      <c r="R1275" s="29">
        <v>0.15003660775771735</v>
      </c>
      <c r="S1275" s="30">
        <v>3.9649999999999998E-2</v>
      </c>
    </row>
    <row r="1276" spans="16:19" x14ac:dyDescent="0.25">
      <c r="P1276" s="27">
        <v>3.2548184716220556E-2</v>
      </c>
      <c r="Q1276" s="28">
        <f t="shared" si="23"/>
        <v>3.5548184716220559E-2</v>
      </c>
      <c r="R1276" s="29">
        <v>0.15003660775771735</v>
      </c>
      <c r="S1276" s="30">
        <v>4.0500000000000001E-2</v>
      </c>
    </row>
    <row r="1277" spans="16:19" x14ac:dyDescent="0.25">
      <c r="P1277" s="27">
        <v>3.2548184716220556E-2</v>
      </c>
      <c r="Q1277" s="28">
        <f t="shared" si="23"/>
        <v>3.5548184716220559E-2</v>
      </c>
      <c r="R1277" s="29">
        <v>0.15003660775771735</v>
      </c>
      <c r="S1277" s="30">
        <v>3.4823690999999997E-2</v>
      </c>
    </row>
    <row r="1278" spans="16:19" x14ac:dyDescent="0.25">
      <c r="P1278" s="27">
        <v>3.2548184716220556E-2</v>
      </c>
      <c r="Q1278" s="28">
        <f t="shared" si="23"/>
        <v>3.5548184716220559E-2</v>
      </c>
      <c r="R1278" s="29">
        <v>0.15003660775771735</v>
      </c>
      <c r="S1278" s="30">
        <v>2.8114294999999997E-2</v>
      </c>
    </row>
    <row r="1279" spans="16:19" x14ac:dyDescent="0.25">
      <c r="P1279" s="27">
        <v>3.2548184716220556E-2</v>
      </c>
      <c r="Q1279" s="28">
        <f t="shared" si="23"/>
        <v>3.5548184716220559E-2</v>
      </c>
      <c r="R1279" s="29">
        <v>0.15003660775771735</v>
      </c>
      <c r="S1279" s="30">
        <v>2.2745966999999999E-2</v>
      </c>
    </row>
    <row r="1280" spans="16:19" x14ac:dyDescent="0.25">
      <c r="P1280" s="27">
        <v>3.2548184716220556E-2</v>
      </c>
      <c r="Q1280" s="28">
        <f t="shared" si="23"/>
        <v>3.5548184716220559E-2</v>
      </c>
      <c r="R1280" s="29">
        <v>0.15003660775771735</v>
      </c>
      <c r="S1280" s="30">
        <v>2.1000000000000001E-2</v>
      </c>
    </row>
    <row r="1281" spans="16:19" x14ac:dyDescent="0.25">
      <c r="P1281" s="27">
        <v>3.2548184716220556E-2</v>
      </c>
      <c r="Q1281" s="28">
        <f t="shared" si="23"/>
        <v>3.5548184716220559E-2</v>
      </c>
      <c r="R1281" s="29">
        <v>0.15003660775771735</v>
      </c>
      <c r="S1281" s="30">
        <v>2.6940000000000002E-2</v>
      </c>
    </row>
    <row r="1282" spans="16:19" x14ac:dyDescent="0.25">
      <c r="P1282" s="27">
        <v>3.2548184716220556E-2</v>
      </c>
      <c r="Q1282" s="28">
        <f t="shared" si="23"/>
        <v>3.5548184716220559E-2</v>
      </c>
      <c r="R1282" s="29">
        <v>0.15003660775771735</v>
      </c>
      <c r="S1282" s="30">
        <v>0.03</v>
      </c>
    </row>
    <row r="1283" spans="16:19" x14ac:dyDescent="0.25">
      <c r="P1283" s="27">
        <v>3.2548184716220556E-2</v>
      </c>
      <c r="Q1283" s="28">
        <f t="shared" si="23"/>
        <v>3.5548184716220559E-2</v>
      </c>
      <c r="R1283" s="31">
        <v>0.15939660775771733</v>
      </c>
      <c r="S1283" s="32">
        <v>0.03</v>
      </c>
    </row>
    <row r="1284" spans="16:19" x14ac:dyDescent="0.25">
      <c r="P1284" s="27">
        <v>3.2548184716220556E-2</v>
      </c>
      <c r="Q1284" s="28">
        <f t="shared" si="23"/>
        <v>3.5548184716220559E-2</v>
      </c>
      <c r="R1284" s="33">
        <v>0.16282860775771735</v>
      </c>
      <c r="S1284" s="34">
        <v>0.03</v>
      </c>
    </row>
    <row r="1285" spans="16:19" x14ac:dyDescent="0.25">
      <c r="P1285" s="27">
        <v>3.2548184716220556E-2</v>
      </c>
      <c r="Q1285" s="28">
        <f t="shared" ref="Q1285:Q1348" si="24">P1285+0.003</f>
        <v>3.5548184716220559E-2</v>
      </c>
      <c r="R1285" s="33">
        <v>0.16282860775771735</v>
      </c>
      <c r="S1285" s="34">
        <v>0.03</v>
      </c>
    </row>
    <row r="1286" spans="16:19" x14ac:dyDescent="0.25">
      <c r="P1286" s="27">
        <v>3.2548184716220556E-2</v>
      </c>
      <c r="Q1286" s="28">
        <f t="shared" si="24"/>
        <v>3.5548184716220559E-2</v>
      </c>
      <c r="R1286" s="33">
        <v>0.16282860775771735</v>
      </c>
      <c r="S1286" s="34">
        <v>2.9081185000000002E-2</v>
      </c>
    </row>
    <row r="1287" spans="16:19" x14ac:dyDescent="0.25">
      <c r="P1287" s="27">
        <v>3.2548184716220556E-2</v>
      </c>
      <c r="Q1287" s="28">
        <f t="shared" si="24"/>
        <v>3.5548184716220559E-2</v>
      </c>
      <c r="R1287" s="33">
        <v>0.16282860775771735</v>
      </c>
      <c r="S1287" s="34">
        <v>2.4050000000000002E-2</v>
      </c>
    </row>
    <row r="1288" spans="16:19" x14ac:dyDescent="0.25">
      <c r="P1288" s="27">
        <v>3.2548184716220556E-2</v>
      </c>
      <c r="Q1288" s="28">
        <f t="shared" si="24"/>
        <v>3.5548184716220559E-2</v>
      </c>
      <c r="R1288" s="33">
        <v>0.16282860775771735</v>
      </c>
      <c r="S1288" s="34">
        <v>0.02</v>
      </c>
    </row>
    <row r="1289" spans="16:19" x14ac:dyDescent="0.25">
      <c r="P1289" s="27">
        <v>3.2548184716220556E-2</v>
      </c>
      <c r="Q1289" s="28">
        <f t="shared" si="24"/>
        <v>3.5548184716220559E-2</v>
      </c>
      <c r="R1289" s="33">
        <v>0.16282860775771735</v>
      </c>
      <c r="S1289" s="34">
        <v>1.3520168999999999E-2</v>
      </c>
    </row>
    <row r="1290" spans="16:19" x14ac:dyDescent="0.25">
      <c r="P1290" s="27">
        <v>3.2548184716220556E-2</v>
      </c>
      <c r="Q1290" s="28">
        <f t="shared" si="24"/>
        <v>3.5548184716220559E-2</v>
      </c>
      <c r="R1290" s="33">
        <v>0.16282860775771735</v>
      </c>
      <c r="S1290" s="34">
        <v>1.265E-2</v>
      </c>
    </row>
    <row r="1291" spans="16:19" x14ac:dyDescent="0.25">
      <c r="P1291" s="27">
        <v>3.2548184716220556E-2</v>
      </c>
      <c r="Q1291" s="28">
        <f t="shared" si="24"/>
        <v>3.5548184716220559E-2</v>
      </c>
      <c r="R1291" s="33">
        <v>0.16282860775771735</v>
      </c>
      <c r="S1291" s="34">
        <v>1.6E-2</v>
      </c>
    </row>
    <row r="1292" spans="16:19" x14ac:dyDescent="0.25">
      <c r="P1292" s="27">
        <v>3.2548184716220556E-2</v>
      </c>
      <c r="Q1292" s="28">
        <f t="shared" si="24"/>
        <v>3.5548184716220559E-2</v>
      </c>
      <c r="R1292" s="33">
        <v>0.16282860775771735</v>
      </c>
      <c r="S1292" s="34">
        <v>2.9589999999999998E-2</v>
      </c>
    </row>
    <row r="1293" spans="16:19" x14ac:dyDescent="0.25">
      <c r="P1293" s="27">
        <v>3.2548184716220556E-2</v>
      </c>
      <c r="Q1293" s="28">
        <f t="shared" si="24"/>
        <v>3.5548184716220559E-2</v>
      </c>
      <c r="R1293" s="33">
        <v>0.16282860775771735</v>
      </c>
      <c r="S1293" s="34">
        <v>4.0500000000000001E-2</v>
      </c>
    </row>
    <row r="1294" spans="16:19" x14ac:dyDescent="0.25">
      <c r="P1294" s="27">
        <v>3.2548184716220556E-2</v>
      </c>
      <c r="Q1294" s="28">
        <f t="shared" si="24"/>
        <v>3.5548184716220559E-2</v>
      </c>
      <c r="R1294" s="33">
        <v>0.16282860775771735</v>
      </c>
      <c r="S1294" s="34">
        <v>5.5528652999999997E-2</v>
      </c>
    </row>
    <row r="1295" spans="16:19" x14ac:dyDescent="0.25">
      <c r="P1295" s="27">
        <v>3.2548184716220556E-2</v>
      </c>
      <c r="Q1295" s="28">
        <f t="shared" si="24"/>
        <v>3.5548184716220559E-2</v>
      </c>
      <c r="R1295" s="31">
        <v>0.15939660775771733</v>
      </c>
      <c r="S1295" s="32">
        <v>6.4700000000000008E-2</v>
      </c>
    </row>
    <row r="1296" spans="16:19" x14ac:dyDescent="0.25">
      <c r="P1296" s="27">
        <v>3.2548184716220556E-2</v>
      </c>
      <c r="Q1296" s="28">
        <f t="shared" si="24"/>
        <v>3.5548184716220559E-2</v>
      </c>
      <c r="R1296" s="31">
        <v>0.15939660775771733</v>
      </c>
      <c r="S1296" s="32">
        <v>5.5630000000000006E-2</v>
      </c>
    </row>
    <row r="1297" spans="16:19" x14ac:dyDescent="0.25">
      <c r="P1297" s="27">
        <v>3.2548184716220556E-2</v>
      </c>
      <c r="Q1297" s="28">
        <f t="shared" si="24"/>
        <v>3.5548184716220559E-2</v>
      </c>
      <c r="R1297" s="31">
        <v>0.15939660775771733</v>
      </c>
      <c r="S1297" s="32">
        <v>5.2999999999999999E-2</v>
      </c>
    </row>
    <row r="1298" spans="16:19" x14ac:dyDescent="0.25">
      <c r="P1298" s="27">
        <v>3.2548184716220556E-2</v>
      </c>
      <c r="Q1298" s="28">
        <f t="shared" si="24"/>
        <v>3.5548184716220559E-2</v>
      </c>
      <c r="R1298" s="31">
        <v>0.15939660775771733</v>
      </c>
      <c r="S1298" s="32">
        <v>4.7890000000000002E-2</v>
      </c>
    </row>
    <row r="1299" spans="16:19" x14ac:dyDescent="0.25">
      <c r="P1299" s="27">
        <v>3.2548184716220556E-2</v>
      </c>
      <c r="Q1299" s="28">
        <f t="shared" si="24"/>
        <v>3.5548184716220559E-2</v>
      </c>
      <c r="R1299" s="29">
        <v>0.15003660775771735</v>
      </c>
      <c r="S1299" s="30">
        <v>3.8390000000000001E-2</v>
      </c>
    </row>
    <row r="1300" spans="16:19" x14ac:dyDescent="0.25">
      <c r="P1300" s="27">
        <v>3.2548184716220556E-2</v>
      </c>
      <c r="Q1300" s="28">
        <f t="shared" si="24"/>
        <v>3.5548184716220559E-2</v>
      </c>
      <c r="R1300" s="29">
        <v>0.15003660775771735</v>
      </c>
      <c r="S1300" s="30">
        <v>3.0809999999999997E-2</v>
      </c>
    </row>
    <row r="1301" spans="16:19" x14ac:dyDescent="0.25">
      <c r="P1301" s="27">
        <v>3.2548184716220556E-2</v>
      </c>
      <c r="Q1301" s="28">
        <f t="shared" si="24"/>
        <v>3.5548184716220559E-2</v>
      </c>
      <c r="R1301" s="29">
        <v>0.15003660775771735</v>
      </c>
      <c r="S1301" s="30">
        <v>2.5715513000000002E-2</v>
      </c>
    </row>
    <row r="1302" spans="16:19" x14ac:dyDescent="0.25">
      <c r="P1302" s="27">
        <v>3.2548184716220556E-2</v>
      </c>
      <c r="Q1302" s="28">
        <f t="shared" si="24"/>
        <v>3.5548184716220559E-2</v>
      </c>
      <c r="R1302" s="29">
        <v>0.15003660775771735</v>
      </c>
      <c r="S1302" s="30">
        <v>2.1649999999999999E-2</v>
      </c>
    </row>
    <row r="1303" spans="16:19" x14ac:dyDescent="0.25">
      <c r="P1303" s="27">
        <v>3.2548184716220556E-2</v>
      </c>
      <c r="Q1303" s="28">
        <f t="shared" si="24"/>
        <v>3.5548184716220559E-2</v>
      </c>
      <c r="R1303" s="29">
        <v>0.15003660775771735</v>
      </c>
      <c r="S1303" s="30">
        <v>1.9870000000000002E-2</v>
      </c>
    </row>
    <row r="1304" spans="16:19" x14ac:dyDescent="0.25">
      <c r="P1304" s="27">
        <v>3.2548184716220556E-2</v>
      </c>
      <c r="Q1304" s="28">
        <f t="shared" si="24"/>
        <v>3.5548184716220559E-2</v>
      </c>
      <c r="R1304" s="29">
        <v>0.15003660775771735</v>
      </c>
      <c r="S1304" s="30">
        <v>0.02</v>
      </c>
    </row>
    <row r="1305" spans="16:19" x14ac:dyDescent="0.25">
      <c r="P1305" s="27">
        <v>3.2548184716220556E-2</v>
      </c>
      <c r="Q1305" s="28">
        <f t="shared" si="24"/>
        <v>3.5548184716220559E-2</v>
      </c>
      <c r="R1305" s="29">
        <v>0.15003660775771735</v>
      </c>
      <c r="S1305" s="30">
        <v>3.1039999999999998E-2</v>
      </c>
    </row>
    <row r="1306" spans="16:19" x14ac:dyDescent="0.25">
      <c r="P1306" s="27">
        <v>3.2548184716220556E-2</v>
      </c>
      <c r="Q1306" s="28">
        <f t="shared" si="24"/>
        <v>3.5548184716220559E-2</v>
      </c>
      <c r="R1306" s="29">
        <v>0.15003660775771735</v>
      </c>
      <c r="S1306" s="30">
        <v>4.9000000000000002E-2</v>
      </c>
    </row>
    <row r="1307" spans="16:19" x14ac:dyDescent="0.25">
      <c r="P1307" s="27">
        <v>3.2548184716220556E-2</v>
      </c>
      <c r="Q1307" s="28">
        <f t="shared" si="24"/>
        <v>3.5548184716220559E-2</v>
      </c>
      <c r="R1307" s="31">
        <v>0.15939999999999999</v>
      </c>
      <c r="S1307" s="32">
        <v>5.8000000000000003E-2</v>
      </c>
    </row>
    <row r="1308" spans="16:19" x14ac:dyDescent="0.25">
      <c r="P1308" s="27">
        <v>3.2548184716220556E-2</v>
      </c>
      <c r="Q1308" s="28">
        <f t="shared" si="24"/>
        <v>3.5548184716220559E-2</v>
      </c>
      <c r="R1308" s="31">
        <v>0.15939999999999999</v>
      </c>
      <c r="S1308" s="32">
        <v>6.6979999999999998E-2</v>
      </c>
    </row>
    <row r="1309" spans="16:19" x14ac:dyDescent="0.25">
      <c r="P1309" s="27">
        <v>3.2548184716220556E-2</v>
      </c>
      <c r="Q1309" s="28">
        <f t="shared" si="24"/>
        <v>3.5548184716220559E-2</v>
      </c>
      <c r="R1309" s="31">
        <v>0.15939999999999999</v>
      </c>
      <c r="S1309" s="32">
        <v>6.1979999999999993E-2</v>
      </c>
    </row>
    <row r="1310" spans="16:19" x14ac:dyDescent="0.25">
      <c r="P1310" s="27">
        <v>3.2548184716220556E-2</v>
      </c>
      <c r="Q1310" s="28">
        <f t="shared" si="24"/>
        <v>3.5548184716220559E-2</v>
      </c>
      <c r="R1310" s="31">
        <v>0.15939999999999999</v>
      </c>
      <c r="S1310" s="32">
        <v>5.6270000000000001E-2</v>
      </c>
    </row>
    <row r="1311" spans="16:19" x14ac:dyDescent="0.25">
      <c r="P1311" s="27">
        <v>3.2548184716220556E-2</v>
      </c>
      <c r="Q1311" s="28">
        <f t="shared" si="24"/>
        <v>3.5548184716220559E-2</v>
      </c>
      <c r="R1311" s="31">
        <v>0.15939999999999999</v>
      </c>
      <c r="S1311" s="32">
        <v>5.5070000000000001E-2</v>
      </c>
    </row>
    <row r="1312" spans="16:19" x14ac:dyDescent="0.25">
      <c r="P1312" s="27">
        <v>3.2548184716220556E-2</v>
      </c>
      <c r="Q1312" s="28">
        <f t="shared" si="24"/>
        <v>3.5548184716220559E-2</v>
      </c>
      <c r="R1312" s="31">
        <v>0.15939999999999999</v>
      </c>
      <c r="S1312" s="32">
        <v>4.7789999999999999E-2</v>
      </c>
    </row>
    <row r="1313" spans="16:19" x14ac:dyDescent="0.25">
      <c r="P1313" s="27">
        <v>3.2548184716220556E-2</v>
      </c>
      <c r="Q1313" s="28">
        <f t="shared" si="24"/>
        <v>3.5548184716220559E-2</v>
      </c>
      <c r="R1313" s="31">
        <v>0.15939999999999999</v>
      </c>
      <c r="S1313" s="32">
        <v>4.7049999999999995E-2</v>
      </c>
    </row>
    <row r="1314" spans="16:19" x14ac:dyDescent="0.25">
      <c r="P1314" s="27">
        <v>3.2548184716220556E-2</v>
      </c>
      <c r="Q1314" s="28">
        <f t="shared" si="24"/>
        <v>3.5548184716220559E-2</v>
      </c>
      <c r="R1314" s="31">
        <v>0.15939999999999999</v>
      </c>
      <c r="S1314" s="32">
        <v>5.3499999999999999E-2</v>
      </c>
    </row>
    <row r="1315" spans="16:19" x14ac:dyDescent="0.25">
      <c r="P1315" s="27">
        <v>3.2548184716220556E-2</v>
      </c>
      <c r="Q1315" s="28">
        <f t="shared" si="24"/>
        <v>3.5548184716220559E-2</v>
      </c>
      <c r="R1315" s="31">
        <v>0.15939999999999999</v>
      </c>
      <c r="S1315" s="32">
        <v>5.8740000000000001E-2</v>
      </c>
    </row>
    <row r="1316" spans="16:19" x14ac:dyDescent="0.25">
      <c r="P1316" s="27">
        <v>3.2548184716220556E-2</v>
      </c>
      <c r="Q1316" s="28">
        <f t="shared" si="24"/>
        <v>3.5548184716220559E-2</v>
      </c>
      <c r="R1316" s="31">
        <v>0.15939999999999999</v>
      </c>
      <c r="S1316" s="32">
        <v>6.2649999999999997E-2</v>
      </c>
    </row>
    <row r="1317" spans="16:19" x14ac:dyDescent="0.25">
      <c r="P1317" s="27">
        <v>3.2548184716220556E-2</v>
      </c>
      <c r="Q1317" s="28">
        <f t="shared" si="24"/>
        <v>3.5548184716220559E-2</v>
      </c>
      <c r="R1317" s="31">
        <v>0.15939999999999999</v>
      </c>
      <c r="S1317" s="32">
        <v>6.7000000000000004E-2</v>
      </c>
    </row>
    <row r="1318" spans="16:19" x14ac:dyDescent="0.25">
      <c r="P1318" s="27">
        <v>3.2548184716220556E-2</v>
      </c>
      <c r="Q1318" s="28">
        <f t="shared" si="24"/>
        <v>3.5548184716220559E-2</v>
      </c>
      <c r="R1318" s="31">
        <v>0.15939999999999999</v>
      </c>
      <c r="S1318" s="32">
        <v>8.0908051999999994E-2</v>
      </c>
    </row>
    <row r="1319" spans="16:19" x14ac:dyDescent="0.25">
      <c r="P1319" s="27">
        <v>3.2548184716220556E-2</v>
      </c>
      <c r="Q1319" s="28">
        <f t="shared" si="24"/>
        <v>3.5548184716220559E-2</v>
      </c>
      <c r="R1319" s="31">
        <v>0.15939999999999999</v>
      </c>
      <c r="S1319" s="32">
        <v>7.7090000000000006E-2</v>
      </c>
    </row>
    <row r="1320" spans="16:19" x14ac:dyDescent="0.25">
      <c r="P1320" s="27">
        <v>3.2548184716220556E-2</v>
      </c>
      <c r="Q1320" s="28">
        <f t="shared" si="24"/>
        <v>3.5548184716220559E-2</v>
      </c>
      <c r="R1320" s="31">
        <v>0.15939999999999999</v>
      </c>
      <c r="S1320" s="32">
        <v>6.5337232999999995E-2</v>
      </c>
    </row>
    <row r="1321" spans="16:19" x14ac:dyDescent="0.25">
      <c r="P1321" s="27">
        <v>3.2548184716220556E-2</v>
      </c>
      <c r="Q1321" s="28">
        <f t="shared" si="24"/>
        <v>3.5548184716220559E-2</v>
      </c>
      <c r="R1321" s="31">
        <v>0.15939999999999999</v>
      </c>
      <c r="S1321" s="32">
        <v>6.3920000000000005E-2</v>
      </c>
    </row>
    <row r="1322" spans="16:19" x14ac:dyDescent="0.25">
      <c r="P1322" s="27">
        <v>3.2548184716220556E-2</v>
      </c>
      <c r="Q1322" s="28">
        <f t="shared" si="24"/>
        <v>3.5548184716220559E-2</v>
      </c>
      <c r="R1322" s="31">
        <v>0.15939999999999999</v>
      </c>
      <c r="S1322" s="32">
        <v>5.4990000000000004E-2</v>
      </c>
    </row>
    <row r="1323" spans="16:19" x14ac:dyDescent="0.25">
      <c r="P1323" s="27">
        <v>3.2548184716220556E-2</v>
      </c>
      <c r="Q1323" s="28">
        <f t="shared" si="24"/>
        <v>3.5548184716220559E-2</v>
      </c>
      <c r="R1323" s="29">
        <v>0.15</v>
      </c>
      <c r="S1323" s="30">
        <v>5.0130000000000001E-2</v>
      </c>
    </row>
    <row r="1324" spans="16:19" x14ac:dyDescent="0.25">
      <c r="P1324" s="27">
        <v>3.2548184716220556E-2</v>
      </c>
      <c r="Q1324" s="28">
        <f t="shared" si="24"/>
        <v>3.5548184716220559E-2</v>
      </c>
      <c r="R1324" s="29">
        <v>0.15</v>
      </c>
      <c r="S1324" s="30">
        <v>4.3999999999999997E-2</v>
      </c>
    </row>
    <row r="1325" spans="16:19" x14ac:dyDescent="0.25">
      <c r="P1325" s="27">
        <v>3.2548184716220556E-2</v>
      </c>
      <c r="Q1325" s="28">
        <f t="shared" si="24"/>
        <v>3.5548184716220559E-2</v>
      </c>
      <c r="R1325" s="29">
        <v>0.15</v>
      </c>
      <c r="S1325" s="30">
        <v>3.8799999999999994E-2</v>
      </c>
    </row>
    <row r="1326" spans="16:19" x14ac:dyDescent="0.25">
      <c r="P1326" s="27">
        <v>3.2548184716220556E-2</v>
      </c>
      <c r="Q1326" s="28">
        <f t="shared" si="24"/>
        <v>3.5548184716220559E-2</v>
      </c>
      <c r="R1326" s="29">
        <v>0.15</v>
      </c>
      <c r="S1326" s="30">
        <v>3.4909999999999997E-2</v>
      </c>
    </row>
    <row r="1327" spans="16:19" x14ac:dyDescent="0.25">
      <c r="P1327" s="27">
        <v>3.2548184716220556E-2</v>
      </c>
      <c r="Q1327" s="28">
        <f t="shared" si="24"/>
        <v>3.5548184716220559E-2</v>
      </c>
      <c r="R1327" s="29">
        <v>0.15</v>
      </c>
      <c r="S1327" s="30">
        <v>3.4909999999999997E-2</v>
      </c>
    </row>
    <row r="1328" spans="16:19" x14ac:dyDescent="0.25">
      <c r="P1328" s="27">
        <v>3.2548184716220556E-2</v>
      </c>
      <c r="Q1328" s="28">
        <f t="shared" si="24"/>
        <v>3.5548184716220559E-2</v>
      </c>
      <c r="R1328" s="29">
        <v>0.15</v>
      </c>
      <c r="S1328" s="30">
        <v>3.4909999999999997E-2</v>
      </c>
    </row>
    <row r="1329" spans="16:19" x14ac:dyDescent="0.25">
      <c r="P1329" s="27">
        <v>3.2548184716220556E-2</v>
      </c>
      <c r="Q1329" s="28">
        <f t="shared" si="24"/>
        <v>3.5548184716220559E-2</v>
      </c>
      <c r="R1329" s="29">
        <v>0.15</v>
      </c>
      <c r="S1329" s="30">
        <v>4.2040000000000001E-2</v>
      </c>
    </row>
    <row r="1330" spans="16:19" x14ac:dyDescent="0.25">
      <c r="P1330" s="27">
        <v>3.2548184716220556E-2</v>
      </c>
      <c r="Q1330" s="28">
        <f t="shared" si="24"/>
        <v>3.5548184716220559E-2</v>
      </c>
      <c r="R1330" s="29">
        <v>0.15</v>
      </c>
      <c r="S1330" s="30">
        <v>5.5750000000000001E-2</v>
      </c>
    </row>
    <row r="1331" spans="16:19" x14ac:dyDescent="0.25">
      <c r="P1331" s="27">
        <v>3.2548184716220556E-2</v>
      </c>
      <c r="Q1331" s="28">
        <f t="shared" si="24"/>
        <v>3.5548184716220559E-2</v>
      </c>
      <c r="R1331" s="29">
        <v>0.15</v>
      </c>
      <c r="S1331" s="30">
        <v>6.3E-2</v>
      </c>
    </row>
    <row r="1332" spans="16:19" x14ac:dyDescent="0.25">
      <c r="P1332" s="27">
        <v>3.2548184716220556E-2</v>
      </c>
      <c r="Q1332" s="28">
        <f t="shared" si="24"/>
        <v>3.5548184716220559E-2</v>
      </c>
      <c r="R1332" s="29">
        <v>0.15</v>
      </c>
      <c r="S1332" s="30">
        <v>7.4999999999999997E-2</v>
      </c>
    </row>
    <row r="1333" spans="16:19" x14ac:dyDescent="0.25">
      <c r="P1333" s="27">
        <v>3.2548184716220556E-2</v>
      </c>
      <c r="Q1333" s="28">
        <f t="shared" si="24"/>
        <v>3.5548184716220559E-2</v>
      </c>
      <c r="R1333" s="29">
        <v>0.15</v>
      </c>
      <c r="S1333" s="30">
        <v>6.3070000000000001E-2</v>
      </c>
    </row>
    <row r="1334" spans="16:19" x14ac:dyDescent="0.25">
      <c r="P1334" s="27">
        <v>3.2548184716220556E-2</v>
      </c>
      <c r="Q1334" s="28">
        <f t="shared" si="24"/>
        <v>3.5548184716220559E-2</v>
      </c>
      <c r="R1334" s="29">
        <v>0.15</v>
      </c>
      <c r="S1334" s="30">
        <v>5.6219999999999999E-2</v>
      </c>
    </row>
    <row r="1335" spans="16:19" x14ac:dyDescent="0.25">
      <c r="P1335" s="27">
        <v>3.2548184716220556E-2</v>
      </c>
      <c r="Q1335" s="28">
        <f t="shared" si="24"/>
        <v>3.5548184716220559E-2</v>
      </c>
      <c r="R1335" s="29">
        <v>0.15</v>
      </c>
      <c r="S1335" s="30">
        <v>5.6000000000000001E-2</v>
      </c>
    </row>
    <row r="1336" spans="16:19" x14ac:dyDescent="0.25">
      <c r="P1336" s="27">
        <v>3.2548184716220556E-2</v>
      </c>
      <c r="Q1336" s="28">
        <f t="shared" si="24"/>
        <v>3.5548184716220559E-2</v>
      </c>
      <c r="R1336" s="29">
        <v>0.15</v>
      </c>
      <c r="S1336" s="30">
        <v>4.6090000000000006E-2</v>
      </c>
    </row>
    <row r="1337" spans="16:19" x14ac:dyDescent="0.25">
      <c r="P1337" s="27">
        <v>3.2548184716220556E-2</v>
      </c>
      <c r="Q1337" s="28">
        <f t="shared" si="24"/>
        <v>3.5548184716220559E-2</v>
      </c>
      <c r="R1337" s="29">
        <v>0.15</v>
      </c>
      <c r="S1337" s="30">
        <v>4.641E-2</v>
      </c>
    </row>
    <row r="1338" spans="16:19" x14ac:dyDescent="0.25">
      <c r="P1338" s="27">
        <v>3.2548184716220556E-2</v>
      </c>
      <c r="Q1338" s="28">
        <f t="shared" si="24"/>
        <v>3.5548184716220559E-2</v>
      </c>
      <c r="R1338" s="29">
        <v>0.15</v>
      </c>
      <c r="S1338" s="30">
        <v>5.3499999999999999E-2</v>
      </c>
    </row>
    <row r="1339" spans="16:19" x14ac:dyDescent="0.25">
      <c r="P1339" s="27">
        <v>3.2548184716220556E-2</v>
      </c>
      <c r="Q1339" s="28">
        <f t="shared" si="24"/>
        <v>3.5548184716220559E-2</v>
      </c>
      <c r="R1339" s="29">
        <v>0.15</v>
      </c>
      <c r="S1339" s="30">
        <v>5.8999999999999997E-2</v>
      </c>
    </row>
    <row r="1340" spans="16:19" x14ac:dyDescent="0.25">
      <c r="P1340" s="27">
        <v>3.2548184716220556E-2</v>
      </c>
      <c r="Q1340" s="28">
        <f t="shared" si="24"/>
        <v>3.5548184716220559E-2</v>
      </c>
      <c r="R1340" s="29">
        <v>0.15</v>
      </c>
      <c r="S1340" s="30">
        <v>6.0060000000000002E-2</v>
      </c>
    </row>
    <row r="1341" spans="16:19" x14ac:dyDescent="0.25">
      <c r="P1341" s="27">
        <v>3.2548184716220556E-2</v>
      </c>
      <c r="Q1341" s="28">
        <f t="shared" si="24"/>
        <v>3.5548184716220559E-2</v>
      </c>
      <c r="R1341" s="29">
        <v>0.15</v>
      </c>
      <c r="S1341" s="30">
        <v>6.6000000000000003E-2</v>
      </c>
    </row>
    <row r="1342" spans="16:19" x14ac:dyDescent="0.25">
      <c r="P1342" s="27">
        <v>3.2548184716220556E-2</v>
      </c>
      <c r="Q1342" s="28">
        <f t="shared" si="24"/>
        <v>3.5548184716220559E-2</v>
      </c>
      <c r="R1342" s="29">
        <v>0.15</v>
      </c>
      <c r="S1342" s="30">
        <v>8.6690000000000003E-2</v>
      </c>
    </row>
    <row r="1343" spans="16:19" x14ac:dyDescent="0.25">
      <c r="P1343" s="27">
        <v>3.2548184716220556E-2</v>
      </c>
      <c r="Q1343" s="28">
        <f t="shared" si="24"/>
        <v>3.5548184716220559E-2</v>
      </c>
      <c r="R1343" s="29">
        <v>0.15</v>
      </c>
      <c r="S1343" s="30">
        <v>8.0810000000000007E-2</v>
      </c>
    </row>
    <row r="1344" spans="16:19" x14ac:dyDescent="0.25">
      <c r="P1344" s="27">
        <v>3.2548184716220556E-2</v>
      </c>
      <c r="Q1344" s="28">
        <f t="shared" si="24"/>
        <v>3.5548184716220559E-2</v>
      </c>
      <c r="R1344" s="29">
        <v>0.15</v>
      </c>
      <c r="S1344" s="30">
        <v>6.2530000000000002E-2</v>
      </c>
    </row>
    <row r="1345" spans="16:19" x14ac:dyDescent="0.25">
      <c r="P1345" s="27">
        <v>3.2548184716220556E-2</v>
      </c>
      <c r="Q1345" s="28">
        <f t="shared" si="24"/>
        <v>3.5548184716220559E-2</v>
      </c>
      <c r="R1345" s="29">
        <v>0.15</v>
      </c>
      <c r="S1345" s="30">
        <v>0.06</v>
      </c>
    </row>
    <row r="1346" spans="16:19" x14ac:dyDescent="0.25">
      <c r="P1346" s="27">
        <v>3.2548184716220556E-2</v>
      </c>
      <c r="Q1346" s="28">
        <f t="shared" si="24"/>
        <v>3.5548184716220559E-2</v>
      </c>
      <c r="R1346" s="29">
        <v>0.15</v>
      </c>
      <c r="S1346" s="30">
        <v>5.552E-2</v>
      </c>
    </row>
    <row r="1347" spans="16:19" x14ac:dyDescent="0.25">
      <c r="P1347" s="27">
        <v>3.2548184716220556E-2</v>
      </c>
      <c r="Q1347" s="28">
        <f t="shared" si="24"/>
        <v>3.5548184716220559E-2</v>
      </c>
      <c r="R1347" s="29">
        <v>0.15</v>
      </c>
      <c r="S1347" s="30">
        <v>5.1859999999999996E-2</v>
      </c>
    </row>
    <row r="1348" spans="16:19" x14ac:dyDescent="0.25">
      <c r="P1348" s="27">
        <v>3.2548184716220556E-2</v>
      </c>
      <c r="Q1348" s="28">
        <f t="shared" si="24"/>
        <v>3.5548184716220559E-2</v>
      </c>
      <c r="R1348" s="29">
        <v>0.15</v>
      </c>
      <c r="S1348" s="30">
        <v>4.4010000000000001E-2</v>
      </c>
    </row>
    <row r="1349" spans="16:19" x14ac:dyDescent="0.25">
      <c r="P1349" s="27">
        <v>3.2548184716220556E-2</v>
      </c>
      <c r="Q1349" s="28">
        <f t="shared" ref="Q1349:Q1412" si="25">P1349+0.003</f>
        <v>3.5548184716220559E-2</v>
      </c>
      <c r="R1349" s="29">
        <v>0.15</v>
      </c>
      <c r="S1349" s="30">
        <v>4.199E-2</v>
      </c>
    </row>
    <row r="1350" spans="16:19" x14ac:dyDescent="0.25">
      <c r="P1350" s="27">
        <v>3.2548184716220556E-2</v>
      </c>
      <c r="Q1350" s="28">
        <f t="shared" si="25"/>
        <v>3.5548184716220559E-2</v>
      </c>
      <c r="R1350" s="29">
        <v>0.15</v>
      </c>
      <c r="S1350" s="30">
        <v>4.1149999999999999E-2</v>
      </c>
    </row>
    <row r="1351" spans="16:19" x14ac:dyDescent="0.25">
      <c r="P1351" s="27">
        <v>3.2548184716220556E-2</v>
      </c>
      <c r="Q1351" s="28">
        <f t="shared" si="25"/>
        <v>3.5548184716220559E-2</v>
      </c>
      <c r="R1351" s="29">
        <v>0.15</v>
      </c>
      <c r="S1351" s="30">
        <v>4.0460000000000003E-2</v>
      </c>
    </row>
    <row r="1352" spans="16:19" x14ac:dyDescent="0.25">
      <c r="P1352" s="27">
        <v>3.2548184716220556E-2</v>
      </c>
      <c r="Q1352" s="28">
        <f t="shared" si="25"/>
        <v>3.5548184716220559E-2</v>
      </c>
      <c r="R1352" s="29">
        <v>0.15</v>
      </c>
      <c r="S1352" s="30">
        <v>3.9899999999999998E-2</v>
      </c>
    </row>
    <row r="1353" spans="16:19" x14ac:dyDescent="0.25">
      <c r="P1353" s="27">
        <v>3.2548184716220556E-2</v>
      </c>
      <c r="Q1353" s="28">
        <f t="shared" si="25"/>
        <v>3.5548184716220559E-2</v>
      </c>
      <c r="R1353" s="29">
        <v>0.15</v>
      </c>
      <c r="S1353" s="30">
        <v>4.4010000000000001E-2</v>
      </c>
    </row>
    <row r="1354" spans="16:19" x14ac:dyDescent="0.25">
      <c r="P1354" s="27">
        <v>3.2548184716220556E-2</v>
      </c>
      <c r="Q1354" s="28">
        <f t="shared" si="25"/>
        <v>3.5548184716220559E-2</v>
      </c>
      <c r="R1354" s="29">
        <v>0.15</v>
      </c>
      <c r="S1354" s="30">
        <v>5.5579999999999997E-2</v>
      </c>
    </row>
    <row r="1355" spans="16:19" x14ac:dyDescent="0.25">
      <c r="P1355" s="27">
        <v>3.2548184716220556E-2</v>
      </c>
      <c r="Q1355" s="28">
        <f t="shared" si="25"/>
        <v>3.5548184716220559E-2</v>
      </c>
      <c r="R1355" s="31">
        <v>0.15939660775771733</v>
      </c>
      <c r="S1355" s="32">
        <v>6.1429999999999998E-2</v>
      </c>
    </row>
    <row r="1356" spans="16:19" x14ac:dyDescent="0.25">
      <c r="P1356" s="27">
        <v>3.2548184716220556E-2</v>
      </c>
      <c r="Q1356" s="28">
        <f t="shared" si="25"/>
        <v>3.5548184716220559E-2</v>
      </c>
      <c r="R1356" s="33">
        <v>0.16282860775771735</v>
      </c>
      <c r="S1356" s="34">
        <v>6.8250000000000005E-2</v>
      </c>
    </row>
    <row r="1357" spans="16:19" x14ac:dyDescent="0.25">
      <c r="P1357" s="27">
        <v>3.2548184716220556E-2</v>
      </c>
      <c r="Q1357" s="28">
        <f t="shared" si="25"/>
        <v>3.5548184716220559E-2</v>
      </c>
      <c r="R1357" s="33">
        <v>0.16282860775771735</v>
      </c>
      <c r="S1357" s="34">
        <v>6.0450000000000004E-2</v>
      </c>
    </row>
    <row r="1358" spans="16:19" x14ac:dyDescent="0.25">
      <c r="P1358" s="27">
        <v>3.2548184716220556E-2</v>
      </c>
      <c r="Q1358" s="28">
        <f t="shared" si="25"/>
        <v>3.5548184716220559E-2</v>
      </c>
      <c r="R1358" s="33">
        <v>0.16282860775771735</v>
      </c>
      <c r="S1358" s="34">
        <v>5.5579999999999997E-2</v>
      </c>
    </row>
    <row r="1359" spans="16:19" x14ac:dyDescent="0.25">
      <c r="P1359" s="27">
        <v>3.2548184716220556E-2</v>
      </c>
      <c r="Q1359" s="28">
        <f t="shared" si="25"/>
        <v>3.5548184716220559E-2</v>
      </c>
      <c r="R1359" s="33">
        <v>0.16282860775771735</v>
      </c>
      <c r="S1359" s="34">
        <v>5.534E-2</v>
      </c>
    </row>
    <row r="1360" spans="16:19" x14ac:dyDescent="0.25">
      <c r="P1360" s="27">
        <v>3.2548184716220556E-2</v>
      </c>
      <c r="Q1360" s="28">
        <f t="shared" si="25"/>
        <v>3.5548184716220559E-2</v>
      </c>
      <c r="R1360" s="33">
        <v>0.16282860775771735</v>
      </c>
      <c r="S1360" s="34">
        <v>5.0500000000000003E-2</v>
      </c>
    </row>
    <row r="1361" spans="16:19" x14ac:dyDescent="0.25">
      <c r="P1361" s="27">
        <v>3.2548184716220556E-2</v>
      </c>
      <c r="Q1361" s="28">
        <f t="shared" si="25"/>
        <v>3.5548184716220559E-2</v>
      </c>
      <c r="R1361" s="33">
        <v>0.16282860775771735</v>
      </c>
      <c r="S1361" s="34">
        <v>5.0500000000000003E-2</v>
      </c>
    </row>
    <row r="1362" spans="16:19" x14ac:dyDescent="0.25">
      <c r="P1362" s="27">
        <v>3.2548184716220556E-2</v>
      </c>
      <c r="Q1362" s="28">
        <f t="shared" si="25"/>
        <v>3.5548184716220559E-2</v>
      </c>
      <c r="R1362" s="33">
        <v>0.16282860775771735</v>
      </c>
      <c r="S1362" s="34">
        <v>5.3060000000000003E-2</v>
      </c>
    </row>
    <row r="1363" spans="16:19" x14ac:dyDescent="0.25">
      <c r="P1363" s="27">
        <v>3.2548184716220556E-2</v>
      </c>
      <c r="Q1363" s="28">
        <f t="shared" si="25"/>
        <v>3.5548184716220559E-2</v>
      </c>
      <c r="R1363" s="33">
        <v>0.16282860775771735</v>
      </c>
      <c r="S1363" s="34">
        <v>5.7169999999999999E-2</v>
      </c>
    </row>
    <row r="1364" spans="16:19" x14ac:dyDescent="0.25">
      <c r="P1364" s="27">
        <v>3.2548184716220556E-2</v>
      </c>
      <c r="Q1364" s="28">
        <f t="shared" si="25"/>
        <v>3.5548184716220559E-2</v>
      </c>
      <c r="R1364" s="33">
        <v>0.16282860775771735</v>
      </c>
      <c r="S1364" s="34">
        <v>5.901E-2</v>
      </c>
    </row>
    <row r="1365" spans="16:19" x14ac:dyDescent="0.25">
      <c r="P1365" s="27">
        <v>3.2548184716220556E-2</v>
      </c>
      <c r="Q1365" s="28">
        <f t="shared" si="25"/>
        <v>3.5548184716220559E-2</v>
      </c>
      <c r="R1365" s="33">
        <v>0.16282860775771735</v>
      </c>
      <c r="S1365" s="34">
        <v>5.9990000000000002E-2</v>
      </c>
    </row>
    <row r="1366" spans="16:19" x14ac:dyDescent="0.25">
      <c r="P1366" s="27">
        <v>3.2548184716220556E-2</v>
      </c>
      <c r="Q1366" s="28">
        <f t="shared" si="25"/>
        <v>3.5548184716220559E-2</v>
      </c>
      <c r="R1366" s="33">
        <v>0.16282860775771735</v>
      </c>
      <c r="S1366" s="34">
        <v>7.868E-2</v>
      </c>
    </row>
    <row r="1367" spans="16:19" x14ac:dyDescent="0.25">
      <c r="P1367" s="27">
        <v>3.2548184716220556E-2</v>
      </c>
      <c r="Q1367" s="28">
        <f t="shared" si="25"/>
        <v>3.5548184716220559E-2</v>
      </c>
      <c r="R1367" s="31">
        <v>0.15939660775771733</v>
      </c>
      <c r="S1367" s="32">
        <v>7.399E-2</v>
      </c>
    </row>
    <row r="1368" spans="16:19" x14ac:dyDescent="0.25">
      <c r="P1368" s="27">
        <v>3.2548184716220556E-2</v>
      </c>
      <c r="Q1368" s="28">
        <f t="shared" si="25"/>
        <v>3.5548184716220559E-2</v>
      </c>
      <c r="R1368" s="31">
        <v>0.15939660775771733</v>
      </c>
      <c r="S1368" s="32">
        <v>6.0060000000000002E-2</v>
      </c>
    </row>
    <row r="1369" spans="16:19" x14ac:dyDescent="0.25">
      <c r="P1369" s="27">
        <v>3.2548184716220556E-2</v>
      </c>
      <c r="Q1369" s="28">
        <f t="shared" si="25"/>
        <v>3.5548184716220559E-2</v>
      </c>
      <c r="R1369" s="31">
        <v>0.15939660775771733</v>
      </c>
      <c r="S1369" s="32">
        <v>5.79E-2</v>
      </c>
    </row>
    <row r="1370" spans="16:19" x14ac:dyDescent="0.25">
      <c r="P1370" s="27">
        <v>3.2548184716220556E-2</v>
      </c>
      <c r="Q1370" s="28">
        <f t="shared" si="25"/>
        <v>3.5548184716220559E-2</v>
      </c>
      <c r="R1370" s="31">
        <v>0.15939660775771733</v>
      </c>
      <c r="S1370" s="32">
        <v>5.3659999999999999E-2</v>
      </c>
    </row>
    <row r="1371" spans="16:19" x14ac:dyDescent="0.25">
      <c r="P1371" s="27">
        <v>3.2548184716220556E-2</v>
      </c>
      <c r="Q1371" s="28">
        <f t="shared" si="25"/>
        <v>3.5548184716220559E-2</v>
      </c>
      <c r="R1371" s="29">
        <v>0.15003660775771735</v>
      </c>
      <c r="S1371" s="30">
        <v>4.9849999999999998E-2</v>
      </c>
    </row>
    <row r="1372" spans="16:19" x14ac:dyDescent="0.25">
      <c r="P1372" s="27">
        <v>3.2548184716220556E-2</v>
      </c>
      <c r="Q1372" s="28">
        <f t="shared" si="25"/>
        <v>3.5548184716220559E-2</v>
      </c>
      <c r="R1372" s="29">
        <v>0.15003660775771735</v>
      </c>
      <c r="S1372" s="30">
        <v>3.95E-2</v>
      </c>
    </row>
    <row r="1373" spans="16:19" x14ac:dyDescent="0.25">
      <c r="P1373" s="27">
        <v>3.2548184716220556E-2</v>
      </c>
      <c r="Q1373" s="28">
        <f t="shared" si="25"/>
        <v>3.5548184716220559E-2</v>
      </c>
      <c r="R1373" s="29">
        <v>0.15003660775771735</v>
      </c>
      <c r="S1373" s="30">
        <v>3.7999999999999999E-2</v>
      </c>
    </row>
    <row r="1374" spans="16:19" x14ac:dyDescent="0.25">
      <c r="P1374" s="27">
        <v>3.2548184716220556E-2</v>
      </c>
      <c r="Q1374" s="28">
        <f t="shared" si="25"/>
        <v>3.5548184716220559E-2</v>
      </c>
      <c r="R1374" s="29">
        <v>0.15003660775771735</v>
      </c>
      <c r="S1374" s="30">
        <v>3.6569999999999998E-2</v>
      </c>
    </row>
    <row r="1375" spans="16:19" x14ac:dyDescent="0.25">
      <c r="P1375" s="27">
        <v>3.2548184716220556E-2</v>
      </c>
      <c r="Q1375" s="28">
        <f t="shared" si="25"/>
        <v>3.5548184716220559E-2</v>
      </c>
      <c r="R1375" s="29">
        <v>0.15003660775771735</v>
      </c>
      <c r="S1375" s="30">
        <v>3.5499999999999997E-2</v>
      </c>
    </row>
    <row r="1376" spans="16:19" x14ac:dyDescent="0.25">
      <c r="P1376" s="27">
        <v>3.2548184716220556E-2</v>
      </c>
      <c r="Q1376" s="28">
        <f t="shared" si="25"/>
        <v>3.5548184716220559E-2</v>
      </c>
      <c r="R1376" s="29">
        <v>0.15003660775771735</v>
      </c>
      <c r="S1376" s="30">
        <v>3.6999999999999998E-2</v>
      </c>
    </row>
    <row r="1377" spans="16:19" x14ac:dyDescent="0.25">
      <c r="P1377" s="27">
        <v>3.2548184716220556E-2</v>
      </c>
      <c r="Q1377" s="28">
        <f t="shared" si="25"/>
        <v>3.5548184716220559E-2</v>
      </c>
      <c r="R1377" s="29">
        <v>0.15003660775771735</v>
      </c>
      <c r="S1377" s="30">
        <v>4.0460000000000003E-2</v>
      </c>
    </row>
    <row r="1378" spans="16:19" x14ac:dyDescent="0.25">
      <c r="P1378" s="27">
        <v>3.2548184716220556E-2</v>
      </c>
      <c r="Q1378" s="28">
        <f t="shared" si="25"/>
        <v>3.5548184716220559E-2</v>
      </c>
      <c r="R1378" s="29">
        <v>0.15003660775771735</v>
      </c>
      <c r="S1378" s="30">
        <v>5.4200000000000005E-2</v>
      </c>
    </row>
    <row r="1379" spans="16:19" x14ac:dyDescent="0.25">
      <c r="P1379" s="27">
        <v>3.2548184716220556E-2</v>
      </c>
      <c r="Q1379" s="28">
        <f t="shared" si="25"/>
        <v>3.5548184716220559E-2</v>
      </c>
      <c r="R1379" s="31">
        <v>0.15939660775771733</v>
      </c>
      <c r="S1379" s="32">
        <v>5.713E-2</v>
      </c>
    </row>
    <row r="1380" spans="16:19" x14ac:dyDescent="0.25">
      <c r="P1380" s="27">
        <v>3.2548184716220556E-2</v>
      </c>
      <c r="Q1380" s="28">
        <f t="shared" si="25"/>
        <v>3.5548184716220559E-2</v>
      </c>
      <c r="R1380" s="33">
        <v>0.16282860775771735</v>
      </c>
      <c r="S1380" s="34">
        <v>6.6000000000000003E-2</v>
      </c>
    </row>
    <row r="1381" spans="16:19" x14ac:dyDescent="0.25">
      <c r="P1381" s="27">
        <v>3.2548184716220556E-2</v>
      </c>
      <c r="Q1381" s="28">
        <f t="shared" si="25"/>
        <v>3.5548184716220559E-2</v>
      </c>
      <c r="R1381" s="33">
        <v>0.16282860775771735</v>
      </c>
      <c r="S1381" s="34">
        <v>5.8549999999999998E-2</v>
      </c>
    </row>
    <row r="1382" spans="16:19" x14ac:dyDescent="0.25">
      <c r="P1382" s="27">
        <v>3.2548184716220556E-2</v>
      </c>
      <c r="Q1382" s="28">
        <f t="shared" si="25"/>
        <v>3.5548184716220559E-2</v>
      </c>
      <c r="R1382" s="33">
        <v>0.16282860775771735</v>
      </c>
      <c r="S1382" s="34">
        <v>5.4920000000000004E-2</v>
      </c>
    </row>
    <row r="1383" spans="16:19" x14ac:dyDescent="0.25">
      <c r="P1383" s="27">
        <v>3.2548184716220556E-2</v>
      </c>
      <c r="Q1383" s="28">
        <f t="shared" si="25"/>
        <v>3.5548184716220559E-2</v>
      </c>
      <c r="R1383" s="33">
        <v>0.16282860775771735</v>
      </c>
      <c r="S1383" s="34">
        <v>5.4439999999999995E-2</v>
      </c>
    </row>
    <row r="1384" spans="16:19" x14ac:dyDescent="0.25">
      <c r="P1384" s="27">
        <v>3.2548184716220556E-2</v>
      </c>
      <c r="Q1384" s="28">
        <f t="shared" si="25"/>
        <v>3.5548184716220559E-2</v>
      </c>
      <c r="R1384" s="33">
        <v>0.16282860775771735</v>
      </c>
      <c r="S1384" s="34">
        <v>4.5999999999999999E-2</v>
      </c>
    </row>
    <row r="1385" spans="16:19" x14ac:dyDescent="0.25">
      <c r="P1385" s="27">
        <v>3.2548184716220556E-2</v>
      </c>
      <c r="Q1385" s="28">
        <f t="shared" si="25"/>
        <v>3.5548184716220559E-2</v>
      </c>
      <c r="R1385" s="33">
        <v>0.16282860775771735</v>
      </c>
      <c r="S1385" s="34">
        <v>4.5999999999999999E-2</v>
      </c>
    </row>
    <row r="1386" spans="16:19" x14ac:dyDescent="0.25">
      <c r="P1386" s="27">
        <v>3.2548184716220556E-2</v>
      </c>
      <c r="Q1386" s="28">
        <f t="shared" si="25"/>
        <v>3.5548184716220559E-2</v>
      </c>
      <c r="R1386" s="33">
        <v>0.16282860775771735</v>
      </c>
      <c r="S1386" s="34">
        <v>4.6049999999999994E-2</v>
      </c>
    </row>
    <row r="1387" spans="16:19" x14ac:dyDescent="0.25">
      <c r="P1387" s="27">
        <v>3.2548184716220556E-2</v>
      </c>
      <c r="Q1387" s="28">
        <f t="shared" si="25"/>
        <v>3.5548184716220559E-2</v>
      </c>
      <c r="R1387" s="33">
        <v>0.16282860775771735</v>
      </c>
      <c r="S1387" s="34">
        <v>5.006E-2</v>
      </c>
    </row>
    <row r="1388" spans="16:19" x14ac:dyDescent="0.25">
      <c r="P1388" s="27">
        <v>3.2548184716220556E-2</v>
      </c>
      <c r="Q1388" s="28">
        <f t="shared" si="25"/>
        <v>3.5548184716220559E-2</v>
      </c>
      <c r="R1388" s="33">
        <v>0.16282860775771735</v>
      </c>
      <c r="S1388" s="34">
        <v>5.6500000000000002E-2</v>
      </c>
    </row>
    <row r="1389" spans="16:19" x14ac:dyDescent="0.25">
      <c r="P1389" s="27">
        <v>3.2548184716220556E-2</v>
      </c>
      <c r="Q1389" s="28">
        <f t="shared" si="25"/>
        <v>3.5548184716220559E-2</v>
      </c>
      <c r="R1389" s="33">
        <v>0.16282860775771735</v>
      </c>
      <c r="S1389" s="34">
        <v>5.8889999999999998E-2</v>
      </c>
    </row>
    <row r="1390" spans="16:19" x14ac:dyDescent="0.25">
      <c r="P1390" s="27">
        <v>3.2548184716220556E-2</v>
      </c>
      <c r="Q1390" s="28">
        <f t="shared" si="25"/>
        <v>3.5548184716220559E-2</v>
      </c>
      <c r="R1390" s="33">
        <v>0.16282860775771735</v>
      </c>
      <c r="S1390" s="34">
        <v>7.5850000000000001E-2</v>
      </c>
    </row>
    <row r="1391" spans="16:19" x14ac:dyDescent="0.25">
      <c r="P1391" s="27">
        <v>3.2548184716220556E-2</v>
      </c>
      <c r="Q1391" s="28">
        <f t="shared" si="25"/>
        <v>3.5548184716220559E-2</v>
      </c>
      <c r="R1391" s="31">
        <v>0.15939660775771733</v>
      </c>
      <c r="S1391" s="32">
        <v>7.324E-2</v>
      </c>
    </row>
    <row r="1392" spans="16:19" x14ac:dyDescent="0.25">
      <c r="P1392" s="27">
        <v>3.2548184716220556E-2</v>
      </c>
      <c r="Q1392" s="28">
        <f t="shared" si="25"/>
        <v>3.5548184716220559E-2</v>
      </c>
      <c r="R1392" s="31">
        <v>0.15939660775771733</v>
      </c>
      <c r="S1392" s="32">
        <v>5.9470000000000002E-2</v>
      </c>
    </row>
    <row r="1393" spans="16:19" x14ac:dyDescent="0.25">
      <c r="P1393" s="27">
        <v>3.2548184716220556E-2</v>
      </c>
      <c r="Q1393" s="28">
        <f t="shared" si="25"/>
        <v>3.5548184716220559E-2</v>
      </c>
      <c r="R1393" s="31">
        <v>0.15939660775771733</v>
      </c>
      <c r="S1393" s="32">
        <v>5.7000000000000002E-2</v>
      </c>
    </row>
    <row r="1394" spans="16:19" x14ac:dyDescent="0.25">
      <c r="P1394" s="27">
        <v>3.2548184716220556E-2</v>
      </c>
      <c r="Q1394" s="28">
        <f t="shared" si="25"/>
        <v>3.5548184716220559E-2</v>
      </c>
      <c r="R1394" s="31">
        <v>0.15939660775771733</v>
      </c>
      <c r="S1394" s="32">
        <v>5.0999999999999997E-2</v>
      </c>
    </row>
    <row r="1395" spans="16:19" x14ac:dyDescent="0.25">
      <c r="P1395" s="27">
        <v>3.2548184716220556E-2</v>
      </c>
      <c r="Q1395" s="28">
        <f t="shared" si="25"/>
        <v>3.5548184716220559E-2</v>
      </c>
      <c r="R1395" s="29">
        <v>0.15003660775771735</v>
      </c>
      <c r="S1395" s="30">
        <v>4.4999999999999998E-2</v>
      </c>
    </row>
    <row r="1396" spans="16:19" x14ac:dyDescent="0.25">
      <c r="P1396" s="27">
        <v>3.2548184716220556E-2</v>
      </c>
      <c r="Q1396" s="28">
        <f t="shared" si="25"/>
        <v>3.5548184716220559E-2</v>
      </c>
      <c r="R1396" s="29">
        <v>0.15003660775771735</v>
      </c>
      <c r="S1396" s="30">
        <v>3.8340000000000006E-2</v>
      </c>
    </row>
    <row r="1397" spans="16:19" x14ac:dyDescent="0.25">
      <c r="P1397" s="27">
        <v>3.2548184716220556E-2</v>
      </c>
      <c r="Q1397" s="28">
        <f t="shared" si="25"/>
        <v>3.5548184716220559E-2</v>
      </c>
      <c r="R1397" s="29">
        <v>0.15003660775771735</v>
      </c>
      <c r="S1397" s="30">
        <v>3.415E-2</v>
      </c>
    </row>
    <row r="1398" spans="16:19" x14ac:dyDescent="0.25">
      <c r="P1398" s="27">
        <v>3.2548184716220556E-2</v>
      </c>
      <c r="Q1398" s="28">
        <f t="shared" si="25"/>
        <v>3.5548184716220559E-2</v>
      </c>
      <c r="R1398" s="29">
        <v>0.15003660775771735</v>
      </c>
      <c r="S1398" s="30">
        <v>3.091E-2</v>
      </c>
    </row>
    <row r="1399" spans="16:19" x14ac:dyDescent="0.25">
      <c r="P1399" s="27">
        <v>3.2548184716220556E-2</v>
      </c>
      <c r="Q1399" s="28">
        <f t="shared" si="25"/>
        <v>3.5548184716220559E-2</v>
      </c>
      <c r="R1399" s="29">
        <v>0.15003660775771735</v>
      </c>
      <c r="S1399" s="30">
        <v>0.03</v>
      </c>
    </row>
    <row r="1400" spans="16:19" x14ac:dyDescent="0.25">
      <c r="P1400" s="27">
        <v>3.2548184716220556E-2</v>
      </c>
      <c r="Q1400" s="28">
        <f t="shared" si="25"/>
        <v>3.5548184716220559E-2</v>
      </c>
      <c r="R1400" s="29">
        <v>0.15003660775771735</v>
      </c>
      <c r="S1400" s="30">
        <v>3.3000000000000002E-2</v>
      </c>
    </row>
    <row r="1401" spans="16:19" x14ac:dyDescent="0.25">
      <c r="P1401" s="27">
        <v>3.2548184716220556E-2</v>
      </c>
      <c r="Q1401" s="28">
        <f t="shared" si="25"/>
        <v>3.5548184716220559E-2</v>
      </c>
      <c r="R1401" s="29">
        <v>0.15003660775771735</v>
      </c>
      <c r="S1401" s="30">
        <v>3.4909999999999997E-2</v>
      </c>
    </row>
    <row r="1402" spans="16:19" x14ac:dyDescent="0.25">
      <c r="P1402" s="27">
        <v>3.2548184716220556E-2</v>
      </c>
      <c r="Q1402" s="28">
        <f t="shared" si="25"/>
        <v>3.5548184716220559E-2</v>
      </c>
      <c r="R1402" s="29">
        <v>0.15003660775771735</v>
      </c>
      <c r="S1402" s="30">
        <v>5.2201481000000001E-2</v>
      </c>
    </row>
    <row r="1403" spans="16:19" x14ac:dyDescent="0.25">
      <c r="P1403" s="27">
        <v>3.2548184716220556E-2</v>
      </c>
      <c r="Q1403" s="28">
        <f t="shared" si="25"/>
        <v>3.5548184716220559E-2</v>
      </c>
      <c r="R1403" s="31">
        <v>0.15939660775771733</v>
      </c>
      <c r="S1403" s="32">
        <v>5.706E-2</v>
      </c>
    </row>
    <row r="1404" spans="16:19" x14ac:dyDescent="0.25">
      <c r="P1404" s="27">
        <v>3.2548184716220556E-2</v>
      </c>
      <c r="Q1404" s="28">
        <f t="shared" si="25"/>
        <v>3.5548184716220559E-2</v>
      </c>
      <c r="R1404" s="33">
        <v>0.16282860775771735</v>
      </c>
      <c r="S1404" s="34">
        <v>0.06</v>
      </c>
    </row>
    <row r="1405" spans="16:19" x14ac:dyDescent="0.25">
      <c r="P1405" s="27">
        <v>3.2548184716220556E-2</v>
      </c>
      <c r="Q1405" s="28">
        <f t="shared" si="25"/>
        <v>3.5548184716220559E-2</v>
      </c>
      <c r="R1405" s="33">
        <v>0.16282860775771735</v>
      </c>
      <c r="S1405" s="34">
        <v>5.79E-2</v>
      </c>
    </row>
    <row r="1406" spans="16:19" x14ac:dyDescent="0.25">
      <c r="P1406" s="27">
        <v>3.2548184716220556E-2</v>
      </c>
      <c r="Q1406" s="28">
        <f t="shared" si="25"/>
        <v>3.5548184716220559E-2</v>
      </c>
      <c r="R1406" s="33">
        <v>0.16282860775771735</v>
      </c>
      <c r="S1406" s="34">
        <v>5.6009999999999997E-2</v>
      </c>
    </row>
    <row r="1407" spans="16:19" x14ac:dyDescent="0.25">
      <c r="P1407" s="27">
        <v>3.2548184716220556E-2</v>
      </c>
      <c r="Q1407" s="28">
        <f t="shared" si="25"/>
        <v>3.5548184716220559E-2</v>
      </c>
      <c r="R1407" s="33">
        <v>0.16282860775771735</v>
      </c>
      <c r="S1407" s="34">
        <v>5.6009999999999997E-2</v>
      </c>
    </row>
    <row r="1408" spans="16:19" x14ac:dyDescent="0.25">
      <c r="P1408" s="27">
        <v>3.2548184716220556E-2</v>
      </c>
      <c r="Q1408" s="28">
        <f t="shared" si="25"/>
        <v>3.5548184716220559E-2</v>
      </c>
      <c r="R1408" s="33">
        <v>0.16282860775771735</v>
      </c>
      <c r="S1408" s="34">
        <v>4.6009999999999995E-2</v>
      </c>
    </row>
    <row r="1409" spans="16:19" x14ac:dyDescent="0.25">
      <c r="P1409" s="27">
        <v>3.2548184716220556E-2</v>
      </c>
      <c r="Q1409" s="28">
        <f t="shared" si="25"/>
        <v>3.5548184716220559E-2</v>
      </c>
      <c r="R1409" s="33">
        <v>0.16282860775771735</v>
      </c>
      <c r="S1409" s="34">
        <v>4.6990000000000004E-2</v>
      </c>
    </row>
    <row r="1410" spans="16:19" x14ac:dyDescent="0.25">
      <c r="P1410" s="27">
        <v>3.2548184716220556E-2</v>
      </c>
      <c r="Q1410" s="28">
        <f t="shared" si="25"/>
        <v>3.5548184716220559E-2</v>
      </c>
      <c r="R1410" s="33">
        <v>0.16282860775771735</v>
      </c>
      <c r="S1410" s="34">
        <v>5.0169999999999999E-2</v>
      </c>
    </row>
    <row r="1411" spans="16:19" x14ac:dyDescent="0.25">
      <c r="P1411" s="27">
        <v>3.2548184716220556E-2</v>
      </c>
      <c r="Q1411" s="28">
        <f t="shared" si="25"/>
        <v>3.5548184716220559E-2</v>
      </c>
      <c r="R1411" s="33">
        <v>0.16282860775771735</v>
      </c>
      <c r="S1411" s="34">
        <v>5.2789999999999997E-2</v>
      </c>
    </row>
    <row r="1412" spans="16:19" x14ac:dyDescent="0.25">
      <c r="P1412" s="27">
        <v>3.2548184716220556E-2</v>
      </c>
      <c r="Q1412" s="28">
        <f t="shared" si="25"/>
        <v>3.5548184716220559E-2</v>
      </c>
      <c r="R1412" s="33">
        <v>0.16282860775771735</v>
      </c>
      <c r="S1412" s="34">
        <v>5.6170000000000005E-2</v>
      </c>
    </row>
    <row r="1413" spans="16:19" x14ac:dyDescent="0.25">
      <c r="P1413" s="27">
        <v>3.2548184716220556E-2</v>
      </c>
      <c r="Q1413" s="28">
        <f t="shared" ref="Q1413:Q1476" si="26">P1413+0.003</f>
        <v>3.5548184716220559E-2</v>
      </c>
      <c r="R1413" s="33">
        <v>0.16282860775771735</v>
      </c>
      <c r="S1413" s="34">
        <v>5.577E-2</v>
      </c>
    </row>
    <row r="1414" spans="16:19" x14ac:dyDescent="0.25">
      <c r="P1414" s="27">
        <v>3.2548184716220556E-2</v>
      </c>
      <c r="Q1414" s="28">
        <f t="shared" si="26"/>
        <v>3.5548184716220559E-2</v>
      </c>
      <c r="R1414" s="33">
        <v>0.16282860775771735</v>
      </c>
      <c r="S1414" s="34">
        <v>7.3999999999999996E-2</v>
      </c>
    </row>
    <row r="1415" spans="16:19" x14ac:dyDescent="0.25">
      <c r="P1415" s="27">
        <v>3.2548184716220556E-2</v>
      </c>
      <c r="Q1415" s="28">
        <f t="shared" si="26"/>
        <v>3.5548184716220559E-2</v>
      </c>
      <c r="R1415" s="31">
        <v>0.15939660775771733</v>
      </c>
      <c r="S1415" s="32">
        <v>7.3189999999999991E-2</v>
      </c>
    </row>
    <row r="1416" spans="16:19" x14ac:dyDescent="0.25">
      <c r="P1416" s="27">
        <v>3.2548184716220556E-2</v>
      </c>
      <c r="Q1416" s="28">
        <f t="shared" si="26"/>
        <v>3.5548184716220559E-2</v>
      </c>
      <c r="R1416" s="31">
        <v>0.15939660775771733</v>
      </c>
      <c r="S1416" s="32">
        <v>5.6909999999999995E-2</v>
      </c>
    </row>
    <row r="1417" spans="16:19" x14ac:dyDescent="0.25">
      <c r="P1417" s="27">
        <v>3.2548184716220556E-2</v>
      </c>
      <c r="Q1417" s="28">
        <f t="shared" si="26"/>
        <v>3.5548184716220559E-2</v>
      </c>
      <c r="R1417" s="31">
        <v>0.15939660775771733</v>
      </c>
      <c r="S1417" s="32">
        <v>5.3759999999999995E-2</v>
      </c>
    </row>
    <row r="1418" spans="16:19" x14ac:dyDescent="0.25">
      <c r="P1418" s="27">
        <v>3.2548184716220556E-2</v>
      </c>
      <c r="Q1418" s="28">
        <f t="shared" si="26"/>
        <v>3.5548184716220559E-2</v>
      </c>
      <c r="R1418" s="31">
        <v>0.15939660775771733</v>
      </c>
      <c r="S1418" s="32">
        <v>5.0259999999999999E-2</v>
      </c>
    </row>
    <row r="1419" spans="16:19" x14ac:dyDescent="0.25">
      <c r="P1419" s="27">
        <v>3.2548184716220556E-2</v>
      </c>
      <c r="Q1419" s="28">
        <f t="shared" si="26"/>
        <v>3.5548184716220559E-2</v>
      </c>
      <c r="R1419" s="29">
        <v>0.15003660775771735</v>
      </c>
      <c r="S1419" s="30">
        <v>4.0460000000000003E-2</v>
      </c>
    </row>
    <row r="1420" spans="16:19" x14ac:dyDescent="0.25">
      <c r="P1420" s="27">
        <v>3.2548184716220556E-2</v>
      </c>
      <c r="Q1420" s="28">
        <f t="shared" si="26"/>
        <v>3.5548184716220559E-2</v>
      </c>
      <c r="R1420" s="29">
        <v>0.15003660775771735</v>
      </c>
      <c r="S1420" s="30">
        <v>3.8020000000000005E-2</v>
      </c>
    </row>
    <row r="1421" spans="16:19" x14ac:dyDescent="0.25">
      <c r="P1421" s="27">
        <v>3.2548184716220556E-2</v>
      </c>
      <c r="Q1421" s="28">
        <f t="shared" si="26"/>
        <v>3.5548184716220559E-2</v>
      </c>
      <c r="R1421" s="29">
        <v>0.15003660775771735</v>
      </c>
      <c r="S1421" s="30">
        <v>3.4779999999999998E-2</v>
      </c>
    </row>
    <row r="1422" spans="16:19" x14ac:dyDescent="0.25">
      <c r="P1422" s="27">
        <v>3.2548184716220556E-2</v>
      </c>
      <c r="Q1422" s="28">
        <f t="shared" si="26"/>
        <v>3.5548184716220559E-2</v>
      </c>
      <c r="R1422" s="29">
        <v>0.15003660775771735</v>
      </c>
      <c r="S1422" s="30">
        <v>2.98E-2</v>
      </c>
    </row>
    <row r="1423" spans="16:19" x14ac:dyDescent="0.25">
      <c r="P1423" s="27">
        <v>3.2548184716220556E-2</v>
      </c>
      <c r="Q1423" s="28">
        <f t="shared" si="26"/>
        <v>3.5548184716220559E-2</v>
      </c>
      <c r="R1423" s="29">
        <v>0.15003660775771735</v>
      </c>
      <c r="S1423" s="30">
        <v>2.7320000000000001E-2</v>
      </c>
    </row>
    <row r="1424" spans="16:19" x14ac:dyDescent="0.25">
      <c r="P1424" s="27">
        <v>3.2548184716220556E-2</v>
      </c>
      <c r="Q1424" s="28">
        <f t="shared" si="26"/>
        <v>3.5548184716220559E-2</v>
      </c>
      <c r="R1424" s="29">
        <v>0.15003660775771735</v>
      </c>
      <c r="S1424" s="30">
        <v>2.487E-2</v>
      </c>
    </row>
    <row r="1425" spans="16:19" x14ac:dyDescent="0.25">
      <c r="P1425" s="27">
        <v>3.2548184716220556E-2</v>
      </c>
      <c r="Q1425" s="28">
        <f t="shared" si="26"/>
        <v>3.5548184716220559E-2</v>
      </c>
      <c r="R1425" s="29">
        <v>0.15003660775771735</v>
      </c>
      <c r="S1425" s="30">
        <v>2.6100000000000002E-2</v>
      </c>
    </row>
    <row r="1426" spans="16:19" x14ac:dyDescent="0.25">
      <c r="P1426" s="27">
        <v>3.2548184716220556E-2</v>
      </c>
      <c r="Q1426" s="28">
        <f t="shared" si="26"/>
        <v>3.5548184716220559E-2</v>
      </c>
      <c r="R1426" s="29">
        <v>0.15003660775771735</v>
      </c>
      <c r="S1426" s="30">
        <v>3.4000000000000002E-2</v>
      </c>
    </row>
    <row r="1427" spans="16:19" x14ac:dyDescent="0.25">
      <c r="P1427" s="27">
        <v>3.2548184716220556E-2</v>
      </c>
      <c r="Q1427" s="28">
        <f t="shared" si="26"/>
        <v>3.5548184716220559E-2</v>
      </c>
      <c r="R1427" s="31">
        <v>0.15939660775771733</v>
      </c>
      <c r="S1427" s="32">
        <v>3.6330000000000001E-2</v>
      </c>
    </row>
    <row r="1428" spans="16:19" x14ac:dyDescent="0.25">
      <c r="P1428" s="27">
        <v>3.2548184716220556E-2</v>
      </c>
      <c r="Q1428" s="28">
        <f t="shared" si="26"/>
        <v>3.5548184716220559E-2</v>
      </c>
      <c r="R1428" s="33">
        <v>0.16282860775771735</v>
      </c>
      <c r="S1428" s="34">
        <v>3.9649999999999998E-2</v>
      </c>
    </row>
    <row r="1429" spans="16:19" x14ac:dyDescent="0.25">
      <c r="P1429" s="27">
        <v>3.2548184716220556E-2</v>
      </c>
      <c r="Q1429" s="28">
        <f t="shared" si="26"/>
        <v>3.5548184716220559E-2</v>
      </c>
      <c r="R1429" s="33">
        <v>0.16282860775771735</v>
      </c>
      <c r="S1429" s="34">
        <v>4.7399999999999998E-2</v>
      </c>
    </row>
    <row r="1430" spans="16:19" x14ac:dyDescent="0.25">
      <c r="P1430" s="27">
        <v>3.2548184716220556E-2</v>
      </c>
      <c r="Q1430" s="28">
        <f t="shared" si="26"/>
        <v>3.5548184716220559E-2</v>
      </c>
      <c r="R1430" s="33">
        <v>0.16282860775771735</v>
      </c>
      <c r="S1430" s="34">
        <v>5.006E-2</v>
      </c>
    </row>
    <row r="1431" spans="16:19" x14ac:dyDescent="0.25">
      <c r="P1431" s="27">
        <v>3.2548184716220556E-2</v>
      </c>
      <c r="Q1431" s="28">
        <f t="shared" si="26"/>
        <v>3.5548184716220559E-2</v>
      </c>
      <c r="R1431" s="33">
        <v>0.16282860775771735</v>
      </c>
      <c r="S1431" s="34">
        <v>4.5700000000000005E-2</v>
      </c>
    </row>
    <row r="1432" spans="16:19" x14ac:dyDescent="0.25">
      <c r="P1432" s="27">
        <v>3.2548184716220556E-2</v>
      </c>
      <c r="Q1432" s="28">
        <f t="shared" si="26"/>
        <v>3.5548184716220559E-2</v>
      </c>
      <c r="R1432" s="33">
        <v>0.16282860775771735</v>
      </c>
      <c r="S1432" s="34">
        <v>4.2299999999999997E-2</v>
      </c>
    </row>
    <row r="1433" spans="16:19" x14ac:dyDescent="0.25">
      <c r="P1433" s="27">
        <v>3.2548184716220556E-2</v>
      </c>
      <c r="Q1433" s="28">
        <f t="shared" si="26"/>
        <v>3.5548184716220559E-2</v>
      </c>
      <c r="R1433" s="33">
        <v>0.16282860775771735</v>
      </c>
      <c r="S1433" s="34">
        <v>3.8340000000000006E-2</v>
      </c>
    </row>
    <row r="1434" spans="16:19" x14ac:dyDescent="0.25">
      <c r="P1434" s="27">
        <v>3.2548184716220556E-2</v>
      </c>
      <c r="Q1434" s="28">
        <f t="shared" si="26"/>
        <v>3.5548184716220559E-2</v>
      </c>
      <c r="R1434" s="33">
        <v>0.16282860775771735</v>
      </c>
      <c r="S1434" s="34">
        <v>3.5499999999999997E-2</v>
      </c>
    </row>
    <row r="1435" spans="16:19" x14ac:dyDescent="0.25">
      <c r="P1435" s="27">
        <v>3.2548184716220556E-2</v>
      </c>
      <c r="Q1435" s="28">
        <f t="shared" si="26"/>
        <v>3.5548184716220559E-2</v>
      </c>
      <c r="R1435" s="33">
        <v>0.16282860775771735</v>
      </c>
      <c r="S1435" s="34">
        <v>3.7149999999999996E-2</v>
      </c>
    </row>
    <row r="1436" spans="16:19" x14ac:dyDescent="0.25">
      <c r="P1436" s="27">
        <v>3.2548184716220556E-2</v>
      </c>
      <c r="Q1436" s="28">
        <f t="shared" si="26"/>
        <v>3.5548184716220559E-2</v>
      </c>
      <c r="R1436" s="33">
        <v>0.16282860775771735</v>
      </c>
      <c r="S1436" s="34">
        <v>3.7399999999999996E-2</v>
      </c>
    </row>
    <row r="1437" spans="16:19" x14ac:dyDescent="0.25">
      <c r="P1437" s="27">
        <v>3.2548184716220556E-2</v>
      </c>
      <c r="Q1437" s="28">
        <f t="shared" si="26"/>
        <v>3.5548184716220559E-2</v>
      </c>
      <c r="R1437" s="33">
        <v>0.16282860775771735</v>
      </c>
      <c r="S1437" s="34">
        <v>4.3499999999999997E-2</v>
      </c>
    </row>
    <row r="1438" spans="16:19" x14ac:dyDescent="0.25">
      <c r="P1438" s="27">
        <v>3.2548184716220556E-2</v>
      </c>
      <c r="Q1438" s="28">
        <f t="shared" si="26"/>
        <v>3.5548184716220559E-2</v>
      </c>
      <c r="R1438" s="33">
        <v>0.16282860775771735</v>
      </c>
      <c r="S1438" s="34">
        <v>6.1590000000000006E-2</v>
      </c>
    </row>
    <row r="1439" spans="16:19" x14ac:dyDescent="0.25">
      <c r="P1439" s="27">
        <v>3.2548184716220556E-2</v>
      </c>
      <c r="Q1439" s="28">
        <f t="shared" si="26"/>
        <v>3.5548184716220559E-2</v>
      </c>
      <c r="R1439" s="31">
        <v>0.15939660775771733</v>
      </c>
      <c r="S1439" s="32">
        <v>7.4857208999999994E-2</v>
      </c>
    </row>
    <row r="1440" spans="16:19" x14ac:dyDescent="0.25">
      <c r="P1440" s="27">
        <v>3.2548184716220556E-2</v>
      </c>
      <c r="Q1440" s="28">
        <f t="shared" si="26"/>
        <v>3.5548184716220559E-2</v>
      </c>
      <c r="R1440" s="31">
        <v>0.15939660775771733</v>
      </c>
      <c r="S1440" s="32">
        <v>5.5750000000000001E-2</v>
      </c>
    </row>
    <row r="1441" spans="16:19" x14ac:dyDescent="0.25">
      <c r="P1441" s="27">
        <v>3.2548184716220556E-2</v>
      </c>
      <c r="Q1441" s="28">
        <f t="shared" si="26"/>
        <v>3.5548184716220559E-2</v>
      </c>
      <c r="R1441" s="31">
        <v>0.15939660775771733</v>
      </c>
      <c r="S1441" s="32">
        <v>5.2080000000000001E-2</v>
      </c>
    </row>
    <row r="1442" spans="16:19" x14ac:dyDescent="0.25">
      <c r="P1442" s="27">
        <v>3.2548184716220556E-2</v>
      </c>
      <c r="Q1442" s="28">
        <f t="shared" si="26"/>
        <v>3.5548184716220559E-2</v>
      </c>
      <c r="R1442" s="31">
        <v>0.15939660775771733</v>
      </c>
      <c r="S1442" s="32">
        <v>4.4940000000000001E-2</v>
      </c>
    </row>
    <row r="1443" spans="16:19" x14ac:dyDescent="0.25">
      <c r="P1443" s="27">
        <v>3.2548184716220556E-2</v>
      </c>
      <c r="Q1443" s="28">
        <f t="shared" si="26"/>
        <v>3.5548184716220559E-2</v>
      </c>
      <c r="R1443" s="29">
        <v>0.15003660775771735</v>
      </c>
      <c r="S1443" s="30">
        <v>3.9979999999999995E-2</v>
      </c>
    </row>
    <row r="1444" spans="16:19" x14ac:dyDescent="0.25">
      <c r="P1444" s="27">
        <v>3.2548184716220556E-2</v>
      </c>
      <c r="Q1444" s="28">
        <f t="shared" si="26"/>
        <v>3.5548184716220559E-2</v>
      </c>
      <c r="R1444" s="29">
        <v>0.15003660775771735</v>
      </c>
      <c r="S1444" s="30">
        <v>0.05</v>
      </c>
    </row>
    <row r="1445" spans="16:19" x14ac:dyDescent="0.25">
      <c r="P1445" s="27">
        <v>3.2548184716220556E-2</v>
      </c>
      <c r="Q1445" s="28">
        <f t="shared" si="26"/>
        <v>3.5548184716220559E-2</v>
      </c>
      <c r="R1445" s="29">
        <v>0.15003660775771735</v>
      </c>
      <c r="S1445" s="30">
        <v>3.3590000000000002E-2</v>
      </c>
    </row>
    <row r="1446" spans="16:19" x14ac:dyDescent="0.25">
      <c r="P1446" s="27">
        <v>3.2548184716220556E-2</v>
      </c>
      <c r="Q1446" s="28">
        <f t="shared" si="26"/>
        <v>3.5548184716220559E-2</v>
      </c>
      <c r="R1446" s="29">
        <v>0.15003660775771735</v>
      </c>
      <c r="S1446" s="30">
        <v>0.03</v>
      </c>
    </row>
    <row r="1447" spans="16:19" x14ac:dyDescent="0.25">
      <c r="P1447" s="27">
        <v>3.2548184716220556E-2</v>
      </c>
      <c r="Q1447" s="28">
        <f t="shared" si="26"/>
        <v>3.5548184716220559E-2</v>
      </c>
      <c r="R1447" s="29">
        <v>0.15003660775771735</v>
      </c>
      <c r="S1447" s="30">
        <v>2.7899999999999998E-2</v>
      </c>
    </row>
    <row r="1448" spans="16:19" x14ac:dyDescent="0.25">
      <c r="P1448" s="27">
        <v>3.2548184716220556E-2</v>
      </c>
      <c r="Q1448" s="28">
        <f t="shared" si="26"/>
        <v>3.5548184716220559E-2</v>
      </c>
      <c r="R1448" s="29">
        <v>0.15003660775771735</v>
      </c>
      <c r="S1448" s="30">
        <v>2.8000000000000001E-2</v>
      </c>
    </row>
    <row r="1449" spans="16:19" x14ac:dyDescent="0.25">
      <c r="P1449" s="27">
        <v>3.2548184716220556E-2</v>
      </c>
      <c r="Q1449" s="28">
        <f t="shared" si="26"/>
        <v>3.5548184716220559E-2</v>
      </c>
      <c r="R1449" s="29">
        <v>0.15003660775771735</v>
      </c>
      <c r="S1449" s="30">
        <v>2.9000000000000001E-2</v>
      </c>
    </row>
    <row r="1450" spans="16:19" x14ac:dyDescent="0.25">
      <c r="P1450" s="27">
        <v>3.2548184716220556E-2</v>
      </c>
      <c r="Q1450" s="28">
        <f t="shared" si="26"/>
        <v>3.5548184716220559E-2</v>
      </c>
      <c r="R1450" s="29">
        <v>0.15003660775771735</v>
      </c>
      <c r="S1450" s="30">
        <v>2.7280000000000002E-2</v>
      </c>
    </row>
    <row r="1451" spans="16:19" x14ac:dyDescent="0.25">
      <c r="P1451" s="27">
        <v>3.2548184716220556E-2</v>
      </c>
      <c r="Q1451" s="28">
        <f t="shared" si="26"/>
        <v>3.5548184716220559E-2</v>
      </c>
      <c r="R1451" s="31">
        <v>0.15939660775771733</v>
      </c>
      <c r="S1451" s="32">
        <v>2.948661E-2</v>
      </c>
    </row>
    <row r="1452" spans="16:19" x14ac:dyDescent="0.25">
      <c r="P1452" s="27">
        <v>3.2548184716220556E-2</v>
      </c>
      <c r="Q1452" s="28">
        <f t="shared" si="26"/>
        <v>3.5548184716220559E-2</v>
      </c>
      <c r="R1452" s="33">
        <v>0.16282860775771735</v>
      </c>
      <c r="S1452" s="34">
        <v>2.794E-2</v>
      </c>
    </row>
    <row r="1453" spans="16:19" x14ac:dyDescent="0.25">
      <c r="P1453" s="27">
        <v>3.2548184716220556E-2</v>
      </c>
      <c r="Q1453" s="28">
        <f t="shared" si="26"/>
        <v>3.5548184716220559E-2</v>
      </c>
      <c r="R1453" s="33">
        <v>0.16282860775771735</v>
      </c>
      <c r="S1453" s="34">
        <v>3.1550000000000002E-2</v>
      </c>
    </row>
    <row r="1454" spans="16:19" x14ac:dyDescent="0.25">
      <c r="P1454" s="27">
        <v>3.2548184716220556E-2</v>
      </c>
      <c r="Q1454" s="28">
        <f t="shared" si="26"/>
        <v>3.5548184716220559E-2</v>
      </c>
      <c r="R1454" s="33">
        <v>0.16282860775771735</v>
      </c>
      <c r="S1454" s="34">
        <v>3.3320000000000002E-2</v>
      </c>
    </row>
    <row r="1455" spans="16:19" x14ac:dyDescent="0.25">
      <c r="P1455" s="27">
        <v>3.2548184716220556E-2</v>
      </c>
      <c r="Q1455" s="28">
        <f t="shared" si="26"/>
        <v>3.5548184716220559E-2</v>
      </c>
      <c r="R1455" s="33">
        <v>0.16282860775771735</v>
      </c>
      <c r="S1455" s="34">
        <v>3.4000000000000002E-2</v>
      </c>
    </row>
    <row r="1456" spans="16:19" x14ac:dyDescent="0.25">
      <c r="P1456" s="27">
        <v>3.2548184716220556E-2</v>
      </c>
      <c r="Q1456" s="28">
        <f t="shared" si="26"/>
        <v>3.5548184716220559E-2</v>
      </c>
      <c r="R1456" s="33">
        <v>0.16282860775771735</v>
      </c>
      <c r="S1456" s="34">
        <v>3.2000000000000001E-2</v>
      </c>
    </row>
    <row r="1457" spans="16:19" x14ac:dyDescent="0.25">
      <c r="P1457" s="27">
        <v>3.2548184716220556E-2</v>
      </c>
      <c r="Q1457" s="28">
        <f t="shared" si="26"/>
        <v>3.5548184716220559E-2</v>
      </c>
      <c r="R1457" s="33">
        <v>0.16282860775771735</v>
      </c>
      <c r="S1457" s="34">
        <v>2.9960000000000001E-2</v>
      </c>
    </row>
    <row r="1458" spans="16:19" x14ac:dyDescent="0.25">
      <c r="P1458" s="27">
        <v>3.2548184716220556E-2</v>
      </c>
      <c r="Q1458" s="28">
        <f t="shared" si="26"/>
        <v>3.5548184716220559E-2</v>
      </c>
      <c r="R1458" s="33">
        <v>0.16282860775771735</v>
      </c>
      <c r="S1458" s="34">
        <v>2.598E-2</v>
      </c>
    </row>
    <row r="1459" spans="16:19" x14ac:dyDescent="0.25">
      <c r="P1459" s="27">
        <v>3.2548184716220556E-2</v>
      </c>
      <c r="Q1459" s="28">
        <f t="shared" si="26"/>
        <v>3.5548184716220559E-2</v>
      </c>
      <c r="R1459" s="33">
        <v>0.16282860775771735</v>
      </c>
      <c r="S1459" s="34">
        <v>0.03</v>
      </c>
    </row>
    <row r="1460" spans="16:19" x14ac:dyDescent="0.25">
      <c r="P1460" s="27">
        <v>3.2548184716220556E-2</v>
      </c>
      <c r="Q1460" s="28">
        <f t="shared" si="26"/>
        <v>3.5548184716220559E-2</v>
      </c>
      <c r="R1460" s="33">
        <v>0.16282860775771735</v>
      </c>
      <c r="S1460" s="34">
        <v>4.0219999999999999E-2</v>
      </c>
    </row>
    <row r="1461" spans="16:19" x14ac:dyDescent="0.25">
      <c r="P1461" s="27">
        <v>3.2548184716220556E-2</v>
      </c>
      <c r="Q1461" s="28">
        <f t="shared" si="26"/>
        <v>3.5548184716220559E-2</v>
      </c>
      <c r="R1461" s="33">
        <v>0.16282860775771735</v>
      </c>
      <c r="S1461" s="34">
        <v>4.8000000000000001E-2</v>
      </c>
    </row>
    <row r="1462" spans="16:19" x14ac:dyDescent="0.25">
      <c r="P1462" s="27">
        <v>3.2548184716220556E-2</v>
      </c>
      <c r="Q1462" s="28">
        <f t="shared" si="26"/>
        <v>3.5548184716220559E-2</v>
      </c>
      <c r="R1462" s="33">
        <v>0.16282860775771735</v>
      </c>
      <c r="S1462" s="34">
        <v>6.659000000000001E-2</v>
      </c>
    </row>
    <row r="1463" spans="16:19" x14ac:dyDescent="0.25">
      <c r="P1463" s="27">
        <v>3.2548184716220556E-2</v>
      </c>
      <c r="Q1463" s="28">
        <f t="shared" si="26"/>
        <v>3.5548184716220559E-2</v>
      </c>
      <c r="R1463" s="31">
        <v>0.15939660775771733</v>
      </c>
      <c r="S1463" s="32">
        <v>0.11</v>
      </c>
    </row>
    <row r="1464" spans="16:19" x14ac:dyDescent="0.25">
      <c r="P1464" s="27">
        <v>3.2548184716220556E-2</v>
      </c>
      <c r="Q1464" s="28">
        <f t="shared" si="26"/>
        <v>3.5548184716220559E-2</v>
      </c>
      <c r="R1464" s="31">
        <v>0.15939660775771733</v>
      </c>
      <c r="S1464" s="32">
        <v>7.5749999999999998E-2</v>
      </c>
    </row>
    <row r="1465" spans="16:19" x14ac:dyDescent="0.25">
      <c r="P1465" s="27">
        <v>3.2548184716220556E-2</v>
      </c>
      <c r="Q1465" s="28">
        <f t="shared" si="26"/>
        <v>3.5548184716220559E-2</v>
      </c>
      <c r="R1465" s="31">
        <v>0.15939660775771733</v>
      </c>
      <c r="S1465" s="32">
        <v>6.4370000000000011E-2</v>
      </c>
    </row>
    <row r="1466" spans="16:19" x14ac:dyDescent="0.25">
      <c r="P1466" s="27">
        <v>3.2548184716220556E-2</v>
      </c>
      <c r="Q1466" s="28">
        <f t="shared" si="26"/>
        <v>3.5548184716220559E-2</v>
      </c>
      <c r="R1466" s="31">
        <v>0.15939660775771733</v>
      </c>
      <c r="S1466" s="32">
        <v>5.6000000000000001E-2</v>
      </c>
    </row>
    <row r="1467" spans="16:19" x14ac:dyDescent="0.25">
      <c r="P1467" s="27">
        <v>3.2548184716220556E-2</v>
      </c>
      <c r="Q1467" s="28">
        <f t="shared" si="26"/>
        <v>3.5548184716220559E-2</v>
      </c>
      <c r="R1467" s="29">
        <v>0.15003660775771735</v>
      </c>
      <c r="S1467" s="30">
        <v>5.1139999999999998E-2</v>
      </c>
    </row>
    <row r="1468" spans="16:19" x14ac:dyDescent="0.25">
      <c r="P1468" s="27">
        <v>3.2548184716220556E-2</v>
      </c>
      <c r="Q1468" s="28">
        <f t="shared" si="26"/>
        <v>3.5548184716220559E-2</v>
      </c>
      <c r="R1468" s="29">
        <v>0.15003660775771735</v>
      </c>
      <c r="S1468" s="30">
        <v>3.4369999999999998E-2</v>
      </c>
    </row>
    <row r="1469" spans="16:19" x14ac:dyDescent="0.25">
      <c r="P1469" s="27">
        <v>3.2548184716220556E-2</v>
      </c>
      <c r="Q1469" s="28">
        <f t="shared" si="26"/>
        <v>3.5548184716220559E-2</v>
      </c>
      <c r="R1469" s="29">
        <v>0.15003660775771735</v>
      </c>
      <c r="S1469" s="30">
        <v>2.5999999999999999E-2</v>
      </c>
    </row>
    <row r="1470" spans="16:19" x14ac:dyDescent="0.25">
      <c r="P1470" s="27">
        <v>3.2548184716220556E-2</v>
      </c>
      <c r="Q1470" s="28">
        <f t="shared" si="26"/>
        <v>3.5548184716220559E-2</v>
      </c>
      <c r="R1470" s="29">
        <v>0.15003660775771735</v>
      </c>
      <c r="S1470" s="30">
        <v>2.2499999999999999E-2</v>
      </c>
    </row>
    <row r="1471" spans="16:19" x14ac:dyDescent="0.25">
      <c r="P1471" s="27">
        <v>3.2548184716220556E-2</v>
      </c>
      <c r="Q1471" s="28">
        <f t="shared" si="26"/>
        <v>3.5548184716220559E-2</v>
      </c>
      <c r="R1471" s="29">
        <v>0.15003660775771735</v>
      </c>
      <c r="S1471" s="30">
        <v>2.1499999999999998E-2</v>
      </c>
    </row>
    <row r="1472" spans="16:19" x14ac:dyDescent="0.25">
      <c r="P1472" s="27">
        <v>3.2548184716220556E-2</v>
      </c>
      <c r="Q1472" s="28">
        <f t="shared" si="26"/>
        <v>3.5548184716220559E-2</v>
      </c>
      <c r="R1472" s="29">
        <v>0.15003660775771735</v>
      </c>
      <c r="S1472" s="30">
        <v>2.2420000000000002E-2</v>
      </c>
    </row>
    <row r="1473" spans="16:19" x14ac:dyDescent="0.25">
      <c r="P1473" s="27">
        <v>3.2548184716220556E-2</v>
      </c>
      <c r="Q1473" s="28">
        <f t="shared" si="26"/>
        <v>3.5548184716220559E-2</v>
      </c>
      <c r="R1473" s="29">
        <v>0.15003660775771735</v>
      </c>
      <c r="S1473" s="30">
        <v>2.997E-2</v>
      </c>
    </row>
    <row r="1474" spans="16:19" x14ac:dyDescent="0.25">
      <c r="P1474" s="27">
        <v>3.2548184716220556E-2</v>
      </c>
      <c r="Q1474" s="28">
        <f t="shared" si="26"/>
        <v>3.5548184716220559E-2</v>
      </c>
      <c r="R1474" s="29">
        <v>0.15003660775771735</v>
      </c>
      <c r="S1474" s="30">
        <v>0.05</v>
      </c>
    </row>
    <row r="1475" spans="16:19" x14ac:dyDescent="0.25">
      <c r="P1475" s="27">
        <v>3.2548184716220556E-2</v>
      </c>
      <c r="Q1475" s="28">
        <f t="shared" si="26"/>
        <v>3.5548184716220559E-2</v>
      </c>
      <c r="R1475" s="31">
        <v>0.15939999999999999</v>
      </c>
      <c r="S1475" s="32">
        <v>5.7239999999999999E-2</v>
      </c>
    </row>
    <row r="1476" spans="16:19" x14ac:dyDescent="0.25">
      <c r="P1476" s="27">
        <v>3.2548184716220556E-2</v>
      </c>
      <c r="Q1476" s="28">
        <f t="shared" si="26"/>
        <v>3.5548184716220559E-2</v>
      </c>
      <c r="R1476" s="31">
        <v>0.15939999999999999</v>
      </c>
      <c r="S1476" s="32">
        <v>6.615E-2</v>
      </c>
    </row>
    <row r="1477" spans="16:19" x14ac:dyDescent="0.25">
      <c r="P1477" s="27">
        <v>3.2548184716220556E-2</v>
      </c>
      <c r="Q1477" s="28">
        <f t="shared" ref="Q1477:Q1540" si="27">P1477+0.003</f>
        <v>3.5548184716220559E-2</v>
      </c>
      <c r="R1477" s="31">
        <v>0.15939999999999999</v>
      </c>
      <c r="S1477" s="32">
        <v>5.9950000000000003E-2</v>
      </c>
    </row>
    <row r="1478" spans="16:19" x14ac:dyDescent="0.25">
      <c r="P1478" s="27">
        <v>3.2548184716220556E-2</v>
      </c>
      <c r="Q1478" s="28">
        <f t="shared" si="27"/>
        <v>3.5548184716220559E-2</v>
      </c>
      <c r="R1478" s="31">
        <v>0.15939999999999999</v>
      </c>
      <c r="S1478" s="32">
        <v>5.6000000000000001E-2</v>
      </c>
    </row>
    <row r="1479" spans="16:19" x14ac:dyDescent="0.25">
      <c r="P1479" s="27">
        <v>3.2548184716220556E-2</v>
      </c>
      <c r="Q1479" s="28">
        <f t="shared" si="27"/>
        <v>3.5548184716220559E-2</v>
      </c>
      <c r="R1479" s="31">
        <v>0.15939999999999999</v>
      </c>
      <c r="S1479" s="32">
        <v>5.4270000000000006E-2</v>
      </c>
    </row>
    <row r="1480" spans="16:19" x14ac:dyDescent="0.25">
      <c r="P1480" s="27">
        <v>3.2548184716220556E-2</v>
      </c>
      <c r="Q1480" s="28">
        <f t="shared" si="27"/>
        <v>3.5548184716220559E-2</v>
      </c>
      <c r="R1480" s="31">
        <v>0.15939999999999999</v>
      </c>
      <c r="S1480" s="32">
        <v>4.9710000000000004E-2</v>
      </c>
    </row>
    <row r="1481" spans="16:19" x14ac:dyDescent="0.25">
      <c r="P1481" s="27">
        <v>3.2548184716220556E-2</v>
      </c>
      <c r="Q1481" s="28">
        <f t="shared" si="27"/>
        <v>3.5548184716220559E-2</v>
      </c>
      <c r="R1481" s="31">
        <v>0.15939999999999999</v>
      </c>
      <c r="S1481" s="32">
        <v>5.2359999999999997E-2</v>
      </c>
    </row>
    <row r="1482" spans="16:19" x14ac:dyDescent="0.25">
      <c r="P1482" s="27">
        <v>3.2548184716220556E-2</v>
      </c>
      <c r="Q1482" s="28">
        <f t="shared" si="27"/>
        <v>3.5548184716220559E-2</v>
      </c>
      <c r="R1482" s="31">
        <v>0.15939999999999999</v>
      </c>
      <c r="S1482" s="32">
        <v>5.3999999999999999E-2</v>
      </c>
    </row>
    <row r="1483" spans="16:19" x14ac:dyDescent="0.25">
      <c r="P1483" s="27">
        <v>3.2548184716220556E-2</v>
      </c>
      <c r="Q1483" s="28">
        <f t="shared" si="27"/>
        <v>3.5548184716220559E-2</v>
      </c>
      <c r="R1483" s="31">
        <v>0.15939999999999999</v>
      </c>
      <c r="S1483" s="32">
        <v>5.8000000000000003E-2</v>
      </c>
    </row>
    <row r="1484" spans="16:19" x14ac:dyDescent="0.25">
      <c r="P1484" s="27">
        <v>3.2548184716220556E-2</v>
      </c>
      <c r="Q1484" s="28">
        <f t="shared" si="27"/>
        <v>3.5548184716220559E-2</v>
      </c>
      <c r="R1484" s="31">
        <v>0.15939999999999999</v>
      </c>
      <c r="S1484" s="32">
        <v>5.8000000000000003E-2</v>
      </c>
    </row>
    <row r="1485" spans="16:19" x14ac:dyDescent="0.25">
      <c r="P1485" s="27">
        <v>3.2548184716220556E-2</v>
      </c>
      <c r="Q1485" s="28">
        <f t="shared" si="27"/>
        <v>3.5548184716220559E-2</v>
      </c>
      <c r="R1485" s="31">
        <v>0.15939999999999999</v>
      </c>
      <c r="S1485" s="32">
        <v>5.6809999999999999E-2</v>
      </c>
    </row>
    <row r="1486" spans="16:19" x14ac:dyDescent="0.25">
      <c r="P1486" s="27">
        <v>3.2548184716220556E-2</v>
      </c>
      <c r="Q1486" s="28">
        <f t="shared" si="27"/>
        <v>3.5548184716220559E-2</v>
      </c>
      <c r="R1486" s="31">
        <v>0.15939999999999999</v>
      </c>
      <c r="S1486" s="32">
        <v>6.8589999999999998E-2</v>
      </c>
    </row>
    <row r="1487" spans="16:19" x14ac:dyDescent="0.25">
      <c r="P1487" s="27">
        <v>3.2548184716220556E-2</v>
      </c>
      <c r="Q1487" s="28">
        <f t="shared" si="27"/>
        <v>3.5548184716220559E-2</v>
      </c>
      <c r="R1487" s="31">
        <v>0.15939999999999999</v>
      </c>
      <c r="S1487" s="32">
        <v>7.102E-2</v>
      </c>
    </row>
    <row r="1488" spans="16:19" x14ac:dyDescent="0.25">
      <c r="P1488" s="27">
        <v>3.2548184716220556E-2</v>
      </c>
      <c r="Q1488" s="28">
        <f t="shared" si="27"/>
        <v>3.5548184716220559E-2</v>
      </c>
      <c r="R1488" s="31">
        <v>0.15939999999999999</v>
      </c>
      <c r="S1488" s="32">
        <v>5.858E-2</v>
      </c>
    </row>
    <row r="1489" spans="16:19" x14ac:dyDescent="0.25">
      <c r="P1489" s="27">
        <v>3.2548184716220556E-2</v>
      </c>
      <c r="Q1489" s="28">
        <f t="shared" si="27"/>
        <v>3.5548184716220559E-2</v>
      </c>
      <c r="R1489" s="31">
        <v>0.15939999999999999</v>
      </c>
      <c r="S1489" s="32">
        <v>5.3999999999999999E-2</v>
      </c>
    </row>
    <row r="1490" spans="16:19" x14ac:dyDescent="0.25">
      <c r="P1490" s="27">
        <v>3.2548184716220556E-2</v>
      </c>
      <c r="Q1490" s="28">
        <f t="shared" si="27"/>
        <v>3.5548184716220559E-2</v>
      </c>
      <c r="R1490" s="31">
        <v>0.15939999999999999</v>
      </c>
      <c r="S1490" s="32">
        <v>5.2850000000000001E-2</v>
      </c>
    </row>
    <row r="1491" spans="16:19" x14ac:dyDescent="0.25">
      <c r="P1491" s="27">
        <v>3.2548184716220556E-2</v>
      </c>
      <c r="Q1491" s="28">
        <f t="shared" si="27"/>
        <v>3.5548184716220559E-2</v>
      </c>
      <c r="R1491" s="29">
        <v>0.15</v>
      </c>
      <c r="S1491" s="30">
        <v>4.4109999999999996E-2</v>
      </c>
    </row>
    <row r="1492" spans="16:19" x14ac:dyDescent="0.25">
      <c r="P1492" s="27">
        <v>3.2548184716220556E-2</v>
      </c>
      <c r="Q1492" s="28">
        <f t="shared" si="27"/>
        <v>3.5548184716220559E-2</v>
      </c>
      <c r="R1492" s="29">
        <v>0.15</v>
      </c>
      <c r="S1492" s="30">
        <v>3.9640000000000002E-2</v>
      </c>
    </row>
    <row r="1493" spans="16:19" x14ac:dyDescent="0.25">
      <c r="P1493" s="27">
        <v>3.2548184716220556E-2</v>
      </c>
      <c r="Q1493" s="28">
        <f t="shared" si="27"/>
        <v>3.5548184716220559E-2</v>
      </c>
      <c r="R1493" s="29">
        <v>0.15</v>
      </c>
      <c r="S1493" s="30">
        <v>3.4409999999999996E-2</v>
      </c>
    </row>
    <row r="1494" spans="16:19" x14ac:dyDescent="0.25">
      <c r="P1494" s="27">
        <v>3.2548184716220556E-2</v>
      </c>
      <c r="Q1494" s="28">
        <f t="shared" si="27"/>
        <v>3.5548184716220559E-2</v>
      </c>
      <c r="R1494" s="29">
        <v>0.15</v>
      </c>
      <c r="S1494" s="30">
        <v>3.1949999999999999E-2</v>
      </c>
    </row>
    <row r="1495" spans="16:19" x14ac:dyDescent="0.25">
      <c r="P1495" s="27">
        <v>3.2548184716220556E-2</v>
      </c>
      <c r="Q1495" s="28">
        <f t="shared" si="27"/>
        <v>3.5548184716220559E-2</v>
      </c>
      <c r="R1495" s="29">
        <v>0.15</v>
      </c>
      <c r="S1495" s="30">
        <v>3.0629999999999998E-2</v>
      </c>
    </row>
    <row r="1496" spans="16:19" x14ac:dyDescent="0.25">
      <c r="P1496" s="27">
        <v>3.2548184716220556E-2</v>
      </c>
      <c r="Q1496" s="28">
        <f t="shared" si="27"/>
        <v>3.5548184716220559E-2</v>
      </c>
      <c r="R1496" s="29">
        <v>0.15</v>
      </c>
      <c r="S1496" s="30">
        <v>3.1199999999999999E-2</v>
      </c>
    </row>
    <row r="1497" spans="16:19" x14ac:dyDescent="0.25">
      <c r="P1497" s="27">
        <v>3.2548184716220556E-2</v>
      </c>
      <c r="Q1497" s="28">
        <f t="shared" si="27"/>
        <v>3.5548184716220559E-2</v>
      </c>
      <c r="R1497" s="29">
        <v>0.15</v>
      </c>
      <c r="S1497" s="30">
        <v>3.4450000000000001E-2</v>
      </c>
    </row>
    <row r="1498" spans="16:19" x14ac:dyDescent="0.25">
      <c r="P1498" s="27">
        <v>3.2548184716220556E-2</v>
      </c>
      <c r="Q1498" s="28">
        <f t="shared" si="27"/>
        <v>3.5548184716220559E-2</v>
      </c>
      <c r="R1498" s="29">
        <v>0.15</v>
      </c>
      <c r="S1498" s="30">
        <v>5.3499999999999999E-2</v>
      </c>
    </row>
    <row r="1499" spans="16:19" x14ac:dyDescent="0.25">
      <c r="P1499" s="27">
        <v>3.2548184716220556E-2</v>
      </c>
      <c r="Q1499" s="28">
        <f t="shared" si="27"/>
        <v>3.5548184716220559E-2</v>
      </c>
      <c r="R1499" s="29">
        <v>0.15</v>
      </c>
      <c r="S1499" s="30">
        <v>5.663E-2</v>
      </c>
    </row>
    <row r="1500" spans="16:19" x14ac:dyDescent="0.25">
      <c r="P1500" s="27">
        <v>3.2548184716220556E-2</v>
      </c>
      <c r="Q1500" s="28">
        <f t="shared" si="27"/>
        <v>3.5548184716220559E-2</v>
      </c>
      <c r="R1500" s="29">
        <v>0.15</v>
      </c>
      <c r="S1500" s="30">
        <v>6.4370000000000011E-2</v>
      </c>
    </row>
    <row r="1501" spans="16:19" x14ac:dyDescent="0.25">
      <c r="P1501" s="27">
        <v>3.2548184716220556E-2</v>
      </c>
      <c r="Q1501" s="28">
        <f t="shared" si="27"/>
        <v>3.5548184716220559E-2</v>
      </c>
      <c r="R1501" s="29">
        <v>0.15</v>
      </c>
      <c r="S1501" s="30">
        <v>6.2369999999999995E-2</v>
      </c>
    </row>
    <row r="1502" spans="16:19" x14ac:dyDescent="0.25">
      <c r="P1502" s="27">
        <v>3.2548184716220556E-2</v>
      </c>
      <c r="Q1502" s="28">
        <f t="shared" si="27"/>
        <v>3.5548184716220559E-2</v>
      </c>
      <c r="R1502" s="29">
        <v>0.15</v>
      </c>
      <c r="S1502" s="30">
        <v>6.0999999999999999E-2</v>
      </c>
    </row>
    <row r="1503" spans="16:19" x14ac:dyDescent="0.25">
      <c r="P1503" s="27">
        <v>3.2548184716220556E-2</v>
      </c>
      <c r="Q1503" s="28">
        <f t="shared" si="27"/>
        <v>3.5548184716220559E-2</v>
      </c>
      <c r="R1503" s="29">
        <v>0.15</v>
      </c>
      <c r="S1503" s="30">
        <v>5.9679999999999997E-2</v>
      </c>
    </row>
    <row r="1504" spans="16:19" x14ac:dyDescent="0.25">
      <c r="P1504" s="27">
        <v>3.2548184716220556E-2</v>
      </c>
      <c r="Q1504" s="28">
        <f t="shared" si="27"/>
        <v>3.5548184716220559E-2</v>
      </c>
      <c r="R1504" s="29">
        <v>0.15</v>
      </c>
      <c r="S1504" s="30">
        <v>5.3999999999999999E-2</v>
      </c>
    </row>
    <row r="1505" spans="16:19" x14ac:dyDescent="0.25">
      <c r="P1505" s="27">
        <v>3.2548184716220556E-2</v>
      </c>
      <c r="Q1505" s="28">
        <f t="shared" si="27"/>
        <v>3.5548184716220559E-2</v>
      </c>
      <c r="R1505" s="29">
        <v>0.15</v>
      </c>
      <c r="S1505" s="30">
        <v>5.4439999999999995E-2</v>
      </c>
    </row>
    <row r="1506" spans="16:19" x14ac:dyDescent="0.25">
      <c r="P1506" s="27">
        <v>3.2548184716220556E-2</v>
      </c>
      <c r="Q1506" s="28">
        <f t="shared" si="27"/>
        <v>3.5548184716220559E-2</v>
      </c>
      <c r="R1506" s="29">
        <v>0.15</v>
      </c>
      <c r="S1506" s="30">
        <v>5.6350000000000004E-2</v>
      </c>
    </row>
    <row r="1507" spans="16:19" x14ac:dyDescent="0.25">
      <c r="P1507" s="27">
        <v>3.2548184716220556E-2</v>
      </c>
      <c r="Q1507" s="28">
        <f t="shared" si="27"/>
        <v>3.5548184716220559E-2</v>
      </c>
      <c r="R1507" s="29">
        <v>0.15</v>
      </c>
      <c r="S1507" s="30">
        <v>5.8599999999999999E-2</v>
      </c>
    </row>
    <row r="1508" spans="16:19" x14ac:dyDescent="0.25">
      <c r="P1508" s="27">
        <v>3.2548184716220556E-2</v>
      </c>
      <c r="Q1508" s="28">
        <f t="shared" si="27"/>
        <v>3.5548184716220559E-2</v>
      </c>
      <c r="R1508" s="29">
        <v>0.15</v>
      </c>
      <c r="S1508" s="30">
        <v>5.9130000000000002E-2</v>
      </c>
    </row>
    <row r="1509" spans="16:19" x14ac:dyDescent="0.25">
      <c r="P1509" s="27">
        <v>3.2548184716220556E-2</v>
      </c>
      <c r="Q1509" s="28">
        <f t="shared" si="27"/>
        <v>3.5548184716220559E-2</v>
      </c>
      <c r="R1509" s="29">
        <v>0.15</v>
      </c>
      <c r="S1509" s="30">
        <v>5.8599999999999999E-2</v>
      </c>
    </row>
    <row r="1510" spans="16:19" x14ac:dyDescent="0.25">
      <c r="P1510" s="27">
        <v>3.2548184716220556E-2</v>
      </c>
      <c r="Q1510" s="28">
        <f t="shared" si="27"/>
        <v>3.5548184716220559E-2</v>
      </c>
      <c r="R1510" s="29">
        <v>0.15</v>
      </c>
      <c r="S1510" s="30">
        <v>7.5499999999999998E-2</v>
      </c>
    </row>
    <row r="1511" spans="16:19" x14ac:dyDescent="0.25">
      <c r="P1511" s="27">
        <v>3.2548184716220556E-2</v>
      </c>
      <c r="Q1511" s="28">
        <f t="shared" si="27"/>
        <v>3.5548184716220559E-2</v>
      </c>
      <c r="R1511" s="29">
        <v>0.15</v>
      </c>
      <c r="S1511" s="30">
        <v>7.4999999999999997E-2</v>
      </c>
    </row>
    <row r="1512" spans="16:19" x14ac:dyDescent="0.25">
      <c r="P1512" s="27">
        <v>3.2548184716220556E-2</v>
      </c>
      <c r="Q1512" s="28">
        <f t="shared" si="27"/>
        <v>3.5548184716220559E-2</v>
      </c>
      <c r="R1512" s="29">
        <v>0.15</v>
      </c>
      <c r="S1512" s="30">
        <v>5.9679999999999997E-2</v>
      </c>
    </row>
    <row r="1513" spans="16:19" x14ac:dyDescent="0.25">
      <c r="P1513" s="27">
        <v>3.2548184716220556E-2</v>
      </c>
      <c r="Q1513" s="28">
        <f t="shared" si="27"/>
        <v>3.5548184716220559E-2</v>
      </c>
      <c r="R1513" s="29">
        <v>0.15</v>
      </c>
      <c r="S1513" s="30">
        <v>5.4759999999999996E-2</v>
      </c>
    </row>
    <row r="1514" spans="16:19" x14ac:dyDescent="0.25">
      <c r="P1514" s="27">
        <v>3.2548184716220556E-2</v>
      </c>
      <c r="Q1514" s="28">
        <f t="shared" si="27"/>
        <v>3.5548184716220559E-2</v>
      </c>
      <c r="R1514" s="29">
        <v>0.15</v>
      </c>
      <c r="S1514" s="30">
        <v>5.2999999999999999E-2</v>
      </c>
    </row>
    <row r="1515" spans="16:19" x14ac:dyDescent="0.25">
      <c r="P1515" s="27">
        <v>3.2548184716220556E-2</v>
      </c>
      <c r="Q1515" s="28">
        <f t="shared" si="27"/>
        <v>3.5548184716220559E-2</v>
      </c>
      <c r="R1515" s="29">
        <v>0.15</v>
      </c>
      <c r="S1515" s="30">
        <v>4.9020000000000001E-2</v>
      </c>
    </row>
    <row r="1516" spans="16:19" x14ac:dyDescent="0.25">
      <c r="P1516" s="27">
        <v>3.2548184716220556E-2</v>
      </c>
      <c r="Q1516" s="28">
        <f t="shared" si="27"/>
        <v>3.5548184716220559E-2</v>
      </c>
      <c r="R1516" s="29">
        <v>0.15</v>
      </c>
      <c r="S1516" s="30">
        <v>4.4649999999999995E-2</v>
      </c>
    </row>
    <row r="1517" spans="16:19" x14ac:dyDescent="0.25">
      <c r="P1517" s="27">
        <v>3.2548184716220556E-2</v>
      </c>
      <c r="Q1517" s="28">
        <f t="shared" si="27"/>
        <v>3.5548184716220559E-2</v>
      </c>
      <c r="R1517" s="29">
        <v>0.15</v>
      </c>
      <c r="S1517" s="30">
        <v>4.0039999999999999E-2</v>
      </c>
    </row>
    <row r="1518" spans="16:19" x14ac:dyDescent="0.25">
      <c r="P1518" s="27">
        <v>3.2548184716220556E-2</v>
      </c>
      <c r="Q1518" s="28">
        <f t="shared" si="27"/>
        <v>3.5548184716220559E-2</v>
      </c>
      <c r="R1518" s="29">
        <v>0.15</v>
      </c>
      <c r="S1518" s="30">
        <v>3.7649999999999996E-2</v>
      </c>
    </row>
    <row r="1519" spans="16:19" x14ac:dyDescent="0.25">
      <c r="P1519" s="27">
        <v>3.2548184716220556E-2</v>
      </c>
      <c r="Q1519" s="28">
        <f t="shared" si="27"/>
        <v>3.5548184716220559E-2</v>
      </c>
      <c r="R1519" s="29">
        <v>0.15</v>
      </c>
      <c r="S1519" s="30">
        <v>3.5000000000000003E-2</v>
      </c>
    </row>
    <row r="1520" spans="16:19" x14ac:dyDescent="0.25">
      <c r="P1520" s="27">
        <v>3.2548184716220556E-2</v>
      </c>
      <c r="Q1520" s="28">
        <f t="shared" si="27"/>
        <v>3.5548184716220559E-2</v>
      </c>
      <c r="R1520" s="29">
        <v>0.15</v>
      </c>
      <c r="S1520" s="30">
        <v>3.7789999999999997E-2</v>
      </c>
    </row>
    <row r="1521" spans="16:19" x14ac:dyDescent="0.25">
      <c r="P1521" s="27">
        <v>3.2548184716220556E-2</v>
      </c>
      <c r="Q1521" s="28">
        <f t="shared" si="27"/>
        <v>3.5548184716220559E-2</v>
      </c>
      <c r="R1521" s="29">
        <v>0.15</v>
      </c>
      <c r="S1521" s="30">
        <v>4.1700000000000001E-2</v>
      </c>
    </row>
    <row r="1522" spans="16:19" x14ac:dyDescent="0.25">
      <c r="P1522" s="27">
        <v>3.2548184716220556E-2</v>
      </c>
      <c r="Q1522" s="28">
        <f t="shared" si="27"/>
        <v>3.5548184716220559E-2</v>
      </c>
      <c r="R1522" s="29">
        <v>0.15</v>
      </c>
      <c r="S1522" s="30">
        <v>5.6390000000000003E-2</v>
      </c>
    </row>
    <row r="1523" spans="16:19" x14ac:dyDescent="0.25">
      <c r="P1523" s="27">
        <v>3.2548184716220556E-2</v>
      </c>
      <c r="Q1523" s="28">
        <f t="shared" si="27"/>
        <v>3.5548184716220559E-2</v>
      </c>
      <c r="R1523" s="31">
        <v>0.15939660775771733</v>
      </c>
      <c r="S1523" s="32">
        <v>6.0999999999999999E-2</v>
      </c>
    </row>
    <row r="1524" spans="16:19" x14ac:dyDescent="0.25">
      <c r="P1524" s="27">
        <v>3.2548184716220556E-2</v>
      </c>
      <c r="Q1524" s="28">
        <f t="shared" si="27"/>
        <v>3.5548184716220559E-2</v>
      </c>
      <c r="R1524" s="33">
        <v>0.16282860775771735</v>
      </c>
      <c r="S1524" s="34">
        <v>6.4370000000000011E-2</v>
      </c>
    </row>
    <row r="1525" spans="16:19" x14ac:dyDescent="0.25">
      <c r="P1525" s="27">
        <v>3.2548184716220556E-2</v>
      </c>
      <c r="Q1525" s="28">
        <f t="shared" si="27"/>
        <v>3.5548184716220559E-2</v>
      </c>
      <c r="R1525" s="33">
        <v>0.16282860775771735</v>
      </c>
      <c r="S1525" s="34">
        <v>6.1979999999999993E-2</v>
      </c>
    </row>
    <row r="1526" spans="16:19" x14ac:dyDescent="0.25">
      <c r="P1526" s="27">
        <v>3.2548184716220556E-2</v>
      </c>
      <c r="Q1526" s="28">
        <f t="shared" si="27"/>
        <v>3.5548184716220559E-2</v>
      </c>
      <c r="R1526" s="33">
        <v>0.16282860775771735</v>
      </c>
      <c r="S1526" s="34">
        <v>5.7479999999999996E-2</v>
      </c>
    </row>
    <row r="1527" spans="16:19" x14ac:dyDescent="0.25">
      <c r="P1527" s="27">
        <v>3.2548184716220556E-2</v>
      </c>
      <c r="Q1527" s="28">
        <f t="shared" si="27"/>
        <v>3.5548184716220559E-2</v>
      </c>
      <c r="R1527" s="33">
        <v>0.16282860775771735</v>
      </c>
      <c r="S1527" s="34">
        <v>5.6000000000000001E-2</v>
      </c>
    </row>
    <row r="1528" spans="16:19" x14ac:dyDescent="0.25">
      <c r="P1528" s="27">
        <v>3.2548184716220556E-2</v>
      </c>
      <c r="Q1528" s="28">
        <f t="shared" si="27"/>
        <v>3.5548184716220559E-2</v>
      </c>
      <c r="R1528" s="33">
        <v>0.16282860775771735</v>
      </c>
      <c r="S1528" s="34">
        <v>5.2499999999999998E-2</v>
      </c>
    </row>
    <row r="1529" spans="16:19" x14ac:dyDescent="0.25">
      <c r="P1529" s="27">
        <v>3.2548184716220556E-2</v>
      </c>
      <c r="Q1529" s="28">
        <f t="shared" si="27"/>
        <v>3.5548184716220559E-2</v>
      </c>
      <c r="R1529" s="33">
        <v>0.16282860775771735</v>
      </c>
      <c r="S1529" s="34">
        <v>5.101E-2</v>
      </c>
    </row>
    <row r="1530" spans="16:19" x14ac:dyDescent="0.25">
      <c r="P1530" s="27">
        <v>3.2548184716220556E-2</v>
      </c>
      <c r="Q1530" s="28">
        <f t="shared" si="27"/>
        <v>3.5548184716220559E-2</v>
      </c>
      <c r="R1530" s="33">
        <v>0.16282860775771735</v>
      </c>
      <c r="S1530" s="34">
        <v>5.4520000000000006E-2</v>
      </c>
    </row>
    <row r="1531" spans="16:19" x14ac:dyDescent="0.25">
      <c r="P1531" s="27">
        <v>3.2548184716220556E-2</v>
      </c>
      <c r="Q1531" s="28">
        <f t="shared" si="27"/>
        <v>3.5548184716220559E-2</v>
      </c>
      <c r="R1531" s="33">
        <v>0.16282860775771735</v>
      </c>
      <c r="S1531" s="34">
        <v>5.6000000000000001E-2</v>
      </c>
    </row>
    <row r="1532" spans="16:19" x14ac:dyDescent="0.25">
      <c r="P1532" s="27">
        <v>3.2548184716220556E-2</v>
      </c>
      <c r="Q1532" s="28">
        <f t="shared" si="27"/>
        <v>3.5548184716220559E-2</v>
      </c>
      <c r="R1532" s="33">
        <v>0.16282860775771735</v>
      </c>
      <c r="S1532" s="34">
        <v>5.7861396000000002E-2</v>
      </c>
    </row>
    <row r="1533" spans="16:19" x14ac:dyDescent="0.25">
      <c r="P1533" s="27">
        <v>3.2548184716220556E-2</v>
      </c>
      <c r="Q1533" s="28">
        <f t="shared" si="27"/>
        <v>3.5548184716220559E-2</v>
      </c>
      <c r="R1533" s="33">
        <v>0.16282860775771735</v>
      </c>
      <c r="S1533" s="34">
        <v>5.62E-2</v>
      </c>
    </row>
    <row r="1534" spans="16:19" x14ac:dyDescent="0.25">
      <c r="P1534" s="27">
        <v>3.2548184716220556E-2</v>
      </c>
      <c r="Q1534" s="28">
        <f t="shared" si="27"/>
        <v>3.5548184716220559E-2</v>
      </c>
      <c r="R1534" s="33">
        <v>0.16282860775771735</v>
      </c>
      <c r="S1534" s="34">
        <v>7.2650000000000006E-2</v>
      </c>
    </row>
    <row r="1535" spans="16:19" x14ac:dyDescent="0.25">
      <c r="P1535" s="27">
        <v>3.2548184716220556E-2</v>
      </c>
      <c r="Q1535" s="28">
        <f t="shared" si="27"/>
        <v>3.5548184716220559E-2</v>
      </c>
      <c r="R1535" s="31">
        <v>0.15939660775771733</v>
      </c>
      <c r="S1535" s="32">
        <v>7.529000000000001E-2</v>
      </c>
    </row>
    <row r="1536" spans="16:19" x14ac:dyDescent="0.25">
      <c r="P1536" s="27">
        <v>3.2548184716220556E-2</v>
      </c>
      <c r="Q1536" s="28">
        <f t="shared" si="27"/>
        <v>3.5548184716220559E-2</v>
      </c>
      <c r="R1536" s="31">
        <v>0.15939660775771733</v>
      </c>
      <c r="S1536" s="32">
        <v>5.7829999999999999E-2</v>
      </c>
    </row>
    <row r="1537" spans="16:19" x14ac:dyDescent="0.25">
      <c r="P1537" s="27">
        <v>3.2548184716220556E-2</v>
      </c>
      <c r="Q1537" s="28">
        <f t="shared" si="27"/>
        <v>3.5548184716220559E-2</v>
      </c>
      <c r="R1537" s="31">
        <v>0.15939660775771733</v>
      </c>
      <c r="S1537" s="32">
        <v>5.4969999999999998E-2</v>
      </c>
    </row>
    <row r="1538" spans="16:19" x14ac:dyDescent="0.25">
      <c r="P1538" s="27">
        <v>3.2548184716220556E-2</v>
      </c>
      <c r="Q1538" s="28">
        <f t="shared" si="27"/>
        <v>3.5548184716220559E-2</v>
      </c>
      <c r="R1538" s="31">
        <v>0.15939660775771733</v>
      </c>
      <c r="S1538" s="32">
        <v>5.042E-2</v>
      </c>
    </row>
    <row r="1539" spans="16:19" x14ac:dyDescent="0.25">
      <c r="P1539" s="27">
        <v>3.2548184716220556E-2</v>
      </c>
      <c r="Q1539" s="28">
        <f t="shared" si="27"/>
        <v>3.5548184716220559E-2</v>
      </c>
      <c r="R1539" s="29">
        <v>0.15003660775771735</v>
      </c>
      <c r="S1539" s="30">
        <v>4.6299999999999994E-2</v>
      </c>
    </row>
    <row r="1540" spans="16:19" x14ac:dyDescent="0.25">
      <c r="P1540" s="27">
        <v>3.2548184716220556E-2</v>
      </c>
      <c r="Q1540" s="28">
        <f t="shared" si="27"/>
        <v>3.5548184716220559E-2</v>
      </c>
      <c r="R1540" s="29">
        <v>0.15003660775771735</v>
      </c>
      <c r="S1540" s="30">
        <v>4.1000000000000002E-2</v>
      </c>
    </row>
    <row r="1541" spans="16:19" x14ac:dyDescent="0.25">
      <c r="P1541" s="27">
        <v>3.2548184716220556E-2</v>
      </c>
      <c r="Q1541" s="28">
        <f t="shared" ref="Q1541:Q1604" si="28">P1541+0.003</f>
        <v>3.5548184716220559E-2</v>
      </c>
      <c r="R1541" s="29">
        <v>0.15003660775771735</v>
      </c>
      <c r="S1541" s="30">
        <v>3.8200000000000005E-2</v>
      </c>
    </row>
    <row r="1542" spans="16:19" x14ac:dyDescent="0.25">
      <c r="P1542" s="27">
        <v>3.2548184716220556E-2</v>
      </c>
      <c r="Q1542" s="28">
        <f t="shared" si="28"/>
        <v>3.5548184716220559E-2</v>
      </c>
      <c r="R1542" s="29">
        <v>0.15003660775771735</v>
      </c>
      <c r="S1542" s="30">
        <v>3.7130000000000003E-2</v>
      </c>
    </row>
    <row r="1543" spans="16:19" x14ac:dyDescent="0.25">
      <c r="P1543" s="27">
        <v>3.2548184716220556E-2</v>
      </c>
      <c r="Q1543" s="28">
        <f t="shared" si="28"/>
        <v>3.5548184716220559E-2</v>
      </c>
      <c r="R1543" s="29">
        <v>0.15003660775771735</v>
      </c>
      <c r="S1543" s="30">
        <v>3.4070000000000003E-2</v>
      </c>
    </row>
    <row r="1544" spans="16:19" x14ac:dyDescent="0.25">
      <c r="P1544" s="27">
        <v>3.2548184716220556E-2</v>
      </c>
      <c r="Q1544" s="28">
        <f t="shared" si="28"/>
        <v>3.5548184716220559E-2</v>
      </c>
      <c r="R1544" s="29">
        <v>0.15003660775771735</v>
      </c>
      <c r="S1544" s="30">
        <v>3.4520000000000002E-2</v>
      </c>
    </row>
    <row r="1545" spans="16:19" x14ac:dyDescent="0.25">
      <c r="P1545" s="27">
        <v>3.2548184716220556E-2</v>
      </c>
      <c r="Q1545" s="28">
        <f t="shared" si="28"/>
        <v>3.5548184716220559E-2</v>
      </c>
      <c r="R1545" s="29">
        <v>0.15003660775771735</v>
      </c>
      <c r="S1545" s="30">
        <v>3.9409999999999994E-2</v>
      </c>
    </row>
    <row r="1546" spans="16:19" x14ac:dyDescent="0.25">
      <c r="P1546" s="27">
        <v>3.2548184716220556E-2</v>
      </c>
      <c r="Q1546" s="28">
        <f t="shared" si="28"/>
        <v>3.5548184716220559E-2</v>
      </c>
      <c r="R1546" s="29">
        <v>0.15003660775771735</v>
      </c>
      <c r="S1546" s="30">
        <v>5.2499999999999998E-2</v>
      </c>
    </row>
    <row r="1547" spans="16:19" x14ac:dyDescent="0.25">
      <c r="P1547" s="27">
        <v>3.2548184716220556E-2</v>
      </c>
      <c r="Q1547" s="28">
        <f t="shared" si="28"/>
        <v>3.5548184716220559E-2</v>
      </c>
      <c r="R1547" s="31">
        <v>0.15939660775771733</v>
      </c>
      <c r="S1547" s="32">
        <v>5.8000000000000003E-2</v>
      </c>
    </row>
    <row r="1548" spans="16:19" x14ac:dyDescent="0.25">
      <c r="P1548" s="27">
        <v>3.2548184716220556E-2</v>
      </c>
      <c r="Q1548" s="28">
        <f t="shared" si="28"/>
        <v>3.5548184716220559E-2</v>
      </c>
      <c r="R1548" s="33">
        <v>0.16282860775771735</v>
      </c>
      <c r="S1548" s="34">
        <v>6.1579999999999996E-2</v>
      </c>
    </row>
    <row r="1549" spans="16:19" x14ac:dyDescent="0.25">
      <c r="P1549" s="27">
        <v>3.2548184716220556E-2</v>
      </c>
      <c r="Q1549" s="28">
        <f t="shared" si="28"/>
        <v>3.5548184716220559E-2</v>
      </c>
      <c r="R1549" s="33">
        <v>0.16282860775771735</v>
      </c>
      <c r="S1549" s="34">
        <v>5.917E-2</v>
      </c>
    </row>
    <row r="1550" spans="16:19" x14ac:dyDescent="0.25">
      <c r="P1550" s="27">
        <v>3.2548184716220556E-2</v>
      </c>
      <c r="Q1550" s="28">
        <f t="shared" si="28"/>
        <v>3.5548184716220559E-2</v>
      </c>
      <c r="R1550" s="33">
        <v>0.16282860775771735</v>
      </c>
      <c r="S1550" s="34">
        <v>5.4399999999999997E-2</v>
      </c>
    </row>
    <row r="1551" spans="16:19" x14ac:dyDescent="0.25">
      <c r="P1551" s="27">
        <v>3.2548184716220556E-2</v>
      </c>
      <c r="Q1551" s="28">
        <f t="shared" si="28"/>
        <v>3.5548184716220559E-2</v>
      </c>
      <c r="R1551" s="33">
        <v>0.16282860775771735</v>
      </c>
      <c r="S1551" s="34">
        <v>5.0299999999999997E-2</v>
      </c>
    </row>
    <row r="1552" spans="16:19" x14ac:dyDescent="0.25">
      <c r="P1552" s="27">
        <v>3.2548184716220556E-2</v>
      </c>
      <c r="Q1552" s="28">
        <f t="shared" si="28"/>
        <v>3.5548184716220559E-2</v>
      </c>
      <c r="R1552" s="33">
        <v>0.16282860775771735</v>
      </c>
      <c r="S1552" s="34">
        <v>4.5439999999999994E-2</v>
      </c>
    </row>
    <row r="1553" spans="16:19" x14ac:dyDescent="0.25">
      <c r="P1553" s="27">
        <v>3.2548184716220556E-2</v>
      </c>
      <c r="Q1553" s="28">
        <f t="shared" si="28"/>
        <v>3.5548184716220559E-2</v>
      </c>
      <c r="R1553" s="33">
        <v>0.16282860775771735</v>
      </c>
      <c r="S1553" s="34">
        <v>4.5010000000000001E-2</v>
      </c>
    </row>
    <row r="1554" spans="16:19" x14ac:dyDescent="0.25">
      <c r="P1554" s="27">
        <v>3.2548184716220556E-2</v>
      </c>
      <c r="Q1554" s="28">
        <f t="shared" si="28"/>
        <v>3.5548184716220559E-2</v>
      </c>
      <c r="R1554" s="33">
        <v>0.16282860775771735</v>
      </c>
      <c r="S1554" s="34">
        <v>4.6009999999999995E-2</v>
      </c>
    </row>
    <row r="1555" spans="16:19" x14ac:dyDescent="0.25">
      <c r="P1555" s="27">
        <v>3.2548184716220556E-2</v>
      </c>
      <c r="Q1555" s="28">
        <f t="shared" si="28"/>
        <v>3.5548184716220559E-2</v>
      </c>
      <c r="R1555" s="33">
        <v>0.16282860775771735</v>
      </c>
      <c r="S1555" s="34">
        <v>0.05</v>
      </c>
    </row>
    <row r="1556" spans="16:19" x14ac:dyDescent="0.25">
      <c r="P1556" s="27">
        <v>3.2548184716220556E-2</v>
      </c>
      <c r="Q1556" s="28">
        <f t="shared" si="28"/>
        <v>3.5548184716220559E-2</v>
      </c>
      <c r="R1556" s="33">
        <v>0.16282860775771735</v>
      </c>
      <c r="S1556" s="34">
        <v>5.4369999999999995E-2</v>
      </c>
    </row>
    <row r="1557" spans="16:19" x14ac:dyDescent="0.25">
      <c r="P1557" s="27">
        <v>3.2548184716220556E-2</v>
      </c>
      <c r="Q1557" s="28">
        <f t="shared" si="28"/>
        <v>3.5548184716220559E-2</v>
      </c>
      <c r="R1557" s="33">
        <v>0.16282860775771735</v>
      </c>
      <c r="S1557" s="34">
        <v>5.2499999999999998E-2</v>
      </c>
    </row>
    <row r="1558" spans="16:19" x14ac:dyDescent="0.25">
      <c r="P1558" s="27">
        <v>3.2548184716220556E-2</v>
      </c>
      <c r="Q1558" s="28">
        <f t="shared" si="28"/>
        <v>3.5548184716220559E-2</v>
      </c>
      <c r="R1558" s="33">
        <v>0.16282860775771735</v>
      </c>
      <c r="S1558" s="34">
        <v>6.4189999999999997E-2</v>
      </c>
    </row>
    <row r="1559" spans="16:19" x14ac:dyDescent="0.25">
      <c r="P1559" s="27">
        <v>3.2548184716220556E-2</v>
      </c>
      <c r="Q1559" s="28">
        <f t="shared" si="28"/>
        <v>3.5548184716220559E-2</v>
      </c>
      <c r="R1559" s="31">
        <v>0.15939660775771733</v>
      </c>
      <c r="S1559" s="32">
        <v>6.7019999999999996E-2</v>
      </c>
    </row>
    <row r="1560" spans="16:19" x14ac:dyDescent="0.25">
      <c r="P1560" s="27">
        <v>3.2548184716220556E-2</v>
      </c>
      <c r="Q1560" s="28">
        <f t="shared" si="28"/>
        <v>3.5548184716220559E-2</v>
      </c>
      <c r="R1560" s="31">
        <v>0.15939660775771733</v>
      </c>
      <c r="S1560" s="32">
        <v>5.5140000000000002E-2</v>
      </c>
    </row>
    <row r="1561" spans="16:19" x14ac:dyDescent="0.25">
      <c r="P1561" s="27">
        <v>3.2548184716220556E-2</v>
      </c>
      <c r="Q1561" s="28">
        <f t="shared" si="28"/>
        <v>3.5548184716220559E-2</v>
      </c>
      <c r="R1561" s="31">
        <v>0.15939660775771733</v>
      </c>
      <c r="S1561" s="32">
        <v>5.4469999999999998E-2</v>
      </c>
    </row>
    <row r="1562" spans="16:19" x14ac:dyDescent="0.25">
      <c r="P1562" s="27">
        <v>3.2548184716220556E-2</v>
      </c>
      <c r="Q1562" s="28">
        <f t="shared" si="28"/>
        <v>3.5548184716220559E-2</v>
      </c>
      <c r="R1562" s="31">
        <v>0.15939660775771733</v>
      </c>
      <c r="S1562" s="32">
        <v>4.8000000000000001E-2</v>
      </c>
    </row>
    <row r="1563" spans="16:19" x14ac:dyDescent="0.25">
      <c r="P1563" s="27">
        <v>3.2548184716220556E-2</v>
      </c>
      <c r="Q1563" s="28">
        <f t="shared" si="28"/>
        <v>3.5548184716220559E-2</v>
      </c>
      <c r="R1563" s="29">
        <v>0.15003660775771735</v>
      </c>
      <c r="S1563" s="30">
        <v>4.4649999999999995E-2</v>
      </c>
    </row>
    <row r="1564" spans="16:19" x14ac:dyDescent="0.25">
      <c r="P1564" s="27">
        <v>3.2548184716220556E-2</v>
      </c>
      <c r="Q1564" s="28">
        <f t="shared" si="28"/>
        <v>3.5548184716220559E-2</v>
      </c>
      <c r="R1564" s="29">
        <v>0.15003660775771735</v>
      </c>
      <c r="S1564" s="30">
        <v>4.0649999999999999E-2</v>
      </c>
    </row>
    <row r="1565" spans="16:19" x14ac:dyDescent="0.25">
      <c r="P1565" s="27">
        <v>3.2548184716220556E-2</v>
      </c>
      <c r="Q1565" s="28">
        <f t="shared" si="28"/>
        <v>3.5548184716220559E-2</v>
      </c>
      <c r="R1565" s="29">
        <v>0.15003660775771735</v>
      </c>
      <c r="S1565" s="30">
        <v>3.7780000000000001E-2</v>
      </c>
    </row>
    <row r="1566" spans="16:19" x14ac:dyDescent="0.25">
      <c r="P1566" s="27">
        <v>3.2548184716220556E-2</v>
      </c>
      <c r="Q1566" s="28">
        <f t="shared" si="28"/>
        <v>3.5548184716220559E-2</v>
      </c>
      <c r="R1566" s="29">
        <v>0.15003660775771735</v>
      </c>
      <c r="S1566" s="30">
        <v>3.5650000000000001E-2</v>
      </c>
    </row>
    <row r="1567" spans="16:19" x14ac:dyDescent="0.25">
      <c r="P1567" s="27">
        <v>3.2548184716220556E-2</v>
      </c>
      <c r="Q1567" s="28">
        <f t="shared" si="28"/>
        <v>3.5548184716220559E-2</v>
      </c>
      <c r="R1567" s="29">
        <v>0.15003660775771735</v>
      </c>
      <c r="S1567" s="30">
        <v>3.2000000000000001E-2</v>
      </c>
    </row>
    <row r="1568" spans="16:19" x14ac:dyDescent="0.25">
      <c r="P1568" s="27">
        <v>3.2548184716220556E-2</v>
      </c>
      <c r="Q1568" s="28">
        <f t="shared" si="28"/>
        <v>3.5548184716220559E-2</v>
      </c>
      <c r="R1568" s="29">
        <v>0.15003660775771735</v>
      </c>
      <c r="S1568" s="30">
        <v>3.2750000000000001E-2</v>
      </c>
    </row>
    <row r="1569" spans="16:19" x14ac:dyDescent="0.25">
      <c r="P1569" s="27">
        <v>3.2548184716220556E-2</v>
      </c>
      <c r="Q1569" s="28">
        <f t="shared" si="28"/>
        <v>3.5548184716220559E-2</v>
      </c>
      <c r="R1569" s="29">
        <v>0.15003660775771735</v>
      </c>
      <c r="S1569" s="30">
        <v>3.7929999999999998E-2</v>
      </c>
    </row>
    <row r="1570" spans="16:19" x14ac:dyDescent="0.25">
      <c r="P1570" s="27">
        <v>3.2548184716220556E-2</v>
      </c>
      <c r="Q1570" s="28">
        <f t="shared" si="28"/>
        <v>3.5548184716220559E-2</v>
      </c>
      <c r="R1570" s="29">
        <v>0.15003660775771735</v>
      </c>
      <c r="S1570" s="30">
        <v>5.7000000000000002E-2</v>
      </c>
    </row>
    <row r="1571" spans="16:19" x14ac:dyDescent="0.25">
      <c r="P1571" s="27">
        <v>3.2548184716220556E-2</v>
      </c>
      <c r="Q1571" s="28">
        <f t="shared" si="28"/>
        <v>3.5548184716220559E-2</v>
      </c>
      <c r="R1571" s="31">
        <v>0.15939660775771733</v>
      </c>
      <c r="S1571" s="32">
        <v>6.1579999999999996E-2</v>
      </c>
    </row>
    <row r="1572" spans="16:19" x14ac:dyDescent="0.25">
      <c r="P1572" s="27">
        <v>3.2548184716220556E-2</v>
      </c>
      <c r="Q1572" s="28">
        <f t="shared" si="28"/>
        <v>3.5548184716220559E-2</v>
      </c>
      <c r="R1572" s="33">
        <v>0.16282860775771735</v>
      </c>
      <c r="S1572" s="34">
        <v>6.7319999999999991E-2</v>
      </c>
    </row>
    <row r="1573" spans="16:19" x14ac:dyDescent="0.25">
      <c r="P1573" s="27">
        <v>3.2548184716220556E-2</v>
      </c>
      <c r="Q1573" s="28">
        <f t="shared" si="28"/>
        <v>3.5548184716220559E-2</v>
      </c>
      <c r="R1573" s="33">
        <v>0.16282860775771735</v>
      </c>
      <c r="S1573" s="34">
        <v>6.4420000000000005E-2</v>
      </c>
    </row>
    <row r="1574" spans="16:19" x14ac:dyDescent="0.25">
      <c r="P1574" s="27">
        <v>3.2548184716220556E-2</v>
      </c>
      <c r="Q1574" s="28">
        <f t="shared" si="28"/>
        <v>3.5548184716220559E-2</v>
      </c>
      <c r="R1574" s="33">
        <v>0.16282860775771735</v>
      </c>
      <c r="S1574" s="34">
        <v>5.8000000000000003E-2</v>
      </c>
    </row>
    <row r="1575" spans="16:19" x14ac:dyDescent="0.25">
      <c r="P1575" s="27">
        <v>3.2548184716220556E-2</v>
      </c>
      <c r="Q1575" s="28">
        <f t="shared" si="28"/>
        <v>3.5548184716220559E-2</v>
      </c>
      <c r="R1575" s="33">
        <v>0.16282860775771735</v>
      </c>
      <c r="S1575" s="34">
        <v>5.6000000000000001E-2</v>
      </c>
    </row>
    <row r="1576" spans="16:19" x14ac:dyDescent="0.25">
      <c r="P1576" s="27">
        <v>3.2548184716220556E-2</v>
      </c>
      <c r="Q1576" s="28">
        <f t="shared" si="28"/>
        <v>3.5548184716220559E-2</v>
      </c>
      <c r="R1576" s="33">
        <v>0.16282860775771735</v>
      </c>
      <c r="S1576" s="34">
        <v>4.6020000000000005E-2</v>
      </c>
    </row>
    <row r="1577" spans="16:19" x14ac:dyDescent="0.25">
      <c r="P1577" s="27">
        <v>3.2548184716220556E-2</v>
      </c>
      <c r="Q1577" s="28">
        <f t="shared" si="28"/>
        <v>3.5548184716220559E-2</v>
      </c>
      <c r="R1577" s="33">
        <v>0.16282860775771735</v>
      </c>
      <c r="S1577" s="34">
        <v>4.5999999999999999E-2</v>
      </c>
    </row>
    <row r="1578" spans="16:19" x14ac:dyDescent="0.25">
      <c r="P1578" s="27">
        <v>3.2548184716220556E-2</v>
      </c>
      <c r="Q1578" s="28">
        <f t="shared" si="28"/>
        <v>3.5548184716220559E-2</v>
      </c>
      <c r="R1578" s="33">
        <v>0.16282860775771735</v>
      </c>
      <c r="S1578" s="34">
        <v>5.3370000000000001E-2</v>
      </c>
    </row>
    <row r="1579" spans="16:19" x14ac:dyDescent="0.25">
      <c r="P1579" s="27">
        <v>3.2548184716220556E-2</v>
      </c>
      <c r="Q1579" s="28">
        <f t="shared" si="28"/>
        <v>3.5548184716220559E-2</v>
      </c>
      <c r="R1579" s="33">
        <v>0.16282860775771735</v>
      </c>
      <c r="S1579" s="34">
        <v>5.5009999999999996E-2</v>
      </c>
    </row>
    <row r="1580" spans="16:19" x14ac:dyDescent="0.25">
      <c r="P1580" s="27">
        <v>3.2548184716220556E-2</v>
      </c>
      <c r="Q1580" s="28">
        <f t="shared" si="28"/>
        <v>3.5548184716220559E-2</v>
      </c>
      <c r="R1580" s="33">
        <v>0.16282860775771735</v>
      </c>
      <c r="S1580" s="34">
        <v>5.7450000000000001E-2</v>
      </c>
    </row>
    <row r="1581" spans="16:19" x14ac:dyDescent="0.25">
      <c r="P1581" s="27">
        <v>3.2548184716220556E-2</v>
      </c>
      <c r="Q1581" s="28">
        <f t="shared" si="28"/>
        <v>3.5548184716220559E-2</v>
      </c>
      <c r="R1581" s="33">
        <v>0.16282860775771735</v>
      </c>
      <c r="S1581" s="34">
        <v>5.8200000000000002E-2</v>
      </c>
    </row>
    <row r="1582" spans="16:19" x14ac:dyDescent="0.25">
      <c r="P1582" s="27">
        <v>3.2548184716220556E-2</v>
      </c>
      <c r="Q1582" s="28">
        <f t="shared" si="28"/>
        <v>3.5548184716220559E-2</v>
      </c>
      <c r="R1582" s="33">
        <v>0.16282860775771735</v>
      </c>
      <c r="S1582" s="34">
        <v>7.7219999999999997E-2</v>
      </c>
    </row>
    <row r="1583" spans="16:19" x14ac:dyDescent="0.25">
      <c r="P1583" s="27">
        <v>3.2548184716220556E-2</v>
      </c>
      <c r="Q1583" s="28">
        <f t="shared" si="28"/>
        <v>3.5548184716220559E-2</v>
      </c>
      <c r="R1583" s="31">
        <v>0.15939660775771733</v>
      </c>
      <c r="S1583" s="32">
        <v>8.2879999999999995E-2</v>
      </c>
    </row>
    <row r="1584" spans="16:19" x14ac:dyDescent="0.25">
      <c r="P1584" s="27">
        <v>3.2548184716220556E-2</v>
      </c>
      <c r="Q1584" s="28">
        <f t="shared" si="28"/>
        <v>3.5548184716220559E-2</v>
      </c>
      <c r="R1584" s="31">
        <v>0.15939660775771733</v>
      </c>
      <c r="S1584" s="32">
        <v>6.3469276000000005E-2</v>
      </c>
    </row>
    <row r="1585" spans="16:19" x14ac:dyDescent="0.25">
      <c r="P1585" s="27">
        <v>3.2548184716220556E-2</v>
      </c>
      <c r="Q1585" s="28">
        <f t="shared" si="28"/>
        <v>3.5548184716220559E-2</v>
      </c>
      <c r="R1585" s="31">
        <v>0.15939660775771733</v>
      </c>
      <c r="S1585" s="32">
        <v>6.4000000000000001E-2</v>
      </c>
    </row>
    <row r="1586" spans="16:19" x14ac:dyDescent="0.25">
      <c r="P1586" s="27">
        <v>3.2548184716220556E-2</v>
      </c>
      <c r="Q1586" s="28">
        <f t="shared" si="28"/>
        <v>3.5548184716220559E-2</v>
      </c>
      <c r="R1586" s="31">
        <v>0.15939660775771733</v>
      </c>
      <c r="S1586" s="32">
        <v>5.4549999999999994E-2</v>
      </c>
    </row>
    <row r="1587" spans="16:19" x14ac:dyDescent="0.25">
      <c r="P1587" s="27">
        <v>3.2548184716220556E-2</v>
      </c>
      <c r="Q1587" s="28">
        <f t="shared" si="28"/>
        <v>3.5548184716220559E-2</v>
      </c>
      <c r="R1587" s="29">
        <v>0.15003660775771735</v>
      </c>
      <c r="S1587" s="30">
        <v>5.042E-2</v>
      </c>
    </row>
    <row r="1588" spans="16:19" x14ac:dyDescent="0.25">
      <c r="P1588" s="27">
        <v>3.2548184716220556E-2</v>
      </c>
      <c r="Q1588" s="28">
        <f t="shared" si="28"/>
        <v>3.5548184716220559E-2</v>
      </c>
      <c r="R1588" s="29">
        <v>0.15003660775771735</v>
      </c>
      <c r="S1588" s="30">
        <v>0.05</v>
      </c>
    </row>
    <row r="1589" spans="16:19" x14ac:dyDescent="0.25">
      <c r="P1589" s="27">
        <v>3.2548184716220556E-2</v>
      </c>
      <c r="Q1589" s="28">
        <f t="shared" si="28"/>
        <v>3.5548184716220559E-2</v>
      </c>
      <c r="R1589" s="29">
        <v>0.15003660775771735</v>
      </c>
      <c r="S1589" s="30">
        <v>4.444E-2</v>
      </c>
    </row>
    <row r="1590" spans="16:19" x14ac:dyDescent="0.25">
      <c r="P1590" s="27">
        <v>3.2548184716220556E-2</v>
      </c>
      <c r="Q1590" s="28">
        <f t="shared" si="28"/>
        <v>3.5548184716220559E-2</v>
      </c>
      <c r="R1590" s="29">
        <v>0.15003660775771735</v>
      </c>
      <c r="S1590" s="30">
        <v>4.0039999999999999E-2</v>
      </c>
    </row>
    <row r="1591" spans="16:19" x14ac:dyDescent="0.25">
      <c r="P1591" s="27">
        <v>3.2548184716220556E-2</v>
      </c>
      <c r="Q1591" s="28">
        <f t="shared" si="28"/>
        <v>3.5548184716220559E-2</v>
      </c>
      <c r="R1591" s="29">
        <v>0.15003660775771735</v>
      </c>
      <c r="S1591" s="30">
        <v>3.3049999999999996E-2</v>
      </c>
    </row>
    <row r="1592" spans="16:19" x14ac:dyDescent="0.25">
      <c r="P1592" s="27">
        <v>3.2548184716220556E-2</v>
      </c>
      <c r="Q1592" s="28">
        <f t="shared" si="28"/>
        <v>3.5548184716220559E-2</v>
      </c>
      <c r="R1592" s="29">
        <v>0.15003660775771735</v>
      </c>
      <c r="S1592" s="30">
        <v>3.0040000000000001E-2</v>
      </c>
    </row>
    <row r="1593" spans="16:19" x14ac:dyDescent="0.25">
      <c r="P1593" s="27">
        <v>3.2548184716220556E-2</v>
      </c>
      <c r="Q1593" s="28">
        <f t="shared" si="28"/>
        <v>3.5548184716220559E-2</v>
      </c>
      <c r="R1593" s="29">
        <v>0.15003660775771735</v>
      </c>
      <c r="S1593" s="30">
        <v>3.0040000000000001E-2</v>
      </c>
    </row>
    <row r="1594" spans="16:19" x14ac:dyDescent="0.25">
      <c r="P1594" s="27">
        <v>3.2548184716220556E-2</v>
      </c>
      <c r="Q1594" s="28">
        <f t="shared" si="28"/>
        <v>3.5548184716220559E-2</v>
      </c>
      <c r="R1594" s="29">
        <v>0.15003660775771735</v>
      </c>
      <c r="S1594" s="30">
        <v>4.444E-2</v>
      </c>
    </row>
    <row r="1595" spans="16:19" x14ac:dyDescent="0.25">
      <c r="P1595" s="27">
        <v>3.2548184716220556E-2</v>
      </c>
      <c r="Q1595" s="28">
        <f t="shared" si="28"/>
        <v>3.5548184716220559E-2</v>
      </c>
      <c r="R1595" s="31">
        <v>0.15939660775771733</v>
      </c>
      <c r="S1595" s="32">
        <v>4.0090000000000001E-2</v>
      </c>
    </row>
    <row r="1596" spans="16:19" x14ac:dyDescent="0.25">
      <c r="P1596" s="27">
        <v>3.2548184716220556E-2</v>
      </c>
      <c r="Q1596" s="28">
        <f t="shared" si="28"/>
        <v>3.5548184716220559E-2</v>
      </c>
      <c r="R1596" s="33">
        <v>0.16282860775771735</v>
      </c>
      <c r="S1596" s="34">
        <v>4.5240000000000002E-2</v>
      </c>
    </row>
    <row r="1597" spans="16:19" x14ac:dyDescent="0.25">
      <c r="P1597" s="27">
        <v>3.2548184716220556E-2</v>
      </c>
      <c r="Q1597" s="28">
        <f t="shared" si="28"/>
        <v>3.5548184716220559E-2</v>
      </c>
      <c r="R1597" s="33">
        <v>0.16282860775771735</v>
      </c>
      <c r="S1597" s="34">
        <v>4.444E-2</v>
      </c>
    </row>
    <row r="1598" spans="16:19" x14ac:dyDescent="0.25">
      <c r="P1598" s="27">
        <v>3.2548184716220556E-2</v>
      </c>
      <c r="Q1598" s="28">
        <f t="shared" si="28"/>
        <v>3.5548184716220559E-2</v>
      </c>
      <c r="R1598" s="33">
        <v>0.16282860775771735</v>
      </c>
      <c r="S1598" s="34">
        <v>3.7520000000000005E-2</v>
      </c>
    </row>
    <row r="1599" spans="16:19" x14ac:dyDescent="0.25">
      <c r="P1599" s="27">
        <v>3.2548184716220556E-2</v>
      </c>
      <c r="Q1599" s="28">
        <f t="shared" si="28"/>
        <v>3.5548184716220559E-2</v>
      </c>
      <c r="R1599" s="33">
        <v>0.16282860775771735</v>
      </c>
      <c r="S1599" s="34">
        <v>3.2340000000000001E-2</v>
      </c>
    </row>
    <row r="1600" spans="16:19" x14ac:dyDescent="0.25">
      <c r="P1600" s="27">
        <v>3.2548184716220556E-2</v>
      </c>
      <c r="Q1600" s="28">
        <f t="shared" si="28"/>
        <v>3.5548184716220559E-2</v>
      </c>
      <c r="R1600" s="33">
        <v>0.16282860775771735</v>
      </c>
      <c r="S1600" s="34">
        <v>2.5000000000000001E-2</v>
      </c>
    </row>
    <row r="1601" spans="16:19" x14ac:dyDescent="0.25">
      <c r="P1601" s="27">
        <v>3.2548184716220556E-2</v>
      </c>
      <c r="Q1601" s="28">
        <f t="shared" si="28"/>
        <v>3.5548184716220559E-2</v>
      </c>
      <c r="R1601" s="33">
        <v>0.16282860775771735</v>
      </c>
      <c r="S1601" s="34">
        <v>2.1999999999999999E-2</v>
      </c>
    </row>
    <row r="1602" spans="16:19" x14ac:dyDescent="0.25">
      <c r="P1602" s="27">
        <v>3.2548184716220556E-2</v>
      </c>
      <c r="Q1602" s="28">
        <f t="shared" si="28"/>
        <v>3.5548184716220559E-2</v>
      </c>
      <c r="R1602" s="33">
        <v>0.16282860775771735</v>
      </c>
      <c r="S1602" s="34">
        <v>0.02</v>
      </c>
    </row>
    <row r="1603" spans="16:19" x14ac:dyDescent="0.25">
      <c r="P1603" s="27">
        <v>3.2548184716220556E-2</v>
      </c>
      <c r="Q1603" s="28">
        <f t="shared" si="28"/>
        <v>3.5548184716220559E-2</v>
      </c>
      <c r="R1603" s="33">
        <v>0.16282860775771735</v>
      </c>
      <c r="S1603" s="34">
        <v>2.1100000000000001E-2</v>
      </c>
    </row>
    <row r="1604" spans="16:19" x14ac:dyDescent="0.25">
      <c r="P1604" s="27">
        <v>3.2548184716220556E-2</v>
      </c>
      <c r="Q1604" s="28">
        <f t="shared" si="28"/>
        <v>3.5548184716220559E-2</v>
      </c>
      <c r="R1604" s="33">
        <v>0.16282860775771735</v>
      </c>
      <c r="S1604" s="34">
        <v>2.7809999999999998E-2</v>
      </c>
    </row>
    <row r="1605" spans="16:19" x14ac:dyDescent="0.25">
      <c r="P1605" s="27">
        <v>3.2548184716220556E-2</v>
      </c>
      <c r="Q1605" s="28">
        <f t="shared" ref="Q1605:Q1668" si="29">P1605+0.003</f>
        <v>3.5548184716220559E-2</v>
      </c>
      <c r="R1605" s="33">
        <v>0.16282860775771735</v>
      </c>
      <c r="S1605" s="34">
        <v>3.9890000000000002E-2</v>
      </c>
    </row>
    <row r="1606" spans="16:19" x14ac:dyDescent="0.25">
      <c r="P1606" s="27">
        <v>3.2548184716220556E-2</v>
      </c>
      <c r="Q1606" s="28">
        <f t="shared" si="29"/>
        <v>3.5548184716220559E-2</v>
      </c>
      <c r="R1606" s="33">
        <v>0.16282860775771735</v>
      </c>
      <c r="S1606" s="34">
        <v>5.8099999999999999E-2</v>
      </c>
    </row>
    <row r="1607" spans="16:19" x14ac:dyDescent="0.25">
      <c r="P1607" s="27">
        <v>3.2548184716220556E-2</v>
      </c>
      <c r="Q1607" s="28">
        <f t="shared" si="29"/>
        <v>3.5548184716220559E-2</v>
      </c>
      <c r="R1607" s="31">
        <v>0.15939660775771733</v>
      </c>
      <c r="S1607" s="32">
        <v>7.4999999999999997E-2</v>
      </c>
    </row>
    <row r="1608" spans="16:19" x14ac:dyDescent="0.25">
      <c r="P1608" s="27">
        <v>3.2548184716220556E-2</v>
      </c>
      <c r="Q1608" s="28">
        <f t="shared" si="29"/>
        <v>3.5548184716220559E-2</v>
      </c>
      <c r="R1608" s="31">
        <v>0.15939660775771733</v>
      </c>
      <c r="S1608" s="32">
        <v>5.774E-2</v>
      </c>
    </row>
    <row r="1609" spans="16:19" x14ac:dyDescent="0.25">
      <c r="P1609" s="27">
        <v>3.2548184716220556E-2</v>
      </c>
      <c r="Q1609" s="28">
        <f t="shared" si="29"/>
        <v>3.5548184716220559E-2</v>
      </c>
      <c r="R1609" s="31">
        <v>0.15939660775771733</v>
      </c>
      <c r="S1609" s="32">
        <v>5.1139999999999998E-2</v>
      </c>
    </row>
    <row r="1610" spans="16:19" x14ac:dyDescent="0.25">
      <c r="P1610" s="27">
        <v>3.2548184716220556E-2</v>
      </c>
      <c r="Q1610" s="28">
        <f t="shared" si="29"/>
        <v>3.5548184716220559E-2</v>
      </c>
      <c r="R1610" s="31">
        <v>0.15939660775771733</v>
      </c>
      <c r="S1610" s="32">
        <v>4.2999999999999997E-2</v>
      </c>
    </row>
    <row r="1611" spans="16:19" x14ac:dyDescent="0.25">
      <c r="P1611" s="27">
        <v>3.2548184716220556E-2</v>
      </c>
      <c r="Q1611" s="28">
        <f t="shared" si="29"/>
        <v>3.5548184716220559E-2</v>
      </c>
      <c r="R1611" s="29">
        <v>0.15003660775771735</v>
      </c>
      <c r="S1611" s="30">
        <v>4.0039999999999999E-2</v>
      </c>
    </row>
    <row r="1612" spans="16:19" x14ac:dyDescent="0.25">
      <c r="P1612" s="27">
        <v>3.2548184716220556E-2</v>
      </c>
      <c r="Q1612" s="28">
        <f t="shared" si="29"/>
        <v>3.5548184716220559E-2</v>
      </c>
      <c r="R1612" s="29">
        <v>0.15003660775771735</v>
      </c>
      <c r="S1612" s="30">
        <v>3.9979999999999995E-2</v>
      </c>
    </row>
    <row r="1613" spans="16:19" x14ac:dyDescent="0.25">
      <c r="P1613" s="27">
        <v>3.2548184716220556E-2</v>
      </c>
      <c r="Q1613" s="28">
        <f t="shared" si="29"/>
        <v>3.5548184716220559E-2</v>
      </c>
      <c r="R1613" s="29">
        <v>0.15003660775771735</v>
      </c>
      <c r="S1613" s="30">
        <v>2.2420000000000002E-2</v>
      </c>
    </row>
    <row r="1614" spans="16:19" x14ac:dyDescent="0.25">
      <c r="P1614" s="27">
        <v>3.2548184716220556E-2</v>
      </c>
      <c r="Q1614" s="28">
        <f t="shared" si="29"/>
        <v>3.5548184716220559E-2</v>
      </c>
      <c r="R1614" s="29">
        <v>0.15003660775771735</v>
      </c>
      <c r="S1614" s="30">
        <v>1.6959999999999999E-2</v>
      </c>
    </row>
    <row r="1615" spans="16:19" x14ac:dyDescent="0.25">
      <c r="P1615" s="27">
        <v>3.2548184716220556E-2</v>
      </c>
      <c r="Q1615" s="28">
        <f t="shared" si="29"/>
        <v>3.5548184716220559E-2</v>
      </c>
      <c r="R1615" s="29">
        <v>0.15003660775771735</v>
      </c>
      <c r="S1615" s="30">
        <v>1.4160000000000001E-2</v>
      </c>
    </row>
    <row r="1616" spans="16:19" x14ac:dyDescent="0.25">
      <c r="P1616" s="27">
        <v>3.2548184716220556E-2</v>
      </c>
      <c r="Q1616" s="28">
        <f t="shared" si="29"/>
        <v>3.5548184716220559E-2</v>
      </c>
      <c r="R1616" s="29">
        <v>0.15003660775771735</v>
      </c>
      <c r="S1616" s="30">
        <v>1.289E-2</v>
      </c>
    </row>
    <row r="1617" spans="16:19" x14ac:dyDescent="0.25">
      <c r="P1617" s="27">
        <v>3.2548184716220556E-2</v>
      </c>
      <c r="Q1617" s="28">
        <f t="shared" si="29"/>
        <v>3.5548184716220559E-2</v>
      </c>
      <c r="R1617" s="29">
        <v>0.15003660775771735</v>
      </c>
      <c r="S1617" s="30">
        <v>1.35E-2</v>
      </c>
    </row>
    <row r="1618" spans="16:19" x14ac:dyDescent="0.25">
      <c r="P1618" s="27">
        <v>3.2548184716220556E-2</v>
      </c>
      <c r="Q1618" s="28">
        <f t="shared" si="29"/>
        <v>3.5548184716220559E-2</v>
      </c>
      <c r="R1618" s="29">
        <v>0.15003660775771735</v>
      </c>
      <c r="S1618" s="30">
        <v>1.3220000000000001E-2</v>
      </c>
    </row>
    <row r="1619" spans="16:19" x14ac:dyDescent="0.25">
      <c r="P1619" s="27">
        <v>3.2548184716220556E-2</v>
      </c>
      <c r="Q1619" s="28">
        <f t="shared" si="29"/>
        <v>3.5548184716220559E-2</v>
      </c>
      <c r="R1619" s="31">
        <v>0.15939660775771733</v>
      </c>
      <c r="S1619" s="32">
        <v>1.1769999999999999E-2</v>
      </c>
    </row>
    <row r="1620" spans="16:19" x14ac:dyDescent="0.25">
      <c r="P1620" s="27">
        <v>3.2548184716220556E-2</v>
      </c>
      <c r="Q1620" s="28">
        <f t="shared" si="29"/>
        <v>3.5548184716220559E-2</v>
      </c>
      <c r="R1620" s="33">
        <v>0.16282860775771735</v>
      </c>
      <c r="S1620" s="34">
        <v>1.247E-2</v>
      </c>
    </row>
    <row r="1621" spans="16:19" x14ac:dyDescent="0.25">
      <c r="P1621" s="27">
        <v>3.2548184716220556E-2</v>
      </c>
      <c r="Q1621" s="28">
        <f t="shared" si="29"/>
        <v>3.5548184716220559E-2</v>
      </c>
      <c r="R1621" s="33">
        <v>0.16282860775771735</v>
      </c>
      <c r="S1621" s="34">
        <v>1.259E-2</v>
      </c>
    </row>
    <row r="1622" spans="16:19" x14ac:dyDescent="0.25">
      <c r="P1622" s="27">
        <v>3.2548184716220556E-2</v>
      </c>
      <c r="Q1622" s="28">
        <f t="shared" si="29"/>
        <v>3.5548184716220559E-2</v>
      </c>
      <c r="R1622" s="33">
        <v>0.16282860775771735</v>
      </c>
      <c r="S1622" s="34">
        <v>1.055E-2</v>
      </c>
    </row>
    <row r="1623" spans="16:19" x14ac:dyDescent="0.25">
      <c r="P1623" s="27">
        <v>3.2548184716220556E-2</v>
      </c>
      <c r="Q1623" s="28">
        <f t="shared" si="29"/>
        <v>3.5548184716220559E-2</v>
      </c>
      <c r="R1623" s="33">
        <v>0.16282860775771735</v>
      </c>
      <c r="S1623" s="34">
        <v>9.1599999999999997E-3</v>
      </c>
    </row>
    <row r="1624" spans="16:19" x14ac:dyDescent="0.25">
      <c r="P1624" s="27">
        <v>3.2548184716220556E-2</v>
      </c>
      <c r="Q1624" s="28">
        <f t="shared" si="29"/>
        <v>3.5548184716220559E-2</v>
      </c>
      <c r="R1624" s="33">
        <v>0.16282860775771735</v>
      </c>
      <c r="S1624" s="34">
        <v>7.6E-3</v>
      </c>
    </row>
    <row r="1625" spans="16:19" x14ac:dyDescent="0.25">
      <c r="P1625" s="27">
        <v>3.2548184716220556E-2</v>
      </c>
      <c r="Q1625" s="28">
        <f t="shared" si="29"/>
        <v>3.5548184716220559E-2</v>
      </c>
      <c r="R1625" s="33">
        <v>0.16282860775771735</v>
      </c>
      <c r="S1625" s="34">
        <v>5.1200000000000004E-3</v>
      </c>
    </row>
    <row r="1626" spans="16:19" x14ac:dyDescent="0.25">
      <c r="P1626" s="27">
        <v>3.2548184716220556E-2</v>
      </c>
      <c r="Q1626" s="28">
        <f t="shared" si="29"/>
        <v>3.5548184716220559E-2</v>
      </c>
      <c r="R1626" s="33">
        <v>0.16282860775771735</v>
      </c>
      <c r="S1626" s="34">
        <v>4.8799999999999998E-3</v>
      </c>
    </row>
    <row r="1627" spans="16:19" x14ac:dyDescent="0.25">
      <c r="P1627" s="27">
        <v>3.2548184716220556E-2</v>
      </c>
      <c r="Q1627" s="28">
        <f t="shared" si="29"/>
        <v>3.5548184716220559E-2</v>
      </c>
      <c r="R1627" s="33">
        <v>0.16282860775771735</v>
      </c>
      <c r="S1627" s="34">
        <v>7.5499999999999994E-3</v>
      </c>
    </row>
    <row r="1628" spans="16:19" x14ac:dyDescent="0.25">
      <c r="P1628" s="27">
        <v>3.2548184716220556E-2</v>
      </c>
      <c r="Q1628" s="28">
        <f t="shared" si="29"/>
        <v>3.5548184716220559E-2</v>
      </c>
      <c r="R1628" s="33">
        <v>0.16282860775771735</v>
      </c>
      <c r="S1628" s="34">
        <v>1.5900000000000001E-2</v>
      </c>
    </row>
    <row r="1629" spans="16:19" x14ac:dyDescent="0.25">
      <c r="P1629" s="27">
        <v>3.2548184716220556E-2</v>
      </c>
      <c r="Q1629" s="28">
        <f t="shared" si="29"/>
        <v>3.5548184716220559E-2</v>
      </c>
      <c r="R1629" s="33">
        <v>0.16282860775771735</v>
      </c>
      <c r="S1629" s="34">
        <v>3.3530000000000004E-2</v>
      </c>
    </row>
    <row r="1630" spans="16:19" x14ac:dyDescent="0.25">
      <c r="P1630" s="27">
        <v>3.2548184716220556E-2</v>
      </c>
      <c r="Q1630" s="28">
        <f t="shared" si="29"/>
        <v>3.5548184716220559E-2</v>
      </c>
      <c r="R1630" s="33">
        <v>0.16282860775771735</v>
      </c>
      <c r="S1630" s="34">
        <v>5.5659999999999994E-2</v>
      </c>
    </row>
    <row r="1631" spans="16:19" x14ac:dyDescent="0.25">
      <c r="P1631" s="27">
        <v>3.2548184716220556E-2</v>
      </c>
      <c r="Q1631" s="28">
        <f t="shared" si="29"/>
        <v>3.5548184716220559E-2</v>
      </c>
      <c r="R1631" s="31">
        <v>0.15939660775771733</v>
      </c>
      <c r="S1631" s="32">
        <v>8.0610000000000001E-2</v>
      </c>
    </row>
    <row r="1632" spans="16:19" x14ac:dyDescent="0.25">
      <c r="P1632" s="27">
        <v>3.2548184716220556E-2</v>
      </c>
      <c r="Q1632" s="28">
        <f t="shared" si="29"/>
        <v>3.5548184716220559E-2</v>
      </c>
      <c r="R1632" s="31">
        <v>0.15939660775771733</v>
      </c>
      <c r="S1632" s="32">
        <v>6.0049999999999999E-2</v>
      </c>
    </row>
    <row r="1633" spans="16:19" x14ac:dyDescent="0.25">
      <c r="P1633" s="27">
        <v>3.2548184716220556E-2</v>
      </c>
      <c r="Q1633" s="28">
        <f t="shared" si="29"/>
        <v>3.5548184716220559E-2</v>
      </c>
      <c r="R1633" s="31">
        <v>0.15939660775771733</v>
      </c>
      <c r="S1633" s="32">
        <v>5.5020000000000006E-2</v>
      </c>
    </row>
    <row r="1634" spans="16:19" x14ac:dyDescent="0.25">
      <c r="P1634" s="27">
        <v>3.2548184716220556E-2</v>
      </c>
      <c r="Q1634" s="28">
        <f t="shared" si="29"/>
        <v>3.5548184716220559E-2</v>
      </c>
      <c r="R1634" s="31">
        <v>0.15939660775771733</v>
      </c>
      <c r="S1634" s="32">
        <v>4.8803523000000001E-2</v>
      </c>
    </row>
    <row r="1635" spans="16:19" x14ac:dyDescent="0.25">
      <c r="P1635" s="27">
        <v>3.2548184716220556E-2</v>
      </c>
      <c r="Q1635" s="28">
        <f t="shared" si="29"/>
        <v>3.5548184716220559E-2</v>
      </c>
      <c r="R1635" s="29">
        <v>0.15003660775771735</v>
      </c>
      <c r="S1635" s="30">
        <v>3.9270000000000006E-2</v>
      </c>
    </row>
    <row r="1636" spans="16:19" x14ac:dyDescent="0.25">
      <c r="P1636" s="27">
        <v>3.2548184716220556E-2</v>
      </c>
      <c r="Q1636" s="28">
        <f t="shared" si="29"/>
        <v>3.5548184716220559E-2</v>
      </c>
      <c r="R1636" s="29">
        <v>0.15003660775771735</v>
      </c>
      <c r="S1636" s="30">
        <v>2.9000000000000001E-2</v>
      </c>
    </row>
    <row r="1637" spans="16:19" x14ac:dyDescent="0.25">
      <c r="P1637" s="27">
        <v>3.2548184716220556E-2</v>
      </c>
      <c r="Q1637" s="28">
        <f t="shared" si="29"/>
        <v>3.5548184716220559E-2</v>
      </c>
      <c r="R1637" s="29">
        <v>0.15003660775771735</v>
      </c>
      <c r="S1637" s="30">
        <v>2.1999999999999999E-2</v>
      </c>
    </row>
    <row r="1638" spans="16:19" x14ac:dyDescent="0.25">
      <c r="P1638" s="27">
        <v>3.2548184716220556E-2</v>
      </c>
      <c r="Q1638" s="28">
        <f t="shared" si="29"/>
        <v>3.5548184716220559E-2</v>
      </c>
      <c r="R1638" s="29">
        <v>0.15003660775771735</v>
      </c>
      <c r="S1638" s="30">
        <v>0.02</v>
      </c>
    </row>
    <row r="1639" spans="16:19" x14ac:dyDescent="0.25">
      <c r="P1639" s="27">
        <v>3.2548184716220556E-2</v>
      </c>
      <c r="Q1639" s="28">
        <f t="shared" si="29"/>
        <v>3.5548184716220559E-2</v>
      </c>
      <c r="R1639" s="29">
        <v>0.15003660775771735</v>
      </c>
      <c r="S1639" s="30">
        <v>1.8800000000000001E-2</v>
      </c>
    </row>
    <row r="1640" spans="16:19" x14ac:dyDescent="0.25">
      <c r="P1640" s="27">
        <v>3.2548184716220556E-2</v>
      </c>
      <c r="Q1640" s="28">
        <f t="shared" si="29"/>
        <v>3.5548184716220559E-2</v>
      </c>
      <c r="R1640" s="29">
        <v>0.15003660775771735</v>
      </c>
      <c r="S1640" s="30">
        <v>2.0390000000000002E-2</v>
      </c>
    </row>
    <row r="1641" spans="16:19" x14ac:dyDescent="0.25">
      <c r="P1641" s="27">
        <v>3.2548184716220556E-2</v>
      </c>
      <c r="Q1641" s="28">
        <f t="shared" si="29"/>
        <v>3.5548184716220559E-2</v>
      </c>
      <c r="R1641" s="29">
        <v>0.15003660775771735</v>
      </c>
      <c r="S1641" s="30">
        <v>3.3570000000000003E-2</v>
      </c>
    </row>
    <row r="1642" spans="16:19" x14ac:dyDescent="0.25">
      <c r="P1642" s="27">
        <v>3.2548184716220556E-2</v>
      </c>
      <c r="Q1642" s="28">
        <f t="shared" si="29"/>
        <v>3.5548184716220559E-2</v>
      </c>
      <c r="R1642" s="29">
        <v>0.15003660775771735</v>
      </c>
      <c r="S1642" s="30">
        <v>5.5560000000000005E-2</v>
      </c>
    </row>
    <row r="1643" spans="16:19" x14ac:dyDescent="0.25">
      <c r="P1643" s="27">
        <v>3.2548184716220556E-2</v>
      </c>
      <c r="Q1643" s="28">
        <f t="shared" si="29"/>
        <v>3.5548184716220559E-2</v>
      </c>
      <c r="R1643" s="31">
        <v>0.15939999999999999</v>
      </c>
      <c r="S1643" s="32">
        <v>0.06</v>
      </c>
    </row>
    <row r="1644" spans="16:19" x14ac:dyDescent="0.25">
      <c r="P1644" s="27">
        <v>3.2548184716220556E-2</v>
      </c>
      <c r="Q1644" s="28">
        <f t="shared" si="29"/>
        <v>3.5548184716220559E-2</v>
      </c>
      <c r="R1644" s="31">
        <v>0.15939999999999999</v>
      </c>
      <c r="S1644" s="32">
        <v>6.4370000000000011E-2</v>
      </c>
    </row>
    <row r="1645" spans="16:19" x14ac:dyDescent="0.25">
      <c r="P1645" s="27">
        <v>3.2548184716220556E-2</v>
      </c>
      <c r="Q1645" s="28">
        <f t="shared" si="29"/>
        <v>3.5548184716220559E-2</v>
      </c>
      <c r="R1645" s="31">
        <v>0.15939999999999999</v>
      </c>
      <c r="S1645" s="32">
        <v>5.8220000000000001E-2</v>
      </c>
    </row>
    <row r="1646" spans="16:19" x14ac:dyDescent="0.25">
      <c r="P1646" s="27">
        <v>3.2548184716220556E-2</v>
      </c>
      <c r="Q1646" s="28">
        <f t="shared" si="29"/>
        <v>3.5548184716220559E-2</v>
      </c>
      <c r="R1646" s="31">
        <v>0.15939999999999999</v>
      </c>
      <c r="S1646" s="32">
        <v>5.4770000000000006E-2</v>
      </c>
    </row>
    <row r="1647" spans="16:19" x14ac:dyDescent="0.25">
      <c r="P1647" s="27">
        <v>3.2548184716220556E-2</v>
      </c>
      <c r="Q1647" s="28">
        <f t="shared" si="29"/>
        <v>3.5548184716220559E-2</v>
      </c>
      <c r="R1647" s="31">
        <v>0.15939999999999999</v>
      </c>
      <c r="S1647" s="32">
        <v>4.7049999999999995E-2</v>
      </c>
    </row>
    <row r="1648" spans="16:19" x14ac:dyDescent="0.25">
      <c r="P1648" s="27">
        <v>3.2548184716220556E-2</v>
      </c>
      <c r="Q1648" s="28">
        <f t="shared" si="29"/>
        <v>3.5548184716220559E-2</v>
      </c>
      <c r="R1648" s="31">
        <v>0.15939999999999999</v>
      </c>
      <c r="S1648" s="32">
        <v>3.9759999999999997E-2</v>
      </c>
    </row>
    <row r="1649" spans="16:19" x14ac:dyDescent="0.25">
      <c r="P1649" s="27">
        <v>3.2548184716220556E-2</v>
      </c>
      <c r="Q1649" s="28">
        <f t="shared" si="29"/>
        <v>3.5548184716220559E-2</v>
      </c>
      <c r="R1649" s="31">
        <v>0.15939999999999999</v>
      </c>
      <c r="S1649" s="32">
        <v>4.2000000000000003E-2</v>
      </c>
    </row>
    <row r="1650" spans="16:19" x14ac:dyDescent="0.25">
      <c r="P1650" s="27">
        <v>3.2548184716220556E-2</v>
      </c>
      <c r="Q1650" s="28">
        <f t="shared" si="29"/>
        <v>3.5548184716220559E-2</v>
      </c>
      <c r="R1650" s="31">
        <v>0.15939999999999999</v>
      </c>
      <c r="S1650" s="32">
        <v>4.5030000000000001E-2</v>
      </c>
    </row>
    <row r="1651" spans="16:19" x14ac:dyDescent="0.25">
      <c r="P1651" s="27">
        <v>3.2548184716220556E-2</v>
      </c>
      <c r="Q1651" s="28">
        <f t="shared" si="29"/>
        <v>3.5548184716220559E-2</v>
      </c>
      <c r="R1651" s="31">
        <v>0.15939999999999999</v>
      </c>
      <c r="S1651" s="32">
        <v>5.4770000000000006E-2</v>
      </c>
    </row>
    <row r="1652" spans="16:19" x14ac:dyDescent="0.25">
      <c r="P1652" s="27">
        <v>3.2548184716220556E-2</v>
      </c>
      <c r="Q1652" s="28">
        <f t="shared" si="29"/>
        <v>3.5548184716220559E-2</v>
      </c>
      <c r="R1652" s="31">
        <v>0.15939999999999999</v>
      </c>
      <c r="S1652" s="32">
        <v>6.0170000000000001E-2</v>
      </c>
    </row>
    <row r="1653" spans="16:19" x14ac:dyDescent="0.25">
      <c r="P1653" s="27">
        <v>3.2548184716220556E-2</v>
      </c>
      <c r="Q1653" s="28">
        <f t="shared" si="29"/>
        <v>3.5548184716220559E-2</v>
      </c>
      <c r="R1653" s="31">
        <v>0.15939999999999999</v>
      </c>
      <c r="S1653" s="32">
        <v>6.9000000000000006E-2</v>
      </c>
    </row>
    <row r="1654" spans="16:19" x14ac:dyDescent="0.25">
      <c r="P1654" s="27">
        <v>3.2548184716220556E-2</v>
      </c>
      <c r="Q1654" s="28">
        <f t="shared" si="29"/>
        <v>3.5548184716220559E-2</v>
      </c>
      <c r="R1654" s="31">
        <v>0.15939999999999999</v>
      </c>
      <c r="S1654" s="32">
        <v>0.12987000000000001</v>
      </c>
    </row>
    <row r="1655" spans="16:19" x14ac:dyDescent="0.25">
      <c r="P1655" s="27">
        <v>3.2548184716220556E-2</v>
      </c>
      <c r="Q1655" s="28">
        <f t="shared" si="29"/>
        <v>3.5548184716220559E-2</v>
      </c>
      <c r="R1655" s="31">
        <v>0.15939999999999999</v>
      </c>
      <c r="S1655" s="32">
        <v>0.14965999999999999</v>
      </c>
    </row>
    <row r="1656" spans="16:19" x14ac:dyDescent="0.25">
      <c r="P1656" s="27">
        <v>3.2548184716220556E-2</v>
      </c>
      <c r="Q1656" s="28">
        <f t="shared" si="29"/>
        <v>3.5548184716220559E-2</v>
      </c>
      <c r="R1656" s="31">
        <v>0.15939999999999999</v>
      </c>
      <c r="S1656" s="32">
        <v>9.6700000000000008E-2</v>
      </c>
    </row>
    <row r="1657" spans="16:19" x14ac:dyDescent="0.25">
      <c r="P1657" s="27">
        <v>3.2548184716220556E-2</v>
      </c>
      <c r="Q1657" s="28">
        <f t="shared" si="29"/>
        <v>3.5548184716220559E-2</v>
      </c>
      <c r="R1657" s="31">
        <v>0.15939999999999999</v>
      </c>
      <c r="S1657" s="32">
        <v>8.6870000000000003E-2</v>
      </c>
    </row>
    <row r="1658" spans="16:19" x14ac:dyDescent="0.25">
      <c r="P1658" s="27">
        <v>3.2548184716220556E-2</v>
      </c>
      <c r="Q1658" s="28">
        <f t="shared" si="29"/>
        <v>3.5548184716220559E-2</v>
      </c>
      <c r="R1658" s="31">
        <v>0.15939999999999999</v>
      </c>
      <c r="S1658" s="32">
        <v>0.06</v>
      </c>
    </row>
    <row r="1659" spans="16:19" x14ac:dyDescent="0.25">
      <c r="P1659" s="27">
        <v>3.2548184716220556E-2</v>
      </c>
      <c r="Q1659" s="28">
        <f t="shared" si="29"/>
        <v>3.5548184716220559E-2</v>
      </c>
      <c r="R1659" s="29">
        <v>0.15</v>
      </c>
      <c r="S1659" s="30">
        <v>5.0689999999999999E-2</v>
      </c>
    </row>
    <row r="1660" spans="16:19" x14ac:dyDescent="0.25">
      <c r="P1660" s="27">
        <v>3.2548184716220556E-2</v>
      </c>
      <c r="Q1660" s="28">
        <f t="shared" si="29"/>
        <v>3.5548184716220559E-2</v>
      </c>
      <c r="R1660" s="29">
        <v>0.15</v>
      </c>
      <c r="S1660" s="30">
        <v>3.9659999999999994E-2</v>
      </c>
    </row>
    <row r="1661" spans="16:19" x14ac:dyDescent="0.25">
      <c r="P1661" s="27">
        <v>3.2548184716220556E-2</v>
      </c>
      <c r="Q1661" s="28">
        <f t="shared" si="29"/>
        <v>3.5548184716220559E-2</v>
      </c>
      <c r="R1661" s="29">
        <v>0.15</v>
      </c>
      <c r="S1661" s="30">
        <v>3.6139999999999999E-2</v>
      </c>
    </row>
    <row r="1662" spans="16:19" x14ac:dyDescent="0.25">
      <c r="P1662" s="27">
        <v>3.2548184716220556E-2</v>
      </c>
      <c r="Q1662" s="28">
        <f t="shared" si="29"/>
        <v>3.5548184716220559E-2</v>
      </c>
      <c r="R1662" s="29">
        <v>0.15</v>
      </c>
      <c r="S1662" s="30">
        <v>3.3570000000000003E-2</v>
      </c>
    </row>
    <row r="1663" spans="16:19" x14ac:dyDescent="0.25">
      <c r="P1663" s="27">
        <v>3.2548184716220556E-2</v>
      </c>
      <c r="Q1663" s="28">
        <f t="shared" si="29"/>
        <v>3.5548184716220559E-2</v>
      </c>
      <c r="R1663" s="29">
        <v>0.15</v>
      </c>
      <c r="S1663" s="30">
        <v>3.2000000000000001E-2</v>
      </c>
    </row>
    <row r="1664" spans="16:19" x14ac:dyDescent="0.25">
      <c r="P1664" s="27">
        <v>3.2548184716220556E-2</v>
      </c>
      <c r="Q1664" s="28">
        <f t="shared" si="29"/>
        <v>3.5548184716220559E-2</v>
      </c>
      <c r="R1664" s="29">
        <v>0.15</v>
      </c>
      <c r="S1664" s="30">
        <v>3.3790000000000001E-2</v>
      </c>
    </row>
    <row r="1665" spans="16:19" x14ac:dyDescent="0.25">
      <c r="P1665" s="27">
        <v>3.2548184716220556E-2</v>
      </c>
      <c r="Q1665" s="28">
        <f t="shared" si="29"/>
        <v>3.5548184716220559E-2</v>
      </c>
      <c r="R1665" s="29">
        <v>0.15</v>
      </c>
      <c r="S1665" s="30">
        <v>3.9270000000000006E-2</v>
      </c>
    </row>
    <row r="1666" spans="16:19" x14ac:dyDescent="0.25">
      <c r="P1666" s="27">
        <v>3.2548184716220556E-2</v>
      </c>
      <c r="Q1666" s="28">
        <f t="shared" si="29"/>
        <v>3.5548184716220559E-2</v>
      </c>
      <c r="R1666" s="29">
        <v>0.15</v>
      </c>
      <c r="S1666" s="30">
        <v>5.4990000000000004E-2</v>
      </c>
    </row>
    <row r="1667" spans="16:19" x14ac:dyDescent="0.25">
      <c r="P1667" s="27">
        <v>3.2548184716220556E-2</v>
      </c>
      <c r="Q1667" s="28">
        <f t="shared" si="29"/>
        <v>3.5548184716220559E-2</v>
      </c>
      <c r="R1667" s="29">
        <v>0.15</v>
      </c>
      <c r="S1667" s="30">
        <v>6.3030000000000003E-2</v>
      </c>
    </row>
    <row r="1668" spans="16:19" x14ac:dyDescent="0.25">
      <c r="P1668" s="27">
        <v>3.2548184716220556E-2</v>
      </c>
      <c r="Q1668" s="28">
        <f t="shared" si="29"/>
        <v>3.5548184716220559E-2</v>
      </c>
      <c r="R1668" s="29">
        <v>0.15</v>
      </c>
      <c r="S1668" s="30">
        <v>6.7810000000000009E-2</v>
      </c>
    </row>
    <row r="1669" spans="16:19" x14ac:dyDescent="0.25">
      <c r="P1669" s="27">
        <v>3.2548184716220556E-2</v>
      </c>
      <c r="Q1669" s="28">
        <f t="shared" ref="Q1669:Q1732" si="30">P1669+0.003</f>
        <v>3.5548184716220559E-2</v>
      </c>
      <c r="R1669" s="29">
        <v>0.15</v>
      </c>
      <c r="S1669" s="30">
        <v>5.9700000000000003E-2</v>
      </c>
    </row>
    <row r="1670" spans="16:19" x14ac:dyDescent="0.25">
      <c r="P1670" s="27">
        <v>3.2548184716220556E-2</v>
      </c>
      <c r="Q1670" s="28">
        <f t="shared" si="30"/>
        <v>3.5548184716220559E-2</v>
      </c>
      <c r="R1670" s="29">
        <v>0.15</v>
      </c>
      <c r="S1670" s="30">
        <v>5.28E-2</v>
      </c>
    </row>
    <row r="1671" spans="16:19" x14ac:dyDescent="0.25">
      <c r="P1671" s="27">
        <v>3.2548184716220556E-2</v>
      </c>
      <c r="Q1671" s="28">
        <f t="shared" si="30"/>
        <v>3.5548184716220559E-2</v>
      </c>
      <c r="R1671" s="29">
        <v>0.15</v>
      </c>
      <c r="S1671" s="30">
        <v>4.947584E-2</v>
      </c>
    </row>
    <row r="1672" spans="16:19" x14ac:dyDescent="0.25">
      <c r="P1672" s="27">
        <v>3.2548184716220556E-2</v>
      </c>
      <c r="Q1672" s="28">
        <f t="shared" si="30"/>
        <v>3.5548184716220559E-2</v>
      </c>
      <c r="R1672" s="29">
        <v>0.15</v>
      </c>
      <c r="S1672" s="30">
        <v>4.1090000000000002E-2</v>
      </c>
    </row>
    <row r="1673" spans="16:19" x14ac:dyDescent="0.25">
      <c r="P1673" s="27">
        <v>3.2548184716220556E-2</v>
      </c>
      <c r="Q1673" s="28">
        <f t="shared" si="30"/>
        <v>3.5548184716220559E-2</v>
      </c>
      <c r="R1673" s="29">
        <v>0.15</v>
      </c>
      <c r="S1673" s="30">
        <v>4.3499999999999997E-2</v>
      </c>
    </row>
    <row r="1674" spans="16:19" x14ac:dyDescent="0.25">
      <c r="P1674" s="27">
        <v>3.2548184716220556E-2</v>
      </c>
      <c r="Q1674" s="28">
        <f t="shared" si="30"/>
        <v>3.5548184716220559E-2</v>
      </c>
      <c r="R1674" s="29">
        <v>0.15</v>
      </c>
      <c r="S1674" s="30">
        <v>5.1630000000000002E-2</v>
      </c>
    </row>
    <row r="1675" spans="16:19" x14ac:dyDescent="0.25">
      <c r="P1675" s="27">
        <v>3.2548184716220556E-2</v>
      </c>
      <c r="Q1675" s="28">
        <f t="shared" si="30"/>
        <v>3.5548184716220559E-2</v>
      </c>
      <c r="R1675" s="29">
        <v>0.15</v>
      </c>
      <c r="S1675" s="30">
        <v>5.6369999999999996E-2</v>
      </c>
    </row>
    <row r="1676" spans="16:19" x14ac:dyDescent="0.25">
      <c r="P1676" s="27">
        <v>3.2548184716220556E-2</v>
      </c>
      <c r="Q1676" s="28">
        <f t="shared" si="30"/>
        <v>3.5548184716220559E-2</v>
      </c>
      <c r="R1676" s="29">
        <v>0.15</v>
      </c>
      <c r="S1676" s="30">
        <v>5.8299999999999998E-2</v>
      </c>
    </row>
    <row r="1677" spans="16:19" x14ac:dyDescent="0.25">
      <c r="P1677" s="27">
        <v>3.2548184716220556E-2</v>
      </c>
      <c r="Q1677" s="28">
        <f t="shared" si="30"/>
        <v>3.5548184716220559E-2</v>
      </c>
      <c r="R1677" s="29">
        <v>0.15</v>
      </c>
      <c r="S1677" s="30">
        <v>6.3200000000000006E-2</v>
      </c>
    </row>
    <row r="1678" spans="16:19" x14ac:dyDescent="0.25">
      <c r="P1678" s="27">
        <v>3.2548184716220556E-2</v>
      </c>
      <c r="Q1678" s="28">
        <f t="shared" si="30"/>
        <v>3.5548184716220559E-2</v>
      </c>
      <c r="R1678" s="29">
        <v>0.15</v>
      </c>
      <c r="S1678" s="30">
        <v>9.5000000000000001E-2</v>
      </c>
    </row>
    <row r="1679" spans="16:19" x14ac:dyDescent="0.25">
      <c r="P1679" s="27">
        <v>3.2548184716220556E-2</v>
      </c>
      <c r="Q1679" s="28">
        <f t="shared" si="30"/>
        <v>3.5548184716220559E-2</v>
      </c>
      <c r="R1679" s="29">
        <v>0.15</v>
      </c>
      <c r="S1679" s="30">
        <v>0.11495</v>
      </c>
    </row>
    <row r="1680" spans="16:19" x14ac:dyDescent="0.25">
      <c r="P1680" s="27">
        <v>3.2548184716220556E-2</v>
      </c>
      <c r="Q1680" s="28">
        <f t="shared" si="30"/>
        <v>3.5548184716220559E-2</v>
      </c>
      <c r="R1680" s="29">
        <v>0.15</v>
      </c>
      <c r="S1680" s="30">
        <v>7.5999999999999998E-2</v>
      </c>
    </row>
    <row r="1681" spans="16:19" x14ac:dyDescent="0.25">
      <c r="P1681" s="27">
        <v>3.2548184716220556E-2</v>
      </c>
      <c r="Q1681" s="28">
        <f t="shared" si="30"/>
        <v>3.5548184716220559E-2</v>
      </c>
      <c r="R1681" s="29">
        <v>0.15</v>
      </c>
      <c r="S1681" s="30">
        <v>7.5459999999999999E-2</v>
      </c>
    </row>
    <row r="1682" spans="16:19" x14ac:dyDescent="0.25">
      <c r="P1682" s="27">
        <v>3.2548184716220556E-2</v>
      </c>
      <c r="Q1682" s="28">
        <f t="shared" si="30"/>
        <v>3.5548184716220559E-2</v>
      </c>
      <c r="R1682" s="29">
        <v>0.15</v>
      </c>
      <c r="S1682" s="30">
        <v>5.6640000000000003E-2</v>
      </c>
    </row>
    <row r="1683" spans="16:19" x14ac:dyDescent="0.25">
      <c r="P1683" s="27">
        <v>3.2548184716220556E-2</v>
      </c>
      <c r="Q1683" s="28">
        <f t="shared" si="30"/>
        <v>3.5548184716220559E-2</v>
      </c>
      <c r="R1683" s="29">
        <v>0.15</v>
      </c>
      <c r="S1683" s="30">
        <v>5.0650000000000001E-2</v>
      </c>
    </row>
    <row r="1684" spans="16:19" x14ac:dyDescent="0.25">
      <c r="P1684" s="27">
        <v>3.2548184716220556E-2</v>
      </c>
      <c r="Q1684" s="28">
        <f t="shared" si="30"/>
        <v>3.5548184716220559E-2</v>
      </c>
      <c r="R1684" s="29">
        <v>0.15</v>
      </c>
      <c r="S1684" s="30">
        <v>3.9616286000000001E-2</v>
      </c>
    </row>
    <row r="1685" spans="16:19" x14ac:dyDescent="0.25">
      <c r="P1685" s="27">
        <v>3.2548184716220556E-2</v>
      </c>
      <c r="Q1685" s="28">
        <f t="shared" si="30"/>
        <v>3.5548184716220559E-2</v>
      </c>
      <c r="R1685" s="29">
        <v>0.15</v>
      </c>
      <c r="S1685" s="30">
        <v>3.5000000000000003E-2</v>
      </c>
    </row>
    <row r="1686" spans="16:19" x14ac:dyDescent="0.25">
      <c r="P1686" s="27">
        <v>3.2548184716220556E-2</v>
      </c>
      <c r="Q1686" s="28">
        <f t="shared" si="30"/>
        <v>3.5548184716220559E-2</v>
      </c>
      <c r="R1686" s="29">
        <v>0.15</v>
      </c>
      <c r="S1686" s="30">
        <v>3.3799999999999997E-2</v>
      </c>
    </row>
    <row r="1687" spans="16:19" x14ac:dyDescent="0.25">
      <c r="P1687" s="27">
        <v>3.2548184716220556E-2</v>
      </c>
      <c r="Q1687" s="28">
        <f t="shared" si="30"/>
        <v>3.5548184716220559E-2</v>
      </c>
      <c r="R1687" s="29">
        <v>0.15</v>
      </c>
      <c r="S1687" s="30">
        <v>3.3570000000000003E-2</v>
      </c>
    </row>
    <row r="1688" spans="16:19" x14ac:dyDescent="0.25">
      <c r="P1688" s="27">
        <v>3.2548184716220556E-2</v>
      </c>
      <c r="Q1688" s="28">
        <f t="shared" si="30"/>
        <v>3.5548184716220559E-2</v>
      </c>
      <c r="R1688" s="29">
        <v>0.15</v>
      </c>
      <c r="S1688" s="30">
        <v>3.3799999999999997E-2</v>
      </c>
    </row>
    <row r="1689" spans="16:19" x14ac:dyDescent="0.25">
      <c r="P1689" s="27">
        <v>3.2548184716220556E-2</v>
      </c>
      <c r="Q1689" s="28">
        <f t="shared" si="30"/>
        <v>3.5548184716220559E-2</v>
      </c>
      <c r="R1689" s="29">
        <v>0.15</v>
      </c>
      <c r="S1689" s="30">
        <v>3.9270000000000006E-2</v>
      </c>
    </row>
    <row r="1690" spans="16:19" x14ac:dyDescent="0.25">
      <c r="P1690" s="27">
        <v>3.2548184716220556E-2</v>
      </c>
      <c r="Q1690" s="28">
        <f t="shared" si="30"/>
        <v>3.5548184716220559E-2</v>
      </c>
      <c r="R1690" s="29">
        <v>0.15</v>
      </c>
      <c r="S1690" s="30">
        <v>5.5009999999999996E-2</v>
      </c>
    </row>
    <row r="1691" spans="16:19" x14ac:dyDescent="0.25">
      <c r="P1691" s="27">
        <v>3.2548184716220556E-2</v>
      </c>
      <c r="Q1691" s="28">
        <f t="shared" si="30"/>
        <v>3.5548184716220559E-2</v>
      </c>
      <c r="R1691" s="31">
        <v>0.15939660775771733</v>
      </c>
      <c r="S1691" s="32">
        <v>5.8749999999999997E-2</v>
      </c>
    </row>
    <row r="1692" spans="16:19" x14ac:dyDescent="0.25">
      <c r="P1692" s="27">
        <v>3.2548184716220556E-2</v>
      </c>
      <c r="Q1692" s="28">
        <f t="shared" si="30"/>
        <v>3.5548184716220559E-2</v>
      </c>
      <c r="R1692" s="33">
        <v>0.16282860775771735</v>
      </c>
      <c r="S1692" s="34">
        <v>6.5259999999999999E-2</v>
      </c>
    </row>
    <row r="1693" spans="16:19" x14ac:dyDescent="0.25">
      <c r="P1693" s="27">
        <v>3.2548184716220556E-2</v>
      </c>
      <c r="Q1693" s="28">
        <f t="shared" si="30"/>
        <v>3.5548184716220559E-2</v>
      </c>
      <c r="R1693" s="33">
        <v>0.16282860775771735</v>
      </c>
      <c r="S1693" s="34">
        <v>0.06</v>
      </c>
    </row>
    <row r="1694" spans="16:19" x14ac:dyDescent="0.25">
      <c r="P1694" s="27">
        <v>3.2548184716220556E-2</v>
      </c>
      <c r="Q1694" s="28">
        <f t="shared" si="30"/>
        <v>3.5548184716220559E-2</v>
      </c>
      <c r="R1694" s="33">
        <v>0.16282860775771735</v>
      </c>
      <c r="S1694" s="34">
        <v>5.5009999999999996E-2</v>
      </c>
    </row>
    <row r="1695" spans="16:19" x14ac:dyDescent="0.25">
      <c r="P1695" s="27">
        <v>3.2548184716220556E-2</v>
      </c>
      <c r="Q1695" s="28">
        <f t="shared" si="30"/>
        <v>3.5548184716220559E-2</v>
      </c>
      <c r="R1695" s="33">
        <v>0.16282860775771735</v>
      </c>
      <c r="S1695" s="34">
        <v>4.5039999999999997E-2</v>
      </c>
    </row>
    <row r="1696" spans="16:19" x14ac:dyDescent="0.25">
      <c r="P1696" s="27">
        <v>3.2548184716220556E-2</v>
      </c>
      <c r="Q1696" s="28">
        <f t="shared" si="30"/>
        <v>3.5548184716220559E-2</v>
      </c>
      <c r="R1696" s="33">
        <v>0.16282860775771735</v>
      </c>
      <c r="S1696" s="34">
        <v>3.7620000000000001E-2</v>
      </c>
    </row>
    <row r="1697" spans="16:19" x14ac:dyDescent="0.25">
      <c r="P1697" s="27">
        <v>3.2548184716220556E-2</v>
      </c>
      <c r="Q1697" s="28">
        <f t="shared" si="30"/>
        <v>3.5548184716220559E-2</v>
      </c>
      <c r="R1697" s="33">
        <v>0.16282860775771735</v>
      </c>
      <c r="S1697" s="34">
        <v>4.0130000000000006E-2</v>
      </c>
    </row>
    <row r="1698" spans="16:19" x14ac:dyDescent="0.25">
      <c r="P1698" s="27">
        <v>3.2548184716220556E-2</v>
      </c>
      <c r="Q1698" s="28">
        <f t="shared" si="30"/>
        <v>3.5548184716220559E-2</v>
      </c>
      <c r="R1698" s="33">
        <v>0.16282860775771735</v>
      </c>
      <c r="S1698" s="34">
        <v>4.4999999999999998E-2</v>
      </c>
    </row>
    <row r="1699" spans="16:19" x14ac:dyDescent="0.25">
      <c r="P1699" s="27">
        <v>3.2548184716220556E-2</v>
      </c>
      <c r="Q1699" s="28">
        <f t="shared" si="30"/>
        <v>3.5548184716220559E-2</v>
      </c>
      <c r="R1699" s="33">
        <v>0.16282860775771735</v>
      </c>
      <c r="S1699" s="34">
        <v>5.3880000000000004E-2</v>
      </c>
    </row>
    <row r="1700" spans="16:19" x14ac:dyDescent="0.25">
      <c r="P1700" s="27">
        <v>3.2548184716220556E-2</v>
      </c>
      <c r="Q1700" s="28">
        <f t="shared" si="30"/>
        <v>3.5548184716220559E-2</v>
      </c>
      <c r="R1700" s="33">
        <v>0.16282860775771735</v>
      </c>
      <c r="S1700" s="34">
        <v>5.7430000000000002E-2</v>
      </c>
    </row>
    <row r="1701" spans="16:19" x14ac:dyDescent="0.25">
      <c r="P1701" s="27">
        <v>3.2548184716220556E-2</v>
      </c>
      <c r="Q1701" s="28">
        <f t="shared" si="30"/>
        <v>3.5548184716220559E-2</v>
      </c>
      <c r="R1701" s="33">
        <v>0.16282860775771735</v>
      </c>
      <c r="S1701" s="34">
        <v>0.06</v>
      </c>
    </row>
    <row r="1702" spans="16:19" x14ac:dyDescent="0.25">
      <c r="P1702" s="27">
        <v>3.2548184716220556E-2</v>
      </c>
      <c r="Q1702" s="28">
        <f t="shared" si="30"/>
        <v>3.5548184716220559E-2</v>
      </c>
      <c r="R1702" s="33">
        <v>0.16282860775771735</v>
      </c>
      <c r="S1702" s="34">
        <v>7.5999999999999998E-2</v>
      </c>
    </row>
    <row r="1703" spans="16:19" x14ac:dyDescent="0.25">
      <c r="P1703" s="27">
        <v>3.2548184716220556E-2</v>
      </c>
      <c r="Q1703" s="28">
        <f t="shared" si="30"/>
        <v>3.5548184716220559E-2</v>
      </c>
      <c r="R1703" s="31">
        <v>0.15939660775771733</v>
      </c>
      <c r="S1703" s="32">
        <v>8.3000000000000004E-2</v>
      </c>
    </row>
    <row r="1704" spans="16:19" x14ac:dyDescent="0.25">
      <c r="P1704" s="27">
        <v>3.2548184716220556E-2</v>
      </c>
      <c r="Q1704" s="28">
        <f t="shared" si="30"/>
        <v>3.5548184716220559E-2</v>
      </c>
      <c r="R1704" s="31">
        <v>0.15939660775771733</v>
      </c>
      <c r="S1704" s="32">
        <v>6.676E-2</v>
      </c>
    </row>
    <row r="1705" spans="16:19" x14ac:dyDescent="0.25">
      <c r="P1705" s="27">
        <v>3.2548184716220556E-2</v>
      </c>
      <c r="Q1705" s="28">
        <f t="shared" si="30"/>
        <v>3.5548184716220559E-2</v>
      </c>
      <c r="R1705" s="31">
        <v>0.15939660775771733</v>
      </c>
      <c r="S1705" s="32">
        <v>6.3109999999999999E-2</v>
      </c>
    </row>
    <row r="1706" spans="16:19" x14ac:dyDescent="0.25">
      <c r="P1706" s="27">
        <v>3.2548184716220556E-2</v>
      </c>
      <c r="Q1706" s="28">
        <f t="shared" si="30"/>
        <v>3.5548184716220559E-2</v>
      </c>
      <c r="R1706" s="31">
        <v>0.15939660775771733</v>
      </c>
      <c r="S1706" s="32">
        <v>5.3219999999999996E-2</v>
      </c>
    </row>
    <row r="1707" spans="16:19" x14ac:dyDescent="0.25">
      <c r="P1707" s="27">
        <v>3.2548184716220556E-2</v>
      </c>
      <c r="Q1707" s="28">
        <f t="shared" si="30"/>
        <v>3.5548184716220559E-2</v>
      </c>
      <c r="R1707" s="29">
        <v>0.15003660775771735</v>
      </c>
      <c r="S1707" s="30">
        <v>4.9750000000000003E-2</v>
      </c>
    </row>
    <row r="1708" spans="16:19" x14ac:dyDescent="0.25">
      <c r="P1708" s="27">
        <v>3.2548184716220556E-2</v>
      </c>
      <c r="Q1708" s="28">
        <f t="shared" si="30"/>
        <v>3.5548184716220559E-2</v>
      </c>
      <c r="R1708" s="29">
        <v>0.15003660775771735</v>
      </c>
      <c r="S1708" s="30">
        <v>4.6969999999999998E-2</v>
      </c>
    </row>
    <row r="1709" spans="16:19" x14ac:dyDescent="0.25">
      <c r="P1709" s="27">
        <v>3.2548184716220556E-2</v>
      </c>
      <c r="Q1709" s="28">
        <f t="shared" si="30"/>
        <v>3.5548184716220559E-2</v>
      </c>
      <c r="R1709" s="29">
        <v>0.15003660775771735</v>
      </c>
      <c r="S1709" s="30">
        <v>3.9659999999999994E-2</v>
      </c>
    </row>
    <row r="1710" spans="16:19" x14ac:dyDescent="0.25">
      <c r="P1710" s="27">
        <v>3.2548184716220556E-2</v>
      </c>
      <c r="Q1710" s="28">
        <f t="shared" si="30"/>
        <v>3.5548184716220559E-2</v>
      </c>
      <c r="R1710" s="29">
        <v>0.15003660775771735</v>
      </c>
      <c r="S1710" s="30">
        <v>3.9469999999999998E-2</v>
      </c>
    </row>
    <row r="1711" spans="16:19" x14ac:dyDescent="0.25">
      <c r="P1711" s="27">
        <v>3.2548184716220556E-2</v>
      </c>
      <c r="Q1711" s="28">
        <f t="shared" si="30"/>
        <v>3.5548184716220559E-2</v>
      </c>
      <c r="R1711" s="29">
        <v>0.15003660775771735</v>
      </c>
      <c r="S1711" s="30">
        <v>3.8969999999999998E-2</v>
      </c>
    </row>
    <row r="1712" spans="16:19" x14ac:dyDescent="0.25">
      <c r="P1712" s="27">
        <v>3.2548184716220556E-2</v>
      </c>
      <c r="Q1712" s="28">
        <f t="shared" si="30"/>
        <v>3.5548184716220559E-2</v>
      </c>
      <c r="R1712" s="29">
        <v>0.15003660775771735</v>
      </c>
      <c r="S1712" s="30">
        <v>3.9659999999999994E-2</v>
      </c>
    </row>
    <row r="1713" spans="16:19" x14ac:dyDescent="0.25">
      <c r="P1713" s="27">
        <v>3.2548184716220556E-2</v>
      </c>
      <c r="Q1713" s="28">
        <f t="shared" si="30"/>
        <v>3.5548184716220559E-2</v>
      </c>
      <c r="R1713" s="29">
        <v>0.15003660775771735</v>
      </c>
      <c r="S1713" s="30">
        <v>4.752253E-2</v>
      </c>
    </row>
    <row r="1714" spans="16:19" x14ac:dyDescent="0.25">
      <c r="P1714" s="27">
        <v>3.2548184716220556E-2</v>
      </c>
      <c r="Q1714" s="28">
        <f t="shared" si="30"/>
        <v>3.5548184716220559E-2</v>
      </c>
      <c r="R1714" s="29">
        <v>0.15003660775771735</v>
      </c>
      <c r="S1714" s="30">
        <v>5.7549999999999997E-2</v>
      </c>
    </row>
    <row r="1715" spans="16:19" x14ac:dyDescent="0.25">
      <c r="P1715" s="27">
        <v>3.2548184716220556E-2</v>
      </c>
      <c r="Q1715" s="28">
        <f t="shared" si="30"/>
        <v>3.5548184716220559E-2</v>
      </c>
      <c r="R1715" s="31">
        <v>0.15939660775771733</v>
      </c>
      <c r="S1715" s="32">
        <v>6.6994339999999999E-2</v>
      </c>
    </row>
    <row r="1716" spans="16:19" x14ac:dyDescent="0.25">
      <c r="P1716" s="27">
        <v>3.2548184716220556E-2</v>
      </c>
      <c r="Q1716" s="28">
        <f t="shared" si="30"/>
        <v>3.5548184716220559E-2</v>
      </c>
      <c r="R1716" s="33">
        <v>0.16282860775771735</v>
      </c>
      <c r="S1716" s="34">
        <v>7.4459999999999998E-2</v>
      </c>
    </row>
    <row r="1717" spans="16:19" x14ac:dyDescent="0.25">
      <c r="P1717" s="27">
        <v>3.2548184716220556E-2</v>
      </c>
      <c r="Q1717" s="28">
        <f t="shared" si="30"/>
        <v>3.5548184716220559E-2</v>
      </c>
      <c r="R1717" s="33">
        <v>0.16282860775771735</v>
      </c>
      <c r="S1717" s="34">
        <v>6.123E-2</v>
      </c>
    </row>
    <row r="1718" spans="16:19" x14ac:dyDescent="0.25">
      <c r="P1718" s="27">
        <v>3.2548184716220556E-2</v>
      </c>
      <c r="Q1718" s="28">
        <f t="shared" si="30"/>
        <v>3.5548184716220559E-2</v>
      </c>
      <c r="R1718" s="33">
        <v>0.16282860775771735</v>
      </c>
      <c r="S1718" s="34">
        <v>5.6369999999999996E-2</v>
      </c>
    </row>
    <row r="1719" spans="16:19" x14ac:dyDescent="0.25">
      <c r="P1719" s="27">
        <v>3.2548184716220556E-2</v>
      </c>
      <c r="Q1719" s="28">
        <f t="shared" si="30"/>
        <v>3.5548184716220559E-2</v>
      </c>
      <c r="R1719" s="33">
        <v>0.16282860775771735</v>
      </c>
      <c r="S1719" s="34">
        <v>5.5009999999999996E-2</v>
      </c>
    </row>
    <row r="1720" spans="16:19" x14ac:dyDescent="0.25">
      <c r="P1720" s="27">
        <v>3.2548184716220556E-2</v>
      </c>
      <c r="Q1720" s="28">
        <f t="shared" si="30"/>
        <v>3.5548184716220559E-2</v>
      </c>
      <c r="R1720" s="33">
        <v>0.16282860775771735</v>
      </c>
      <c r="S1720" s="34">
        <v>4.4999999999999998E-2</v>
      </c>
    </row>
    <row r="1721" spans="16:19" x14ac:dyDescent="0.25">
      <c r="P1721" s="27">
        <v>3.2548184716220556E-2</v>
      </c>
      <c r="Q1721" s="28">
        <f t="shared" si="30"/>
        <v>3.5548184716220559E-2</v>
      </c>
      <c r="R1721" s="33">
        <v>0.16282860775771735</v>
      </c>
      <c r="S1721" s="34">
        <v>4.7560827E-2</v>
      </c>
    </row>
    <row r="1722" spans="16:19" x14ac:dyDescent="0.25">
      <c r="P1722" s="27">
        <v>3.2548184716220556E-2</v>
      </c>
      <c r="Q1722" s="28">
        <f t="shared" si="30"/>
        <v>3.5548184716220559E-2</v>
      </c>
      <c r="R1722" s="33">
        <v>0.16282860775771735</v>
      </c>
      <c r="S1722" s="34">
        <v>5.2499999999999998E-2</v>
      </c>
    </row>
    <row r="1723" spans="16:19" x14ac:dyDescent="0.25">
      <c r="P1723" s="27">
        <v>3.2548184716220556E-2</v>
      </c>
      <c r="Q1723" s="28">
        <f t="shared" si="30"/>
        <v>3.5548184716220559E-2</v>
      </c>
      <c r="R1723" s="33">
        <v>0.16282860775771735</v>
      </c>
      <c r="S1723" s="34">
        <v>5.6640000000000003E-2</v>
      </c>
    </row>
    <row r="1724" spans="16:19" x14ac:dyDescent="0.25">
      <c r="P1724" s="27">
        <v>3.2548184716220556E-2</v>
      </c>
      <c r="Q1724" s="28">
        <f t="shared" si="30"/>
        <v>3.5548184716220559E-2</v>
      </c>
      <c r="R1724" s="33">
        <v>0.16282860775771735</v>
      </c>
      <c r="S1724" s="34">
        <v>0.06</v>
      </c>
    </row>
    <row r="1725" spans="16:19" x14ac:dyDescent="0.25">
      <c r="P1725" s="27">
        <v>3.2548184716220556E-2</v>
      </c>
      <c r="Q1725" s="28">
        <f t="shared" si="30"/>
        <v>3.5548184716220559E-2</v>
      </c>
      <c r="R1725" s="33">
        <v>0.16282860775771735</v>
      </c>
      <c r="S1725" s="34">
        <v>0.06</v>
      </c>
    </row>
    <row r="1726" spans="16:19" x14ac:dyDescent="0.25">
      <c r="P1726" s="27">
        <v>3.2548184716220556E-2</v>
      </c>
      <c r="Q1726" s="28">
        <f t="shared" si="30"/>
        <v>3.5548184716220559E-2</v>
      </c>
      <c r="R1726" s="33">
        <v>0.16282860775771735</v>
      </c>
      <c r="S1726" s="34">
        <v>7.5999999999999998E-2</v>
      </c>
    </row>
    <row r="1727" spans="16:19" x14ac:dyDescent="0.25">
      <c r="P1727" s="27">
        <v>3.2548184716220556E-2</v>
      </c>
      <c r="Q1727" s="28">
        <f t="shared" si="30"/>
        <v>3.5548184716220559E-2</v>
      </c>
      <c r="R1727" s="31">
        <v>0.15939660775771733</v>
      </c>
      <c r="S1727" s="32">
        <v>8.3000000000000004E-2</v>
      </c>
    </row>
    <row r="1728" spans="16:19" x14ac:dyDescent="0.25">
      <c r="P1728" s="27">
        <v>3.2548184716220556E-2</v>
      </c>
      <c r="Q1728" s="28">
        <f t="shared" si="30"/>
        <v>3.5548184716220559E-2</v>
      </c>
      <c r="R1728" s="31">
        <v>0.15939660775771733</v>
      </c>
      <c r="S1728" s="32">
        <v>6.5000000000000002E-2</v>
      </c>
    </row>
    <row r="1729" spans="16:19" x14ac:dyDescent="0.25">
      <c r="P1729" s="27">
        <v>3.2548184716220556E-2</v>
      </c>
      <c r="Q1729" s="28">
        <f t="shared" si="30"/>
        <v>3.5548184716220559E-2</v>
      </c>
      <c r="R1729" s="31">
        <v>0.15939660775771733</v>
      </c>
      <c r="S1729" s="32">
        <v>0.06</v>
      </c>
    </row>
    <row r="1730" spans="16:19" x14ac:dyDescent="0.25">
      <c r="P1730" s="27">
        <v>3.2548184716220556E-2</v>
      </c>
      <c r="Q1730" s="28">
        <f t="shared" si="30"/>
        <v>3.5548184716220559E-2</v>
      </c>
      <c r="R1730" s="31">
        <v>0.15939660775771733</v>
      </c>
      <c r="S1730" s="32">
        <v>5.4090000000000006E-2</v>
      </c>
    </row>
    <row r="1731" spans="16:19" x14ac:dyDescent="0.25">
      <c r="P1731" s="27">
        <v>3.2548184716220556E-2</v>
      </c>
      <c r="Q1731" s="28">
        <f t="shared" si="30"/>
        <v>3.5548184716220559E-2</v>
      </c>
      <c r="R1731" s="29">
        <v>0.15003660775771735</v>
      </c>
      <c r="S1731" s="30">
        <v>5.0380000000000001E-2</v>
      </c>
    </row>
    <row r="1732" spans="16:19" x14ac:dyDescent="0.25">
      <c r="P1732" s="27">
        <v>3.2548184716220556E-2</v>
      </c>
      <c r="Q1732" s="28">
        <f t="shared" si="30"/>
        <v>3.5548184716220559E-2</v>
      </c>
      <c r="R1732" s="29">
        <v>0.15003660775771735</v>
      </c>
      <c r="S1732" s="30">
        <v>4.6979999999999994E-2</v>
      </c>
    </row>
    <row r="1733" spans="16:19" x14ac:dyDescent="0.25">
      <c r="P1733" s="27">
        <v>3.2548184716220556E-2</v>
      </c>
      <c r="Q1733" s="28">
        <f t="shared" ref="Q1733:Q1796" si="31">P1733+0.003</f>
        <v>3.5548184716220559E-2</v>
      </c>
      <c r="R1733" s="29">
        <v>0.15003660775771735</v>
      </c>
      <c r="S1733" s="30">
        <v>4.0379999999999999E-2</v>
      </c>
    </row>
    <row r="1734" spans="16:19" x14ac:dyDescent="0.25">
      <c r="P1734" s="27">
        <v>3.2548184716220556E-2</v>
      </c>
      <c r="Q1734" s="28">
        <f t="shared" si="31"/>
        <v>3.5548184716220559E-2</v>
      </c>
      <c r="R1734" s="29">
        <v>0.15003660775771735</v>
      </c>
      <c r="S1734" s="30">
        <v>3.9659999999999994E-2</v>
      </c>
    </row>
    <row r="1735" spans="16:19" x14ac:dyDescent="0.25">
      <c r="P1735" s="27">
        <v>3.2548184716220556E-2</v>
      </c>
      <c r="Q1735" s="28">
        <f t="shared" si="31"/>
        <v>3.5548184716220559E-2</v>
      </c>
      <c r="R1735" s="29">
        <v>0.15003660775771735</v>
      </c>
      <c r="S1735" s="30">
        <v>3.9469999999999998E-2</v>
      </c>
    </row>
    <row r="1736" spans="16:19" x14ac:dyDescent="0.25">
      <c r="P1736" s="27">
        <v>3.2548184716220556E-2</v>
      </c>
      <c r="Q1736" s="28">
        <f t="shared" si="31"/>
        <v>3.5548184716220559E-2</v>
      </c>
      <c r="R1736" s="29">
        <v>0.15003660775771735</v>
      </c>
      <c r="S1736" s="30">
        <v>0.04</v>
      </c>
    </row>
    <row r="1737" spans="16:19" x14ac:dyDescent="0.25">
      <c r="P1737" s="27">
        <v>3.2548184716220556E-2</v>
      </c>
      <c r="Q1737" s="28">
        <f t="shared" si="31"/>
        <v>3.5548184716220559E-2</v>
      </c>
      <c r="R1737" s="29">
        <v>0.15003660775771735</v>
      </c>
      <c r="S1737" s="30">
        <v>5.0619999999999998E-2</v>
      </c>
    </row>
    <row r="1738" spans="16:19" x14ac:dyDescent="0.25">
      <c r="P1738" s="27">
        <v>3.2548184716220556E-2</v>
      </c>
      <c r="Q1738" s="28">
        <f t="shared" si="31"/>
        <v>3.5548184716220559E-2</v>
      </c>
      <c r="R1738" s="29">
        <v>0.15003660775771735</v>
      </c>
      <c r="S1738" s="30">
        <v>5.5100000000000003E-2</v>
      </c>
    </row>
    <row r="1739" spans="16:19" x14ac:dyDescent="0.25">
      <c r="P1739" s="27">
        <v>3.2548184716220556E-2</v>
      </c>
      <c r="Q1739" s="28">
        <f t="shared" si="31"/>
        <v>3.5548184716220559E-2</v>
      </c>
      <c r="R1739" s="31">
        <v>0.15939660775771733</v>
      </c>
      <c r="S1739" s="32">
        <v>6.1859999999999998E-2</v>
      </c>
    </row>
    <row r="1740" spans="16:19" x14ac:dyDescent="0.25">
      <c r="P1740" s="27">
        <v>3.2548184716220556E-2</v>
      </c>
      <c r="Q1740" s="28">
        <f t="shared" si="31"/>
        <v>3.5548184716220559E-2</v>
      </c>
      <c r="R1740" s="33">
        <v>0.16282860775771735</v>
      </c>
      <c r="S1740" s="34">
        <v>6.7000000000000004E-2</v>
      </c>
    </row>
    <row r="1741" spans="16:19" x14ac:dyDescent="0.25">
      <c r="P1741" s="27">
        <v>3.2548184716220556E-2</v>
      </c>
      <c r="Q1741" s="28">
        <f t="shared" si="31"/>
        <v>3.5548184716220559E-2</v>
      </c>
      <c r="R1741" s="33">
        <v>0.16282860775771735</v>
      </c>
      <c r="S1741" s="34">
        <v>5.7099999999999998E-2</v>
      </c>
    </row>
    <row r="1742" spans="16:19" x14ac:dyDescent="0.25">
      <c r="P1742" s="27">
        <v>3.2548184716220556E-2</v>
      </c>
      <c r="Q1742" s="28">
        <f t="shared" si="31"/>
        <v>3.5548184716220559E-2</v>
      </c>
      <c r="R1742" s="33">
        <v>0.16282860775771735</v>
      </c>
      <c r="S1742" s="34">
        <v>5.1862169999999999E-2</v>
      </c>
    </row>
    <row r="1743" spans="16:19" x14ac:dyDescent="0.25">
      <c r="P1743" s="27">
        <v>3.2548184716220556E-2</v>
      </c>
      <c r="Q1743" s="28">
        <f t="shared" si="31"/>
        <v>3.5548184716220559E-2</v>
      </c>
      <c r="R1743" s="33">
        <v>0.16282860775771735</v>
      </c>
      <c r="S1743" s="34">
        <v>5.2499999999999998E-2</v>
      </c>
    </row>
    <row r="1744" spans="16:19" x14ac:dyDescent="0.25">
      <c r="P1744" s="27">
        <v>3.2548184716220556E-2</v>
      </c>
      <c r="Q1744" s="28">
        <f t="shared" si="31"/>
        <v>3.5548184716220559E-2</v>
      </c>
      <c r="R1744" s="33">
        <v>0.16282860775771735</v>
      </c>
      <c r="S1744" s="34">
        <v>3.9270000000000006E-2</v>
      </c>
    </row>
    <row r="1745" spans="16:19" x14ac:dyDescent="0.25">
      <c r="P1745" s="27">
        <v>3.2548184716220556E-2</v>
      </c>
      <c r="Q1745" s="28">
        <f t="shared" si="31"/>
        <v>3.5548184716220559E-2</v>
      </c>
      <c r="R1745" s="33">
        <v>0.16282860775771735</v>
      </c>
      <c r="S1745" s="34">
        <v>4.3569999999999998E-2</v>
      </c>
    </row>
    <row r="1746" spans="16:19" x14ac:dyDescent="0.25">
      <c r="P1746" s="27">
        <v>3.2548184716220556E-2</v>
      </c>
      <c r="Q1746" s="28">
        <f t="shared" si="31"/>
        <v>3.5548184716220559E-2</v>
      </c>
      <c r="R1746" s="33">
        <v>0.16282860775771735</v>
      </c>
      <c r="S1746" s="34">
        <v>4.5010000000000001E-2</v>
      </c>
    </row>
    <row r="1747" spans="16:19" x14ac:dyDescent="0.25">
      <c r="P1747" s="27">
        <v>3.2548184716220556E-2</v>
      </c>
      <c r="Q1747" s="28">
        <f t="shared" si="31"/>
        <v>3.5548184716220559E-2</v>
      </c>
      <c r="R1747" s="33">
        <v>0.16282860775771735</v>
      </c>
      <c r="S1747" s="34">
        <v>5.3439999999999994E-2</v>
      </c>
    </row>
    <row r="1748" spans="16:19" x14ac:dyDescent="0.25">
      <c r="P1748" s="27">
        <v>3.2548184716220556E-2</v>
      </c>
      <c r="Q1748" s="28">
        <f t="shared" si="31"/>
        <v>3.5548184716220559E-2</v>
      </c>
      <c r="R1748" s="33">
        <v>0.16282860775771735</v>
      </c>
      <c r="S1748" s="34">
        <v>5.67E-2</v>
      </c>
    </row>
    <row r="1749" spans="16:19" x14ac:dyDescent="0.25">
      <c r="P1749" s="27">
        <v>3.2548184716220556E-2</v>
      </c>
      <c r="Q1749" s="28">
        <f t="shared" si="31"/>
        <v>3.5548184716220559E-2</v>
      </c>
      <c r="R1749" s="33">
        <v>0.16282860775771735</v>
      </c>
      <c r="S1749" s="34">
        <v>5.8999999999999997E-2</v>
      </c>
    </row>
    <row r="1750" spans="16:19" x14ac:dyDescent="0.25">
      <c r="P1750" s="27">
        <v>3.2548184716220556E-2</v>
      </c>
      <c r="Q1750" s="28">
        <f t="shared" si="31"/>
        <v>3.5548184716220559E-2</v>
      </c>
      <c r="R1750" s="33">
        <v>0.16282860775771735</v>
      </c>
      <c r="S1750" s="34">
        <v>7.5999999999999998E-2</v>
      </c>
    </row>
    <row r="1751" spans="16:19" x14ac:dyDescent="0.25">
      <c r="P1751" s="27">
        <v>3.2548184716220556E-2</v>
      </c>
      <c r="Q1751" s="28">
        <f t="shared" si="31"/>
        <v>3.5548184716220559E-2</v>
      </c>
      <c r="R1751" s="31">
        <v>0.15939660775771733</v>
      </c>
      <c r="S1751" s="32">
        <v>8.3500000000000005E-2</v>
      </c>
    </row>
    <row r="1752" spans="16:19" x14ac:dyDescent="0.25">
      <c r="P1752" s="27">
        <v>3.2548184716220556E-2</v>
      </c>
      <c r="Q1752" s="28">
        <f t="shared" si="31"/>
        <v>3.5548184716220559E-2</v>
      </c>
      <c r="R1752" s="31">
        <v>0.15939660775771733</v>
      </c>
      <c r="S1752" s="32">
        <v>6.5500000000000003E-2</v>
      </c>
    </row>
    <row r="1753" spans="16:19" x14ac:dyDescent="0.25">
      <c r="P1753" s="27">
        <v>3.2548184716220556E-2</v>
      </c>
      <c r="Q1753" s="28">
        <f t="shared" si="31"/>
        <v>3.5548184716220559E-2</v>
      </c>
      <c r="R1753" s="31">
        <v>0.15939660775771733</v>
      </c>
      <c r="S1753" s="32">
        <v>5.8009999999999999E-2</v>
      </c>
    </row>
    <row r="1754" spans="16:19" x14ac:dyDescent="0.25">
      <c r="P1754" s="27">
        <v>3.2548184716220556E-2</v>
      </c>
      <c r="Q1754" s="28">
        <f t="shared" si="31"/>
        <v>3.5548184716220559E-2</v>
      </c>
      <c r="R1754" s="31">
        <v>0.15939660775771733</v>
      </c>
      <c r="S1754" s="32">
        <v>5.2969999999999996E-2</v>
      </c>
    </row>
    <row r="1755" spans="16:19" x14ac:dyDescent="0.25">
      <c r="P1755" s="27">
        <v>3.2548184716220556E-2</v>
      </c>
      <c r="Q1755" s="28">
        <f t="shared" si="31"/>
        <v>3.5548184716220559E-2</v>
      </c>
      <c r="R1755" s="29">
        <v>0.15003660775771735</v>
      </c>
      <c r="S1755" s="30">
        <v>5.0650000000000001E-2</v>
      </c>
    </row>
    <row r="1756" spans="16:19" x14ac:dyDescent="0.25">
      <c r="P1756" s="27">
        <v>3.2548184716220556E-2</v>
      </c>
      <c r="Q1756" s="28">
        <f t="shared" si="31"/>
        <v>3.5548184716220559E-2</v>
      </c>
      <c r="R1756" s="29">
        <v>0.15003660775771735</v>
      </c>
      <c r="S1756" s="30">
        <v>5.0990000000000001E-2</v>
      </c>
    </row>
    <row r="1757" spans="16:19" x14ac:dyDescent="0.25">
      <c r="P1757" s="27">
        <v>3.2548184716220556E-2</v>
      </c>
      <c r="Q1757" s="28">
        <f t="shared" si="31"/>
        <v>3.5548184716220559E-2</v>
      </c>
      <c r="R1757" s="29">
        <v>0.15003660775771735</v>
      </c>
      <c r="S1757" s="30">
        <v>5.0020000000000002E-2</v>
      </c>
    </row>
    <row r="1758" spans="16:19" x14ac:dyDescent="0.25">
      <c r="P1758" s="27">
        <v>3.2548184716220556E-2</v>
      </c>
      <c r="Q1758" s="28">
        <f t="shared" si="31"/>
        <v>3.5548184716220559E-2</v>
      </c>
      <c r="R1758" s="29">
        <v>0.15003660775771735</v>
      </c>
      <c r="S1758" s="30">
        <v>4.2009999999999999E-2</v>
      </c>
    </row>
    <row r="1759" spans="16:19" x14ac:dyDescent="0.25">
      <c r="P1759" s="27">
        <v>3.2548184716220556E-2</v>
      </c>
      <c r="Q1759" s="28">
        <f t="shared" si="31"/>
        <v>3.5548184716220559E-2</v>
      </c>
      <c r="R1759" s="29">
        <v>0.15003660775771735</v>
      </c>
      <c r="S1759" s="30">
        <v>4.2000000000000003E-2</v>
      </c>
    </row>
    <row r="1760" spans="16:19" x14ac:dyDescent="0.25">
      <c r="P1760" s="27">
        <v>3.2548184716220556E-2</v>
      </c>
      <c r="Q1760" s="28">
        <f t="shared" si="31"/>
        <v>3.5548184716220559E-2</v>
      </c>
      <c r="R1760" s="29">
        <v>0.15003660775771735</v>
      </c>
      <c r="S1760" s="30">
        <v>4.2000000000000003E-2</v>
      </c>
    </row>
    <row r="1761" spans="16:19" x14ac:dyDescent="0.25">
      <c r="P1761" s="27">
        <v>3.2548184716220556E-2</v>
      </c>
      <c r="Q1761" s="28">
        <f t="shared" si="31"/>
        <v>3.5548184716220559E-2</v>
      </c>
      <c r="R1761" s="29">
        <v>0.15003660775771735</v>
      </c>
      <c r="S1761" s="30">
        <v>4.2000000000000003E-2</v>
      </c>
    </row>
    <row r="1762" spans="16:19" x14ac:dyDescent="0.25">
      <c r="P1762" s="27">
        <v>3.2548184716220556E-2</v>
      </c>
      <c r="Q1762" s="28">
        <f t="shared" si="31"/>
        <v>3.5548184716220559E-2</v>
      </c>
      <c r="R1762" s="29">
        <v>0.15003660775771735</v>
      </c>
      <c r="S1762" s="30">
        <v>4.2000000000000003E-2</v>
      </c>
    </row>
    <row r="1763" spans="16:19" x14ac:dyDescent="0.25">
      <c r="P1763" s="27">
        <v>3.2548184716220556E-2</v>
      </c>
      <c r="Q1763" s="28">
        <f t="shared" si="31"/>
        <v>3.5548184716220559E-2</v>
      </c>
      <c r="R1763" s="31">
        <v>0.15939660775771733</v>
      </c>
      <c r="S1763" s="32">
        <v>4.0076256999999997E-2</v>
      </c>
    </row>
    <row r="1764" spans="16:19" x14ac:dyDescent="0.25">
      <c r="P1764" s="27">
        <v>3.2548184716220556E-2</v>
      </c>
      <c r="Q1764" s="28">
        <f t="shared" si="31"/>
        <v>3.5548184716220559E-2</v>
      </c>
      <c r="R1764" s="33">
        <v>0.16282860775771735</v>
      </c>
      <c r="S1764" s="34">
        <v>4.0039999999999999E-2</v>
      </c>
    </row>
    <row r="1765" spans="16:19" x14ac:dyDescent="0.25">
      <c r="P1765" s="27">
        <v>3.2548184716220556E-2</v>
      </c>
      <c r="Q1765" s="28">
        <f t="shared" si="31"/>
        <v>3.5548184716220559E-2</v>
      </c>
      <c r="R1765" s="33">
        <v>0.16282860775771735</v>
      </c>
      <c r="S1765" s="34">
        <v>3.9130000000000005E-2</v>
      </c>
    </row>
    <row r="1766" spans="16:19" x14ac:dyDescent="0.25">
      <c r="P1766" s="27">
        <v>3.2548184716220556E-2</v>
      </c>
      <c r="Q1766" s="28">
        <f t="shared" si="31"/>
        <v>3.5548184716220559E-2</v>
      </c>
      <c r="R1766" s="33">
        <v>0.16282860775771735</v>
      </c>
      <c r="S1766" s="34">
        <v>2.947E-2</v>
      </c>
    </row>
    <row r="1767" spans="16:19" x14ac:dyDescent="0.25">
      <c r="P1767" s="27">
        <v>3.2548184716220556E-2</v>
      </c>
      <c r="Q1767" s="28">
        <f t="shared" si="31"/>
        <v>3.5548184716220559E-2</v>
      </c>
      <c r="R1767" s="33">
        <v>0.16282860775771735</v>
      </c>
      <c r="S1767" s="34">
        <v>2.0480000000000002E-2</v>
      </c>
    </row>
    <row r="1768" spans="16:19" x14ac:dyDescent="0.25">
      <c r="P1768" s="27">
        <v>3.2548184716220556E-2</v>
      </c>
      <c r="Q1768" s="28">
        <f t="shared" si="31"/>
        <v>3.5548184716220559E-2</v>
      </c>
      <c r="R1768" s="33">
        <v>0.16282860775771735</v>
      </c>
      <c r="S1768" s="34">
        <v>1.4862156000000001E-2</v>
      </c>
    </row>
    <row r="1769" spans="16:19" x14ac:dyDescent="0.25">
      <c r="P1769" s="27">
        <v>3.2548184716220556E-2</v>
      </c>
      <c r="Q1769" s="28">
        <f t="shared" si="31"/>
        <v>3.5548184716220559E-2</v>
      </c>
      <c r="R1769" s="33">
        <v>0.16282860775771735</v>
      </c>
      <c r="S1769" s="34">
        <v>1.2096581E-2</v>
      </c>
    </row>
    <row r="1770" spans="16:19" x14ac:dyDescent="0.25">
      <c r="P1770" s="27">
        <v>3.2548184716220556E-2</v>
      </c>
      <c r="Q1770" s="28">
        <f t="shared" si="31"/>
        <v>3.5548184716220559E-2</v>
      </c>
      <c r="R1770" s="33">
        <v>0.16282860775771735</v>
      </c>
      <c r="S1770" s="34">
        <v>1.2146552E-2</v>
      </c>
    </row>
    <row r="1771" spans="16:19" x14ac:dyDescent="0.25">
      <c r="P1771" s="27">
        <v>3.2548184716220556E-2</v>
      </c>
      <c r="Q1771" s="28">
        <f t="shared" si="31"/>
        <v>3.5548184716220559E-2</v>
      </c>
      <c r="R1771" s="33">
        <v>0.16282860775771735</v>
      </c>
      <c r="S1771" s="34">
        <v>1.714019E-2</v>
      </c>
    </row>
    <row r="1772" spans="16:19" x14ac:dyDescent="0.25">
      <c r="P1772" s="27">
        <v>3.2548184716220556E-2</v>
      </c>
      <c r="Q1772" s="28">
        <f t="shared" si="31"/>
        <v>3.5548184716220559E-2</v>
      </c>
      <c r="R1772" s="33">
        <v>0.16282860775771735</v>
      </c>
      <c r="S1772" s="34">
        <v>3.3100000000000004E-2</v>
      </c>
    </row>
    <row r="1773" spans="16:19" x14ac:dyDescent="0.25">
      <c r="P1773" s="27">
        <v>3.2548184716220556E-2</v>
      </c>
      <c r="Q1773" s="28">
        <f t="shared" si="31"/>
        <v>3.5548184716220559E-2</v>
      </c>
      <c r="R1773" s="33">
        <v>0.16282860775771735</v>
      </c>
      <c r="S1773" s="34">
        <v>0.04</v>
      </c>
    </row>
    <row r="1774" spans="16:19" x14ac:dyDescent="0.25">
      <c r="P1774" s="27">
        <v>3.2548184716220556E-2</v>
      </c>
      <c r="Q1774" s="28">
        <f t="shared" si="31"/>
        <v>3.5548184716220559E-2</v>
      </c>
      <c r="R1774" s="33">
        <v>0.16282860775771735</v>
      </c>
      <c r="S1774" s="34">
        <v>6.0124305999999995E-2</v>
      </c>
    </row>
    <row r="1775" spans="16:19" x14ac:dyDescent="0.25">
      <c r="P1775" s="27">
        <v>3.2548184716220556E-2</v>
      </c>
      <c r="Q1775" s="28">
        <f t="shared" si="31"/>
        <v>3.5548184716220559E-2</v>
      </c>
      <c r="R1775" s="31">
        <v>0.15939660775771733</v>
      </c>
      <c r="S1775" s="32">
        <v>7.5459999999999999E-2</v>
      </c>
    </row>
    <row r="1776" spans="16:19" x14ac:dyDescent="0.25">
      <c r="P1776" s="27">
        <v>3.2548184716220556E-2</v>
      </c>
      <c r="Q1776" s="28">
        <f t="shared" si="31"/>
        <v>3.5548184716220559E-2</v>
      </c>
      <c r="R1776" s="31">
        <v>0.15939660775771733</v>
      </c>
      <c r="S1776" s="32">
        <v>5.774E-2</v>
      </c>
    </row>
    <row r="1777" spans="16:19" x14ac:dyDescent="0.25">
      <c r="P1777" s="27">
        <v>3.2548184716220556E-2</v>
      </c>
      <c r="Q1777" s="28">
        <f t="shared" si="31"/>
        <v>3.5548184716220559E-2</v>
      </c>
      <c r="R1777" s="31">
        <v>0.15939660775771733</v>
      </c>
      <c r="S1777" s="32">
        <v>5.1729443999999999E-2</v>
      </c>
    </row>
    <row r="1778" spans="16:19" x14ac:dyDescent="0.25">
      <c r="P1778" s="27">
        <v>3.2548184716220556E-2</v>
      </c>
      <c r="Q1778" s="28">
        <f t="shared" si="31"/>
        <v>3.5548184716220559E-2</v>
      </c>
      <c r="R1778" s="31">
        <v>0.15939660775771733</v>
      </c>
      <c r="S1778" s="32">
        <v>4.19E-2</v>
      </c>
    </row>
    <row r="1779" spans="16:19" x14ac:dyDescent="0.25">
      <c r="P1779" s="27">
        <v>3.2548184716220556E-2</v>
      </c>
      <c r="Q1779" s="28">
        <f t="shared" si="31"/>
        <v>3.5548184716220559E-2</v>
      </c>
      <c r="R1779" s="29">
        <v>0.15003660775771735</v>
      </c>
      <c r="S1779" s="30">
        <v>3.9149999999999997E-2</v>
      </c>
    </row>
    <row r="1780" spans="16:19" x14ac:dyDescent="0.25">
      <c r="P1780" s="27">
        <v>3.2548184716220556E-2</v>
      </c>
      <c r="Q1780" s="28">
        <f t="shared" si="31"/>
        <v>3.5548184716220559E-2</v>
      </c>
      <c r="R1780" s="29">
        <v>0.15003660775771735</v>
      </c>
      <c r="S1780" s="30">
        <v>4.0824985000000001E-2</v>
      </c>
    </row>
    <row r="1781" spans="16:19" x14ac:dyDescent="0.25">
      <c r="P1781" s="27">
        <v>3.2548184716220556E-2</v>
      </c>
      <c r="Q1781" s="28">
        <f t="shared" si="31"/>
        <v>3.5548184716220559E-2</v>
      </c>
      <c r="R1781" s="29">
        <v>0.15003660775771735</v>
      </c>
      <c r="S1781" s="30">
        <v>3.3399999999999999E-2</v>
      </c>
    </row>
    <row r="1782" spans="16:19" x14ac:dyDescent="0.25">
      <c r="P1782" s="27">
        <v>3.2548184716220556E-2</v>
      </c>
      <c r="Q1782" s="28">
        <f t="shared" si="31"/>
        <v>3.5548184716220559E-2</v>
      </c>
      <c r="R1782" s="29">
        <v>0.15003660775771735</v>
      </c>
      <c r="S1782" s="30">
        <v>2.947E-2</v>
      </c>
    </row>
    <row r="1783" spans="16:19" x14ac:dyDescent="0.25">
      <c r="P1783" s="27">
        <v>3.2548184716220556E-2</v>
      </c>
      <c r="Q1783" s="28">
        <f t="shared" si="31"/>
        <v>3.5548184716220559E-2</v>
      </c>
      <c r="R1783" s="29">
        <v>0.15003660775771735</v>
      </c>
      <c r="S1783" s="30">
        <v>2.3379999999999998E-2</v>
      </c>
    </row>
    <row r="1784" spans="16:19" x14ac:dyDescent="0.25">
      <c r="P1784" s="27">
        <v>3.2548184716220556E-2</v>
      </c>
      <c r="Q1784" s="28">
        <f t="shared" si="31"/>
        <v>3.5548184716220559E-2</v>
      </c>
      <c r="R1784" s="29">
        <v>0.15003660775771735</v>
      </c>
      <c r="S1784" s="30">
        <v>2.6499999999999999E-2</v>
      </c>
    </row>
    <row r="1785" spans="16:19" x14ac:dyDescent="0.25">
      <c r="P1785" s="27">
        <v>3.2548184716220556E-2</v>
      </c>
      <c r="Q1785" s="28">
        <f t="shared" si="31"/>
        <v>3.5548184716220559E-2</v>
      </c>
      <c r="R1785" s="29">
        <v>0.15003660775771735</v>
      </c>
      <c r="S1785" s="30">
        <v>0.03</v>
      </c>
    </row>
    <row r="1786" spans="16:19" x14ac:dyDescent="0.25">
      <c r="P1786" s="27">
        <v>3.2548184716220556E-2</v>
      </c>
      <c r="Q1786" s="28">
        <f t="shared" si="31"/>
        <v>3.5548184716220559E-2</v>
      </c>
      <c r="R1786" s="29">
        <v>0.15003660775771735</v>
      </c>
      <c r="S1786" s="30">
        <v>0.02</v>
      </c>
    </row>
    <row r="1787" spans="16:19" x14ac:dyDescent="0.25">
      <c r="P1787" s="27">
        <v>3.2548184716220556E-2</v>
      </c>
      <c r="Q1787" s="28">
        <f t="shared" si="31"/>
        <v>3.5548184716220559E-2</v>
      </c>
      <c r="R1787" s="31">
        <v>0.15939660775771733</v>
      </c>
      <c r="S1787" s="32">
        <v>1.5338155000000001E-2</v>
      </c>
    </row>
    <row r="1788" spans="16:19" x14ac:dyDescent="0.25">
      <c r="P1788" s="27">
        <v>3.2548184716220556E-2</v>
      </c>
      <c r="Q1788" s="28">
        <f t="shared" si="31"/>
        <v>3.5548184716220559E-2</v>
      </c>
      <c r="R1788" s="33">
        <v>0.16282860775771735</v>
      </c>
      <c r="S1788" s="34">
        <v>1.447E-2</v>
      </c>
    </row>
    <row r="1789" spans="16:19" x14ac:dyDescent="0.25">
      <c r="P1789" s="27">
        <v>3.2548184716220556E-2</v>
      </c>
      <c r="Q1789" s="28">
        <f t="shared" si="31"/>
        <v>3.5548184716220559E-2</v>
      </c>
      <c r="R1789" s="33">
        <v>0.16282860775771735</v>
      </c>
      <c r="S1789" s="34">
        <v>1.4590000000000001E-2</v>
      </c>
    </row>
    <row r="1790" spans="16:19" x14ac:dyDescent="0.25">
      <c r="P1790" s="27">
        <v>3.2548184716220556E-2</v>
      </c>
      <c r="Q1790" s="28">
        <f t="shared" si="31"/>
        <v>3.5548184716220559E-2</v>
      </c>
      <c r="R1790" s="33">
        <v>0.16282860775771735</v>
      </c>
      <c r="S1790" s="34">
        <v>1.24E-2</v>
      </c>
    </row>
    <row r="1791" spans="16:19" x14ac:dyDescent="0.25">
      <c r="P1791" s="27">
        <v>3.2548184716220556E-2</v>
      </c>
      <c r="Q1791" s="28">
        <f t="shared" si="31"/>
        <v>3.5548184716220559E-2</v>
      </c>
      <c r="R1791" s="33">
        <v>0.16282860775771735</v>
      </c>
      <c r="S1791" s="34">
        <v>1.0330000000000001E-2</v>
      </c>
    </row>
    <row r="1792" spans="16:19" x14ac:dyDescent="0.25">
      <c r="P1792" s="27">
        <v>3.2548184716220556E-2</v>
      </c>
      <c r="Q1792" s="28">
        <f t="shared" si="31"/>
        <v>3.5548184716220559E-2</v>
      </c>
      <c r="R1792" s="33">
        <v>0.16282860775771735</v>
      </c>
      <c r="S1792" s="34">
        <v>7.43E-3</v>
      </c>
    </row>
    <row r="1793" spans="16:19" x14ac:dyDescent="0.25">
      <c r="P1793" s="27">
        <v>3.2548184716220556E-2</v>
      </c>
      <c r="Q1793" s="28">
        <f t="shared" si="31"/>
        <v>3.5548184716220559E-2</v>
      </c>
      <c r="R1793" s="33">
        <v>0.16282860775771735</v>
      </c>
      <c r="S1793" s="34">
        <v>2.2299999999999998E-3</v>
      </c>
    </row>
    <row r="1794" spans="16:19" x14ac:dyDescent="0.25">
      <c r="P1794" s="27">
        <v>3.2548184716220556E-2</v>
      </c>
      <c r="Q1794" s="28">
        <f t="shared" si="31"/>
        <v>3.5548184716220559E-2</v>
      </c>
      <c r="R1794" s="33">
        <v>0.16282860775771735</v>
      </c>
      <c r="S1794" s="34">
        <v>3.0000000000000001E-3</v>
      </c>
    </row>
    <row r="1795" spans="16:19" x14ac:dyDescent="0.25">
      <c r="P1795" s="27">
        <v>3.2548184716220556E-2</v>
      </c>
      <c r="Q1795" s="28">
        <f t="shared" si="31"/>
        <v>3.5548184716220559E-2</v>
      </c>
      <c r="R1795" s="33">
        <v>0.16282860775771735</v>
      </c>
      <c r="S1795" s="34">
        <v>9.0799999999999995E-3</v>
      </c>
    </row>
    <row r="1796" spans="16:19" x14ac:dyDescent="0.25">
      <c r="P1796" s="27">
        <v>3.2548184716220556E-2</v>
      </c>
      <c r="Q1796" s="28">
        <f t="shared" si="31"/>
        <v>3.5548184716220559E-2</v>
      </c>
      <c r="R1796" s="33">
        <v>0.16282860775771735</v>
      </c>
      <c r="S1796" s="34">
        <v>0.02</v>
      </c>
    </row>
    <row r="1797" spans="16:19" x14ac:dyDescent="0.25">
      <c r="P1797" s="27">
        <v>3.2548184716220556E-2</v>
      </c>
      <c r="Q1797" s="28">
        <f t="shared" ref="Q1797:Q1860" si="32">P1797+0.003</f>
        <v>3.5548184716220559E-2</v>
      </c>
      <c r="R1797" s="33">
        <v>0.16282860775771735</v>
      </c>
      <c r="S1797" s="34">
        <v>3.5450000000000002E-2</v>
      </c>
    </row>
    <row r="1798" spans="16:19" x14ac:dyDescent="0.25">
      <c r="P1798" s="27">
        <v>3.2548184716220556E-2</v>
      </c>
      <c r="Q1798" s="28">
        <f t="shared" si="32"/>
        <v>3.5548184716220559E-2</v>
      </c>
      <c r="R1798" s="33">
        <v>0.16282860775771735</v>
      </c>
      <c r="S1798" s="34">
        <v>5.6329999999999998E-2</v>
      </c>
    </row>
    <row r="1799" spans="16:19" x14ac:dyDescent="0.25">
      <c r="P1799" s="27">
        <v>3.2548184716220556E-2</v>
      </c>
      <c r="Q1799" s="28">
        <f t="shared" si="32"/>
        <v>3.5548184716220559E-2</v>
      </c>
      <c r="R1799" s="31">
        <v>0.15939660775771733</v>
      </c>
      <c r="S1799" s="32">
        <v>8.0870000000000011E-2</v>
      </c>
    </row>
    <row r="1800" spans="16:19" x14ac:dyDescent="0.25">
      <c r="P1800" s="27">
        <v>3.2548184716220556E-2</v>
      </c>
      <c r="Q1800" s="28">
        <f t="shared" si="32"/>
        <v>3.5548184716220559E-2</v>
      </c>
      <c r="R1800" s="31">
        <v>0.15939660775771733</v>
      </c>
      <c r="S1800" s="32">
        <v>7.4490000000000001E-2</v>
      </c>
    </row>
    <row r="1801" spans="16:19" x14ac:dyDescent="0.25">
      <c r="P1801" s="27">
        <v>3.2548184716220556E-2</v>
      </c>
      <c r="Q1801" s="28">
        <f t="shared" si="32"/>
        <v>3.5548184716220559E-2</v>
      </c>
      <c r="R1801" s="31">
        <v>0.15939660775771733</v>
      </c>
      <c r="S1801" s="32">
        <v>6.087E-2</v>
      </c>
    </row>
    <row r="1802" spans="16:19" x14ac:dyDescent="0.25">
      <c r="P1802" s="27">
        <v>3.2548184716220556E-2</v>
      </c>
      <c r="Q1802" s="28">
        <f t="shared" si="32"/>
        <v>3.5548184716220559E-2</v>
      </c>
      <c r="R1802" s="31">
        <v>0.15939660775771733</v>
      </c>
      <c r="S1802" s="32">
        <v>5.323E-2</v>
      </c>
    </row>
    <row r="1803" spans="16:19" x14ac:dyDescent="0.25">
      <c r="P1803" s="27">
        <v>3.2548184716220556E-2</v>
      </c>
      <c r="Q1803" s="28">
        <f t="shared" si="32"/>
        <v>3.5548184716220559E-2</v>
      </c>
      <c r="R1803" s="29">
        <v>0.15003660775771735</v>
      </c>
      <c r="S1803" s="30">
        <v>4.0039999999999999E-2</v>
      </c>
    </row>
    <row r="1804" spans="16:19" x14ac:dyDescent="0.25">
      <c r="P1804" s="27">
        <v>3.2548184716220556E-2</v>
      </c>
      <c r="Q1804" s="28">
        <f t="shared" si="32"/>
        <v>3.5548184716220559E-2</v>
      </c>
      <c r="R1804" s="29">
        <v>0.15003660775771735</v>
      </c>
      <c r="S1804" s="30">
        <v>3.5450000000000002E-2</v>
      </c>
    </row>
    <row r="1805" spans="16:19" x14ac:dyDescent="0.25">
      <c r="P1805" s="27">
        <v>3.2548184716220556E-2</v>
      </c>
      <c r="Q1805" s="28">
        <f t="shared" si="32"/>
        <v>3.5548184716220559E-2</v>
      </c>
      <c r="R1805" s="29">
        <v>0.15003660775771735</v>
      </c>
      <c r="S1805" s="30">
        <v>2.947E-2</v>
      </c>
    </row>
    <row r="1806" spans="16:19" x14ac:dyDescent="0.25">
      <c r="P1806" s="27">
        <v>3.2548184716220556E-2</v>
      </c>
      <c r="Q1806" s="28">
        <f t="shared" si="32"/>
        <v>3.5548184716220559E-2</v>
      </c>
      <c r="R1806" s="29">
        <v>0.15003660775771735</v>
      </c>
      <c r="S1806" s="30">
        <v>2.3392328E-2</v>
      </c>
    </row>
    <row r="1807" spans="16:19" x14ac:dyDescent="0.25">
      <c r="P1807" s="27">
        <v>3.2548184716220556E-2</v>
      </c>
      <c r="Q1807" s="28">
        <f t="shared" si="32"/>
        <v>3.5548184716220559E-2</v>
      </c>
      <c r="R1807" s="29">
        <v>0.15003660775771735</v>
      </c>
      <c r="S1807" s="30">
        <v>2.3E-2</v>
      </c>
    </row>
    <row r="1808" spans="16:19" x14ac:dyDescent="0.25">
      <c r="P1808" s="27">
        <v>3.2548184716220556E-2</v>
      </c>
      <c r="Q1808" s="28">
        <f t="shared" si="32"/>
        <v>3.5548184716220559E-2</v>
      </c>
      <c r="R1808" s="29">
        <v>0.15003660775771735</v>
      </c>
      <c r="S1808" s="30">
        <v>2.5083539999999998E-2</v>
      </c>
    </row>
    <row r="1809" spans="16:19" x14ac:dyDescent="0.25">
      <c r="P1809" s="27">
        <v>3.2548184716220556E-2</v>
      </c>
      <c r="Q1809" s="28">
        <f t="shared" si="32"/>
        <v>3.5548184716220559E-2</v>
      </c>
      <c r="R1809" s="29">
        <v>0.15003660775771735</v>
      </c>
      <c r="S1809" s="30">
        <v>3.8929999999999999E-2</v>
      </c>
    </row>
    <row r="1810" spans="16:19" x14ac:dyDescent="0.25">
      <c r="P1810" s="27">
        <v>3.2548184716220556E-2</v>
      </c>
      <c r="Q1810" s="28">
        <f t="shared" si="32"/>
        <v>3.5548184716220559E-2</v>
      </c>
      <c r="R1810" s="29">
        <v>0.15003660775771735</v>
      </c>
      <c r="S1810" s="30">
        <v>5.6000000000000001E-2</v>
      </c>
    </row>
    <row r="1811" spans="16:19" x14ac:dyDescent="0.25">
      <c r="P1811" s="27">
        <v>3.2548184716220556E-2</v>
      </c>
      <c r="Q1811" s="28">
        <f t="shared" si="32"/>
        <v>3.5548184716220559E-2</v>
      </c>
      <c r="R1811" s="31">
        <v>0.15939999999999999</v>
      </c>
      <c r="S1811" s="32">
        <v>6.3219999999999998E-2</v>
      </c>
    </row>
    <row r="1812" spans="16:19" x14ac:dyDescent="0.25">
      <c r="P1812" s="27">
        <v>3.2548184716220556E-2</v>
      </c>
      <c r="Q1812" s="28">
        <f t="shared" si="32"/>
        <v>3.5548184716220559E-2</v>
      </c>
      <c r="R1812" s="31">
        <v>0.15939999999999999</v>
      </c>
      <c r="S1812" s="32">
        <v>7.2309999999999999E-2</v>
      </c>
    </row>
    <row r="1813" spans="16:19" x14ac:dyDescent="0.25">
      <c r="P1813" s="27">
        <v>3.2548184716220556E-2</v>
      </c>
      <c r="Q1813" s="28">
        <f t="shared" si="32"/>
        <v>3.5548184716220559E-2</v>
      </c>
      <c r="R1813" s="31">
        <v>0.15939999999999999</v>
      </c>
      <c r="S1813" s="32">
        <v>6.3087629000000006E-2</v>
      </c>
    </row>
    <row r="1814" spans="16:19" x14ac:dyDescent="0.25">
      <c r="P1814" s="27">
        <v>3.2548184716220556E-2</v>
      </c>
      <c r="Q1814" s="28">
        <f t="shared" si="32"/>
        <v>3.5548184716220559E-2</v>
      </c>
      <c r="R1814" s="31">
        <v>0.15939999999999999</v>
      </c>
      <c r="S1814" s="32">
        <v>5.6659999999999995E-2</v>
      </c>
    </row>
    <row r="1815" spans="16:19" x14ac:dyDescent="0.25">
      <c r="P1815" s="27">
        <v>3.2548184716220556E-2</v>
      </c>
      <c r="Q1815" s="28">
        <f t="shared" si="32"/>
        <v>3.5548184716220559E-2</v>
      </c>
      <c r="R1815" s="31">
        <v>0.15939999999999999</v>
      </c>
      <c r="S1815" s="32">
        <v>5.5509999999999997E-2</v>
      </c>
    </row>
    <row r="1816" spans="16:19" x14ac:dyDescent="0.25">
      <c r="P1816" s="27">
        <v>3.2548184716220556E-2</v>
      </c>
      <c r="Q1816" s="28">
        <f t="shared" si="32"/>
        <v>3.5548184716220559E-2</v>
      </c>
      <c r="R1816" s="31">
        <v>0.15939999999999999</v>
      </c>
      <c r="S1816" s="32">
        <v>3.9659999999999994E-2</v>
      </c>
    </row>
    <row r="1817" spans="16:19" x14ac:dyDescent="0.25">
      <c r="P1817" s="27">
        <v>3.2548184716220556E-2</v>
      </c>
      <c r="Q1817" s="28">
        <f t="shared" si="32"/>
        <v>3.5548184716220559E-2</v>
      </c>
      <c r="R1817" s="31">
        <v>0.15939999999999999</v>
      </c>
      <c r="S1817" s="32">
        <v>4.5010000000000001E-2</v>
      </c>
    </row>
    <row r="1818" spans="16:19" x14ac:dyDescent="0.25">
      <c r="P1818" s="27">
        <v>3.2548184716220556E-2</v>
      </c>
      <c r="Q1818" s="28">
        <f t="shared" si="32"/>
        <v>3.5548184716220559E-2</v>
      </c>
      <c r="R1818" s="31">
        <v>0.15939999999999999</v>
      </c>
      <c r="S1818" s="32">
        <v>5.33E-2</v>
      </c>
    </row>
    <row r="1819" spans="16:19" x14ac:dyDescent="0.25">
      <c r="P1819" s="27">
        <v>3.2548184716220556E-2</v>
      </c>
      <c r="Q1819" s="28">
        <f t="shared" si="32"/>
        <v>3.5548184716220559E-2</v>
      </c>
      <c r="R1819" s="31">
        <v>0.15939999999999999</v>
      </c>
      <c r="S1819" s="32">
        <v>5.5509999999999997E-2</v>
      </c>
    </row>
    <row r="1820" spans="16:19" x14ac:dyDescent="0.25">
      <c r="P1820" s="27">
        <v>3.2548184716220556E-2</v>
      </c>
      <c r="Q1820" s="28">
        <f t="shared" si="32"/>
        <v>3.5548184716220559E-2</v>
      </c>
      <c r="R1820" s="31">
        <v>0.15939999999999999</v>
      </c>
      <c r="S1820" s="32">
        <v>5.8939999999999999E-2</v>
      </c>
    </row>
    <row r="1821" spans="16:19" x14ac:dyDescent="0.25">
      <c r="P1821" s="27">
        <v>3.2548184716220556E-2</v>
      </c>
      <c r="Q1821" s="28">
        <f t="shared" si="32"/>
        <v>3.5548184716220559E-2</v>
      </c>
      <c r="R1821" s="31">
        <v>0.15939999999999999</v>
      </c>
      <c r="S1821" s="32">
        <v>6.0609999999999997E-2</v>
      </c>
    </row>
    <row r="1822" spans="16:19" x14ac:dyDescent="0.25">
      <c r="P1822" s="27">
        <v>3.2548184716220556E-2</v>
      </c>
      <c r="Q1822" s="28">
        <f t="shared" si="32"/>
        <v>3.5548184716220559E-2</v>
      </c>
      <c r="R1822" s="31">
        <v>0.15939999999999999</v>
      </c>
      <c r="S1822" s="32">
        <v>7.5108472000000009E-2</v>
      </c>
    </row>
    <row r="1823" spans="16:19" x14ac:dyDescent="0.25">
      <c r="P1823" s="27">
        <v>3.2548184716220556E-2</v>
      </c>
      <c r="Q1823" s="28">
        <f t="shared" si="32"/>
        <v>3.5548184716220559E-2</v>
      </c>
      <c r="R1823" s="31">
        <v>0.15939999999999999</v>
      </c>
      <c r="S1823" s="32">
        <v>8.7071419000000011E-2</v>
      </c>
    </row>
    <row r="1824" spans="16:19" x14ac:dyDescent="0.25">
      <c r="P1824" s="27">
        <v>3.2548184716220556E-2</v>
      </c>
      <c r="Q1824" s="28">
        <f t="shared" si="32"/>
        <v>3.5548184716220559E-2</v>
      </c>
      <c r="R1824" s="31">
        <v>0.15939999999999999</v>
      </c>
      <c r="S1824" s="32">
        <v>6.7519999999999997E-2</v>
      </c>
    </row>
    <row r="1825" spans="16:19" x14ac:dyDescent="0.25">
      <c r="P1825" s="27">
        <v>3.2548184716220556E-2</v>
      </c>
      <c r="Q1825" s="28">
        <f t="shared" si="32"/>
        <v>3.5548184716220559E-2</v>
      </c>
      <c r="R1825" s="31">
        <v>0.15939999999999999</v>
      </c>
      <c r="S1825" s="32">
        <v>5.7200000000000001E-2</v>
      </c>
    </row>
    <row r="1826" spans="16:19" x14ac:dyDescent="0.25">
      <c r="P1826" s="27">
        <v>3.2548184716220556E-2</v>
      </c>
      <c r="Q1826" s="28">
        <f t="shared" si="32"/>
        <v>3.5548184716220559E-2</v>
      </c>
      <c r="R1826" s="31">
        <v>0.15939999999999999</v>
      </c>
      <c r="S1826" s="32">
        <v>4.9669999999999999E-2</v>
      </c>
    </row>
    <row r="1827" spans="16:19" x14ac:dyDescent="0.25">
      <c r="P1827" s="27">
        <v>3.2548184716220556E-2</v>
      </c>
      <c r="Q1827" s="28">
        <f t="shared" si="32"/>
        <v>3.5548184716220559E-2</v>
      </c>
      <c r="R1827" s="29">
        <v>0.15</v>
      </c>
      <c r="S1827" s="30">
        <v>4.0719999999999999E-2</v>
      </c>
    </row>
    <row r="1828" spans="16:19" x14ac:dyDescent="0.25">
      <c r="P1828" s="27">
        <v>3.2548184716220556E-2</v>
      </c>
      <c r="Q1828" s="28">
        <f t="shared" si="32"/>
        <v>3.5548184716220559E-2</v>
      </c>
      <c r="R1828" s="29">
        <v>0.15</v>
      </c>
      <c r="S1828" s="30">
        <v>3.8159999999999999E-2</v>
      </c>
    </row>
    <row r="1829" spans="16:19" x14ac:dyDescent="0.25">
      <c r="P1829" s="27">
        <v>3.2548184716220556E-2</v>
      </c>
      <c r="Q1829" s="28">
        <f t="shared" si="32"/>
        <v>3.5548184716220559E-2</v>
      </c>
      <c r="R1829" s="29">
        <v>0.15</v>
      </c>
      <c r="S1829" s="30">
        <v>3.3380983000000003E-2</v>
      </c>
    </row>
    <row r="1830" spans="16:19" x14ac:dyDescent="0.25">
      <c r="P1830" s="27">
        <v>3.2548184716220556E-2</v>
      </c>
      <c r="Q1830" s="28">
        <f t="shared" si="32"/>
        <v>3.5548184716220559E-2</v>
      </c>
      <c r="R1830" s="29">
        <v>0.15</v>
      </c>
      <c r="S1830" s="30">
        <v>3.1574616999999999E-2</v>
      </c>
    </row>
    <row r="1831" spans="16:19" x14ac:dyDescent="0.25">
      <c r="P1831" s="27">
        <v>3.2548184716220556E-2</v>
      </c>
      <c r="Q1831" s="28">
        <f t="shared" si="32"/>
        <v>3.5548184716220559E-2</v>
      </c>
      <c r="R1831" s="29">
        <v>0.15</v>
      </c>
      <c r="S1831" s="30">
        <v>0.03</v>
      </c>
    </row>
    <row r="1832" spans="16:19" x14ac:dyDescent="0.25">
      <c r="P1832" s="27">
        <v>3.2548184716220556E-2</v>
      </c>
      <c r="Q1832" s="28">
        <f t="shared" si="32"/>
        <v>3.5548184716220559E-2</v>
      </c>
      <c r="R1832" s="29">
        <v>0.15</v>
      </c>
      <c r="S1832" s="30">
        <v>3.3270000000000001E-2</v>
      </c>
    </row>
    <row r="1833" spans="16:19" x14ac:dyDescent="0.25">
      <c r="P1833" s="27">
        <v>3.2548184716220556E-2</v>
      </c>
      <c r="Q1833" s="28">
        <f t="shared" si="32"/>
        <v>3.5548184716220559E-2</v>
      </c>
      <c r="R1833" s="29">
        <v>0.15</v>
      </c>
      <c r="S1833" s="30">
        <v>3.6209999999999999E-2</v>
      </c>
    </row>
    <row r="1834" spans="16:19" x14ac:dyDescent="0.25">
      <c r="P1834" s="27">
        <v>3.2548184716220556E-2</v>
      </c>
      <c r="Q1834" s="28">
        <f t="shared" si="32"/>
        <v>3.5548184716220559E-2</v>
      </c>
      <c r="R1834" s="29">
        <v>0.15</v>
      </c>
      <c r="S1834" s="30">
        <v>4.9950000000000001E-2</v>
      </c>
    </row>
    <row r="1835" spans="16:19" x14ac:dyDescent="0.25">
      <c r="P1835" s="27">
        <v>3.2548184716220556E-2</v>
      </c>
      <c r="Q1835" s="28">
        <f t="shared" si="32"/>
        <v>3.5548184716220559E-2</v>
      </c>
      <c r="R1835" s="29">
        <v>0.15</v>
      </c>
      <c r="S1835" s="30">
        <v>5.6680000000000001E-2</v>
      </c>
    </row>
    <row r="1836" spans="16:19" x14ac:dyDescent="0.25">
      <c r="P1836" s="27">
        <v>3.2548184716220556E-2</v>
      </c>
      <c r="Q1836" s="28">
        <f t="shared" si="32"/>
        <v>3.5548184716220559E-2</v>
      </c>
      <c r="R1836" s="29">
        <v>0.15</v>
      </c>
      <c r="S1836" s="30">
        <v>6.8260000000000001E-2</v>
      </c>
    </row>
    <row r="1837" spans="16:19" x14ac:dyDescent="0.25">
      <c r="P1837" s="27">
        <v>3.2548184716220556E-2</v>
      </c>
      <c r="Q1837" s="28">
        <f t="shared" si="32"/>
        <v>3.5548184716220559E-2</v>
      </c>
      <c r="R1837" s="29">
        <v>0.15</v>
      </c>
      <c r="S1837" s="30">
        <v>0.06</v>
      </c>
    </row>
    <row r="1838" spans="16:19" x14ac:dyDescent="0.25">
      <c r="P1838" s="27">
        <v>3.2548184716220556E-2</v>
      </c>
      <c r="Q1838" s="28">
        <f t="shared" si="32"/>
        <v>3.5548184716220559E-2</v>
      </c>
      <c r="R1838" s="29">
        <v>0.15</v>
      </c>
      <c r="S1838" s="30">
        <v>5.4590000000000007E-2</v>
      </c>
    </row>
    <row r="1839" spans="16:19" x14ac:dyDescent="0.25">
      <c r="P1839" s="27">
        <v>3.2548184716220556E-2</v>
      </c>
      <c r="Q1839" s="28">
        <f t="shared" si="32"/>
        <v>3.5548184716220559E-2</v>
      </c>
      <c r="R1839" s="29">
        <v>0.15</v>
      </c>
      <c r="S1839" s="30">
        <v>5.11E-2</v>
      </c>
    </row>
    <row r="1840" spans="16:19" x14ac:dyDescent="0.25">
      <c r="P1840" s="27">
        <v>3.2548184716220556E-2</v>
      </c>
      <c r="Q1840" s="28">
        <f t="shared" si="32"/>
        <v>3.5548184716220559E-2</v>
      </c>
      <c r="R1840" s="29">
        <v>0.15</v>
      </c>
      <c r="S1840" s="30">
        <v>4.2409999999999996E-2</v>
      </c>
    </row>
    <row r="1841" spans="16:19" x14ac:dyDescent="0.25">
      <c r="P1841" s="27">
        <v>3.2548184716220556E-2</v>
      </c>
      <c r="Q1841" s="28">
        <f t="shared" si="32"/>
        <v>3.5548184716220559E-2</v>
      </c>
      <c r="R1841" s="29">
        <v>0.15</v>
      </c>
      <c r="S1841" s="30">
        <v>4.2590000000000003E-2</v>
      </c>
    </row>
    <row r="1842" spans="16:19" x14ac:dyDescent="0.25">
      <c r="P1842" s="27">
        <v>3.2548184716220556E-2</v>
      </c>
      <c r="Q1842" s="28">
        <f t="shared" si="32"/>
        <v>3.5548184716220559E-2</v>
      </c>
      <c r="R1842" s="29">
        <v>0.15</v>
      </c>
      <c r="S1842" s="30">
        <v>4.4999999999999998E-2</v>
      </c>
    </row>
    <row r="1843" spans="16:19" x14ac:dyDescent="0.25">
      <c r="P1843" s="27">
        <v>3.2548184716220556E-2</v>
      </c>
      <c r="Q1843" s="28">
        <f t="shared" si="32"/>
        <v>3.5548184716220559E-2</v>
      </c>
      <c r="R1843" s="29">
        <v>0.15</v>
      </c>
      <c r="S1843" s="30">
        <v>5.0909999999999997E-2</v>
      </c>
    </row>
    <row r="1844" spans="16:19" x14ac:dyDescent="0.25">
      <c r="P1844" s="27">
        <v>3.2548184716220556E-2</v>
      </c>
      <c r="Q1844" s="28">
        <f t="shared" si="32"/>
        <v>3.5548184716220559E-2</v>
      </c>
      <c r="R1844" s="29">
        <v>0.15</v>
      </c>
      <c r="S1844" s="30">
        <v>5.7000000000000002E-2</v>
      </c>
    </row>
    <row r="1845" spans="16:19" x14ac:dyDescent="0.25">
      <c r="P1845" s="27">
        <v>3.2548184716220556E-2</v>
      </c>
      <c r="Q1845" s="28">
        <f t="shared" si="32"/>
        <v>3.5548184716220559E-2</v>
      </c>
      <c r="R1845" s="29">
        <v>0.15</v>
      </c>
      <c r="S1845" s="30">
        <v>5.8610000000000002E-2</v>
      </c>
    </row>
    <row r="1846" spans="16:19" x14ac:dyDescent="0.25">
      <c r="P1846" s="27">
        <v>3.2548184716220556E-2</v>
      </c>
      <c r="Q1846" s="28">
        <f t="shared" si="32"/>
        <v>3.5548184716220559E-2</v>
      </c>
      <c r="R1846" s="29">
        <v>0.15</v>
      </c>
      <c r="S1846" s="30">
        <v>7.3109999999999994E-2</v>
      </c>
    </row>
    <row r="1847" spans="16:19" x14ac:dyDescent="0.25">
      <c r="P1847" s="27">
        <v>3.2548184716220556E-2</v>
      </c>
      <c r="Q1847" s="28">
        <f t="shared" si="32"/>
        <v>3.5548184716220559E-2</v>
      </c>
      <c r="R1847" s="29">
        <v>0.15</v>
      </c>
      <c r="S1847" s="30">
        <v>8.4000000000000005E-2</v>
      </c>
    </row>
    <row r="1848" spans="16:19" x14ac:dyDescent="0.25">
      <c r="P1848" s="27">
        <v>3.2548184716220556E-2</v>
      </c>
      <c r="Q1848" s="28">
        <f t="shared" si="32"/>
        <v>3.5548184716220559E-2</v>
      </c>
      <c r="R1848" s="29">
        <v>0.15</v>
      </c>
      <c r="S1848" s="30">
        <v>6.4685013E-2</v>
      </c>
    </row>
    <row r="1849" spans="16:19" x14ac:dyDescent="0.25">
      <c r="P1849" s="27">
        <v>3.2548184716220556E-2</v>
      </c>
      <c r="Q1849" s="28">
        <f t="shared" si="32"/>
        <v>3.5548184716220559E-2</v>
      </c>
      <c r="R1849" s="29">
        <v>0.15</v>
      </c>
      <c r="S1849" s="30">
        <v>5.6770000000000001E-2</v>
      </c>
    </row>
    <row r="1850" spans="16:19" x14ac:dyDescent="0.25">
      <c r="P1850" s="27">
        <v>3.2548184716220556E-2</v>
      </c>
      <c r="Q1850" s="28">
        <f t="shared" si="32"/>
        <v>3.5548184716220559E-2</v>
      </c>
      <c r="R1850" s="29">
        <v>0.15</v>
      </c>
      <c r="S1850" s="30">
        <v>4.2369999999999998E-2</v>
      </c>
    </row>
    <row r="1851" spans="16:19" x14ac:dyDescent="0.25">
      <c r="P1851" s="27">
        <v>3.2548184716220556E-2</v>
      </c>
      <c r="Q1851" s="28">
        <f t="shared" si="32"/>
        <v>3.5548184716220559E-2</v>
      </c>
      <c r="R1851" s="29">
        <v>0.15</v>
      </c>
      <c r="S1851" s="30">
        <v>3.8649999999999997E-2</v>
      </c>
    </row>
    <row r="1852" spans="16:19" x14ac:dyDescent="0.25">
      <c r="P1852" s="27">
        <v>3.2548184716220556E-2</v>
      </c>
      <c r="Q1852" s="28">
        <f t="shared" si="32"/>
        <v>3.5548184716220559E-2</v>
      </c>
      <c r="R1852" s="29">
        <v>0.15</v>
      </c>
      <c r="S1852" s="30">
        <v>2.9471347999999998E-2</v>
      </c>
    </row>
    <row r="1853" spans="16:19" x14ac:dyDescent="0.25">
      <c r="P1853" s="27">
        <v>3.2548184716220556E-2</v>
      </c>
      <c r="Q1853" s="28">
        <f t="shared" si="32"/>
        <v>3.5548184716220559E-2</v>
      </c>
      <c r="R1853" s="29">
        <v>0.15</v>
      </c>
      <c r="S1853" s="30">
        <v>2.3800000000000002E-2</v>
      </c>
    </row>
    <row r="1854" spans="16:19" x14ac:dyDescent="0.25">
      <c r="P1854" s="27">
        <v>3.2548184716220556E-2</v>
      </c>
      <c r="Q1854" s="28">
        <f t="shared" si="32"/>
        <v>3.5548184716220559E-2</v>
      </c>
      <c r="R1854" s="29">
        <v>0.15</v>
      </c>
      <c r="S1854" s="30">
        <v>2.1600000000000001E-2</v>
      </c>
    </row>
    <row r="1855" spans="16:19" x14ac:dyDescent="0.25">
      <c r="P1855" s="27">
        <v>3.2548184716220556E-2</v>
      </c>
      <c r="Q1855" s="28">
        <f t="shared" si="32"/>
        <v>3.5548184716220559E-2</v>
      </c>
      <c r="R1855" s="29">
        <v>0.15</v>
      </c>
      <c r="S1855" s="30">
        <v>1.9E-2</v>
      </c>
    </row>
    <row r="1856" spans="16:19" x14ac:dyDescent="0.25">
      <c r="P1856" s="27">
        <v>3.2548184716220556E-2</v>
      </c>
      <c r="Q1856" s="28">
        <f t="shared" si="32"/>
        <v>3.5548184716220559E-2</v>
      </c>
      <c r="R1856" s="29">
        <v>0.15</v>
      </c>
      <c r="S1856" s="30">
        <v>0.02</v>
      </c>
    </row>
    <row r="1857" spans="16:19" x14ac:dyDescent="0.25">
      <c r="P1857" s="27">
        <v>3.2548184716220556E-2</v>
      </c>
      <c r="Q1857" s="28">
        <f t="shared" si="32"/>
        <v>3.5548184716220559E-2</v>
      </c>
      <c r="R1857" s="29">
        <v>0.15</v>
      </c>
      <c r="S1857" s="30">
        <v>0.03</v>
      </c>
    </row>
    <row r="1858" spans="16:19" x14ac:dyDescent="0.25">
      <c r="P1858" s="27">
        <v>3.2548184716220556E-2</v>
      </c>
      <c r="Q1858" s="28">
        <f t="shared" si="32"/>
        <v>3.5548184716220559E-2</v>
      </c>
      <c r="R1858" s="29">
        <v>0.15</v>
      </c>
      <c r="S1858" s="30">
        <v>4.7200000000000006E-2</v>
      </c>
    </row>
    <row r="1859" spans="16:19" x14ac:dyDescent="0.25">
      <c r="P1859" s="27">
        <v>3.2548184716220556E-2</v>
      </c>
      <c r="Q1859" s="28">
        <f t="shared" si="32"/>
        <v>3.5548184716220559E-2</v>
      </c>
      <c r="R1859" s="31">
        <v>0.15939660775771733</v>
      </c>
      <c r="S1859" s="32">
        <v>5.8680000000000003E-2</v>
      </c>
    </row>
    <row r="1860" spans="16:19" x14ac:dyDescent="0.25">
      <c r="P1860" s="27">
        <v>3.2548184716220556E-2</v>
      </c>
      <c r="Q1860" s="28">
        <f t="shared" si="32"/>
        <v>3.5548184716220559E-2</v>
      </c>
      <c r="R1860" s="33">
        <v>0.16282860775771735</v>
      </c>
      <c r="S1860" s="34">
        <v>7.0300000000000001E-2</v>
      </c>
    </row>
    <row r="1861" spans="16:19" x14ac:dyDescent="0.25">
      <c r="P1861" s="27">
        <v>3.2548184716220556E-2</v>
      </c>
      <c r="Q1861" s="28">
        <f t="shared" ref="Q1861:Q1924" si="33">P1861+0.003</f>
        <v>3.5548184716220559E-2</v>
      </c>
      <c r="R1861" s="33">
        <v>0.16282860775771735</v>
      </c>
      <c r="S1861" s="34">
        <v>6.0295065000000002E-2</v>
      </c>
    </row>
    <row r="1862" spans="16:19" x14ac:dyDescent="0.25">
      <c r="P1862" s="27">
        <v>3.2548184716220556E-2</v>
      </c>
      <c r="Q1862" s="28">
        <f t="shared" si="33"/>
        <v>3.5548184716220559E-2</v>
      </c>
      <c r="R1862" s="33">
        <v>0.16282860775771735</v>
      </c>
      <c r="S1862" s="34">
        <v>5.0200000000000002E-2</v>
      </c>
    </row>
    <row r="1863" spans="16:19" x14ac:dyDescent="0.25">
      <c r="P1863" s="27">
        <v>3.2548184716220556E-2</v>
      </c>
      <c r="Q1863" s="28">
        <f t="shared" si="33"/>
        <v>3.5548184716220559E-2</v>
      </c>
      <c r="R1863" s="33">
        <v>0.16282860775771735</v>
      </c>
      <c r="S1863" s="34">
        <v>4.623E-2</v>
      </c>
    </row>
    <row r="1864" spans="16:19" x14ac:dyDescent="0.25">
      <c r="P1864" s="27">
        <v>3.2548184716220556E-2</v>
      </c>
      <c r="Q1864" s="28">
        <f t="shared" si="33"/>
        <v>3.5548184716220559E-2</v>
      </c>
      <c r="R1864" s="33">
        <v>0.16282860775771735</v>
      </c>
      <c r="S1864" s="34">
        <v>3.9130000000000005E-2</v>
      </c>
    </row>
    <row r="1865" spans="16:19" x14ac:dyDescent="0.25">
      <c r="P1865" s="27">
        <v>3.2548184716220556E-2</v>
      </c>
      <c r="Q1865" s="28">
        <f t="shared" si="33"/>
        <v>3.5548184716220559E-2</v>
      </c>
      <c r="R1865" s="33">
        <v>0.16282860775771735</v>
      </c>
      <c r="S1865" s="34">
        <v>3.9189999999999996E-2</v>
      </c>
    </row>
    <row r="1866" spans="16:19" x14ac:dyDescent="0.25">
      <c r="P1866" s="27">
        <v>3.2548184716220556E-2</v>
      </c>
      <c r="Q1866" s="28">
        <f t="shared" si="33"/>
        <v>3.5548184716220559E-2</v>
      </c>
      <c r="R1866" s="33">
        <v>0.16282860775771735</v>
      </c>
      <c r="S1866" s="34">
        <v>4.5020000000000004E-2</v>
      </c>
    </row>
    <row r="1867" spans="16:19" x14ac:dyDescent="0.25">
      <c r="P1867" s="27">
        <v>3.2548184716220556E-2</v>
      </c>
      <c r="Q1867" s="28">
        <f t="shared" si="33"/>
        <v>3.5548184716220559E-2</v>
      </c>
      <c r="R1867" s="33">
        <v>0.16282860775771735</v>
      </c>
      <c r="S1867" s="34">
        <v>5.3679999999999999E-2</v>
      </c>
    </row>
    <row r="1868" spans="16:19" x14ac:dyDescent="0.25">
      <c r="P1868" s="27">
        <v>3.2548184716220556E-2</v>
      </c>
      <c r="Q1868" s="28">
        <f t="shared" si="33"/>
        <v>3.5548184716220559E-2</v>
      </c>
      <c r="R1868" s="33">
        <v>0.16282860775771735</v>
      </c>
      <c r="S1868" s="34">
        <v>5.7599999999999998E-2</v>
      </c>
    </row>
    <row r="1869" spans="16:19" x14ac:dyDescent="0.25">
      <c r="P1869" s="27">
        <v>3.2548184716220556E-2</v>
      </c>
      <c r="Q1869" s="28">
        <f t="shared" si="33"/>
        <v>3.5548184716220559E-2</v>
      </c>
      <c r="R1869" s="33">
        <v>0.16282860775771735</v>
      </c>
      <c r="S1869" s="34">
        <v>5.8569999999999997E-2</v>
      </c>
    </row>
    <row r="1870" spans="16:19" x14ac:dyDescent="0.25">
      <c r="P1870" s="27">
        <v>3.2548184716220556E-2</v>
      </c>
      <c r="Q1870" s="28">
        <f t="shared" si="33"/>
        <v>3.5548184716220559E-2</v>
      </c>
      <c r="R1870" s="33">
        <v>0.16282860775771735</v>
      </c>
      <c r="S1870" s="34">
        <v>7.3859999999999995E-2</v>
      </c>
    </row>
    <row r="1871" spans="16:19" x14ac:dyDescent="0.25">
      <c r="P1871" s="27">
        <v>3.2548184716220556E-2</v>
      </c>
      <c r="Q1871" s="28">
        <f t="shared" si="33"/>
        <v>3.5548184716220559E-2</v>
      </c>
      <c r="R1871" s="31">
        <v>0.15939660775771733</v>
      </c>
      <c r="S1871" s="32">
        <v>9.2329999999999995E-2</v>
      </c>
    </row>
    <row r="1872" spans="16:19" x14ac:dyDescent="0.25">
      <c r="P1872" s="27">
        <v>3.2548184716220556E-2</v>
      </c>
      <c r="Q1872" s="28">
        <f t="shared" si="33"/>
        <v>3.5548184716220559E-2</v>
      </c>
      <c r="R1872" s="31">
        <v>0.15939660775771733</v>
      </c>
      <c r="S1872" s="32">
        <v>6.7519999999999997E-2</v>
      </c>
    </row>
    <row r="1873" spans="16:19" x14ac:dyDescent="0.25">
      <c r="P1873" s="27">
        <v>3.2548184716220556E-2</v>
      </c>
      <c r="Q1873" s="28">
        <f t="shared" si="33"/>
        <v>3.5548184716220559E-2</v>
      </c>
      <c r="R1873" s="31">
        <v>0.15939660775771733</v>
      </c>
      <c r="S1873" s="32">
        <v>5.8770000000000003E-2</v>
      </c>
    </row>
    <row r="1874" spans="16:19" x14ac:dyDescent="0.25">
      <c r="P1874" s="27">
        <v>3.2548184716220556E-2</v>
      </c>
      <c r="Q1874" s="28">
        <f t="shared" si="33"/>
        <v>3.5548184716220559E-2</v>
      </c>
      <c r="R1874" s="31">
        <v>0.15939660775771733</v>
      </c>
      <c r="S1874" s="32">
        <v>5.4079999999999996E-2</v>
      </c>
    </row>
    <row r="1875" spans="16:19" x14ac:dyDescent="0.25">
      <c r="P1875" s="27">
        <v>3.2548184716220556E-2</v>
      </c>
      <c r="Q1875" s="28">
        <f t="shared" si="33"/>
        <v>3.5548184716220559E-2</v>
      </c>
      <c r="R1875" s="29">
        <v>0.15003660775771735</v>
      </c>
      <c r="S1875" s="30">
        <v>4.5061611000000001E-2</v>
      </c>
    </row>
    <row r="1876" spans="16:19" x14ac:dyDescent="0.25">
      <c r="P1876" s="27">
        <v>3.2548184716220556E-2</v>
      </c>
      <c r="Q1876" s="28">
        <f t="shared" si="33"/>
        <v>3.5548184716220559E-2</v>
      </c>
      <c r="R1876" s="29">
        <v>0.15003660775771735</v>
      </c>
      <c r="S1876" s="30">
        <v>3.6757900999999996E-2</v>
      </c>
    </row>
    <row r="1877" spans="16:19" x14ac:dyDescent="0.25">
      <c r="P1877" s="27">
        <v>3.2548184716220556E-2</v>
      </c>
      <c r="Q1877" s="28">
        <f t="shared" si="33"/>
        <v>3.5548184716220559E-2</v>
      </c>
      <c r="R1877" s="29">
        <v>0.15003660775771735</v>
      </c>
      <c r="S1877" s="30">
        <v>0.03</v>
      </c>
    </row>
    <row r="1878" spans="16:19" x14ac:dyDescent="0.25">
      <c r="P1878" s="27">
        <v>3.2548184716220556E-2</v>
      </c>
      <c r="Q1878" s="28">
        <f t="shared" si="33"/>
        <v>3.5548184716220559E-2</v>
      </c>
      <c r="R1878" s="29">
        <v>0.15003660775771735</v>
      </c>
      <c r="S1878" s="30">
        <v>2.0498379000000001E-2</v>
      </c>
    </row>
    <row r="1879" spans="16:19" x14ac:dyDescent="0.25">
      <c r="P1879" s="27">
        <v>3.2548184716220556E-2</v>
      </c>
      <c r="Q1879" s="28">
        <f t="shared" si="33"/>
        <v>3.5548184716220559E-2</v>
      </c>
      <c r="R1879" s="29">
        <v>0.15003660775771735</v>
      </c>
      <c r="S1879" s="30">
        <v>0.02</v>
      </c>
    </row>
    <row r="1880" spans="16:19" x14ac:dyDescent="0.25">
      <c r="P1880" s="27">
        <v>3.2548184716220556E-2</v>
      </c>
      <c r="Q1880" s="28">
        <f t="shared" si="33"/>
        <v>3.5548184716220559E-2</v>
      </c>
      <c r="R1880" s="29">
        <v>0.15003660775771735</v>
      </c>
      <c r="S1880" s="30">
        <v>2.1180000000000001E-2</v>
      </c>
    </row>
    <row r="1881" spans="16:19" x14ac:dyDescent="0.25">
      <c r="P1881" s="27">
        <v>3.2548184716220556E-2</v>
      </c>
      <c r="Q1881" s="28">
        <f t="shared" si="33"/>
        <v>3.5548184716220559E-2</v>
      </c>
      <c r="R1881" s="29">
        <v>0.15003660775771735</v>
      </c>
      <c r="S1881" s="30">
        <v>3.3170000000000005E-2</v>
      </c>
    </row>
    <row r="1882" spans="16:19" x14ac:dyDescent="0.25">
      <c r="P1882" s="27">
        <v>3.2548184716220556E-2</v>
      </c>
      <c r="Q1882" s="28">
        <f t="shared" si="33"/>
        <v>3.5548184716220559E-2</v>
      </c>
      <c r="R1882" s="29">
        <v>0.15003660775771735</v>
      </c>
      <c r="S1882" s="30">
        <v>4.7058941E-2</v>
      </c>
    </row>
    <row r="1883" spans="16:19" x14ac:dyDescent="0.25">
      <c r="P1883" s="27">
        <v>3.2548184716220556E-2</v>
      </c>
      <c r="Q1883" s="28">
        <f t="shared" si="33"/>
        <v>3.5548184716220559E-2</v>
      </c>
      <c r="R1883" s="31">
        <v>0.15939660775771733</v>
      </c>
      <c r="S1883" s="32">
        <v>5.5E-2</v>
      </c>
    </row>
    <row r="1884" spans="16:19" x14ac:dyDescent="0.25">
      <c r="P1884" s="27">
        <v>3.2548184716220556E-2</v>
      </c>
      <c r="Q1884" s="28">
        <f t="shared" si="33"/>
        <v>3.5548184716220559E-2</v>
      </c>
      <c r="R1884" s="33">
        <v>0.16282860775771735</v>
      </c>
      <c r="S1884" s="34">
        <v>5.8569999999999997E-2</v>
      </c>
    </row>
    <row r="1885" spans="16:19" x14ac:dyDescent="0.25">
      <c r="P1885" s="27">
        <v>3.2548184716220556E-2</v>
      </c>
      <c r="Q1885" s="28">
        <f t="shared" si="33"/>
        <v>3.5548184716220559E-2</v>
      </c>
      <c r="R1885" s="33">
        <v>0.16282860775771735</v>
      </c>
      <c r="S1885" s="34">
        <v>5.4789999999999998E-2</v>
      </c>
    </row>
    <row r="1886" spans="16:19" x14ac:dyDescent="0.25">
      <c r="P1886" s="27">
        <v>3.2548184716220556E-2</v>
      </c>
      <c r="Q1886" s="28">
        <f t="shared" si="33"/>
        <v>3.5548184716220559E-2</v>
      </c>
      <c r="R1886" s="33">
        <v>0.16282860775771735</v>
      </c>
      <c r="S1886" s="34">
        <v>4.1500000000000002E-2</v>
      </c>
    </row>
    <row r="1887" spans="16:19" x14ac:dyDescent="0.25">
      <c r="P1887" s="27">
        <v>3.2548184716220556E-2</v>
      </c>
      <c r="Q1887" s="28">
        <f t="shared" si="33"/>
        <v>3.5548184716220559E-2</v>
      </c>
      <c r="R1887" s="33">
        <v>0.16282860775771735</v>
      </c>
      <c r="S1887" s="34">
        <v>3.703E-2</v>
      </c>
    </row>
    <row r="1888" spans="16:19" x14ac:dyDescent="0.25">
      <c r="P1888" s="27">
        <v>3.2548184716220556E-2</v>
      </c>
      <c r="Q1888" s="28">
        <f t="shared" si="33"/>
        <v>3.5548184716220559E-2</v>
      </c>
      <c r="R1888" s="33">
        <v>0.16282860775771735</v>
      </c>
      <c r="S1888" s="34">
        <v>3.0120000000000001E-2</v>
      </c>
    </row>
    <row r="1889" spans="16:19" x14ac:dyDescent="0.25">
      <c r="P1889" s="27">
        <v>3.2548184716220556E-2</v>
      </c>
      <c r="Q1889" s="28">
        <f t="shared" si="33"/>
        <v>3.5548184716220559E-2</v>
      </c>
      <c r="R1889" s="33">
        <v>0.16282860775771735</v>
      </c>
      <c r="S1889" s="34">
        <v>3.0969999999999998E-2</v>
      </c>
    </row>
    <row r="1890" spans="16:19" x14ac:dyDescent="0.25">
      <c r="P1890" s="27">
        <v>3.2548184716220556E-2</v>
      </c>
      <c r="Q1890" s="28">
        <f t="shared" si="33"/>
        <v>3.5548184716220559E-2</v>
      </c>
      <c r="R1890" s="33">
        <v>0.16282860775771735</v>
      </c>
      <c r="S1890" s="34">
        <v>3.703E-2</v>
      </c>
    </row>
    <row r="1891" spans="16:19" x14ac:dyDescent="0.25">
      <c r="P1891" s="27">
        <v>3.2548184716220556E-2</v>
      </c>
      <c r="Q1891" s="28">
        <f t="shared" si="33"/>
        <v>3.5548184716220559E-2</v>
      </c>
      <c r="R1891" s="33">
        <v>0.16282860775771735</v>
      </c>
      <c r="S1891" s="34">
        <v>4.2590000000000003E-2</v>
      </c>
    </row>
    <row r="1892" spans="16:19" x14ac:dyDescent="0.25">
      <c r="P1892" s="27">
        <v>3.2548184716220556E-2</v>
      </c>
      <c r="Q1892" s="28">
        <f t="shared" si="33"/>
        <v>3.5548184716220559E-2</v>
      </c>
      <c r="R1892" s="33">
        <v>0.16282860775771735</v>
      </c>
      <c r="S1892" s="34">
        <v>5.1220000000000002E-2</v>
      </c>
    </row>
    <row r="1893" spans="16:19" x14ac:dyDescent="0.25">
      <c r="P1893" s="27">
        <v>3.2548184716220556E-2</v>
      </c>
      <c r="Q1893" s="28">
        <f t="shared" si="33"/>
        <v>3.5548184716220559E-2</v>
      </c>
      <c r="R1893" s="33">
        <v>0.16282860775771735</v>
      </c>
      <c r="S1893" s="34">
        <v>5.5E-2</v>
      </c>
    </row>
    <row r="1894" spans="16:19" x14ac:dyDescent="0.25">
      <c r="P1894" s="27">
        <v>3.2548184716220556E-2</v>
      </c>
      <c r="Q1894" s="28">
        <f t="shared" si="33"/>
        <v>3.5548184716220559E-2</v>
      </c>
      <c r="R1894" s="33">
        <v>0.16282860775771735</v>
      </c>
      <c r="S1894" s="34">
        <v>7.0000000000000007E-2</v>
      </c>
    </row>
    <row r="1895" spans="16:19" x14ac:dyDescent="0.25">
      <c r="P1895" s="27">
        <v>3.2548184716220556E-2</v>
      </c>
      <c r="Q1895" s="28">
        <f t="shared" si="33"/>
        <v>3.5548184716220559E-2</v>
      </c>
      <c r="R1895" s="31">
        <v>0.15939660775771733</v>
      </c>
      <c r="S1895" s="32">
        <v>0.09</v>
      </c>
    </row>
    <row r="1896" spans="16:19" x14ac:dyDescent="0.25">
      <c r="P1896" s="27">
        <v>3.2548184716220556E-2</v>
      </c>
      <c r="Q1896" s="28">
        <f t="shared" si="33"/>
        <v>3.5548184716220559E-2</v>
      </c>
      <c r="R1896" s="31">
        <v>0.15939660775771733</v>
      </c>
      <c r="S1896" s="32">
        <v>6.4860000000000001E-2</v>
      </c>
    </row>
    <row r="1897" spans="16:19" x14ac:dyDescent="0.25">
      <c r="P1897" s="27">
        <v>3.2548184716220556E-2</v>
      </c>
      <c r="Q1897" s="28">
        <f t="shared" si="33"/>
        <v>3.5548184716220559E-2</v>
      </c>
      <c r="R1897" s="31">
        <v>0.15939660775771733</v>
      </c>
      <c r="S1897" s="32">
        <v>5.5923737000000001E-2</v>
      </c>
    </row>
    <row r="1898" spans="16:19" x14ac:dyDescent="0.25">
      <c r="P1898" s="27">
        <v>3.2548184716220556E-2</v>
      </c>
      <c r="Q1898" s="28">
        <f t="shared" si="33"/>
        <v>3.5548184716220559E-2</v>
      </c>
      <c r="R1898" s="31">
        <v>0.15939660775771733</v>
      </c>
      <c r="S1898" s="32">
        <v>5.2220157999999996E-2</v>
      </c>
    </row>
    <row r="1899" spans="16:19" x14ac:dyDescent="0.25">
      <c r="P1899" s="27">
        <v>3.2548184716220556E-2</v>
      </c>
      <c r="Q1899" s="28">
        <f t="shared" si="33"/>
        <v>3.5548184716220559E-2</v>
      </c>
      <c r="R1899" s="29">
        <v>0.15003660775771735</v>
      </c>
      <c r="S1899" s="30">
        <v>4.4999999999999998E-2</v>
      </c>
    </row>
    <row r="1900" spans="16:19" x14ac:dyDescent="0.25">
      <c r="P1900" s="27">
        <v>3.2548184716220556E-2</v>
      </c>
      <c r="Q1900" s="28">
        <f t="shared" si="33"/>
        <v>3.5548184716220559E-2</v>
      </c>
      <c r="R1900" s="29">
        <v>0.15003660775771735</v>
      </c>
      <c r="S1900" s="30">
        <v>3.9149999999999997E-2</v>
      </c>
    </row>
    <row r="1901" spans="16:19" x14ac:dyDescent="0.25">
      <c r="P1901" s="27">
        <v>3.2548184716220556E-2</v>
      </c>
      <c r="Q1901" s="28">
        <f t="shared" si="33"/>
        <v>3.5548184716220559E-2</v>
      </c>
      <c r="R1901" s="29">
        <v>0.15003660775771735</v>
      </c>
      <c r="S1901" s="30">
        <v>3.3399999999999999E-2</v>
      </c>
    </row>
    <row r="1902" spans="16:19" x14ac:dyDescent="0.25">
      <c r="P1902" s="27">
        <v>3.2548184716220556E-2</v>
      </c>
      <c r="Q1902" s="28">
        <f t="shared" si="33"/>
        <v>3.5548184716220559E-2</v>
      </c>
      <c r="R1902" s="29">
        <v>0.15003660775771735</v>
      </c>
      <c r="S1902" s="30">
        <v>2.6890412000000002E-2</v>
      </c>
    </row>
    <row r="1903" spans="16:19" x14ac:dyDescent="0.25">
      <c r="P1903" s="27">
        <v>3.2548184716220556E-2</v>
      </c>
      <c r="Q1903" s="28">
        <f t="shared" si="33"/>
        <v>3.5548184716220559E-2</v>
      </c>
      <c r="R1903" s="29">
        <v>0.15003660775771735</v>
      </c>
      <c r="S1903" s="30">
        <v>2.8291004000000002E-2</v>
      </c>
    </row>
    <row r="1904" spans="16:19" x14ac:dyDescent="0.25">
      <c r="P1904" s="27">
        <v>3.2548184716220556E-2</v>
      </c>
      <c r="Q1904" s="28">
        <f t="shared" si="33"/>
        <v>3.5548184716220559E-2</v>
      </c>
      <c r="R1904" s="29">
        <v>0.15003660775771735</v>
      </c>
      <c r="S1904" s="30">
        <v>2.9378143999999998E-2</v>
      </c>
    </row>
    <row r="1905" spans="16:19" x14ac:dyDescent="0.25">
      <c r="P1905" s="27">
        <v>3.2548184716220556E-2</v>
      </c>
      <c r="Q1905" s="28">
        <f t="shared" si="33"/>
        <v>3.5548184716220559E-2</v>
      </c>
      <c r="R1905" s="29">
        <v>0.15003660775771735</v>
      </c>
      <c r="S1905" s="30">
        <v>3.705E-2</v>
      </c>
    </row>
    <row r="1906" spans="16:19" x14ac:dyDescent="0.25">
      <c r="P1906" s="27">
        <v>3.2548184716220556E-2</v>
      </c>
      <c r="Q1906" s="28">
        <f t="shared" si="33"/>
        <v>3.5548184716220559E-2</v>
      </c>
      <c r="R1906" s="29">
        <v>0.15003660775771735</v>
      </c>
      <c r="S1906" s="30">
        <v>5.0029999999999998E-2</v>
      </c>
    </row>
    <row r="1907" spans="16:19" x14ac:dyDescent="0.25">
      <c r="P1907" s="27">
        <v>3.2548184716220556E-2</v>
      </c>
      <c r="Q1907" s="28">
        <f t="shared" si="33"/>
        <v>3.5548184716220559E-2</v>
      </c>
      <c r="R1907" s="31">
        <v>0.15939660775771733</v>
      </c>
      <c r="S1907" s="32">
        <v>5.5265338999999997E-2</v>
      </c>
    </row>
    <row r="1908" spans="16:19" x14ac:dyDescent="0.25">
      <c r="P1908" s="27">
        <v>3.2548184716220556E-2</v>
      </c>
      <c r="Q1908" s="28">
        <f t="shared" si="33"/>
        <v>3.5548184716220559E-2</v>
      </c>
      <c r="R1908" s="33">
        <v>0.16282860775771735</v>
      </c>
      <c r="S1908" s="34">
        <v>5.756E-2</v>
      </c>
    </row>
    <row r="1909" spans="16:19" x14ac:dyDescent="0.25">
      <c r="P1909" s="27">
        <v>3.2548184716220556E-2</v>
      </c>
      <c r="Q1909" s="28">
        <f t="shared" si="33"/>
        <v>3.5548184716220559E-2</v>
      </c>
      <c r="R1909" s="33">
        <v>0.16282860775771735</v>
      </c>
      <c r="S1909" s="34">
        <v>5.5E-2</v>
      </c>
    </row>
    <row r="1910" spans="16:19" x14ac:dyDescent="0.25">
      <c r="P1910" s="27">
        <v>3.2548184716220556E-2</v>
      </c>
      <c r="Q1910" s="28">
        <f t="shared" si="33"/>
        <v>3.5548184716220559E-2</v>
      </c>
      <c r="R1910" s="33">
        <v>0.16282860775771735</v>
      </c>
      <c r="S1910" s="34">
        <v>5.0790000000000002E-2</v>
      </c>
    </row>
    <row r="1911" spans="16:19" x14ac:dyDescent="0.25">
      <c r="P1911" s="27">
        <v>3.2548184716220556E-2</v>
      </c>
      <c r="Q1911" s="28">
        <f t="shared" si="33"/>
        <v>3.5548184716220559E-2</v>
      </c>
      <c r="R1911" s="33">
        <v>0.16282860775771735</v>
      </c>
      <c r="S1911" s="34">
        <v>5.0770000000000003E-2</v>
      </c>
    </row>
    <row r="1912" spans="16:19" x14ac:dyDescent="0.25">
      <c r="P1912" s="27">
        <v>3.2548184716220556E-2</v>
      </c>
      <c r="Q1912" s="28">
        <f t="shared" si="33"/>
        <v>3.5548184716220559E-2</v>
      </c>
      <c r="R1912" s="33">
        <v>0.16282860775771735</v>
      </c>
      <c r="S1912" s="34">
        <v>3.3409999999999995E-2</v>
      </c>
    </row>
    <row r="1913" spans="16:19" x14ac:dyDescent="0.25">
      <c r="P1913" s="27">
        <v>3.2548184716220556E-2</v>
      </c>
      <c r="Q1913" s="28">
        <f t="shared" si="33"/>
        <v>3.5548184716220559E-2</v>
      </c>
      <c r="R1913" s="33">
        <v>0.16282860775771735</v>
      </c>
      <c r="S1913" s="34">
        <v>3.4500000000000003E-2</v>
      </c>
    </row>
    <row r="1914" spans="16:19" x14ac:dyDescent="0.25">
      <c r="P1914" s="27">
        <v>3.2548184716220556E-2</v>
      </c>
      <c r="Q1914" s="28">
        <f t="shared" si="33"/>
        <v>3.5548184716220559E-2</v>
      </c>
      <c r="R1914" s="33">
        <v>0.16282860775771735</v>
      </c>
      <c r="S1914" s="34">
        <v>4.367E-2</v>
      </c>
    </row>
    <row r="1915" spans="16:19" x14ac:dyDescent="0.25">
      <c r="P1915" s="27">
        <v>3.2548184716220556E-2</v>
      </c>
      <c r="Q1915" s="28">
        <f t="shared" si="33"/>
        <v>3.5548184716220559E-2</v>
      </c>
      <c r="R1915" s="33">
        <v>0.16282860775771735</v>
      </c>
      <c r="S1915" s="34">
        <v>4.5020000000000004E-2</v>
      </c>
    </row>
    <row r="1916" spans="16:19" x14ac:dyDescent="0.25">
      <c r="P1916" s="27">
        <v>3.2548184716220556E-2</v>
      </c>
      <c r="Q1916" s="28">
        <f t="shared" si="33"/>
        <v>3.5548184716220559E-2</v>
      </c>
      <c r="R1916" s="33">
        <v>0.16282860775771735</v>
      </c>
      <c r="S1916" s="34">
        <v>5.3800000000000001E-2</v>
      </c>
    </row>
    <row r="1917" spans="16:19" x14ac:dyDescent="0.25">
      <c r="P1917" s="27">
        <v>3.2548184716220556E-2</v>
      </c>
      <c r="Q1917" s="28">
        <f t="shared" si="33"/>
        <v>3.5548184716220559E-2</v>
      </c>
      <c r="R1917" s="33">
        <v>0.16282860775771735</v>
      </c>
      <c r="S1917" s="34">
        <v>5.5E-2</v>
      </c>
    </row>
    <row r="1918" spans="16:19" x14ac:dyDescent="0.25">
      <c r="P1918" s="27">
        <v>3.2548184716220556E-2</v>
      </c>
      <c r="Q1918" s="28">
        <f t="shared" si="33"/>
        <v>3.5548184716220559E-2</v>
      </c>
      <c r="R1918" s="33">
        <v>0.16282860775771735</v>
      </c>
      <c r="S1918" s="34">
        <v>6.4000000000000001E-2</v>
      </c>
    </row>
    <row r="1919" spans="16:19" x14ac:dyDescent="0.25">
      <c r="P1919" s="27">
        <v>3.2548184716220556E-2</v>
      </c>
      <c r="Q1919" s="28">
        <f t="shared" si="33"/>
        <v>3.5548184716220559E-2</v>
      </c>
      <c r="R1919" s="31">
        <v>0.15939660775771733</v>
      </c>
      <c r="S1919" s="32">
        <v>8.7999999999999995E-2</v>
      </c>
    </row>
    <row r="1920" spans="16:19" x14ac:dyDescent="0.25">
      <c r="P1920" s="27">
        <v>3.2548184716220556E-2</v>
      </c>
      <c r="Q1920" s="28">
        <f t="shared" si="33"/>
        <v>3.5548184716220559E-2</v>
      </c>
      <c r="R1920" s="31">
        <v>0.15939660775771733</v>
      </c>
      <c r="S1920" s="32">
        <v>6.0999999999999999E-2</v>
      </c>
    </row>
    <row r="1921" spans="16:19" x14ac:dyDescent="0.25">
      <c r="P1921" s="27">
        <v>3.2548184716220556E-2</v>
      </c>
      <c r="Q1921" s="28">
        <f t="shared" si="33"/>
        <v>3.5548184716220559E-2</v>
      </c>
      <c r="R1921" s="31">
        <v>0.15939660775771733</v>
      </c>
      <c r="S1921" s="32">
        <v>5.5020000000000006E-2</v>
      </c>
    </row>
    <row r="1922" spans="16:19" x14ac:dyDescent="0.25">
      <c r="P1922" s="27">
        <v>3.2548184716220556E-2</v>
      </c>
      <c r="Q1922" s="28">
        <f t="shared" si="33"/>
        <v>3.5548184716220559E-2</v>
      </c>
      <c r="R1922" s="31">
        <v>0.15939660775771733</v>
      </c>
      <c r="S1922" s="32">
        <v>5.0029999999999998E-2</v>
      </c>
    </row>
    <row r="1923" spans="16:19" x14ac:dyDescent="0.25">
      <c r="P1923" s="27">
        <v>3.2548184716220556E-2</v>
      </c>
      <c r="Q1923" s="28">
        <f t="shared" si="33"/>
        <v>3.5548184716220559E-2</v>
      </c>
      <c r="R1923" s="29">
        <v>0.15003660775771735</v>
      </c>
      <c r="S1923" s="30">
        <v>3.9890000000000002E-2</v>
      </c>
    </row>
    <row r="1924" spans="16:19" x14ac:dyDescent="0.25">
      <c r="P1924" s="27">
        <v>3.2548184716220556E-2</v>
      </c>
      <c r="Q1924" s="28">
        <f t="shared" si="33"/>
        <v>3.5548184716220559E-2</v>
      </c>
      <c r="R1924" s="29">
        <v>0.15003660775771735</v>
      </c>
      <c r="S1924" s="30">
        <v>0.04</v>
      </c>
    </row>
    <row r="1925" spans="16:19" x14ac:dyDescent="0.25">
      <c r="P1925" s="27">
        <v>3.2548184716220556E-2</v>
      </c>
      <c r="Q1925" s="28">
        <f t="shared" ref="Q1925:Q1988" si="34">P1925+0.003</f>
        <v>3.5548184716220559E-2</v>
      </c>
      <c r="R1925" s="29">
        <v>0.15003660775771735</v>
      </c>
      <c r="S1925" s="30">
        <v>3.4000000000000002E-2</v>
      </c>
    </row>
    <row r="1926" spans="16:19" x14ac:dyDescent="0.25">
      <c r="P1926" s="27">
        <v>3.2548184716220556E-2</v>
      </c>
      <c r="Q1926" s="28">
        <f t="shared" si="34"/>
        <v>3.5548184716220559E-2</v>
      </c>
      <c r="R1926" s="29">
        <v>0.15003660775771735</v>
      </c>
      <c r="S1926" s="30">
        <v>0.03</v>
      </c>
    </row>
    <row r="1927" spans="16:19" x14ac:dyDescent="0.25">
      <c r="P1927" s="27">
        <v>3.2548184716220556E-2</v>
      </c>
      <c r="Q1927" s="28">
        <f t="shared" si="34"/>
        <v>3.5548184716220559E-2</v>
      </c>
      <c r="R1927" s="29">
        <v>0.15003660775771735</v>
      </c>
      <c r="S1927" s="30">
        <v>2.5000000000000001E-2</v>
      </c>
    </row>
    <row r="1928" spans="16:19" x14ac:dyDescent="0.25">
      <c r="P1928" s="27">
        <v>3.2548184716220556E-2</v>
      </c>
      <c r="Q1928" s="28">
        <f t="shared" si="34"/>
        <v>3.5548184716220559E-2</v>
      </c>
      <c r="R1928" s="29">
        <v>0.15003660775771735</v>
      </c>
      <c r="S1928" s="30">
        <v>2.1999999999999999E-2</v>
      </c>
    </row>
    <row r="1929" spans="16:19" x14ac:dyDescent="0.25">
      <c r="P1929" s="27">
        <v>3.2548184716220556E-2</v>
      </c>
      <c r="Q1929" s="28">
        <f t="shared" si="34"/>
        <v>3.5548184716220559E-2</v>
      </c>
      <c r="R1929" s="29">
        <v>0.15003660775771735</v>
      </c>
      <c r="S1929" s="30">
        <v>2.7649999999999997E-2</v>
      </c>
    </row>
    <row r="1930" spans="16:19" x14ac:dyDescent="0.25">
      <c r="P1930" s="27">
        <v>3.2548184716220556E-2</v>
      </c>
      <c r="Q1930" s="28">
        <f t="shared" si="34"/>
        <v>3.5548184716220559E-2</v>
      </c>
      <c r="R1930" s="29">
        <v>0.15003660775771735</v>
      </c>
      <c r="S1930" s="30">
        <v>3.3189999999999997E-2</v>
      </c>
    </row>
    <row r="1931" spans="16:19" x14ac:dyDescent="0.25">
      <c r="P1931" s="27">
        <v>3.2548184716220556E-2</v>
      </c>
      <c r="Q1931" s="28">
        <f t="shared" si="34"/>
        <v>3.5548184716220559E-2</v>
      </c>
      <c r="R1931" s="31">
        <v>0.15939660775771733</v>
      </c>
      <c r="S1931" s="32">
        <v>3.551E-2</v>
      </c>
    </row>
    <row r="1932" spans="16:19" x14ac:dyDescent="0.25">
      <c r="P1932" s="27">
        <v>3.2548184716220556E-2</v>
      </c>
      <c r="Q1932" s="28">
        <f t="shared" si="34"/>
        <v>3.5548184716220559E-2</v>
      </c>
      <c r="R1932" s="33">
        <v>0.16282860775771735</v>
      </c>
      <c r="S1932" s="34">
        <v>3.8960000000000002E-2</v>
      </c>
    </row>
    <row r="1933" spans="16:19" x14ac:dyDescent="0.25">
      <c r="P1933" s="27">
        <v>3.2548184716220556E-2</v>
      </c>
      <c r="Q1933" s="28">
        <f t="shared" si="34"/>
        <v>3.5548184716220559E-2</v>
      </c>
      <c r="R1933" s="33">
        <v>0.16282860775771735</v>
      </c>
      <c r="S1933" s="34">
        <v>3.8759999999999996E-2</v>
      </c>
    </row>
    <row r="1934" spans="16:19" x14ac:dyDescent="0.25">
      <c r="P1934" s="27">
        <v>3.2548184716220556E-2</v>
      </c>
      <c r="Q1934" s="28">
        <f t="shared" si="34"/>
        <v>3.5548184716220559E-2</v>
      </c>
      <c r="R1934" s="33">
        <v>0.16282860775771735</v>
      </c>
      <c r="S1934" s="34">
        <v>3.3189999999999997E-2</v>
      </c>
    </row>
    <row r="1935" spans="16:19" x14ac:dyDescent="0.25">
      <c r="P1935" s="27">
        <v>3.2548184716220556E-2</v>
      </c>
      <c r="Q1935" s="28">
        <f t="shared" si="34"/>
        <v>3.5548184716220559E-2</v>
      </c>
      <c r="R1935" s="33">
        <v>0.16282860775771735</v>
      </c>
      <c r="S1935" s="34">
        <v>2.9000000000000001E-2</v>
      </c>
    </row>
    <row r="1936" spans="16:19" x14ac:dyDescent="0.25">
      <c r="P1936" s="27">
        <v>3.2548184716220556E-2</v>
      </c>
      <c r="Q1936" s="28">
        <f t="shared" si="34"/>
        <v>3.5548184716220559E-2</v>
      </c>
      <c r="R1936" s="33">
        <v>0.16282860775771735</v>
      </c>
      <c r="S1936" s="34">
        <v>2.9649999999999999E-2</v>
      </c>
    </row>
    <row r="1937" spans="16:19" x14ac:dyDescent="0.25">
      <c r="P1937" s="27">
        <v>3.2548184716220556E-2</v>
      </c>
      <c r="Q1937" s="28">
        <f t="shared" si="34"/>
        <v>3.5548184716220559E-2</v>
      </c>
      <c r="R1937" s="33">
        <v>0.16282860775771735</v>
      </c>
      <c r="S1937" s="34">
        <v>2.58E-2</v>
      </c>
    </row>
    <row r="1938" spans="16:19" x14ac:dyDescent="0.25">
      <c r="P1938" s="27">
        <v>3.2548184716220556E-2</v>
      </c>
      <c r="Q1938" s="28">
        <f t="shared" si="34"/>
        <v>3.5548184716220559E-2</v>
      </c>
      <c r="R1938" s="33">
        <v>0.16282860775771735</v>
      </c>
      <c r="S1938" s="34">
        <v>2.4399999999999998E-2</v>
      </c>
    </row>
    <row r="1939" spans="16:19" x14ac:dyDescent="0.25">
      <c r="P1939" s="27">
        <v>3.2548184716220556E-2</v>
      </c>
      <c r="Q1939" s="28">
        <f t="shared" si="34"/>
        <v>3.5548184716220559E-2</v>
      </c>
      <c r="R1939" s="33">
        <v>0.16282860775771735</v>
      </c>
      <c r="S1939" s="34">
        <v>2.6949999999999998E-2</v>
      </c>
    </row>
    <row r="1940" spans="16:19" x14ac:dyDescent="0.25">
      <c r="P1940" s="27">
        <v>3.2548184716220556E-2</v>
      </c>
      <c r="Q1940" s="28">
        <f t="shared" si="34"/>
        <v>3.5548184716220559E-2</v>
      </c>
      <c r="R1940" s="33">
        <v>0.16282860775771735</v>
      </c>
      <c r="S1940" s="34">
        <v>2.8199999999999999E-2</v>
      </c>
    </row>
    <row r="1941" spans="16:19" x14ac:dyDescent="0.25">
      <c r="P1941" s="27">
        <v>3.2548184716220556E-2</v>
      </c>
      <c r="Q1941" s="28">
        <f t="shared" si="34"/>
        <v>3.5548184716220559E-2</v>
      </c>
      <c r="R1941" s="33">
        <v>0.16282860775771735</v>
      </c>
      <c r="S1941" s="34">
        <v>3.5999999999999997E-2</v>
      </c>
    </row>
    <row r="1942" spans="16:19" x14ac:dyDescent="0.25">
      <c r="P1942" s="27">
        <v>3.2548184716220556E-2</v>
      </c>
      <c r="Q1942" s="28">
        <f t="shared" si="34"/>
        <v>3.5548184716220559E-2</v>
      </c>
      <c r="R1942" s="33">
        <v>0.16282860775771735</v>
      </c>
      <c r="S1942" s="34">
        <v>5.305E-2</v>
      </c>
    </row>
    <row r="1943" spans="16:19" x14ac:dyDescent="0.25">
      <c r="P1943" s="27">
        <v>3.2548184716220556E-2</v>
      </c>
      <c r="Q1943" s="28">
        <f t="shared" si="34"/>
        <v>3.5548184716220559E-2</v>
      </c>
      <c r="R1943" s="31">
        <v>0.15939660775771733</v>
      </c>
      <c r="S1943" s="32">
        <v>7.4999999999999997E-2</v>
      </c>
    </row>
    <row r="1944" spans="16:19" x14ac:dyDescent="0.25">
      <c r="P1944" s="27">
        <v>3.2548184716220556E-2</v>
      </c>
      <c r="Q1944" s="28">
        <f t="shared" si="34"/>
        <v>3.5548184716220559E-2</v>
      </c>
      <c r="R1944" s="31">
        <v>0.15939660775771733</v>
      </c>
      <c r="S1944" s="32">
        <v>5.5659999999999994E-2</v>
      </c>
    </row>
    <row r="1945" spans="16:19" x14ac:dyDescent="0.25">
      <c r="P1945" s="27">
        <v>3.2548184716220556E-2</v>
      </c>
      <c r="Q1945" s="28">
        <f t="shared" si="34"/>
        <v>3.5548184716220559E-2</v>
      </c>
      <c r="R1945" s="31">
        <v>0.15939660775771733</v>
      </c>
      <c r="S1945" s="32">
        <v>4.2869999999999998E-2</v>
      </c>
    </row>
    <row r="1946" spans="16:19" x14ac:dyDescent="0.25">
      <c r="P1946" s="27">
        <v>3.2548184716220556E-2</v>
      </c>
      <c r="Q1946" s="28">
        <f t="shared" si="34"/>
        <v>3.5548184716220559E-2</v>
      </c>
      <c r="R1946" s="31">
        <v>0.15939660775771733</v>
      </c>
      <c r="S1946" s="32">
        <v>4.4999999999999998E-2</v>
      </c>
    </row>
    <row r="1947" spans="16:19" x14ac:dyDescent="0.25">
      <c r="P1947" s="27">
        <v>3.2548184716220556E-2</v>
      </c>
      <c r="Q1947" s="28">
        <f t="shared" si="34"/>
        <v>3.5548184716220559E-2</v>
      </c>
      <c r="R1947" s="29">
        <v>0.15003660775771735</v>
      </c>
      <c r="S1947" s="30">
        <v>3.8979999999999994E-2</v>
      </c>
    </row>
    <row r="1948" spans="16:19" x14ac:dyDescent="0.25">
      <c r="P1948" s="27">
        <v>3.2548184716220556E-2</v>
      </c>
      <c r="Q1948" s="28">
        <f t="shared" si="34"/>
        <v>3.5548184716220559E-2</v>
      </c>
      <c r="R1948" s="29">
        <v>0.15003660775771735</v>
      </c>
      <c r="S1948" s="30">
        <v>3.3309999999999999E-2</v>
      </c>
    </row>
    <row r="1949" spans="16:19" x14ac:dyDescent="0.25">
      <c r="P1949" s="27">
        <v>3.2548184716220556E-2</v>
      </c>
      <c r="Q1949" s="28">
        <f t="shared" si="34"/>
        <v>3.5548184716220559E-2</v>
      </c>
      <c r="R1949" s="29">
        <v>0.15003660775771735</v>
      </c>
      <c r="S1949" s="30">
        <v>2.2445138E-2</v>
      </c>
    </row>
    <row r="1950" spans="16:19" x14ac:dyDescent="0.25">
      <c r="P1950" s="27">
        <v>3.2548184716220556E-2</v>
      </c>
      <c r="Q1950" s="28">
        <f t="shared" si="34"/>
        <v>3.5548184716220559E-2</v>
      </c>
      <c r="R1950" s="29">
        <v>0.15003660775771735</v>
      </c>
      <c r="S1950" s="30">
        <v>1.9609999999999999E-2</v>
      </c>
    </row>
    <row r="1951" spans="16:19" x14ac:dyDescent="0.25">
      <c r="P1951" s="27">
        <v>3.2548184716220556E-2</v>
      </c>
      <c r="Q1951" s="28">
        <f t="shared" si="34"/>
        <v>3.5548184716220559E-2</v>
      </c>
      <c r="R1951" s="29">
        <v>0.15003660775771735</v>
      </c>
      <c r="S1951" s="30">
        <v>1.5529999999999999E-2</v>
      </c>
    </row>
    <row r="1952" spans="16:19" x14ac:dyDescent="0.25">
      <c r="P1952" s="27">
        <v>3.2548184716220556E-2</v>
      </c>
      <c r="Q1952" s="28">
        <f t="shared" si="34"/>
        <v>3.5548184716220559E-2</v>
      </c>
      <c r="R1952" s="29">
        <v>0.15003660775771735</v>
      </c>
      <c r="S1952" s="30">
        <v>1.4999999999999999E-2</v>
      </c>
    </row>
    <row r="1953" spans="16:19" x14ac:dyDescent="0.25">
      <c r="P1953" s="27">
        <v>3.2548184716220556E-2</v>
      </c>
      <c r="Q1953" s="28">
        <f t="shared" si="34"/>
        <v>3.5548184716220559E-2</v>
      </c>
      <c r="R1953" s="29">
        <v>0.15003660775771735</v>
      </c>
      <c r="S1953" s="30">
        <v>1.6399999999999998E-2</v>
      </c>
    </row>
    <row r="1954" spans="16:19" x14ac:dyDescent="0.25">
      <c r="P1954" s="27">
        <v>3.2548184716220556E-2</v>
      </c>
      <c r="Q1954" s="28">
        <f t="shared" si="34"/>
        <v>3.5548184716220559E-2</v>
      </c>
      <c r="R1954" s="29">
        <v>0.15003660775771735</v>
      </c>
      <c r="S1954" s="30">
        <v>1.779E-2</v>
      </c>
    </row>
    <row r="1955" spans="16:19" x14ac:dyDescent="0.25">
      <c r="P1955" s="27">
        <v>3.2548184716220556E-2</v>
      </c>
      <c r="Q1955" s="28">
        <f t="shared" si="34"/>
        <v>3.5548184716220559E-2</v>
      </c>
      <c r="R1955" s="31">
        <v>0.15939660775771733</v>
      </c>
      <c r="S1955" s="32">
        <v>1.8035115000000001E-2</v>
      </c>
    </row>
    <row r="1956" spans="16:19" x14ac:dyDescent="0.25">
      <c r="P1956" s="27">
        <v>3.2548184716220556E-2</v>
      </c>
      <c r="Q1956" s="28">
        <f t="shared" si="34"/>
        <v>3.5548184716220559E-2</v>
      </c>
      <c r="R1956" s="33">
        <v>0.16282860775771735</v>
      </c>
      <c r="S1956" s="34">
        <v>1.967E-2</v>
      </c>
    </row>
    <row r="1957" spans="16:19" x14ac:dyDescent="0.25">
      <c r="P1957" s="27">
        <v>3.2548184716220556E-2</v>
      </c>
      <c r="Q1957" s="28">
        <f t="shared" si="34"/>
        <v>3.5548184716220559E-2</v>
      </c>
      <c r="R1957" s="33">
        <v>0.16282860775771735</v>
      </c>
      <c r="S1957" s="34">
        <v>2.3E-2</v>
      </c>
    </row>
    <row r="1958" spans="16:19" x14ac:dyDescent="0.25">
      <c r="P1958" s="27">
        <v>3.2548184716220556E-2</v>
      </c>
      <c r="Q1958" s="28">
        <f t="shared" si="34"/>
        <v>3.5548184716220559E-2</v>
      </c>
      <c r="R1958" s="33">
        <v>0.16282860775771735</v>
      </c>
      <c r="S1958" s="34">
        <v>2.8000000000000001E-2</v>
      </c>
    </row>
    <row r="1959" spans="16:19" x14ac:dyDescent="0.25">
      <c r="P1959" s="27">
        <v>3.2548184716220556E-2</v>
      </c>
      <c r="Q1959" s="28">
        <f t="shared" si="34"/>
        <v>3.5548184716220559E-2</v>
      </c>
      <c r="R1959" s="33">
        <v>0.16282860775771735</v>
      </c>
      <c r="S1959" s="34">
        <v>0.03</v>
      </c>
    </row>
    <row r="1960" spans="16:19" x14ac:dyDescent="0.25">
      <c r="P1960" s="27">
        <v>3.2548184716220556E-2</v>
      </c>
      <c r="Q1960" s="28">
        <f t="shared" si="34"/>
        <v>3.5548184716220559E-2</v>
      </c>
      <c r="R1960" s="33">
        <v>0.16282860775771735</v>
      </c>
      <c r="S1960" s="34">
        <v>2.955E-2</v>
      </c>
    </row>
    <row r="1961" spans="16:19" x14ac:dyDescent="0.25">
      <c r="P1961" s="27">
        <v>3.2548184716220556E-2</v>
      </c>
      <c r="Q1961" s="28">
        <f t="shared" si="34"/>
        <v>3.5548184716220559E-2</v>
      </c>
      <c r="R1961" s="33">
        <v>0.16282860775771735</v>
      </c>
      <c r="S1961" s="34">
        <v>2.58E-2</v>
      </c>
    </row>
    <row r="1962" spans="16:19" x14ac:dyDescent="0.25">
      <c r="P1962" s="27">
        <v>3.2548184716220556E-2</v>
      </c>
      <c r="Q1962" s="28">
        <f t="shared" si="34"/>
        <v>3.5548184716220559E-2</v>
      </c>
      <c r="R1962" s="33">
        <v>0.16282860775771735</v>
      </c>
      <c r="S1962" s="34">
        <v>2.1999999999999999E-2</v>
      </c>
    </row>
    <row r="1963" spans="16:19" x14ac:dyDescent="0.25">
      <c r="P1963" s="27">
        <v>3.2548184716220556E-2</v>
      </c>
      <c r="Q1963" s="28">
        <f t="shared" si="34"/>
        <v>3.5548184716220559E-2</v>
      </c>
      <c r="R1963" s="33">
        <v>0.16282860775771735</v>
      </c>
      <c r="S1963" s="34">
        <v>2.189E-2</v>
      </c>
    </row>
    <row r="1964" spans="16:19" x14ac:dyDescent="0.25">
      <c r="P1964" s="27">
        <v>3.2548184716220556E-2</v>
      </c>
      <c r="Q1964" s="28">
        <f t="shared" si="34"/>
        <v>3.5548184716220559E-2</v>
      </c>
      <c r="R1964" s="33">
        <v>0.16282860775771735</v>
      </c>
      <c r="S1964" s="34">
        <v>2.249E-2</v>
      </c>
    </row>
    <row r="1965" spans="16:19" x14ac:dyDescent="0.25">
      <c r="P1965" s="27">
        <v>3.2548184716220556E-2</v>
      </c>
      <c r="Q1965" s="28">
        <f t="shared" si="34"/>
        <v>3.5548184716220559E-2</v>
      </c>
      <c r="R1965" s="33">
        <v>0.16282860775771735</v>
      </c>
      <c r="S1965" s="34">
        <v>3.3000000000000002E-2</v>
      </c>
    </row>
    <row r="1966" spans="16:19" x14ac:dyDescent="0.25">
      <c r="P1966" s="27">
        <v>3.2548184716220556E-2</v>
      </c>
      <c r="Q1966" s="28">
        <f t="shared" si="34"/>
        <v>3.5548184716220559E-2</v>
      </c>
      <c r="R1966" s="33">
        <v>0.16282860775771735</v>
      </c>
      <c r="S1966" s="34">
        <v>4.4740077999999996E-2</v>
      </c>
    </row>
    <row r="1967" spans="16:19" x14ac:dyDescent="0.25">
      <c r="P1967" s="27">
        <v>3.2548184716220556E-2</v>
      </c>
      <c r="Q1967" s="28">
        <f t="shared" si="34"/>
        <v>3.5548184716220559E-2</v>
      </c>
      <c r="R1967" s="31">
        <v>0.15939660775771733</v>
      </c>
      <c r="S1967" s="32">
        <v>8.1299999999999997E-2</v>
      </c>
    </row>
    <row r="1968" spans="16:19" x14ac:dyDescent="0.25">
      <c r="P1968" s="27">
        <v>3.2548184716220556E-2</v>
      </c>
      <c r="Q1968" s="28">
        <f t="shared" si="34"/>
        <v>3.5548184716220559E-2</v>
      </c>
      <c r="R1968" s="31">
        <v>0.15939660775771733</v>
      </c>
      <c r="S1968" s="32">
        <v>7.0000000000000007E-2</v>
      </c>
    </row>
    <row r="1969" spans="16:19" x14ac:dyDescent="0.25">
      <c r="P1969" s="27">
        <v>3.2548184716220556E-2</v>
      </c>
      <c r="Q1969" s="28">
        <f t="shared" si="34"/>
        <v>3.5548184716220559E-2</v>
      </c>
      <c r="R1969" s="31">
        <v>0.15939660775771733</v>
      </c>
      <c r="S1969" s="32">
        <v>5.5E-2</v>
      </c>
    </row>
    <row r="1970" spans="16:19" x14ac:dyDescent="0.25">
      <c r="P1970" s="27">
        <v>3.2548184716220556E-2</v>
      </c>
      <c r="Q1970" s="28">
        <f t="shared" si="34"/>
        <v>3.5548184716220559E-2</v>
      </c>
      <c r="R1970" s="31">
        <v>0.15939660775771733</v>
      </c>
      <c r="S1970" s="32">
        <v>4.3999999999999997E-2</v>
      </c>
    </row>
    <row r="1971" spans="16:19" x14ac:dyDescent="0.25">
      <c r="P1971" s="27">
        <v>3.2548184716220556E-2</v>
      </c>
      <c r="Q1971" s="28">
        <f t="shared" si="34"/>
        <v>3.5548184716220559E-2</v>
      </c>
      <c r="R1971" s="29">
        <v>0.15003660775771735</v>
      </c>
      <c r="S1971" s="30">
        <v>3.5000000000000003E-2</v>
      </c>
    </row>
    <row r="1972" spans="16:19" x14ac:dyDescent="0.25">
      <c r="P1972" s="27">
        <v>3.2548184716220556E-2</v>
      </c>
      <c r="Q1972" s="28">
        <f t="shared" si="34"/>
        <v>3.5548184716220559E-2</v>
      </c>
      <c r="R1972" s="29">
        <v>0.15003660775771735</v>
      </c>
      <c r="S1972" s="30">
        <v>3.3189999999999997E-2</v>
      </c>
    </row>
    <row r="1973" spans="16:19" x14ac:dyDescent="0.25">
      <c r="P1973" s="27">
        <v>3.2548184716220556E-2</v>
      </c>
      <c r="Q1973" s="28">
        <f t="shared" si="34"/>
        <v>3.5548184716220559E-2</v>
      </c>
      <c r="R1973" s="29">
        <v>0.15003660775771735</v>
      </c>
      <c r="S1973" s="30">
        <v>2.7800000000000002E-2</v>
      </c>
    </row>
    <row r="1974" spans="16:19" x14ac:dyDescent="0.25">
      <c r="P1974" s="27">
        <v>3.2548184716220556E-2</v>
      </c>
      <c r="Q1974" s="28">
        <f t="shared" si="34"/>
        <v>3.5548184716220559E-2</v>
      </c>
      <c r="R1974" s="29">
        <v>0.15003660775771735</v>
      </c>
      <c r="S1974" s="30">
        <v>2.4E-2</v>
      </c>
    </row>
    <row r="1975" spans="16:19" x14ac:dyDescent="0.25">
      <c r="P1975" s="27">
        <v>3.2548184716220556E-2</v>
      </c>
      <c r="Q1975" s="28">
        <f t="shared" si="34"/>
        <v>3.5548184716220559E-2</v>
      </c>
      <c r="R1975" s="29">
        <v>0.15003660775771735</v>
      </c>
      <c r="S1975" s="30">
        <v>2.4E-2</v>
      </c>
    </row>
    <row r="1976" spans="16:19" x14ac:dyDescent="0.25">
      <c r="P1976" s="27">
        <v>3.2548184716220556E-2</v>
      </c>
      <c r="Q1976" s="28">
        <f t="shared" si="34"/>
        <v>3.5548184716220559E-2</v>
      </c>
      <c r="R1976" s="29">
        <v>0.15003660775771735</v>
      </c>
      <c r="S1976" s="30">
        <v>2.5649999999999999E-2</v>
      </c>
    </row>
    <row r="1977" spans="16:19" x14ac:dyDescent="0.25">
      <c r="P1977" s="27">
        <v>3.2548184716220556E-2</v>
      </c>
      <c r="Q1977" s="28">
        <f t="shared" si="34"/>
        <v>3.5548184716220559E-2</v>
      </c>
      <c r="R1977" s="29">
        <v>0.15003660775771735</v>
      </c>
      <c r="S1977" s="30">
        <v>3.7229999999999999E-2</v>
      </c>
    </row>
    <row r="1978" spans="16:19" x14ac:dyDescent="0.25">
      <c r="P1978" s="27">
        <v>3.2548184716220556E-2</v>
      </c>
      <c r="Q1978" s="28">
        <f t="shared" si="34"/>
        <v>3.5548184716220559E-2</v>
      </c>
      <c r="R1978" s="29">
        <v>0.15003660775771735</v>
      </c>
      <c r="S1978" s="30">
        <v>5.9979999999999999E-2</v>
      </c>
    </row>
    <row r="1979" spans="16:19" x14ac:dyDescent="0.25">
      <c r="P1979" s="27">
        <v>3.2548184716220556E-2</v>
      </c>
      <c r="Q1979" s="28">
        <f t="shared" si="34"/>
        <v>3.5548184716220559E-2</v>
      </c>
      <c r="R1979" s="31">
        <v>0.15939999999999999</v>
      </c>
      <c r="S1979" s="32">
        <v>6.5549999999999997E-2</v>
      </c>
    </row>
    <row r="1980" spans="16:19" x14ac:dyDescent="0.25">
      <c r="P1980" s="27">
        <v>3.2548184716220556E-2</v>
      </c>
      <c r="Q1980" s="28">
        <f t="shared" si="34"/>
        <v>3.5548184716220559E-2</v>
      </c>
      <c r="R1980" s="31">
        <v>0.15939999999999999</v>
      </c>
      <c r="S1980" s="32">
        <v>7.6700000000000004E-2</v>
      </c>
    </row>
    <row r="1981" spans="16:19" x14ac:dyDescent="0.25">
      <c r="P1981" s="27">
        <v>3.2548184716220556E-2</v>
      </c>
      <c r="Q1981" s="28">
        <f t="shared" si="34"/>
        <v>3.5548184716220559E-2</v>
      </c>
      <c r="R1981" s="31">
        <v>0.15939999999999999</v>
      </c>
      <c r="S1981" s="32">
        <v>6.5250000000000002E-2</v>
      </c>
    </row>
    <row r="1982" spans="16:19" x14ac:dyDescent="0.25">
      <c r="P1982" s="27">
        <v>3.2548184716220556E-2</v>
      </c>
      <c r="Q1982" s="28">
        <f t="shared" si="34"/>
        <v>3.5548184716220559E-2</v>
      </c>
      <c r="R1982" s="31">
        <v>0.15939999999999999</v>
      </c>
      <c r="S1982" s="32">
        <v>5.7799999999999997E-2</v>
      </c>
    </row>
    <row r="1983" spans="16:19" x14ac:dyDescent="0.25">
      <c r="P1983" s="27">
        <v>3.2548184716220556E-2</v>
      </c>
      <c r="Q1983" s="28">
        <f t="shared" si="34"/>
        <v>3.5548184716220559E-2</v>
      </c>
      <c r="R1983" s="31">
        <v>0.15939999999999999</v>
      </c>
      <c r="S1983" s="32">
        <v>5.3999999999999999E-2</v>
      </c>
    </row>
    <row r="1984" spans="16:19" x14ac:dyDescent="0.25">
      <c r="P1984" s="27">
        <v>3.2548184716220556E-2</v>
      </c>
      <c r="Q1984" s="28">
        <f t="shared" si="34"/>
        <v>3.5548184716220559E-2</v>
      </c>
      <c r="R1984" s="31">
        <v>0.15939999999999999</v>
      </c>
      <c r="S1984" s="32">
        <v>4.8759999999999998E-2</v>
      </c>
    </row>
    <row r="1985" spans="16:19" x14ac:dyDescent="0.25">
      <c r="P1985" s="27">
        <v>3.2548184716220556E-2</v>
      </c>
      <c r="Q1985" s="28">
        <f t="shared" si="34"/>
        <v>3.5548184716220559E-2</v>
      </c>
      <c r="R1985" s="31">
        <v>0.15939999999999999</v>
      </c>
      <c r="S1985" s="32">
        <v>4.9000000000000002E-2</v>
      </c>
    </row>
    <row r="1986" spans="16:19" x14ac:dyDescent="0.25">
      <c r="P1986" s="27">
        <v>3.2548184716220556E-2</v>
      </c>
      <c r="Q1986" s="28">
        <f t="shared" si="34"/>
        <v>3.5548184716220559E-2</v>
      </c>
      <c r="R1986" s="31">
        <v>0.15939999999999999</v>
      </c>
      <c r="S1986" s="32">
        <v>5.5E-2</v>
      </c>
    </row>
    <row r="1987" spans="16:19" x14ac:dyDescent="0.25">
      <c r="P1987" s="27">
        <v>3.2548184716220556E-2</v>
      </c>
      <c r="Q1987" s="28">
        <f t="shared" si="34"/>
        <v>3.5548184716220559E-2</v>
      </c>
      <c r="R1987" s="31">
        <v>0.15939999999999999</v>
      </c>
      <c r="S1987" s="32">
        <v>5.5500000000000001E-2</v>
      </c>
    </row>
    <row r="1988" spans="16:19" x14ac:dyDescent="0.25">
      <c r="P1988" s="27">
        <v>3.2548184716220556E-2</v>
      </c>
      <c r="Q1988" s="28">
        <f t="shared" si="34"/>
        <v>3.5548184716220559E-2</v>
      </c>
      <c r="R1988" s="31">
        <v>0.15939999999999999</v>
      </c>
      <c r="S1988" s="32">
        <v>5.6210000000000003E-2</v>
      </c>
    </row>
    <row r="1989" spans="16:19" x14ac:dyDescent="0.25">
      <c r="P1989" s="27">
        <v>3.2548184716220556E-2</v>
      </c>
      <c r="Q1989" s="28">
        <f t="shared" ref="Q1989:Q2052" si="35">P1989+0.003</f>
        <v>3.5548184716220559E-2</v>
      </c>
      <c r="R1989" s="31">
        <v>0.15939999999999999</v>
      </c>
      <c r="S1989" s="32">
        <v>5.6070000000000002E-2</v>
      </c>
    </row>
    <row r="1990" spans="16:19" x14ac:dyDescent="0.25">
      <c r="P1990" s="27">
        <v>3.2548184716220556E-2</v>
      </c>
      <c r="Q1990" s="28">
        <f t="shared" si="35"/>
        <v>3.5548184716220559E-2</v>
      </c>
      <c r="R1990" s="31">
        <v>0.15939999999999999</v>
      </c>
      <c r="S1990" s="32">
        <v>6.4700000000000008E-2</v>
      </c>
    </row>
    <row r="1991" spans="16:19" x14ac:dyDescent="0.25">
      <c r="P1991" s="27">
        <v>3.2548184716220556E-2</v>
      </c>
      <c r="Q1991" s="28">
        <f t="shared" si="35"/>
        <v>3.5548184716220559E-2</v>
      </c>
      <c r="R1991" s="31">
        <v>0.15939999999999999</v>
      </c>
      <c r="S1991" s="32">
        <v>8.0649999999999999E-2</v>
      </c>
    </row>
    <row r="1992" spans="16:19" x14ac:dyDescent="0.25">
      <c r="P1992" s="27">
        <v>3.2548184716220556E-2</v>
      </c>
      <c r="Q1992" s="28">
        <f t="shared" si="35"/>
        <v>3.5548184716220559E-2</v>
      </c>
      <c r="R1992" s="31">
        <v>0.15939999999999999</v>
      </c>
      <c r="S1992" s="32">
        <v>6.4370000000000011E-2</v>
      </c>
    </row>
    <row r="1993" spans="16:19" x14ac:dyDescent="0.25">
      <c r="P1993" s="27">
        <v>3.2548184716220556E-2</v>
      </c>
      <c r="Q1993" s="28">
        <f t="shared" si="35"/>
        <v>3.5548184716220559E-2</v>
      </c>
      <c r="R1993" s="31">
        <v>0.15939999999999999</v>
      </c>
      <c r="S1993" s="32">
        <v>5.5990000000000005E-2</v>
      </c>
    </row>
    <row r="1994" spans="16:19" x14ac:dyDescent="0.25">
      <c r="P1994" s="27">
        <v>3.2548184716220556E-2</v>
      </c>
      <c r="Q1994" s="28">
        <f t="shared" si="35"/>
        <v>3.5548184716220559E-2</v>
      </c>
      <c r="R1994" s="31">
        <v>0.15939999999999999</v>
      </c>
      <c r="S1994" s="32">
        <v>5.0799999999999998E-2</v>
      </c>
    </row>
    <row r="1995" spans="16:19" x14ac:dyDescent="0.25">
      <c r="P1995" s="27">
        <v>3.2548184716220556E-2</v>
      </c>
      <c r="Q1995" s="28">
        <f t="shared" si="35"/>
        <v>3.5548184716220559E-2</v>
      </c>
      <c r="R1995" s="29">
        <v>0.15</v>
      </c>
      <c r="S1995" s="30">
        <v>4.4200000000000003E-2</v>
      </c>
    </row>
    <row r="1996" spans="16:19" x14ac:dyDescent="0.25">
      <c r="P1996" s="27">
        <v>3.2548184716220556E-2</v>
      </c>
      <c r="Q1996" s="28">
        <f t="shared" si="35"/>
        <v>3.5548184716220559E-2</v>
      </c>
      <c r="R1996" s="29">
        <v>0.15</v>
      </c>
      <c r="S1996" s="30">
        <v>3.755E-2</v>
      </c>
    </row>
    <row r="1997" spans="16:19" x14ac:dyDescent="0.25">
      <c r="P1997" s="27">
        <v>3.2548184716220556E-2</v>
      </c>
      <c r="Q1997" s="28">
        <f t="shared" si="35"/>
        <v>3.5548184716220559E-2</v>
      </c>
      <c r="R1997" s="29">
        <v>0.15</v>
      </c>
      <c r="S1997" s="30">
        <v>3.4099999999999998E-2</v>
      </c>
    </row>
    <row r="1998" spans="16:19" x14ac:dyDescent="0.25">
      <c r="P1998" s="27">
        <v>3.2548184716220556E-2</v>
      </c>
      <c r="Q1998" s="28">
        <f t="shared" si="35"/>
        <v>3.5548184716220559E-2</v>
      </c>
      <c r="R1998" s="29">
        <v>0.15</v>
      </c>
      <c r="S1998" s="30">
        <v>3.3189999999999997E-2</v>
      </c>
    </row>
    <row r="1999" spans="16:19" x14ac:dyDescent="0.25">
      <c r="P1999" s="27">
        <v>3.2548184716220556E-2</v>
      </c>
      <c r="Q1999" s="28">
        <f t="shared" si="35"/>
        <v>3.5548184716220559E-2</v>
      </c>
      <c r="R1999" s="29">
        <v>0.15</v>
      </c>
      <c r="S1999" s="30">
        <v>3.1379999999999998E-2</v>
      </c>
    </row>
    <row r="2000" spans="16:19" x14ac:dyDescent="0.25">
      <c r="P2000" s="27">
        <v>3.2548184716220556E-2</v>
      </c>
      <c r="Q2000" s="28">
        <f t="shared" si="35"/>
        <v>3.5548184716220559E-2</v>
      </c>
      <c r="R2000" s="29">
        <v>0.15</v>
      </c>
      <c r="S2000" s="30">
        <v>3.3189999999999997E-2</v>
      </c>
    </row>
    <row r="2001" spans="16:19" x14ac:dyDescent="0.25">
      <c r="P2001" s="27">
        <v>3.2548184716220556E-2</v>
      </c>
      <c r="Q2001" s="28">
        <f t="shared" si="35"/>
        <v>3.5548184716220559E-2</v>
      </c>
      <c r="R2001" s="29">
        <v>0.15</v>
      </c>
      <c r="S2001" s="30">
        <v>3.6909999999999998E-2</v>
      </c>
    </row>
    <row r="2002" spans="16:19" x14ac:dyDescent="0.25">
      <c r="P2002" s="27">
        <v>3.2548184716220556E-2</v>
      </c>
      <c r="Q2002" s="28">
        <f t="shared" si="35"/>
        <v>3.5548184716220559E-2</v>
      </c>
      <c r="R2002" s="29">
        <v>0.15</v>
      </c>
      <c r="S2002" s="30">
        <v>4.6986825000000003E-2</v>
      </c>
    </row>
    <row r="2003" spans="16:19" x14ac:dyDescent="0.25">
      <c r="P2003" s="27">
        <v>3.2548184716220556E-2</v>
      </c>
      <c r="Q2003" s="28">
        <f t="shared" si="35"/>
        <v>3.5548184716220559E-2</v>
      </c>
      <c r="R2003" s="29">
        <v>0.15</v>
      </c>
      <c r="S2003" s="30">
        <v>5.5159999999999994E-2</v>
      </c>
    </row>
    <row r="2004" spans="16:19" x14ac:dyDescent="0.25">
      <c r="P2004" s="27">
        <v>3.2548184716220556E-2</v>
      </c>
      <c r="Q2004" s="28">
        <f t="shared" si="35"/>
        <v>3.5548184716220559E-2</v>
      </c>
      <c r="R2004" s="29">
        <v>0.15</v>
      </c>
      <c r="S2004" s="30">
        <v>6.7000000000000004E-2</v>
      </c>
    </row>
    <row r="2005" spans="16:19" x14ac:dyDescent="0.25">
      <c r="P2005" s="27">
        <v>3.2548184716220556E-2</v>
      </c>
      <c r="Q2005" s="28">
        <f t="shared" si="35"/>
        <v>3.5548184716220559E-2</v>
      </c>
      <c r="R2005" s="29">
        <v>0.15</v>
      </c>
      <c r="S2005" s="30">
        <v>6.2822818000000002E-2</v>
      </c>
    </row>
    <row r="2006" spans="16:19" x14ac:dyDescent="0.25">
      <c r="P2006" s="27">
        <v>3.2548184716220556E-2</v>
      </c>
      <c r="Q2006" s="28">
        <f t="shared" si="35"/>
        <v>3.5548184716220559E-2</v>
      </c>
      <c r="R2006" s="29">
        <v>0.15</v>
      </c>
      <c r="S2006" s="30">
        <v>5.738E-2</v>
      </c>
    </row>
    <row r="2007" spans="16:19" x14ac:dyDescent="0.25">
      <c r="P2007" s="27">
        <v>3.2548184716220556E-2</v>
      </c>
      <c r="Q2007" s="28">
        <f t="shared" si="35"/>
        <v>3.5548184716220559E-2</v>
      </c>
      <c r="R2007" s="29">
        <v>0.15</v>
      </c>
      <c r="S2007" s="30">
        <v>5.6280000000000004E-2</v>
      </c>
    </row>
    <row r="2008" spans="16:19" x14ac:dyDescent="0.25">
      <c r="P2008" s="27">
        <v>3.2548184716220556E-2</v>
      </c>
      <c r="Q2008" s="28">
        <f t="shared" si="35"/>
        <v>3.5548184716220559E-2</v>
      </c>
      <c r="R2008" s="29">
        <v>0.15</v>
      </c>
      <c r="S2008" s="30">
        <v>5.1999999999999998E-2</v>
      </c>
    </row>
    <row r="2009" spans="16:19" x14ac:dyDescent="0.25">
      <c r="P2009" s="27">
        <v>3.2548184716220556E-2</v>
      </c>
      <c r="Q2009" s="28">
        <f t="shared" si="35"/>
        <v>3.5548184716220559E-2</v>
      </c>
      <c r="R2009" s="29">
        <v>0.15</v>
      </c>
      <c r="S2009" s="30">
        <v>5.3539999999999997E-2</v>
      </c>
    </row>
    <row r="2010" spans="16:19" x14ac:dyDescent="0.25">
      <c r="P2010" s="27">
        <v>3.2548184716220556E-2</v>
      </c>
      <c r="Q2010" s="28">
        <f t="shared" si="35"/>
        <v>3.5548184716220559E-2</v>
      </c>
      <c r="R2010" s="29">
        <v>0.15</v>
      </c>
      <c r="S2010" s="30">
        <v>5.5020000000000006E-2</v>
      </c>
    </row>
    <row r="2011" spans="16:19" x14ac:dyDescent="0.25">
      <c r="P2011" s="27">
        <v>3.2548184716220556E-2</v>
      </c>
      <c r="Q2011" s="28">
        <f t="shared" si="35"/>
        <v>3.5548184716220559E-2</v>
      </c>
      <c r="R2011" s="29">
        <v>0.15</v>
      </c>
      <c r="S2011" s="30">
        <v>5.568E-2</v>
      </c>
    </row>
    <row r="2012" spans="16:19" x14ac:dyDescent="0.25">
      <c r="P2012" s="27">
        <v>3.2548184716220556E-2</v>
      </c>
      <c r="Q2012" s="28">
        <f t="shared" si="35"/>
        <v>3.5548184716220559E-2</v>
      </c>
      <c r="R2012" s="29">
        <v>0.15</v>
      </c>
      <c r="S2012" s="30">
        <v>5.7700000000000001E-2</v>
      </c>
    </row>
    <row r="2013" spans="16:19" x14ac:dyDescent="0.25">
      <c r="P2013" s="27">
        <v>3.2548184716220556E-2</v>
      </c>
      <c r="Q2013" s="28">
        <f t="shared" si="35"/>
        <v>3.5548184716220559E-2</v>
      </c>
      <c r="R2013" s="29">
        <v>0.15</v>
      </c>
      <c r="S2013" s="30">
        <v>5.96E-2</v>
      </c>
    </row>
    <row r="2014" spans="16:19" x14ac:dyDescent="0.25">
      <c r="P2014" s="27">
        <v>3.2548184716220556E-2</v>
      </c>
      <c r="Q2014" s="28">
        <f t="shared" si="35"/>
        <v>3.5548184716220559E-2</v>
      </c>
      <c r="R2014" s="29">
        <v>0.15</v>
      </c>
      <c r="S2014" s="30">
        <v>6.6900000000000001E-2</v>
      </c>
    </row>
    <row r="2015" spans="16:19" x14ac:dyDescent="0.25">
      <c r="P2015" s="27">
        <v>3.2548184716220556E-2</v>
      </c>
      <c r="Q2015" s="28">
        <f t="shared" si="35"/>
        <v>3.5548184716220559E-2</v>
      </c>
      <c r="R2015" s="29">
        <v>0.15</v>
      </c>
      <c r="S2015" s="30">
        <v>8.7709999999999996E-2</v>
      </c>
    </row>
    <row r="2016" spans="16:19" x14ac:dyDescent="0.25">
      <c r="P2016" s="27">
        <v>3.2548184716220556E-2</v>
      </c>
      <c r="Q2016" s="28">
        <f t="shared" si="35"/>
        <v>3.5548184716220559E-2</v>
      </c>
      <c r="R2016" s="29">
        <v>0.15</v>
      </c>
      <c r="S2016" s="30">
        <v>6.7709999999999992E-2</v>
      </c>
    </row>
    <row r="2017" spans="16:19" x14ac:dyDescent="0.25">
      <c r="P2017" s="27">
        <v>3.2548184716220556E-2</v>
      </c>
      <c r="Q2017" s="28">
        <f t="shared" si="35"/>
        <v>3.5548184716220559E-2</v>
      </c>
      <c r="R2017" s="29">
        <v>0.15</v>
      </c>
      <c r="S2017" s="30">
        <v>5.9319999999999998E-2</v>
      </c>
    </row>
    <row r="2018" spans="16:19" x14ac:dyDescent="0.25">
      <c r="P2018" s="27">
        <v>3.2548184716220556E-2</v>
      </c>
      <c r="Q2018" s="28">
        <f t="shared" si="35"/>
        <v>3.5548184716220559E-2</v>
      </c>
      <c r="R2018" s="29">
        <v>0.15</v>
      </c>
      <c r="S2018" s="30">
        <v>5.4969999999999998E-2</v>
      </c>
    </row>
    <row r="2019" spans="16:19" x14ac:dyDescent="0.25">
      <c r="P2019" s="27">
        <v>3.2548184716220556E-2</v>
      </c>
      <c r="Q2019" s="28">
        <f t="shared" si="35"/>
        <v>3.5548184716220559E-2</v>
      </c>
      <c r="R2019" s="29">
        <v>0.15</v>
      </c>
      <c r="S2019" s="30">
        <v>4.7799999999999995E-2</v>
      </c>
    </row>
    <row r="2020" spans="16:19" x14ac:dyDescent="0.25">
      <c r="P2020" s="27">
        <v>3.2548184716220556E-2</v>
      </c>
      <c r="Q2020" s="28">
        <f t="shared" si="35"/>
        <v>3.5548184716220559E-2</v>
      </c>
      <c r="R2020" s="29">
        <v>0.15</v>
      </c>
      <c r="S2020" s="30">
        <v>4.1259999999999998E-2</v>
      </c>
    </row>
    <row r="2021" spans="16:19" x14ac:dyDescent="0.25">
      <c r="P2021" s="27">
        <v>3.2548184716220556E-2</v>
      </c>
      <c r="Q2021" s="28">
        <f t="shared" si="35"/>
        <v>3.5548184716220559E-2</v>
      </c>
      <c r="R2021" s="29">
        <v>0.15</v>
      </c>
      <c r="S2021" s="30">
        <v>3.8979999999999994E-2</v>
      </c>
    </row>
    <row r="2022" spans="16:19" x14ac:dyDescent="0.25">
      <c r="P2022" s="27">
        <v>3.2548184716220556E-2</v>
      </c>
      <c r="Q2022" s="28">
        <f t="shared" si="35"/>
        <v>3.5548184716220559E-2</v>
      </c>
      <c r="R2022" s="29">
        <v>0.15</v>
      </c>
      <c r="S2022" s="30">
        <v>3.6420000000000001E-2</v>
      </c>
    </row>
    <row r="2023" spans="16:19" x14ac:dyDescent="0.25">
      <c r="P2023" s="27">
        <v>3.2548184716220556E-2</v>
      </c>
      <c r="Q2023" s="28">
        <f t="shared" si="35"/>
        <v>3.5548184716220559E-2</v>
      </c>
      <c r="R2023" s="29">
        <v>0.15</v>
      </c>
      <c r="S2023" s="30">
        <v>3.32E-2</v>
      </c>
    </row>
    <row r="2024" spans="16:19" x14ac:dyDescent="0.25">
      <c r="P2024" s="27">
        <v>3.2548184716220556E-2</v>
      </c>
      <c r="Q2024" s="28">
        <f t="shared" si="35"/>
        <v>3.5548184716220559E-2</v>
      </c>
      <c r="R2024" s="29">
        <v>0.15</v>
      </c>
      <c r="S2024" s="30">
        <v>3.3250000000000002E-2</v>
      </c>
    </row>
    <row r="2025" spans="16:19" x14ac:dyDescent="0.25">
      <c r="P2025" s="27">
        <v>3.2548184716220556E-2</v>
      </c>
      <c r="Q2025" s="28">
        <f t="shared" si="35"/>
        <v>3.5548184716220559E-2</v>
      </c>
      <c r="R2025" s="29">
        <v>0.15</v>
      </c>
      <c r="S2025" s="30">
        <v>3.8649999999999997E-2</v>
      </c>
    </row>
    <row r="2026" spans="16:19" x14ac:dyDescent="0.25">
      <c r="P2026" s="27">
        <v>3.2548184716220556E-2</v>
      </c>
      <c r="Q2026" s="28">
        <f t="shared" si="35"/>
        <v>3.5548184716220559E-2</v>
      </c>
      <c r="R2026" s="29">
        <v>0.15</v>
      </c>
      <c r="S2026" s="30">
        <v>4.5020000000000004E-2</v>
      </c>
    </row>
    <row r="2027" spans="16:19" x14ac:dyDescent="0.25">
      <c r="P2027" s="27">
        <v>3.2548184716220556E-2</v>
      </c>
      <c r="Q2027" s="28">
        <f t="shared" si="35"/>
        <v>3.5548184716220559E-2</v>
      </c>
      <c r="R2027" s="31">
        <v>0.15939660775771733</v>
      </c>
      <c r="S2027" s="32">
        <v>5.1999999999999998E-2</v>
      </c>
    </row>
    <row r="2028" spans="16:19" x14ac:dyDescent="0.25">
      <c r="P2028" s="27">
        <v>3.2548184716220556E-2</v>
      </c>
      <c r="Q2028" s="28">
        <f t="shared" si="35"/>
        <v>3.5548184716220559E-2</v>
      </c>
      <c r="R2028" s="33">
        <v>0.16282860775771735</v>
      </c>
      <c r="S2028" s="34">
        <v>5.8999999999999997E-2</v>
      </c>
    </row>
    <row r="2029" spans="16:19" x14ac:dyDescent="0.25">
      <c r="P2029" s="27">
        <v>3.2548184716220556E-2</v>
      </c>
      <c r="Q2029" s="28">
        <f t="shared" si="35"/>
        <v>3.5548184716220559E-2</v>
      </c>
      <c r="R2029" s="33">
        <v>0.16282860775771735</v>
      </c>
      <c r="S2029" s="34">
        <v>5.7439999999999998E-2</v>
      </c>
    </row>
    <row r="2030" spans="16:19" x14ac:dyDescent="0.25">
      <c r="P2030" s="27">
        <v>3.2548184716220556E-2</v>
      </c>
      <c r="Q2030" s="28">
        <f t="shared" si="35"/>
        <v>3.5548184716220559E-2</v>
      </c>
      <c r="R2030" s="33">
        <v>0.16282860775771735</v>
      </c>
      <c r="S2030" s="34">
        <v>5.5020000000000006E-2</v>
      </c>
    </row>
    <row r="2031" spans="16:19" x14ac:dyDescent="0.25">
      <c r="P2031" s="27">
        <v>3.2548184716220556E-2</v>
      </c>
      <c r="Q2031" s="28">
        <f t="shared" si="35"/>
        <v>3.5548184716220559E-2</v>
      </c>
      <c r="R2031" s="33">
        <v>0.16282860775771735</v>
      </c>
      <c r="S2031" s="34">
        <v>5.7020000000000001E-2</v>
      </c>
    </row>
    <row r="2032" spans="16:19" x14ac:dyDescent="0.25">
      <c r="P2032" s="27">
        <v>3.2548184716220556E-2</v>
      </c>
      <c r="Q2032" s="28">
        <f t="shared" si="35"/>
        <v>3.5548184716220559E-2</v>
      </c>
      <c r="R2032" s="33">
        <v>0.16282860775771735</v>
      </c>
      <c r="S2032" s="34">
        <v>5.1213251999999994E-2</v>
      </c>
    </row>
    <row r="2033" spans="16:19" x14ac:dyDescent="0.25">
      <c r="P2033" s="27">
        <v>3.2548184716220556E-2</v>
      </c>
      <c r="Q2033" s="28">
        <f t="shared" si="35"/>
        <v>3.5548184716220559E-2</v>
      </c>
      <c r="R2033" s="33">
        <v>0.16282860775771735</v>
      </c>
      <c r="S2033" s="34">
        <v>5.1451230000000001E-2</v>
      </c>
    </row>
    <row r="2034" spans="16:19" x14ac:dyDescent="0.25">
      <c r="P2034" s="27">
        <v>3.2548184716220556E-2</v>
      </c>
      <c r="Q2034" s="28">
        <f t="shared" si="35"/>
        <v>3.5548184716220559E-2</v>
      </c>
      <c r="R2034" s="33">
        <v>0.16282860775771735</v>
      </c>
      <c r="S2034" s="34">
        <v>5.2469999999999996E-2</v>
      </c>
    </row>
    <row r="2035" spans="16:19" x14ac:dyDescent="0.25">
      <c r="P2035" s="27">
        <v>3.2548184716220556E-2</v>
      </c>
      <c r="Q2035" s="28">
        <f t="shared" si="35"/>
        <v>3.5548184716220559E-2</v>
      </c>
      <c r="R2035" s="33">
        <v>0.16282860775771735</v>
      </c>
      <c r="S2035" s="34">
        <v>5.5020000000000006E-2</v>
      </c>
    </row>
    <row r="2036" spans="16:19" x14ac:dyDescent="0.25">
      <c r="P2036" s="27">
        <v>3.2548184716220556E-2</v>
      </c>
      <c r="Q2036" s="28">
        <f t="shared" si="35"/>
        <v>3.5548184716220559E-2</v>
      </c>
      <c r="R2036" s="33">
        <v>0.16282860775771735</v>
      </c>
      <c r="S2036" s="34">
        <v>5.7020000000000001E-2</v>
      </c>
    </row>
    <row r="2037" spans="16:19" x14ac:dyDescent="0.25">
      <c r="P2037" s="27">
        <v>3.2548184716220556E-2</v>
      </c>
      <c r="Q2037" s="28">
        <f t="shared" si="35"/>
        <v>3.5548184716220559E-2</v>
      </c>
      <c r="R2037" s="33">
        <v>0.16282860775771735</v>
      </c>
      <c r="S2037" s="34">
        <v>5.5009999999999996E-2</v>
      </c>
    </row>
    <row r="2038" spans="16:19" x14ac:dyDescent="0.25">
      <c r="P2038" s="27">
        <v>3.2548184716220556E-2</v>
      </c>
      <c r="Q2038" s="28">
        <f t="shared" si="35"/>
        <v>3.5548184716220559E-2</v>
      </c>
      <c r="R2038" s="33">
        <v>0.16282860775771735</v>
      </c>
      <c r="S2038" s="34">
        <v>6.4000000000000001E-2</v>
      </c>
    </row>
    <row r="2039" spans="16:19" x14ac:dyDescent="0.25">
      <c r="P2039" s="27">
        <v>3.2548184716220556E-2</v>
      </c>
      <c r="Q2039" s="28">
        <f t="shared" si="35"/>
        <v>3.5548184716220559E-2</v>
      </c>
      <c r="R2039" s="31">
        <v>0.15939660775771733</v>
      </c>
      <c r="S2039" s="32">
        <v>8.1009999999999999E-2</v>
      </c>
    </row>
    <row r="2040" spans="16:19" x14ac:dyDescent="0.25">
      <c r="P2040" s="27">
        <v>3.2548184716220556E-2</v>
      </c>
      <c r="Q2040" s="28">
        <f t="shared" si="35"/>
        <v>3.5548184716220559E-2</v>
      </c>
      <c r="R2040" s="31">
        <v>0.15939660775771733</v>
      </c>
      <c r="S2040" s="32">
        <v>5.8349999999999999E-2</v>
      </c>
    </row>
    <row r="2041" spans="16:19" x14ac:dyDescent="0.25">
      <c r="P2041" s="27">
        <v>3.2548184716220556E-2</v>
      </c>
      <c r="Q2041" s="28">
        <f t="shared" si="35"/>
        <v>3.5548184716220559E-2</v>
      </c>
      <c r="R2041" s="31">
        <v>0.15939660775771733</v>
      </c>
      <c r="S2041" s="32">
        <v>5.2490000000000002E-2</v>
      </c>
    </row>
    <row r="2042" spans="16:19" x14ac:dyDescent="0.25">
      <c r="P2042" s="27">
        <v>3.2548184716220556E-2</v>
      </c>
      <c r="Q2042" s="28">
        <f t="shared" si="35"/>
        <v>3.5548184716220559E-2</v>
      </c>
      <c r="R2042" s="31">
        <v>0.15939660775771733</v>
      </c>
      <c r="S2042" s="32">
        <v>5.0340000000000003E-2</v>
      </c>
    </row>
    <row r="2043" spans="16:19" x14ac:dyDescent="0.25">
      <c r="P2043" s="27">
        <v>3.2548184716220556E-2</v>
      </c>
      <c r="Q2043" s="28">
        <f t="shared" si="35"/>
        <v>3.5548184716220559E-2</v>
      </c>
      <c r="R2043" s="29">
        <v>0.15003660775771735</v>
      </c>
      <c r="S2043" s="30">
        <v>4.8000000000000001E-2</v>
      </c>
    </row>
    <row r="2044" spans="16:19" x14ac:dyDescent="0.25">
      <c r="P2044" s="27">
        <v>3.2548184716220556E-2</v>
      </c>
      <c r="Q2044" s="28">
        <f t="shared" si="35"/>
        <v>3.5548184716220559E-2</v>
      </c>
      <c r="R2044" s="29">
        <v>0.15003660775771735</v>
      </c>
      <c r="S2044" s="30">
        <v>4.6030000000000001E-2</v>
      </c>
    </row>
    <row r="2045" spans="16:19" x14ac:dyDescent="0.25">
      <c r="P2045" s="27">
        <v>3.2548184716220556E-2</v>
      </c>
      <c r="Q2045" s="28">
        <f t="shared" si="35"/>
        <v>3.5548184716220559E-2</v>
      </c>
      <c r="R2045" s="29">
        <v>0.15003660775771735</v>
      </c>
      <c r="S2045" s="30">
        <v>4.3020000000000003E-2</v>
      </c>
    </row>
    <row r="2046" spans="16:19" x14ac:dyDescent="0.25">
      <c r="P2046" s="27">
        <v>3.2548184716220556E-2</v>
      </c>
      <c r="Q2046" s="28">
        <f t="shared" si="35"/>
        <v>3.5548184716220559E-2</v>
      </c>
      <c r="R2046" s="29">
        <v>0.15003660775771735</v>
      </c>
      <c r="S2046" s="30">
        <v>3.9350000000000003E-2</v>
      </c>
    </row>
    <row r="2047" spans="16:19" x14ac:dyDescent="0.25">
      <c r="P2047" s="27">
        <v>3.2548184716220556E-2</v>
      </c>
      <c r="Q2047" s="28">
        <f t="shared" si="35"/>
        <v>3.5548184716220559E-2</v>
      </c>
      <c r="R2047" s="29">
        <v>0.15003660775771735</v>
      </c>
      <c r="S2047" s="30">
        <v>3.61E-2</v>
      </c>
    </row>
    <row r="2048" spans="16:19" x14ac:dyDescent="0.25">
      <c r="P2048" s="27">
        <v>3.2548184716220556E-2</v>
      </c>
      <c r="Q2048" s="28">
        <f t="shared" si="35"/>
        <v>3.5548184716220559E-2</v>
      </c>
      <c r="R2048" s="29">
        <v>0.15003660775771735</v>
      </c>
      <c r="S2048" s="30">
        <v>3.6359999999999996E-2</v>
      </c>
    </row>
    <row r="2049" spans="16:19" x14ac:dyDescent="0.25">
      <c r="P2049" s="27">
        <v>3.2548184716220556E-2</v>
      </c>
      <c r="Q2049" s="28">
        <f t="shared" si="35"/>
        <v>3.5548184716220559E-2</v>
      </c>
      <c r="R2049" s="29">
        <v>0.15003660775771735</v>
      </c>
      <c r="S2049" s="30">
        <v>3.9509999999999997E-2</v>
      </c>
    </row>
    <row r="2050" spans="16:19" x14ac:dyDescent="0.25">
      <c r="P2050" s="27">
        <v>3.2548184716220556E-2</v>
      </c>
      <c r="Q2050" s="28">
        <f t="shared" si="35"/>
        <v>3.5548184716220559E-2</v>
      </c>
      <c r="R2050" s="29">
        <v>0.15003660775771735</v>
      </c>
      <c r="S2050" s="30">
        <v>4.9570000000000003E-2</v>
      </c>
    </row>
    <row r="2051" spans="16:19" x14ac:dyDescent="0.25">
      <c r="P2051" s="27">
        <v>3.2548184716220556E-2</v>
      </c>
      <c r="Q2051" s="28">
        <f t="shared" si="35"/>
        <v>3.5548184716220559E-2</v>
      </c>
      <c r="R2051" s="31">
        <v>0.15939660775771733</v>
      </c>
      <c r="S2051" s="32">
        <v>5.4640000000000001E-2</v>
      </c>
    </row>
    <row r="2052" spans="16:19" x14ac:dyDescent="0.25">
      <c r="P2052" s="27">
        <v>3.2548184716220556E-2</v>
      </c>
      <c r="Q2052" s="28">
        <f t="shared" si="35"/>
        <v>3.5548184716220559E-2</v>
      </c>
      <c r="R2052" s="33">
        <v>0.16282860775771735</v>
      </c>
      <c r="S2052" s="34">
        <v>0.06</v>
      </c>
    </row>
    <row r="2053" spans="16:19" x14ac:dyDescent="0.25">
      <c r="P2053" s="27">
        <v>3.2548184716220556E-2</v>
      </c>
      <c r="Q2053" s="28">
        <f t="shared" ref="Q2053:Q2116" si="36">P2053+0.003</f>
        <v>3.5548184716220559E-2</v>
      </c>
      <c r="R2053" s="33">
        <v>0.16282860775771735</v>
      </c>
      <c r="S2053" s="34">
        <v>7.1416004000000005E-2</v>
      </c>
    </row>
    <row r="2054" spans="16:19" x14ac:dyDescent="0.25">
      <c r="P2054" s="27">
        <v>3.2548184716220556E-2</v>
      </c>
      <c r="Q2054" s="28">
        <f t="shared" si="36"/>
        <v>3.5548184716220559E-2</v>
      </c>
      <c r="R2054" s="33">
        <v>0.16282860775771735</v>
      </c>
      <c r="S2054" s="34">
        <v>6.3804544000000005E-2</v>
      </c>
    </row>
    <row r="2055" spans="16:19" x14ac:dyDescent="0.25">
      <c r="P2055" s="27">
        <v>3.2548184716220556E-2</v>
      </c>
      <c r="Q2055" s="28">
        <f t="shared" si="36"/>
        <v>3.5548184716220559E-2</v>
      </c>
      <c r="R2055" s="33">
        <v>0.16282860775771735</v>
      </c>
      <c r="S2055" s="34">
        <v>7.0007510999999994E-2</v>
      </c>
    </row>
    <row r="2056" spans="16:19" x14ac:dyDescent="0.25">
      <c r="P2056" s="27">
        <v>3.2548184716220556E-2</v>
      </c>
      <c r="Q2056" s="28">
        <f t="shared" si="36"/>
        <v>3.5548184716220559E-2</v>
      </c>
      <c r="R2056" s="33">
        <v>0.16282860775771735</v>
      </c>
      <c r="S2056" s="34">
        <v>5.2200000000000003E-2</v>
      </c>
    </row>
    <row r="2057" spans="16:19" x14ac:dyDescent="0.25">
      <c r="P2057" s="27">
        <v>3.2548184716220556E-2</v>
      </c>
      <c r="Q2057" s="28">
        <f t="shared" si="36"/>
        <v>3.5548184716220559E-2</v>
      </c>
      <c r="R2057" s="33">
        <v>0.16282860775771735</v>
      </c>
      <c r="S2057" s="34">
        <v>5.2350000000000001E-2</v>
      </c>
    </row>
    <row r="2058" spans="16:19" x14ac:dyDescent="0.25">
      <c r="P2058" s="27">
        <v>3.2548184716220556E-2</v>
      </c>
      <c r="Q2058" s="28">
        <f t="shared" si="36"/>
        <v>3.5548184716220559E-2</v>
      </c>
      <c r="R2058" s="33">
        <v>0.16282860775771735</v>
      </c>
      <c r="S2058" s="34">
        <v>5.4990000000000004E-2</v>
      </c>
    </row>
    <row r="2059" spans="16:19" x14ac:dyDescent="0.25">
      <c r="P2059" s="27">
        <v>3.2548184716220556E-2</v>
      </c>
      <c r="Q2059" s="28">
        <f t="shared" si="36"/>
        <v>3.5548184716220559E-2</v>
      </c>
      <c r="R2059" s="33">
        <v>0.16282860775771735</v>
      </c>
      <c r="S2059" s="34">
        <v>5.5020000000000006E-2</v>
      </c>
    </row>
    <row r="2060" spans="16:19" x14ac:dyDescent="0.25">
      <c r="P2060" s="27">
        <v>3.2548184716220556E-2</v>
      </c>
      <c r="Q2060" s="28">
        <f t="shared" si="36"/>
        <v>3.5548184716220559E-2</v>
      </c>
      <c r="R2060" s="33">
        <v>0.16282860775771735</v>
      </c>
      <c r="S2060" s="34">
        <v>5.4990000000000004E-2</v>
      </c>
    </row>
    <row r="2061" spans="16:19" x14ac:dyDescent="0.25">
      <c r="P2061" s="27">
        <v>3.2548184716220556E-2</v>
      </c>
      <c r="Q2061" s="28">
        <f t="shared" si="36"/>
        <v>3.5548184716220559E-2</v>
      </c>
      <c r="R2061" s="33">
        <v>0.16282860775771735</v>
      </c>
      <c r="S2061" s="34">
        <v>5.3159999999999999E-2</v>
      </c>
    </row>
    <row r="2062" spans="16:19" x14ac:dyDescent="0.25">
      <c r="P2062" s="27">
        <v>3.2548184716220556E-2</v>
      </c>
      <c r="Q2062" s="28">
        <f t="shared" si="36"/>
        <v>3.5548184716220559E-2</v>
      </c>
      <c r="R2062" s="33">
        <v>0.16282860775771735</v>
      </c>
      <c r="S2062" s="34">
        <v>6.0137655000000005E-2</v>
      </c>
    </row>
    <row r="2063" spans="16:19" x14ac:dyDescent="0.25">
      <c r="P2063" s="27">
        <v>3.2548184716220556E-2</v>
      </c>
      <c r="Q2063" s="28">
        <f t="shared" si="36"/>
        <v>3.5548184716220559E-2</v>
      </c>
      <c r="R2063" s="31">
        <v>0.15939660775771733</v>
      </c>
      <c r="S2063" s="32">
        <v>8.4519999999999998E-2</v>
      </c>
    </row>
    <row r="2064" spans="16:19" x14ac:dyDescent="0.25">
      <c r="P2064" s="27">
        <v>3.2548184716220556E-2</v>
      </c>
      <c r="Q2064" s="28">
        <f t="shared" si="36"/>
        <v>3.5548184716220559E-2</v>
      </c>
      <c r="R2064" s="31">
        <v>0.15939660775771733</v>
      </c>
      <c r="S2064" s="32">
        <v>5.5899999999999998E-2</v>
      </c>
    </row>
    <row r="2065" spans="16:19" x14ac:dyDescent="0.25">
      <c r="P2065" s="27">
        <v>3.2548184716220556E-2</v>
      </c>
      <c r="Q2065" s="28">
        <f t="shared" si="36"/>
        <v>3.5548184716220559E-2</v>
      </c>
      <c r="R2065" s="31">
        <v>0.15939660775771733</v>
      </c>
      <c r="S2065" s="32">
        <v>5.0999999999999997E-2</v>
      </c>
    </row>
    <row r="2066" spans="16:19" x14ac:dyDescent="0.25">
      <c r="P2066" s="27">
        <v>3.2548184716220556E-2</v>
      </c>
      <c r="Q2066" s="28">
        <f t="shared" si="36"/>
        <v>3.5548184716220559E-2</v>
      </c>
      <c r="R2066" s="31">
        <v>0.15939660775771733</v>
      </c>
      <c r="S2066" s="32">
        <v>4.9000000000000002E-2</v>
      </c>
    </row>
    <row r="2067" spans="16:19" x14ac:dyDescent="0.25">
      <c r="P2067" s="27">
        <v>3.2548184716220556E-2</v>
      </c>
      <c r="Q2067" s="28">
        <f t="shared" si="36"/>
        <v>3.5548184716220559E-2</v>
      </c>
      <c r="R2067" s="29">
        <v>0.15003660775771735</v>
      </c>
      <c r="S2067" s="30">
        <v>4.6049999999999994E-2</v>
      </c>
    </row>
    <row r="2068" spans="16:19" x14ac:dyDescent="0.25">
      <c r="P2068" s="27">
        <v>3.2548184716220556E-2</v>
      </c>
      <c r="Q2068" s="28">
        <f t="shared" si="36"/>
        <v>3.5548184716220559E-2</v>
      </c>
      <c r="R2068" s="29">
        <v>0.15003660775771735</v>
      </c>
      <c r="S2068" s="30">
        <v>4.2999999999999997E-2</v>
      </c>
    </row>
    <row r="2069" spans="16:19" x14ac:dyDescent="0.25">
      <c r="P2069" s="27">
        <v>3.2548184716220556E-2</v>
      </c>
      <c r="Q2069" s="28">
        <f t="shared" si="36"/>
        <v>3.5548184716220559E-2</v>
      </c>
      <c r="R2069" s="29">
        <v>0.15003660775771735</v>
      </c>
      <c r="S2069" s="30">
        <v>4.086E-2</v>
      </c>
    </row>
    <row r="2070" spans="16:19" x14ac:dyDescent="0.25">
      <c r="P2070" s="27">
        <v>3.2548184716220556E-2</v>
      </c>
      <c r="Q2070" s="28">
        <f t="shared" si="36"/>
        <v>3.5548184716220559E-2</v>
      </c>
      <c r="R2070" s="29">
        <v>0.15003660775771735</v>
      </c>
      <c r="S2070" s="30">
        <v>3.8929999999999999E-2</v>
      </c>
    </row>
    <row r="2071" spans="16:19" x14ac:dyDescent="0.25">
      <c r="P2071" s="27">
        <v>3.2548184716220556E-2</v>
      </c>
      <c r="Q2071" s="28">
        <f t="shared" si="36"/>
        <v>3.5548184716220559E-2</v>
      </c>
      <c r="R2071" s="29">
        <v>0.15003660775771735</v>
      </c>
      <c r="S2071" s="30">
        <v>3.5920000000000001E-2</v>
      </c>
    </row>
    <row r="2072" spans="16:19" x14ac:dyDescent="0.25">
      <c r="P2072" s="27">
        <v>3.2548184716220556E-2</v>
      </c>
      <c r="Q2072" s="28">
        <f t="shared" si="36"/>
        <v>3.5548184716220559E-2</v>
      </c>
      <c r="R2072" s="29">
        <v>0.15003660775771735</v>
      </c>
      <c r="S2072" s="30">
        <v>3.5000000000000003E-2</v>
      </c>
    </row>
    <row r="2073" spans="16:19" x14ac:dyDescent="0.25">
      <c r="P2073" s="27">
        <v>3.2548184716220556E-2</v>
      </c>
      <c r="Q2073" s="28">
        <f t="shared" si="36"/>
        <v>3.5548184716220559E-2</v>
      </c>
      <c r="R2073" s="29">
        <v>0.15003660775771735</v>
      </c>
      <c r="S2073" s="30">
        <v>3.9E-2</v>
      </c>
    </row>
    <row r="2074" spans="16:19" x14ac:dyDescent="0.25">
      <c r="P2074" s="27">
        <v>3.2548184716220556E-2</v>
      </c>
      <c r="Q2074" s="28">
        <f t="shared" si="36"/>
        <v>3.5548184716220559E-2</v>
      </c>
      <c r="R2074" s="29">
        <v>0.15003660775771735</v>
      </c>
      <c r="S2074" s="30">
        <v>4.7E-2</v>
      </c>
    </row>
    <row r="2075" spans="16:19" x14ac:dyDescent="0.25">
      <c r="P2075" s="27">
        <v>3.2548184716220556E-2</v>
      </c>
      <c r="Q2075" s="28">
        <f t="shared" si="36"/>
        <v>3.5548184716220559E-2</v>
      </c>
      <c r="R2075" s="31">
        <v>0.15939660775771733</v>
      </c>
      <c r="S2075" s="32">
        <v>5.0999999999999997E-2</v>
      </c>
    </row>
    <row r="2076" spans="16:19" x14ac:dyDescent="0.25">
      <c r="P2076" s="27">
        <v>3.2548184716220556E-2</v>
      </c>
      <c r="Q2076" s="28">
        <f t="shared" si="36"/>
        <v>3.5548184716220559E-2</v>
      </c>
      <c r="R2076" s="33">
        <v>0.16282860775771735</v>
      </c>
      <c r="S2076" s="34">
        <v>5.595E-2</v>
      </c>
    </row>
    <row r="2077" spans="16:19" x14ac:dyDescent="0.25">
      <c r="P2077" s="27">
        <v>3.2548184716220556E-2</v>
      </c>
      <c r="Q2077" s="28">
        <f t="shared" si="36"/>
        <v>3.5548184716220559E-2</v>
      </c>
      <c r="R2077" s="33">
        <v>0.16282860775771735</v>
      </c>
      <c r="S2077" s="34">
        <v>5.4600000000000003E-2</v>
      </c>
    </row>
    <row r="2078" spans="16:19" x14ac:dyDescent="0.25">
      <c r="P2078" s="27">
        <v>3.2548184716220556E-2</v>
      </c>
      <c r="Q2078" s="28">
        <f t="shared" si="36"/>
        <v>3.5548184716220559E-2</v>
      </c>
      <c r="R2078" s="33">
        <v>0.16282860775771735</v>
      </c>
      <c r="S2078" s="34">
        <v>5.1692673999999994E-2</v>
      </c>
    </row>
    <row r="2079" spans="16:19" x14ac:dyDescent="0.25">
      <c r="P2079" s="27">
        <v>3.2548184716220556E-2</v>
      </c>
      <c r="Q2079" s="28">
        <f t="shared" si="36"/>
        <v>3.5548184716220559E-2</v>
      </c>
      <c r="R2079" s="33">
        <v>0.16282860775771735</v>
      </c>
      <c r="S2079" s="34">
        <v>0.05</v>
      </c>
    </row>
    <row r="2080" spans="16:19" x14ac:dyDescent="0.25">
      <c r="P2080" s="27">
        <v>3.2548184716220556E-2</v>
      </c>
      <c r="Q2080" s="28">
        <f t="shared" si="36"/>
        <v>3.5548184716220559E-2</v>
      </c>
      <c r="R2080" s="33">
        <v>0.16282860775771735</v>
      </c>
      <c r="S2080" s="34">
        <v>4.5020000000000004E-2</v>
      </c>
    </row>
    <row r="2081" spans="16:19" x14ac:dyDescent="0.25">
      <c r="P2081" s="27">
        <v>3.2548184716220556E-2</v>
      </c>
      <c r="Q2081" s="28">
        <f t="shared" si="36"/>
        <v>3.5548184716220559E-2</v>
      </c>
      <c r="R2081" s="33">
        <v>0.16282860775771735</v>
      </c>
      <c r="S2081" s="34">
        <v>4.41E-2</v>
      </c>
    </row>
    <row r="2082" spans="16:19" x14ac:dyDescent="0.25">
      <c r="P2082" s="27">
        <v>3.2548184716220556E-2</v>
      </c>
      <c r="Q2082" s="28">
        <f t="shared" si="36"/>
        <v>3.5548184716220559E-2</v>
      </c>
      <c r="R2082" s="33">
        <v>0.16282860775771735</v>
      </c>
      <c r="S2082" s="34">
        <v>4.8500000000000001E-2</v>
      </c>
    </row>
    <row r="2083" spans="16:19" x14ac:dyDescent="0.25">
      <c r="P2083" s="27">
        <v>3.2548184716220556E-2</v>
      </c>
      <c r="Q2083" s="28">
        <f t="shared" si="36"/>
        <v>3.5548184716220559E-2</v>
      </c>
      <c r="R2083" s="33">
        <v>0.16282860775771735</v>
      </c>
      <c r="S2083" s="34">
        <v>5.0720000000000001E-2</v>
      </c>
    </row>
    <row r="2084" spans="16:19" x14ac:dyDescent="0.25">
      <c r="P2084" s="27">
        <v>3.2548184716220556E-2</v>
      </c>
      <c r="Q2084" s="28">
        <f t="shared" si="36"/>
        <v>3.5548184716220559E-2</v>
      </c>
      <c r="R2084" s="33">
        <v>0.16282860775771735</v>
      </c>
      <c r="S2084" s="34">
        <v>5.4539999999999998E-2</v>
      </c>
    </row>
    <row r="2085" spans="16:19" x14ac:dyDescent="0.25">
      <c r="P2085" s="27">
        <v>3.2548184716220556E-2</v>
      </c>
      <c r="Q2085" s="28">
        <f t="shared" si="36"/>
        <v>3.5548184716220559E-2</v>
      </c>
      <c r="R2085" s="33">
        <v>0.16282860775771735</v>
      </c>
      <c r="S2085" s="34">
        <v>5.4140000000000001E-2</v>
      </c>
    </row>
    <row r="2086" spans="16:19" x14ac:dyDescent="0.25">
      <c r="P2086" s="27">
        <v>3.2548184716220556E-2</v>
      </c>
      <c r="Q2086" s="28">
        <f t="shared" si="36"/>
        <v>3.5548184716220559E-2</v>
      </c>
      <c r="R2086" s="33">
        <v>0.16282860775771735</v>
      </c>
      <c r="S2086" s="34">
        <v>6.2990000000000004E-2</v>
      </c>
    </row>
    <row r="2087" spans="16:19" x14ac:dyDescent="0.25">
      <c r="P2087" s="27">
        <v>3.2548184716220556E-2</v>
      </c>
      <c r="Q2087" s="28">
        <f t="shared" si="36"/>
        <v>3.5548184716220559E-2</v>
      </c>
      <c r="R2087" s="31">
        <v>0.15939660775771733</v>
      </c>
      <c r="S2087" s="32">
        <v>8.7800000000000003E-2</v>
      </c>
    </row>
    <row r="2088" spans="16:19" x14ac:dyDescent="0.25">
      <c r="P2088" s="27">
        <v>3.2548184716220556E-2</v>
      </c>
      <c r="Q2088" s="28">
        <f t="shared" si="36"/>
        <v>3.5548184716220559E-2</v>
      </c>
      <c r="R2088" s="31">
        <v>0.15939660775771733</v>
      </c>
      <c r="S2088" s="32">
        <v>5.8349999999999999E-2</v>
      </c>
    </row>
    <row r="2089" spans="16:19" x14ac:dyDescent="0.25">
      <c r="P2089" s="27">
        <v>3.2548184716220556E-2</v>
      </c>
      <c r="Q2089" s="28">
        <f t="shared" si="36"/>
        <v>3.5548184716220559E-2</v>
      </c>
      <c r="R2089" s="31">
        <v>0.15939660775771733</v>
      </c>
      <c r="S2089" s="32">
        <v>5.1909999999999998E-2</v>
      </c>
    </row>
    <row r="2090" spans="16:19" x14ac:dyDescent="0.25">
      <c r="P2090" s="27">
        <v>3.2548184716220556E-2</v>
      </c>
      <c r="Q2090" s="28">
        <f t="shared" si="36"/>
        <v>3.5548184716220559E-2</v>
      </c>
      <c r="R2090" s="31">
        <v>0.15939660775771733</v>
      </c>
      <c r="S2090" s="32">
        <v>4.938E-2</v>
      </c>
    </row>
    <row r="2091" spans="16:19" x14ac:dyDescent="0.25">
      <c r="P2091" s="27">
        <v>3.2548184716220556E-2</v>
      </c>
      <c r="Q2091" s="28">
        <f t="shared" si="36"/>
        <v>3.5548184716220559E-2</v>
      </c>
      <c r="R2091" s="29">
        <v>0.15003660775771735</v>
      </c>
      <c r="S2091" s="30">
        <v>4.845E-2</v>
      </c>
    </row>
    <row r="2092" spans="16:19" x14ac:dyDescent="0.25">
      <c r="P2092" s="27">
        <v>3.2548184716220556E-2</v>
      </c>
      <c r="Q2092" s="28">
        <f t="shared" si="36"/>
        <v>3.5548184716220559E-2</v>
      </c>
      <c r="R2092" s="29">
        <v>0.15003660775771735</v>
      </c>
      <c r="S2092" s="30">
        <v>4.2236552000000004E-2</v>
      </c>
    </row>
    <row r="2093" spans="16:19" x14ac:dyDescent="0.25">
      <c r="P2093" s="27">
        <v>3.2548184716220556E-2</v>
      </c>
      <c r="Q2093" s="28">
        <f t="shared" si="36"/>
        <v>3.5548184716220559E-2</v>
      </c>
      <c r="R2093" s="29">
        <v>0.15003660775771735</v>
      </c>
      <c r="S2093" s="30">
        <v>3.6999999999999998E-2</v>
      </c>
    </row>
    <row r="2094" spans="16:19" x14ac:dyDescent="0.25">
      <c r="P2094" s="27">
        <v>3.2548184716220556E-2</v>
      </c>
      <c r="Q2094" s="28">
        <f t="shared" si="36"/>
        <v>3.5548184716220559E-2</v>
      </c>
      <c r="R2094" s="29">
        <v>0.15003660775771735</v>
      </c>
      <c r="S2094" s="30">
        <v>3.313E-2</v>
      </c>
    </row>
    <row r="2095" spans="16:19" x14ac:dyDescent="0.25">
      <c r="P2095" s="27">
        <v>3.2548184716220556E-2</v>
      </c>
      <c r="Q2095" s="28">
        <f t="shared" si="36"/>
        <v>3.5548184716220559E-2</v>
      </c>
      <c r="R2095" s="29">
        <v>0.15003660775771735</v>
      </c>
      <c r="S2095" s="30">
        <v>2.9350000000000001E-2</v>
      </c>
    </row>
    <row r="2096" spans="16:19" x14ac:dyDescent="0.25">
      <c r="P2096" s="27">
        <v>3.2548184716220556E-2</v>
      </c>
      <c r="Q2096" s="28">
        <f t="shared" si="36"/>
        <v>3.5548184716220559E-2</v>
      </c>
      <c r="R2096" s="29">
        <v>0.15003660775771735</v>
      </c>
      <c r="S2096" s="30">
        <v>2.8239999999999998E-2</v>
      </c>
    </row>
    <row r="2097" spans="16:19" x14ac:dyDescent="0.25">
      <c r="P2097" s="27">
        <v>3.2548184716220556E-2</v>
      </c>
      <c r="Q2097" s="28">
        <f t="shared" si="36"/>
        <v>3.5548184716220559E-2</v>
      </c>
      <c r="R2097" s="29">
        <v>0.15003660775771735</v>
      </c>
      <c r="S2097" s="30">
        <v>3.3140000000000003E-2</v>
      </c>
    </row>
    <row r="2098" spans="16:19" x14ac:dyDescent="0.25">
      <c r="P2098" s="27">
        <v>3.2548184716220556E-2</v>
      </c>
      <c r="Q2098" s="28">
        <f t="shared" si="36"/>
        <v>3.5548184716220559E-2</v>
      </c>
      <c r="R2098" s="29">
        <v>0.15003660775771735</v>
      </c>
      <c r="S2098" s="30">
        <v>2.962E-2</v>
      </c>
    </row>
    <row r="2099" spans="16:19" x14ac:dyDescent="0.25">
      <c r="P2099" s="27">
        <v>3.2548184716220556E-2</v>
      </c>
      <c r="Q2099" s="28">
        <f t="shared" si="36"/>
        <v>3.5548184716220559E-2</v>
      </c>
      <c r="R2099" s="31">
        <v>0.15939660775771733</v>
      </c>
      <c r="S2099" s="32">
        <v>3.2000000000000001E-2</v>
      </c>
    </row>
    <row r="2100" spans="16:19" x14ac:dyDescent="0.25">
      <c r="P2100" s="27">
        <v>3.2548184716220556E-2</v>
      </c>
      <c r="Q2100" s="28">
        <f t="shared" si="36"/>
        <v>3.5548184716220559E-2</v>
      </c>
      <c r="R2100" s="33">
        <v>0.16282860775771735</v>
      </c>
      <c r="S2100" s="34">
        <v>3.3799999999999997E-2</v>
      </c>
    </row>
    <row r="2101" spans="16:19" x14ac:dyDescent="0.25">
      <c r="P2101" s="27">
        <v>3.2548184716220556E-2</v>
      </c>
      <c r="Q2101" s="28">
        <f t="shared" si="36"/>
        <v>3.5548184716220559E-2</v>
      </c>
      <c r="R2101" s="33">
        <v>0.16282860775771735</v>
      </c>
      <c r="S2101" s="34">
        <v>3.4778972000000005E-2</v>
      </c>
    </row>
    <row r="2102" spans="16:19" x14ac:dyDescent="0.25">
      <c r="P2102" s="27">
        <v>3.2548184716220556E-2</v>
      </c>
      <c r="Q2102" s="28">
        <f t="shared" si="36"/>
        <v>3.5548184716220559E-2</v>
      </c>
      <c r="R2102" s="33">
        <v>0.16282860775771735</v>
      </c>
      <c r="S2102" s="34">
        <v>3.2000000000000001E-2</v>
      </c>
    </row>
    <row r="2103" spans="16:19" x14ac:dyDescent="0.25">
      <c r="P2103" s="27">
        <v>3.2548184716220556E-2</v>
      </c>
      <c r="Q2103" s="28">
        <f t="shared" si="36"/>
        <v>3.5548184716220559E-2</v>
      </c>
      <c r="R2103" s="33">
        <v>0.16282860775771735</v>
      </c>
      <c r="S2103" s="34">
        <v>3.1199999999999999E-2</v>
      </c>
    </row>
    <row r="2104" spans="16:19" x14ac:dyDescent="0.25">
      <c r="P2104" s="27">
        <v>3.2548184716220556E-2</v>
      </c>
      <c r="Q2104" s="28">
        <f t="shared" si="36"/>
        <v>3.5548184716220559E-2</v>
      </c>
      <c r="R2104" s="33">
        <v>0.16282860775771735</v>
      </c>
      <c r="S2104" s="34">
        <v>2.7300000000000001E-2</v>
      </c>
    </row>
    <row r="2105" spans="16:19" x14ac:dyDescent="0.25">
      <c r="P2105" s="27">
        <v>3.2548184716220556E-2</v>
      </c>
      <c r="Q2105" s="28">
        <f t="shared" si="36"/>
        <v>3.5548184716220559E-2</v>
      </c>
      <c r="R2105" s="33">
        <v>0.16282860775771735</v>
      </c>
      <c r="S2105" s="34">
        <v>2.2100000000000002E-2</v>
      </c>
    </row>
    <row r="2106" spans="16:19" x14ac:dyDescent="0.25">
      <c r="P2106" s="27">
        <v>3.2548184716220556E-2</v>
      </c>
      <c r="Q2106" s="28">
        <f t="shared" si="36"/>
        <v>3.5548184716220559E-2</v>
      </c>
      <c r="R2106" s="33">
        <v>0.16282860775771735</v>
      </c>
      <c r="S2106" s="34">
        <v>2.1000000000000001E-2</v>
      </c>
    </row>
    <row r="2107" spans="16:19" x14ac:dyDescent="0.25">
      <c r="P2107" s="27">
        <v>3.2548184716220556E-2</v>
      </c>
      <c r="Q2107" s="28">
        <f t="shared" si="36"/>
        <v>3.5548184716220559E-2</v>
      </c>
      <c r="R2107" s="33">
        <v>0.16282860775771735</v>
      </c>
      <c r="S2107" s="34">
        <v>2.231E-2</v>
      </c>
    </row>
    <row r="2108" spans="16:19" x14ac:dyDescent="0.25">
      <c r="P2108" s="27">
        <v>3.2548184716220556E-2</v>
      </c>
      <c r="Q2108" s="28">
        <f t="shared" si="36"/>
        <v>3.5548184716220559E-2</v>
      </c>
      <c r="R2108" s="33">
        <v>0.16282860775771735</v>
      </c>
      <c r="S2108" s="34">
        <v>3.313E-2</v>
      </c>
    </row>
    <row r="2109" spans="16:19" x14ac:dyDescent="0.25">
      <c r="P2109" s="27">
        <v>3.2548184716220556E-2</v>
      </c>
      <c r="Q2109" s="28">
        <f t="shared" si="36"/>
        <v>3.5548184716220559E-2</v>
      </c>
      <c r="R2109" s="33">
        <v>0.16282860775771735</v>
      </c>
      <c r="S2109" s="34">
        <v>3.9420000000000004E-2</v>
      </c>
    </row>
    <row r="2110" spans="16:19" x14ac:dyDescent="0.25">
      <c r="P2110" s="27">
        <v>3.2548184716220556E-2</v>
      </c>
      <c r="Q2110" s="28">
        <f t="shared" si="36"/>
        <v>3.5548184716220559E-2</v>
      </c>
      <c r="R2110" s="33">
        <v>0.16282860775771735</v>
      </c>
      <c r="S2110" s="34">
        <v>5.2990000000000002E-2</v>
      </c>
    </row>
    <row r="2111" spans="16:19" x14ac:dyDescent="0.25">
      <c r="P2111" s="27">
        <v>3.2548184716220556E-2</v>
      </c>
      <c r="Q2111" s="28">
        <f t="shared" si="36"/>
        <v>3.5548184716220559E-2</v>
      </c>
      <c r="R2111" s="31">
        <v>0.15939660775771733</v>
      </c>
      <c r="S2111" s="32">
        <v>7.8040000000000012E-2</v>
      </c>
    </row>
    <row r="2112" spans="16:19" x14ac:dyDescent="0.25">
      <c r="P2112" s="27">
        <v>3.2548184716220556E-2</v>
      </c>
      <c r="Q2112" s="28">
        <f t="shared" si="36"/>
        <v>3.5548184716220559E-2</v>
      </c>
      <c r="R2112" s="31">
        <v>0.15939660775771733</v>
      </c>
      <c r="S2112" s="32">
        <v>5.5E-2</v>
      </c>
    </row>
    <row r="2113" spans="16:19" x14ac:dyDescent="0.25">
      <c r="P2113" s="27">
        <v>3.2548184716220556E-2</v>
      </c>
      <c r="Q2113" s="28">
        <f t="shared" si="36"/>
        <v>3.5548184716220559E-2</v>
      </c>
      <c r="R2113" s="31">
        <v>0.15939660775771733</v>
      </c>
      <c r="S2113" s="32">
        <v>4.9950000000000001E-2</v>
      </c>
    </row>
    <row r="2114" spans="16:19" x14ac:dyDescent="0.25">
      <c r="P2114" s="27">
        <v>3.2548184716220556E-2</v>
      </c>
      <c r="Q2114" s="28">
        <f t="shared" si="36"/>
        <v>3.5548184716220559E-2</v>
      </c>
      <c r="R2114" s="31">
        <v>0.15939660775771733</v>
      </c>
      <c r="S2114" s="32">
        <v>5.0979999999999998E-2</v>
      </c>
    </row>
    <row r="2115" spans="16:19" x14ac:dyDescent="0.25">
      <c r="P2115" s="27">
        <v>3.2548184716220556E-2</v>
      </c>
      <c r="Q2115" s="28">
        <f t="shared" si="36"/>
        <v>3.5548184716220559E-2</v>
      </c>
      <c r="R2115" s="29">
        <v>0.15003660775771735</v>
      </c>
      <c r="S2115" s="30">
        <v>4.8689999999999997E-2</v>
      </c>
    </row>
    <row r="2116" spans="16:19" x14ac:dyDescent="0.25">
      <c r="P2116" s="27">
        <v>3.2548184716220556E-2</v>
      </c>
      <c r="Q2116" s="28">
        <f t="shared" si="36"/>
        <v>3.5548184716220559E-2</v>
      </c>
      <c r="R2116" s="29">
        <v>0.15003660775771735</v>
      </c>
      <c r="S2116" s="30">
        <v>5.1802140000000003E-2</v>
      </c>
    </row>
    <row r="2117" spans="16:19" x14ac:dyDescent="0.25">
      <c r="P2117" s="27">
        <v>3.2548184716220556E-2</v>
      </c>
      <c r="Q2117" s="28">
        <f t="shared" ref="Q2117:Q2180" si="37">P2117+0.003</f>
        <v>3.5548184716220559E-2</v>
      </c>
      <c r="R2117" s="29">
        <v>0.15003660775771735</v>
      </c>
      <c r="S2117" s="30">
        <v>4.5100000000000001E-2</v>
      </c>
    </row>
    <row r="2118" spans="16:19" x14ac:dyDescent="0.25">
      <c r="P2118" s="27">
        <v>3.2548184716220556E-2</v>
      </c>
      <c r="Q2118" s="28">
        <f t="shared" si="37"/>
        <v>3.5548184716220559E-2</v>
      </c>
      <c r="R2118" s="29">
        <v>0.15003660775771735</v>
      </c>
      <c r="S2118" s="30">
        <v>3.5529999999999999E-2</v>
      </c>
    </row>
    <row r="2119" spans="16:19" x14ac:dyDescent="0.25">
      <c r="P2119" s="27">
        <v>3.2548184716220556E-2</v>
      </c>
      <c r="Q2119" s="28">
        <f t="shared" si="37"/>
        <v>3.5548184716220559E-2</v>
      </c>
      <c r="R2119" s="29">
        <v>0.15003660775771735</v>
      </c>
      <c r="S2119" s="30">
        <v>3.3250000000000002E-2</v>
      </c>
    </row>
    <row r="2120" spans="16:19" x14ac:dyDescent="0.25">
      <c r="P2120" s="27">
        <v>3.2548184716220556E-2</v>
      </c>
      <c r="Q2120" s="28">
        <f t="shared" si="37"/>
        <v>3.5548184716220559E-2</v>
      </c>
      <c r="R2120" s="29">
        <v>0.15003660775771735</v>
      </c>
      <c r="S2120" s="30">
        <v>3.3250000000000002E-2</v>
      </c>
    </row>
    <row r="2121" spans="16:19" x14ac:dyDescent="0.25">
      <c r="P2121" s="27">
        <v>3.2548184716220556E-2</v>
      </c>
      <c r="Q2121" s="28">
        <f t="shared" si="37"/>
        <v>3.5548184716220559E-2</v>
      </c>
      <c r="R2121" s="29">
        <v>0.15003660775771735</v>
      </c>
      <c r="S2121" s="30">
        <v>3.313E-2</v>
      </c>
    </row>
    <row r="2122" spans="16:19" x14ac:dyDescent="0.25">
      <c r="P2122" s="27">
        <v>3.2548184716220556E-2</v>
      </c>
      <c r="Q2122" s="28">
        <f t="shared" si="37"/>
        <v>3.5548184716220559E-2</v>
      </c>
      <c r="R2122" s="29">
        <v>0.15003660775771735</v>
      </c>
      <c r="S2122" s="30">
        <v>3.313E-2</v>
      </c>
    </row>
    <row r="2123" spans="16:19" x14ac:dyDescent="0.25">
      <c r="P2123" s="27">
        <v>3.2548184716220556E-2</v>
      </c>
      <c r="Q2123" s="28">
        <f t="shared" si="37"/>
        <v>3.5548184716220559E-2</v>
      </c>
      <c r="R2123" s="31">
        <v>0.15939660775771733</v>
      </c>
      <c r="S2123" s="32">
        <v>3.2119999999999996E-2</v>
      </c>
    </row>
    <row r="2124" spans="16:19" x14ac:dyDescent="0.25">
      <c r="P2124" s="27">
        <v>3.2548184716220556E-2</v>
      </c>
      <c r="Q2124" s="28">
        <f t="shared" si="37"/>
        <v>3.5548184716220559E-2</v>
      </c>
      <c r="R2124" s="33">
        <v>0.16282860775771735</v>
      </c>
      <c r="S2124" s="34">
        <v>2.9069999999999999E-2</v>
      </c>
    </row>
    <row r="2125" spans="16:19" x14ac:dyDescent="0.25">
      <c r="P2125" s="27">
        <v>3.2548184716220556E-2</v>
      </c>
      <c r="Q2125" s="28">
        <f t="shared" si="37"/>
        <v>3.5548184716220559E-2</v>
      </c>
      <c r="R2125" s="33">
        <v>0.16282860775771735</v>
      </c>
      <c r="S2125" s="34">
        <v>2.6159999999999999E-2</v>
      </c>
    </row>
    <row r="2126" spans="16:19" x14ac:dyDescent="0.25">
      <c r="P2126" s="27">
        <v>3.2548184716220556E-2</v>
      </c>
      <c r="Q2126" s="28">
        <f t="shared" si="37"/>
        <v>3.5548184716220559E-2</v>
      </c>
      <c r="R2126" s="33">
        <v>0.16282860775771735</v>
      </c>
      <c r="S2126" s="34">
        <v>0.02</v>
      </c>
    </row>
    <row r="2127" spans="16:19" x14ac:dyDescent="0.25">
      <c r="P2127" s="27">
        <v>3.2548184716220556E-2</v>
      </c>
      <c r="Q2127" s="28">
        <f t="shared" si="37"/>
        <v>3.5548184716220559E-2</v>
      </c>
      <c r="R2127" s="33">
        <v>0.16282860775771735</v>
      </c>
      <c r="S2127" s="34">
        <v>1.4999999999999999E-2</v>
      </c>
    </row>
    <row r="2128" spans="16:19" x14ac:dyDescent="0.25">
      <c r="P2128" s="27">
        <v>3.2548184716220556E-2</v>
      </c>
      <c r="Q2128" s="28">
        <f t="shared" si="37"/>
        <v>3.5548184716220559E-2</v>
      </c>
      <c r="R2128" s="33">
        <v>0.16282860775771735</v>
      </c>
      <c r="S2128" s="34">
        <v>9.7100000000000016E-3</v>
      </c>
    </row>
    <row r="2129" spans="16:19" x14ac:dyDescent="0.25">
      <c r="P2129" s="27">
        <v>3.2548184716220556E-2</v>
      </c>
      <c r="Q2129" s="28">
        <f t="shared" si="37"/>
        <v>3.5548184716220559E-2</v>
      </c>
      <c r="R2129" s="33">
        <v>0.16282860775771735</v>
      </c>
      <c r="S2129" s="34">
        <v>6.7099999999999998E-3</v>
      </c>
    </row>
    <row r="2130" spans="16:19" x14ac:dyDescent="0.25">
      <c r="P2130" s="27">
        <v>3.2548184716220556E-2</v>
      </c>
      <c r="Q2130" s="28">
        <f t="shared" si="37"/>
        <v>3.5548184716220559E-2</v>
      </c>
      <c r="R2130" s="33">
        <v>0.16282860775771735</v>
      </c>
      <c r="S2130" s="34">
        <v>8.3000000000000001E-3</v>
      </c>
    </row>
    <row r="2131" spans="16:19" x14ac:dyDescent="0.25">
      <c r="P2131" s="27">
        <v>3.2548184716220556E-2</v>
      </c>
      <c r="Q2131" s="28">
        <f t="shared" si="37"/>
        <v>3.5548184716220559E-2</v>
      </c>
      <c r="R2131" s="33">
        <v>0.16282860775771735</v>
      </c>
      <c r="S2131" s="34">
        <v>1.5130000000000001E-2</v>
      </c>
    </row>
    <row r="2132" spans="16:19" x14ac:dyDescent="0.25">
      <c r="P2132" s="27">
        <v>3.2548184716220556E-2</v>
      </c>
      <c r="Q2132" s="28">
        <f t="shared" si="37"/>
        <v>3.5548184716220559E-2</v>
      </c>
      <c r="R2132" s="33">
        <v>0.16282860775771735</v>
      </c>
      <c r="S2132" s="34">
        <v>3.313E-2</v>
      </c>
    </row>
    <row r="2133" spans="16:19" x14ac:dyDescent="0.25">
      <c r="P2133" s="27">
        <v>3.2548184716220556E-2</v>
      </c>
      <c r="Q2133" s="28">
        <f t="shared" si="37"/>
        <v>3.5548184716220559E-2</v>
      </c>
      <c r="R2133" s="33">
        <v>0.16282860775771735</v>
      </c>
      <c r="S2133" s="34">
        <v>5.1130000000000002E-2</v>
      </c>
    </row>
    <row r="2134" spans="16:19" x14ac:dyDescent="0.25">
      <c r="P2134" s="27">
        <v>3.2548184716220556E-2</v>
      </c>
      <c r="Q2134" s="28">
        <f t="shared" si="37"/>
        <v>3.5548184716220559E-2</v>
      </c>
      <c r="R2134" s="33">
        <v>0.16282860775771735</v>
      </c>
      <c r="S2134" s="34">
        <v>9.2719999999999997E-2</v>
      </c>
    </row>
    <row r="2135" spans="16:19" x14ac:dyDescent="0.25">
      <c r="P2135" s="27">
        <v>3.2548184716220556E-2</v>
      </c>
      <c r="Q2135" s="28">
        <f t="shared" si="37"/>
        <v>3.5548184716220559E-2</v>
      </c>
      <c r="R2135" s="31">
        <v>0.15939660775771733</v>
      </c>
      <c r="S2135" s="32">
        <v>0.11</v>
      </c>
    </row>
    <row r="2136" spans="16:19" x14ac:dyDescent="0.25">
      <c r="P2136" s="27">
        <v>3.2548184716220556E-2</v>
      </c>
      <c r="Q2136" s="28">
        <f t="shared" si="37"/>
        <v>3.5548184716220559E-2</v>
      </c>
      <c r="R2136" s="31">
        <v>0.15939660775771733</v>
      </c>
      <c r="S2136" s="32">
        <v>7.6700000000000004E-2</v>
      </c>
    </row>
    <row r="2137" spans="16:19" x14ac:dyDescent="0.25">
      <c r="P2137" s="27">
        <v>3.2548184716220556E-2</v>
      </c>
      <c r="Q2137" s="28">
        <f t="shared" si="37"/>
        <v>3.5548184716220559E-2</v>
      </c>
      <c r="R2137" s="31">
        <v>0.15939660775771733</v>
      </c>
      <c r="S2137" s="32">
        <v>7.2999999999999995E-2</v>
      </c>
    </row>
    <row r="2138" spans="16:19" x14ac:dyDescent="0.25">
      <c r="P2138" s="27">
        <v>3.2548184716220556E-2</v>
      </c>
      <c r="Q2138" s="28">
        <f t="shared" si="37"/>
        <v>3.5548184716220559E-2</v>
      </c>
      <c r="R2138" s="31">
        <v>0.15939660775771733</v>
      </c>
      <c r="S2138" s="32">
        <v>5.568E-2</v>
      </c>
    </row>
    <row r="2139" spans="16:19" x14ac:dyDescent="0.25">
      <c r="P2139" s="27">
        <v>3.2548184716220556E-2</v>
      </c>
      <c r="Q2139" s="28">
        <f t="shared" si="37"/>
        <v>3.5548184716220559E-2</v>
      </c>
      <c r="R2139" s="29">
        <v>0.15003660775771735</v>
      </c>
      <c r="S2139" s="30">
        <v>5.4899999999999997E-2</v>
      </c>
    </row>
    <row r="2140" spans="16:19" x14ac:dyDescent="0.25">
      <c r="P2140" s="27">
        <v>3.2548184716220556E-2</v>
      </c>
      <c r="Q2140" s="28">
        <f t="shared" si="37"/>
        <v>3.5548184716220559E-2</v>
      </c>
      <c r="R2140" s="29">
        <v>0.15003660775771735</v>
      </c>
      <c r="S2140" s="30">
        <v>5.0009999999999999E-2</v>
      </c>
    </row>
    <row r="2141" spans="16:19" x14ac:dyDescent="0.25">
      <c r="P2141" s="27">
        <v>3.2548184716220556E-2</v>
      </c>
      <c r="Q2141" s="28">
        <f t="shared" si="37"/>
        <v>3.5548184716220559E-2</v>
      </c>
      <c r="R2141" s="29">
        <v>0.15003660775771735</v>
      </c>
      <c r="S2141" s="30">
        <v>4.7E-2</v>
      </c>
    </row>
    <row r="2142" spans="16:19" x14ac:dyDescent="0.25">
      <c r="P2142" s="27">
        <v>3.2548184716220556E-2</v>
      </c>
      <c r="Q2142" s="28">
        <f t="shared" si="37"/>
        <v>3.5548184716220559E-2</v>
      </c>
      <c r="R2142" s="29">
        <v>0.15003660775771735</v>
      </c>
      <c r="S2142" s="30">
        <v>4.0090000000000001E-2</v>
      </c>
    </row>
    <row r="2143" spans="16:19" x14ac:dyDescent="0.25">
      <c r="P2143" s="27">
        <v>3.2548184716220556E-2</v>
      </c>
      <c r="Q2143" s="28">
        <f t="shared" si="37"/>
        <v>3.5548184716220559E-2</v>
      </c>
      <c r="R2143" s="29">
        <v>0.15003660775771735</v>
      </c>
      <c r="S2143" s="30">
        <v>4.9299999999999997E-2</v>
      </c>
    </row>
    <row r="2144" spans="16:19" x14ac:dyDescent="0.25">
      <c r="P2144" s="27">
        <v>3.2548184716220556E-2</v>
      </c>
      <c r="Q2144" s="28">
        <f t="shared" si="37"/>
        <v>3.5548184716220559E-2</v>
      </c>
      <c r="R2144" s="29">
        <v>0.15003660775771735</v>
      </c>
      <c r="S2144" s="30">
        <v>5.4329999999999996E-2</v>
      </c>
    </row>
    <row r="2145" spans="16:19" x14ac:dyDescent="0.25">
      <c r="P2145" s="27">
        <v>3.2548184716220556E-2</v>
      </c>
      <c r="Q2145" s="28">
        <f t="shared" si="37"/>
        <v>3.5548184716220559E-2</v>
      </c>
      <c r="R2145" s="29">
        <v>0.15003660775771735</v>
      </c>
      <c r="S2145" s="30">
        <v>7.0499999999999993E-2</v>
      </c>
    </row>
    <row r="2146" spans="16:19" x14ac:dyDescent="0.25">
      <c r="P2146" s="27">
        <v>3.2548184716220556E-2</v>
      </c>
      <c r="Q2146" s="28">
        <f t="shared" si="37"/>
        <v>3.5548184716220559E-2</v>
      </c>
      <c r="R2146" s="29">
        <v>0.15003660775771735</v>
      </c>
      <c r="S2146" s="30">
        <v>0.11</v>
      </c>
    </row>
    <row r="2147" spans="16:19" x14ac:dyDescent="0.25">
      <c r="P2147" s="27">
        <v>3.2548184716220556E-2</v>
      </c>
      <c r="Q2147" s="28">
        <f t="shared" si="37"/>
        <v>3.5548184716220559E-2</v>
      </c>
      <c r="R2147" s="31">
        <v>0.15939999999999999</v>
      </c>
      <c r="S2147" s="32">
        <v>0.114</v>
      </c>
    </row>
    <row r="2148" spans="16:19" x14ac:dyDescent="0.25">
      <c r="P2148" s="27">
        <v>3.2548184716220556E-2</v>
      </c>
      <c r="Q2148" s="28">
        <f t="shared" si="37"/>
        <v>3.5548184716220559E-2</v>
      </c>
      <c r="R2148" s="31">
        <v>0.15939999999999999</v>
      </c>
      <c r="S2148" s="32">
        <v>8.2781622999999999E-2</v>
      </c>
    </row>
    <row r="2149" spans="16:19" x14ac:dyDescent="0.25">
      <c r="P2149" s="27">
        <v>3.2548184716220556E-2</v>
      </c>
      <c r="Q2149" s="28">
        <f t="shared" si="37"/>
        <v>3.5548184716220559E-2</v>
      </c>
      <c r="R2149" s="31">
        <v>0.15939999999999999</v>
      </c>
      <c r="S2149" s="32">
        <v>5.7311262000000002E-2</v>
      </c>
    </row>
    <row r="2150" spans="16:19" x14ac:dyDescent="0.25">
      <c r="P2150" s="27">
        <v>3.2548184716220556E-2</v>
      </c>
      <c r="Q2150" s="28">
        <f t="shared" si="37"/>
        <v>3.5548184716220559E-2</v>
      </c>
      <c r="R2150" s="31">
        <v>0.15939999999999999</v>
      </c>
      <c r="S2150" s="32">
        <v>5.3190000000000001E-2</v>
      </c>
    </row>
    <row r="2151" spans="16:19" x14ac:dyDescent="0.25">
      <c r="P2151" s="27">
        <v>3.2548184716220556E-2</v>
      </c>
      <c r="Q2151" s="28">
        <f t="shared" si="37"/>
        <v>3.5548184716220559E-2</v>
      </c>
      <c r="R2151" s="31">
        <v>0.15939999999999999</v>
      </c>
      <c r="S2151" s="32">
        <v>4.2000000000000003E-2</v>
      </c>
    </row>
    <row r="2152" spans="16:19" x14ac:dyDescent="0.25">
      <c r="P2152" s="27">
        <v>3.2548184716220556E-2</v>
      </c>
      <c r="Q2152" s="28">
        <f t="shared" si="37"/>
        <v>3.5548184716220559E-2</v>
      </c>
      <c r="R2152" s="31">
        <v>0.15939999999999999</v>
      </c>
      <c r="S2152" s="32">
        <v>4.1509999999999998E-2</v>
      </c>
    </row>
    <row r="2153" spans="16:19" x14ac:dyDescent="0.25">
      <c r="P2153" s="27">
        <v>3.2548184716220556E-2</v>
      </c>
      <c r="Q2153" s="28">
        <f t="shared" si="37"/>
        <v>3.5548184716220559E-2</v>
      </c>
      <c r="R2153" s="31">
        <v>0.15939999999999999</v>
      </c>
      <c r="S2153" s="32">
        <v>4.9500000000000002E-2</v>
      </c>
    </row>
    <row r="2154" spans="16:19" x14ac:dyDescent="0.25">
      <c r="P2154" s="27">
        <v>3.2548184716220556E-2</v>
      </c>
      <c r="Q2154" s="28">
        <f t="shared" si="37"/>
        <v>3.5548184716220559E-2</v>
      </c>
      <c r="R2154" s="31">
        <v>0.15939999999999999</v>
      </c>
      <c r="S2154" s="32">
        <v>5.0840000000000003E-2</v>
      </c>
    </row>
    <row r="2155" spans="16:19" x14ac:dyDescent="0.25">
      <c r="P2155" s="27">
        <v>3.2548184716220556E-2</v>
      </c>
      <c r="Q2155" s="28">
        <f t="shared" si="37"/>
        <v>3.5548184716220559E-2</v>
      </c>
      <c r="R2155" s="31">
        <v>0.15939999999999999</v>
      </c>
      <c r="S2155" s="32">
        <v>5.2990000000000002E-2</v>
      </c>
    </row>
    <row r="2156" spans="16:19" x14ac:dyDescent="0.25">
      <c r="P2156" s="27">
        <v>3.2548184716220556E-2</v>
      </c>
      <c r="Q2156" s="28">
        <f t="shared" si="37"/>
        <v>3.5548184716220559E-2</v>
      </c>
      <c r="R2156" s="31">
        <v>0.15939999999999999</v>
      </c>
      <c r="S2156" s="32">
        <v>5.4969999999999998E-2</v>
      </c>
    </row>
    <row r="2157" spans="16:19" x14ac:dyDescent="0.25">
      <c r="P2157" s="27">
        <v>3.2548184716220556E-2</v>
      </c>
      <c r="Q2157" s="28">
        <f t="shared" si="37"/>
        <v>3.5548184716220559E-2</v>
      </c>
      <c r="R2157" s="31">
        <v>0.15939999999999999</v>
      </c>
      <c r="S2157" s="32">
        <v>7.2989999999999999E-2</v>
      </c>
    </row>
    <row r="2158" spans="16:19" x14ac:dyDescent="0.25">
      <c r="P2158" s="27">
        <v>3.2548184716220556E-2</v>
      </c>
      <c r="Q2158" s="28">
        <f t="shared" si="37"/>
        <v>3.5548184716220559E-2</v>
      </c>
      <c r="R2158" s="31">
        <v>0.15939999999999999</v>
      </c>
      <c r="S2158" s="32">
        <v>9.8849999999999993E-2</v>
      </c>
    </row>
    <row r="2159" spans="16:19" x14ac:dyDescent="0.25">
      <c r="P2159" s="27">
        <v>3.2548184716220556E-2</v>
      </c>
      <c r="Q2159" s="28">
        <f t="shared" si="37"/>
        <v>3.5548184716220559E-2</v>
      </c>
      <c r="R2159" s="31">
        <v>0.15939999999999999</v>
      </c>
      <c r="S2159" s="32">
        <v>7.826000000000001E-2</v>
      </c>
    </row>
    <row r="2160" spans="16:19" x14ac:dyDescent="0.25">
      <c r="P2160" s="27">
        <v>3.2548184716220556E-2</v>
      </c>
      <c r="Q2160" s="28">
        <f t="shared" si="37"/>
        <v>3.5548184716220559E-2</v>
      </c>
      <c r="R2160" s="31">
        <v>0.15939999999999999</v>
      </c>
      <c r="S2160" s="32">
        <v>0.06</v>
      </c>
    </row>
    <row r="2161" spans="16:19" x14ac:dyDescent="0.25">
      <c r="P2161" s="27">
        <v>3.2548184716220556E-2</v>
      </c>
      <c r="Q2161" s="28">
        <f t="shared" si="37"/>
        <v>3.5548184716220559E-2</v>
      </c>
      <c r="R2161" s="31">
        <v>0.15939999999999999</v>
      </c>
      <c r="S2161" s="32">
        <v>5.2819999999999999E-2</v>
      </c>
    </row>
    <row r="2162" spans="16:19" x14ac:dyDescent="0.25">
      <c r="P2162" s="27">
        <v>3.2548184716220556E-2</v>
      </c>
      <c r="Q2162" s="28">
        <f t="shared" si="37"/>
        <v>3.5548184716220559E-2</v>
      </c>
      <c r="R2162" s="31">
        <v>0.15939999999999999</v>
      </c>
      <c r="S2162" s="32">
        <v>4.9820000000000003E-2</v>
      </c>
    </row>
    <row r="2163" spans="16:19" x14ac:dyDescent="0.25">
      <c r="P2163" s="27">
        <v>3.2548184716220556E-2</v>
      </c>
      <c r="Q2163" s="28">
        <f t="shared" si="37"/>
        <v>3.5548184716220559E-2</v>
      </c>
      <c r="R2163" s="29">
        <v>0.15</v>
      </c>
      <c r="S2163" s="30">
        <v>0.04</v>
      </c>
    </row>
    <row r="2164" spans="16:19" x14ac:dyDescent="0.25">
      <c r="P2164" s="27">
        <v>3.2548184716220556E-2</v>
      </c>
      <c r="Q2164" s="28">
        <f t="shared" si="37"/>
        <v>3.5548184716220559E-2</v>
      </c>
      <c r="R2164" s="29">
        <v>0.15</v>
      </c>
      <c r="S2164" s="30">
        <v>3.3140000000000003E-2</v>
      </c>
    </row>
    <row r="2165" spans="16:19" x14ac:dyDescent="0.25">
      <c r="P2165" s="27">
        <v>3.2548184716220556E-2</v>
      </c>
      <c r="Q2165" s="28">
        <f t="shared" si="37"/>
        <v>3.5548184716220559E-2</v>
      </c>
      <c r="R2165" s="29">
        <v>0.15</v>
      </c>
      <c r="S2165" s="30">
        <v>3.1609999999999999E-2</v>
      </c>
    </row>
    <row r="2166" spans="16:19" x14ac:dyDescent="0.25">
      <c r="P2166" s="27">
        <v>3.2548184716220556E-2</v>
      </c>
      <c r="Q2166" s="28">
        <f t="shared" si="37"/>
        <v>3.5548184716220559E-2</v>
      </c>
      <c r="R2166" s="29">
        <v>0.15</v>
      </c>
      <c r="S2166" s="30">
        <v>2.904E-2</v>
      </c>
    </row>
    <row r="2167" spans="16:19" x14ac:dyDescent="0.25">
      <c r="P2167" s="27">
        <v>3.2548184716220556E-2</v>
      </c>
      <c r="Q2167" s="28">
        <f t="shared" si="37"/>
        <v>3.5548184716220559E-2</v>
      </c>
      <c r="R2167" s="29">
        <v>0.15</v>
      </c>
      <c r="S2167" s="30">
        <v>2.878E-2</v>
      </c>
    </row>
    <row r="2168" spans="16:19" x14ac:dyDescent="0.25">
      <c r="P2168" s="27">
        <v>3.2548184716220556E-2</v>
      </c>
      <c r="Q2168" s="28">
        <f t="shared" si="37"/>
        <v>3.5548184716220559E-2</v>
      </c>
      <c r="R2168" s="29">
        <v>0.15</v>
      </c>
      <c r="S2168" s="30">
        <v>3.2060000000000005E-2</v>
      </c>
    </row>
    <row r="2169" spans="16:19" x14ac:dyDescent="0.25">
      <c r="P2169" s="27">
        <v>3.2548184716220556E-2</v>
      </c>
      <c r="Q2169" s="28">
        <f t="shared" si="37"/>
        <v>3.5548184716220559E-2</v>
      </c>
      <c r="R2169" s="29">
        <v>0.15</v>
      </c>
      <c r="S2169" s="30">
        <v>4.5999999999999999E-2</v>
      </c>
    </row>
    <row r="2170" spans="16:19" x14ac:dyDescent="0.25">
      <c r="P2170" s="27">
        <v>3.2548184716220556E-2</v>
      </c>
      <c r="Q2170" s="28">
        <f t="shared" si="37"/>
        <v>3.5548184716220559E-2</v>
      </c>
      <c r="R2170" s="29">
        <v>0.15</v>
      </c>
      <c r="S2170" s="30">
        <v>5.2560000000000003E-2</v>
      </c>
    </row>
    <row r="2171" spans="16:19" x14ac:dyDescent="0.25">
      <c r="P2171" s="27">
        <v>3.2548184716220556E-2</v>
      </c>
      <c r="Q2171" s="28">
        <f t="shared" si="37"/>
        <v>3.5548184716220559E-2</v>
      </c>
      <c r="R2171" s="29">
        <v>0.15</v>
      </c>
      <c r="S2171" s="30">
        <v>6.4730082999999994E-2</v>
      </c>
    </row>
    <row r="2172" spans="16:19" x14ac:dyDescent="0.25">
      <c r="P2172" s="27">
        <v>3.2548184716220556E-2</v>
      </c>
      <c r="Q2172" s="28">
        <f t="shared" si="37"/>
        <v>3.5548184716220559E-2</v>
      </c>
      <c r="R2172" s="29">
        <v>0.15</v>
      </c>
      <c r="S2172" s="30">
        <v>6.2909396000000006E-2</v>
      </c>
    </row>
    <row r="2173" spans="16:19" x14ac:dyDescent="0.25">
      <c r="P2173" s="27">
        <v>3.2548184716220556E-2</v>
      </c>
      <c r="Q2173" s="28">
        <f t="shared" si="37"/>
        <v>3.5548184716220559E-2</v>
      </c>
      <c r="R2173" s="29">
        <v>0.15</v>
      </c>
      <c r="S2173" s="30">
        <v>5.1520000000000003E-2</v>
      </c>
    </row>
    <row r="2174" spans="16:19" x14ac:dyDescent="0.25">
      <c r="P2174" s="27">
        <v>3.2548184716220556E-2</v>
      </c>
      <c r="Q2174" s="28">
        <f t="shared" si="37"/>
        <v>3.5548184716220559E-2</v>
      </c>
      <c r="R2174" s="29">
        <v>0.15</v>
      </c>
      <c r="S2174" s="30">
        <v>4.9500000000000002E-2</v>
      </c>
    </row>
    <row r="2175" spans="16:19" x14ac:dyDescent="0.25">
      <c r="P2175" s="27">
        <v>3.2548184716220556E-2</v>
      </c>
      <c r="Q2175" s="28">
        <f t="shared" si="37"/>
        <v>3.5548184716220559E-2</v>
      </c>
      <c r="R2175" s="29">
        <v>0.15</v>
      </c>
      <c r="S2175" s="30">
        <v>4.2509999999999999E-2</v>
      </c>
    </row>
    <row r="2176" spans="16:19" x14ac:dyDescent="0.25">
      <c r="P2176" s="27">
        <v>3.2548184716220556E-2</v>
      </c>
      <c r="Q2176" s="28">
        <f t="shared" si="37"/>
        <v>3.5548184716220559E-2</v>
      </c>
      <c r="R2176" s="29">
        <v>0.15</v>
      </c>
      <c r="S2176" s="30">
        <v>4.1680000000000002E-2</v>
      </c>
    </row>
    <row r="2177" spans="16:19" x14ac:dyDescent="0.25">
      <c r="P2177" s="27">
        <v>3.2548184716220556E-2</v>
      </c>
      <c r="Q2177" s="28">
        <f t="shared" si="37"/>
        <v>3.5548184716220559E-2</v>
      </c>
      <c r="R2177" s="29">
        <v>0.15</v>
      </c>
      <c r="S2177" s="30">
        <v>4.2259999999999999E-2</v>
      </c>
    </row>
    <row r="2178" spans="16:19" x14ac:dyDescent="0.25">
      <c r="P2178" s="27">
        <v>3.2548184716220556E-2</v>
      </c>
      <c r="Q2178" s="28">
        <f t="shared" si="37"/>
        <v>3.5548184716220559E-2</v>
      </c>
      <c r="R2178" s="29">
        <v>0.15</v>
      </c>
      <c r="S2178" s="30">
        <v>4.2040000000000001E-2</v>
      </c>
    </row>
    <row r="2179" spans="16:19" x14ac:dyDescent="0.25">
      <c r="P2179" s="27">
        <v>3.2548184716220556E-2</v>
      </c>
      <c r="Q2179" s="28">
        <f t="shared" si="37"/>
        <v>3.5548184716220559E-2</v>
      </c>
      <c r="R2179" s="29">
        <v>0.15</v>
      </c>
      <c r="S2179" s="30">
        <v>4.4999999999999998E-2</v>
      </c>
    </row>
    <row r="2180" spans="16:19" x14ac:dyDescent="0.25">
      <c r="P2180" s="27">
        <v>3.2548184716220556E-2</v>
      </c>
      <c r="Q2180" s="28">
        <f t="shared" si="37"/>
        <v>3.5548184716220559E-2</v>
      </c>
      <c r="R2180" s="29">
        <v>0.15</v>
      </c>
      <c r="S2180" s="30">
        <v>3.9359999999999999E-2</v>
      </c>
    </row>
    <row r="2181" spans="16:19" x14ac:dyDescent="0.25">
      <c r="P2181" s="27">
        <v>3.2548184716220556E-2</v>
      </c>
      <c r="Q2181" s="28">
        <f t="shared" ref="Q2181:Q2244" si="38">P2181+0.003</f>
        <v>3.5548184716220559E-2</v>
      </c>
      <c r="R2181" s="29">
        <v>0.15</v>
      </c>
      <c r="S2181" s="30">
        <v>4.9500000000000002E-2</v>
      </c>
    </row>
    <row r="2182" spans="16:19" x14ac:dyDescent="0.25">
      <c r="P2182" s="27">
        <v>3.2548184716220556E-2</v>
      </c>
      <c r="Q2182" s="28">
        <f t="shared" si="38"/>
        <v>3.5548184716220559E-2</v>
      </c>
      <c r="R2182" s="29">
        <v>0.15</v>
      </c>
      <c r="S2182" s="30">
        <v>5.8929999999999996E-2</v>
      </c>
    </row>
    <row r="2183" spans="16:19" x14ac:dyDescent="0.25">
      <c r="P2183" s="27">
        <v>3.2548184716220556E-2</v>
      </c>
      <c r="Q2183" s="28">
        <f t="shared" si="38"/>
        <v>3.5548184716220559E-2</v>
      </c>
      <c r="R2183" s="29">
        <v>0.15</v>
      </c>
      <c r="S2183" s="30">
        <v>5.892E-2</v>
      </c>
    </row>
    <row r="2184" spans="16:19" x14ac:dyDescent="0.25">
      <c r="P2184" s="27">
        <v>3.2548184716220556E-2</v>
      </c>
      <c r="Q2184" s="28">
        <f t="shared" si="38"/>
        <v>3.5548184716220559E-2</v>
      </c>
      <c r="R2184" s="29">
        <v>0.15</v>
      </c>
      <c r="S2184" s="30">
        <v>4.9950000000000001E-2</v>
      </c>
    </row>
    <row r="2185" spans="16:19" x14ac:dyDescent="0.25">
      <c r="P2185" s="27">
        <v>3.2548184716220556E-2</v>
      </c>
      <c r="Q2185" s="28">
        <f t="shared" si="38"/>
        <v>3.5548184716220559E-2</v>
      </c>
      <c r="R2185" s="29">
        <v>0.15</v>
      </c>
      <c r="S2185" s="30">
        <v>4.4512169999999997E-2</v>
      </c>
    </row>
    <row r="2186" spans="16:19" x14ac:dyDescent="0.25">
      <c r="P2186" s="27">
        <v>3.2548184716220556E-2</v>
      </c>
      <c r="Q2186" s="28">
        <f t="shared" si="38"/>
        <v>3.5548184716220559E-2</v>
      </c>
      <c r="R2186" s="29">
        <v>0.15</v>
      </c>
      <c r="S2186" s="30">
        <v>3.8939999999999995E-2</v>
      </c>
    </row>
    <row r="2187" spans="16:19" x14ac:dyDescent="0.25">
      <c r="P2187" s="27">
        <v>3.2548184716220556E-2</v>
      </c>
      <c r="Q2187" s="28">
        <f t="shared" si="38"/>
        <v>3.5548184716220559E-2</v>
      </c>
      <c r="R2187" s="29">
        <v>0.15</v>
      </c>
      <c r="S2187" s="30">
        <v>3.5540000000000002E-2</v>
      </c>
    </row>
    <row r="2188" spans="16:19" x14ac:dyDescent="0.25">
      <c r="P2188" s="27">
        <v>3.2548184716220556E-2</v>
      </c>
      <c r="Q2188" s="28">
        <f t="shared" si="38"/>
        <v>3.5548184716220559E-2</v>
      </c>
      <c r="R2188" s="29">
        <v>0.15</v>
      </c>
      <c r="S2188" s="30">
        <v>0.03</v>
      </c>
    </row>
    <row r="2189" spans="16:19" x14ac:dyDescent="0.25">
      <c r="P2189" s="27">
        <v>3.2548184716220556E-2</v>
      </c>
      <c r="Q2189" s="28">
        <f t="shared" si="38"/>
        <v>3.5548184716220559E-2</v>
      </c>
      <c r="R2189" s="29">
        <v>0.15</v>
      </c>
      <c r="S2189" s="30">
        <v>2.8124099E-2</v>
      </c>
    </row>
    <row r="2190" spans="16:19" x14ac:dyDescent="0.25">
      <c r="P2190" s="27">
        <v>3.2548184716220556E-2</v>
      </c>
      <c r="Q2190" s="28">
        <f t="shared" si="38"/>
        <v>3.5548184716220559E-2</v>
      </c>
      <c r="R2190" s="29">
        <v>0.15</v>
      </c>
      <c r="S2190" s="30">
        <v>2.7E-2</v>
      </c>
    </row>
    <row r="2191" spans="16:19" x14ac:dyDescent="0.25">
      <c r="P2191" s="27">
        <v>3.2548184716220556E-2</v>
      </c>
      <c r="Q2191" s="28">
        <f t="shared" si="38"/>
        <v>3.5548184716220559E-2</v>
      </c>
      <c r="R2191" s="29">
        <v>0.15</v>
      </c>
      <c r="S2191" s="30">
        <v>2.75E-2</v>
      </c>
    </row>
    <row r="2192" spans="16:19" x14ac:dyDescent="0.25">
      <c r="P2192" s="27">
        <v>3.2548184716220556E-2</v>
      </c>
      <c r="Q2192" s="28">
        <f t="shared" si="38"/>
        <v>3.5548184716220559E-2</v>
      </c>
      <c r="R2192" s="29">
        <v>0.15</v>
      </c>
      <c r="S2192" s="30">
        <v>3.27E-2</v>
      </c>
    </row>
    <row r="2193" spans="16:19" x14ac:dyDescent="0.25">
      <c r="P2193" s="27">
        <v>3.2548184716220556E-2</v>
      </c>
      <c r="Q2193" s="28">
        <f t="shared" si="38"/>
        <v>3.5548184716220559E-2</v>
      </c>
      <c r="R2193" s="29">
        <v>0.15</v>
      </c>
      <c r="S2193" s="30">
        <v>4.5899999999999996E-2</v>
      </c>
    </row>
    <row r="2194" spans="16:19" x14ac:dyDescent="0.25">
      <c r="P2194" s="27">
        <v>3.2548184716220556E-2</v>
      </c>
      <c r="Q2194" s="28">
        <f t="shared" si="38"/>
        <v>3.5548184716220559E-2</v>
      </c>
      <c r="R2194" s="29">
        <v>0.15</v>
      </c>
      <c r="S2194" s="30">
        <v>5.2829999999999995E-2</v>
      </c>
    </row>
    <row r="2195" spans="16:19" x14ac:dyDescent="0.25">
      <c r="P2195" s="27">
        <v>3.2548184716220556E-2</v>
      </c>
      <c r="Q2195" s="28">
        <f t="shared" si="38"/>
        <v>3.5548184716220559E-2</v>
      </c>
      <c r="R2195" s="31">
        <v>0.15939660775771733</v>
      </c>
      <c r="S2195" s="32">
        <v>0.06</v>
      </c>
    </row>
    <row r="2196" spans="16:19" x14ac:dyDescent="0.25">
      <c r="P2196" s="27">
        <v>3.2548184716220556E-2</v>
      </c>
      <c r="Q2196" s="28">
        <f t="shared" si="38"/>
        <v>3.5548184716220559E-2</v>
      </c>
      <c r="R2196" s="33">
        <v>0.16282860775771735</v>
      </c>
      <c r="S2196" s="34">
        <v>5.8999999999999997E-2</v>
      </c>
    </row>
    <row r="2197" spans="16:19" x14ac:dyDescent="0.25">
      <c r="P2197" s="27">
        <v>3.2548184716220556E-2</v>
      </c>
      <c r="Q2197" s="28">
        <f t="shared" si="38"/>
        <v>3.5548184716220559E-2</v>
      </c>
      <c r="R2197" s="33">
        <v>0.16282860775771735</v>
      </c>
      <c r="S2197" s="34">
        <v>5.0459999999999998E-2</v>
      </c>
    </row>
    <row r="2198" spans="16:19" x14ac:dyDescent="0.25">
      <c r="P2198" s="27">
        <v>3.2548184716220556E-2</v>
      </c>
      <c r="Q2198" s="28">
        <f t="shared" si="38"/>
        <v>3.5548184716220559E-2</v>
      </c>
      <c r="R2198" s="33">
        <v>0.16282860775771735</v>
      </c>
      <c r="S2198" s="34">
        <v>4.9950000000000001E-2</v>
      </c>
    </row>
    <row r="2199" spans="16:19" x14ac:dyDescent="0.25">
      <c r="P2199" s="27">
        <v>3.2548184716220556E-2</v>
      </c>
      <c r="Q2199" s="28">
        <f t="shared" si="38"/>
        <v>3.5548184716220559E-2</v>
      </c>
      <c r="R2199" s="33">
        <v>0.16282860775771735</v>
      </c>
      <c r="S2199" s="34">
        <v>3.9450000000000006E-2</v>
      </c>
    </row>
    <row r="2200" spans="16:19" x14ac:dyDescent="0.25">
      <c r="P2200" s="27">
        <v>3.2548184716220556E-2</v>
      </c>
      <c r="Q2200" s="28">
        <f t="shared" si="38"/>
        <v>3.5548184716220559E-2</v>
      </c>
      <c r="R2200" s="33">
        <v>0.16282860775771735</v>
      </c>
      <c r="S2200" s="34">
        <v>3.8929999999999999E-2</v>
      </c>
    </row>
    <row r="2201" spans="16:19" x14ac:dyDescent="0.25">
      <c r="P2201" s="27">
        <v>3.2548184716220556E-2</v>
      </c>
      <c r="Q2201" s="28">
        <f t="shared" si="38"/>
        <v>3.5548184716220559E-2</v>
      </c>
      <c r="R2201" s="33">
        <v>0.16282860775771735</v>
      </c>
      <c r="S2201" s="34">
        <v>4.4270000000000004E-2</v>
      </c>
    </row>
    <row r="2202" spans="16:19" x14ac:dyDescent="0.25">
      <c r="P2202" s="27">
        <v>3.2548184716220556E-2</v>
      </c>
      <c r="Q2202" s="28">
        <f t="shared" si="38"/>
        <v>3.5548184716220559E-2</v>
      </c>
      <c r="R2202" s="33">
        <v>0.16282860775771735</v>
      </c>
      <c r="S2202" s="34">
        <v>4.5010000000000001E-2</v>
      </c>
    </row>
    <row r="2203" spans="16:19" x14ac:dyDescent="0.25">
      <c r="P2203" s="27">
        <v>3.2548184716220556E-2</v>
      </c>
      <c r="Q2203" s="28">
        <f t="shared" si="38"/>
        <v>3.5548184716220559E-2</v>
      </c>
      <c r="R2203" s="33">
        <v>0.16282860775771735</v>
      </c>
      <c r="S2203" s="34">
        <v>4.7500000000000001E-2</v>
      </c>
    </row>
    <row r="2204" spans="16:19" x14ac:dyDescent="0.25">
      <c r="P2204" s="27">
        <v>3.2548184716220556E-2</v>
      </c>
      <c r="Q2204" s="28">
        <f t="shared" si="38"/>
        <v>3.5548184716220559E-2</v>
      </c>
      <c r="R2204" s="33">
        <v>0.16282860775771735</v>
      </c>
      <c r="S2204" s="34">
        <v>4.9950000000000001E-2</v>
      </c>
    </row>
    <row r="2205" spans="16:19" x14ac:dyDescent="0.25">
      <c r="P2205" s="27">
        <v>3.2548184716220556E-2</v>
      </c>
      <c r="Q2205" s="28">
        <f t="shared" si="38"/>
        <v>3.5548184716220559E-2</v>
      </c>
      <c r="R2205" s="33">
        <v>0.16282860775771735</v>
      </c>
      <c r="S2205" s="34">
        <v>5.1450000000000003E-2</v>
      </c>
    </row>
    <row r="2206" spans="16:19" x14ac:dyDescent="0.25">
      <c r="P2206" s="27">
        <v>3.2548184716220556E-2</v>
      </c>
      <c r="Q2206" s="28">
        <f t="shared" si="38"/>
        <v>3.5548184716220559E-2</v>
      </c>
      <c r="R2206" s="33">
        <v>0.16282860775771735</v>
      </c>
      <c r="S2206" s="34">
        <v>6.3632227E-2</v>
      </c>
    </row>
    <row r="2207" spans="16:19" x14ac:dyDescent="0.25">
      <c r="P2207" s="27">
        <v>3.2548184716220556E-2</v>
      </c>
      <c r="Q2207" s="28">
        <f t="shared" si="38"/>
        <v>3.5548184716220559E-2</v>
      </c>
      <c r="R2207" s="31">
        <v>0.15939660775771733</v>
      </c>
      <c r="S2207" s="32">
        <v>6.8919999999999995E-2</v>
      </c>
    </row>
    <row r="2208" spans="16:19" x14ac:dyDescent="0.25">
      <c r="P2208" s="27">
        <v>3.2548184716220556E-2</v>
      </c>
      <c r="Q2208" s="28">
        <f t="shared" si="38"/>
        <v>3.5548184716220559E-2</v>
      </c>
      <c r="R2208" s="31">
        <v>0.15939660775771733</v>
      </c>
      <c r="S2208" s="32">
        <v>5.4990000000000004E-2</v>
      </c>
    </row>
    <row r="2209" spans="16:19" x14ac:dyDescent="0.25">
      <c r="P2209" s="27">
        <v>3.2548184716220556E-2</v>
      </c>
      <c r="Q2209" s="28">
        <f t="shared" si="38"/>
        <v>3.5548184716220559E-2</v>
      </c>
      <c r="R2209" s="31">
        <v>0.15939660775771733</v>
      </c>
      <c r="S2209" s="32">
        <v>4.999E-2</v>
      </c>
    </row>
    <row r="2210" spans="16:19" x14ac:dyDescent="0.25">
      <c r="P2210" s="27">
        <v>3.2548184716220556E-2</v>
      </c>
      <c r="Q2210" s="28">
        <f t="shared" si="38"/>
        <v>3.5548184716220559E-2</v>
      </c>
      <c r="R2210" s="31">
        <v>0.15939660775771733</v>
      </c>
      <c r="S2210" s="32">
        <v>4.5921080000000003E-2</v>
      </c>
    </row>
    <row r="2211" spans="16:19" x14ac:dyDescent="0.25">
      <c r="P2211" s="27">
        <v>3.2548184716220556E-2</v>
      </c>
      <c r="Q2211" s="28">
        <f t="shared" si="38"/>
        <v>3.5548184716220559E-2</v>
      </c>
      <c r="R2211" s="29">
        <v>0.15003660775771735</v>
      </c>
      <c r="S2211" s="30">
        <v>4.8710000000000003E-2</v>
      </c>
    </row>
    <row r="2212" spans="16:19" x14ac:dyDescent="0.25">
      <c r="P2212" s="27">
        <v>3.2548184716220556E-2</v>
      </c>
      <c r="Q2212" s="28">
        <f t="shared" si="38"/>
        <v>3.5548184716220559E-2</v>
      </c>
      <c r="R2212" s="29">
        <v>0.15003660775771735</v>
      </c>
      <c r="S2212" s="30">
        <v>0.04</v>
      </c>
    </row>
    <row r="2213" spans="16:19" x14ac:dyDescent="0.25">
      <c r="P2213" s="27">
        <v>3.2548184716220556E-2</v>
      </c>
      <c r="Q2213" s="28">
        <f t="shared" si="38"/>
        <v>3.5548184716220559E-2</v>
      </c>
      <c r="R2213" s="29">
        <v>0.15003660775771735</v>
      </c>
      <c r="S2213" s="30">
        <v>3.7149999999999996E-2</v>
      </c>
    </row>
    <row r="2214" spans="16:19" x14ac:dyDescent="0.25">
      <c r="P2214" s="27">
        <v>3.2548184716220556E-2</v>
      </c>
      <c r="Q2214" s="28">
        <f t="shared" si="38"/>
        <v>3.5548184716220559E-2</v>
      </c>
      <c r="R2214" s="29">
        <v>0.15003660775771735</v>
      </c>
      <c r="S2214" s="30">
        <v>3.5999999999999997E-2</v>
      </c>
    </row>
    <row r="2215" spans="16:19" x14ac:dyDescent="0.25">
      <c r="P2215" s="27">
        <v>3.2548184716220556E-2</v>
      </c>
      <c r="Q2215" s="28">
        <f t="shared" si="38"/>
        <v>3.5548184716220559E-2</v>
      </c>
      <c r="R2215" s="29">
        <v>0.15003660775771735</v>
      </c>
      <c r="S2215" s="30">
        <v>3.4000000000000002E-2</v>
      </c>
    </row>
    <row r="2216" spans="16:19" x14ac:dyDescent="0.25">
      <c r="P2216" s="27">
        <v>3.2548184716220556E-2</v>
      </c>
      <c r="Q2216" s="28">
        <f t="shared" si="38"/>
        <v>3.5548184716220559E-2</v>
      </c>
      <c r="R2216" s="29">
        <v>0.15003660775771735</v>
      </c>
      <c r="S2216" s="30">
        <v>3.9420000000000004E-2</v>
      </c>
    </row>
    <row r="2217" spans="16:19" x14ac:dyDescent="0.25">
      <c r="P2217" s="27">
        <v>3.2548184716220556E-2</v>
      </c>
      <c r="Q2217" s="28">
        <f t="shared" si="38"/>
        <v>3.5548184716220559E-2</v>
      </c>
      <c r="R2217" s="29">
        <v>0.15003660775771735</v>
      </c>
      <c r="S2217" s="30">
        <v>5.0529999999999999E-2</v>
      </c>
    </row>
    <row r="2218" spans="16:19" x14ac:dyDescent="0.25">
      <c r="P2218" s="27">
        <v>3.2548184716220556E-2</v>
      </c>
      <c r="Q2218" s="28">
        <f t="shared" si="38"/>
        <v>3.5548184716220559E-2</v>
      </c>
      <c r="R2218" s="29">
        <v>0.15003660775771735</v>
      </c>
      <c r="S2218" s="30">
        <v>5.6000000000000001E-2</v>
      </c>
    </row>
    <row r="2219" spans="16:19" x14ac:dyDescent="0.25">
      <c r="P2219" s="27">
        <v>3.2548184716220556E-2</v>
      </c>
      <c r="Q2219" s="28">
        <f t="shared" si="38"/>
        <v>3.5548184716220559E-2</v>
      </c>
      <c r="R2219" s="31">
        <v>0.15939660775771733</v>
      </c>
      <c r="S2219" s="32">
        <v>7.0650000000000004E-2</v>
      </c>
    </row>
    <row r="2220" spans="16:19" x14ac:dyDescent="0.25">
      <c r="P2220" s="27">
        <v>3.2548184716220556E-2</v>
      </c>
      <c r="Q2220" s="28">
        <f t="shared" si="38"/>
        <v>3.5548184716220559E-2</v>
      </c>
      <c r="R2220" s="33">
        <v>0.16282860775771735</v>
      </c>
      <c r="S2220" s="34">
        <v>6.4680000000000001E-2</v>
      </c>
    </row>
    <row r="2221" spans="16:19" x14ac:dyDescent="0.25">
      <c r="P2221" s="27">
        <v>3.2548184716220556E-2</v>
      </c>
      <c r="Q2221" s="28">
        <f t="shared" si="38"/>
        <v>3.5548184716220559E-2</v>
      </c>
      <c r="R2221" s="33">
        <v>0.16282860775771735</v>
      </c>
      <c r="S2221" s="34">
        <v>5.5399999999999998E-2</v>
      </c>
    </row>
    <row r="2222" spans="16:19" x14ac:dyDescent="0.25">
      <c r="P2222" s="27">
        <v>3.2548184716220556E-2</v>
      </c>
      <c r="Q2222" s="28">
        <f t="shared" si="38"/>
        <v>3.5548184716220559E-2</v>
      </c>
      <c r="R2222" s="33">
        <v>0.16282860775771735</v>
      </c>
      <c r="S2222" s="34">
        <v>5.5149999999999998E-2</v>
      </c>
    </row>
    <row r="2223" spans="16:19" x14ac:dyDescent="0.25">
      <c r="P2223" s="27">
        <v>3.2548184716220556E-2</v>
      </c>
      <c r="Q2223" s="28">
        <f t="shared" si="38"/>
        <v>3.5548184716220559E-2</v>
      </c>
      <c r="R2223" s="33">
        <v>0.16282860775771735</v>
      </c>
      <c r="S2223" s="34">
        <v>4.6600000000000003E-2</v>
      </c>
    </row>
    <row r="2224" spans="16:19" x14ac:dyDescent="0.25">
      <c r="P2224" s="27">
        <v>3.2548184716220556E-2</v>
      </c>
      <c r="Q2224" s="28">
        <f t="shared" si="38"/>
        <v>3.5548184716220559E-2</v>
      </c>
      <c r="R2224" s="33">
        <v>0.16282860775771735</v>
      </c>
      <c r="S2224" s="34">
        <v>4.6093598999999999E-2</v>
      </c>
    </row>
    <row r="2225" spans="16:19" x14ac:dyDescent="0.25">
      <c r="P2225" s="27">
        <v>3.2548184716220556E-2</v>
      </c>
      <c r="Q2225" s="28">
        <f t="shared" si="38"/>
        <v>3.5548184716220559E-2</v>
      </c>
      <c r="R2225" s="33">
        <v>0.16282860775771735</v>
      </c>
      <c r="S2225" s="34">
        <v>5.015E-2</v>
      </c>
    </row>
    <row r="2226" spans="16:19" x14ac:dyDescent="0.25">
      <c r="P2226" s="27">
        <v>3.2548184716220556E-2</v>
      </c>
      <c r="Q2226" s="28">
        <f t="shared" si="38"/>
        <v>3.5548184716220559E-2</v>
      </c>
      <c r="R2226" s="33">
        <v>0.16282860775771735</v>
      </c>
      <c r="S2226" s="34">
        <v>5.1330000000000001E-2</v>
      </c>
    </row>
    <row r="2227" spans="16:19" x14ac:dyDescent="0.25">
      <c r="P2227" s="27">
        <v>3.2548184716220556E-2</v>
      </c>
      <c r="Q2227" s="28">
        <f t="shared" si="38"/>
        <v>3.5548184716220559E-2</v>
      </c>
      <c r="R2227" s="33">
        <v>0.16282860775771735</v>
      </c>
      <c r="S2227" s="34">
        <v>5.2209999999999999E-2</v>
      </c>
    </row>
    <row r="2228" spans="16:19" x14ac:dyDescent="0.25">
      <c r="P2228" s="27">
        <v>3.2548184716220556E-2</v>
      </c>
      <c r="Q2228" s="28">
        <f t="shared" si="38"/>
        <v>3.5548184716220559E-2</v>
      </c>
      <c r="R2228" s="33">
        <v>0.16282860775771735</v>
      </c>
      <c r="S2228" s="34">
        <v>4.9950000000000001E-2</v>
      </c>
    </row>
    <row r="2229" spans="16:19" x14ac:dyDescent="0.25">
      <c r="P2229" s="27">
        <v>3.2548184716220556E-2</v>
      </c>
      <c r="Q2229" s="28">
        <f t="shared" si="38"/>
        <v>3.5548184716220559E-2</v>
      </c>
      <c r="R2229" s="33">
        <v>0.16282860775771735</v>
      </c>
      <c r="S2229" s="34">
        <v>0.05</v>
      </c>
    </row>
    <row r="2230" spans="16:19" x14ac:dyDescent="0.25">
      <c r="P2230" s="27">
        <v>3.2548184716220556E-2</v>
      </c>
      <c r="Q2230" s="28">
        <f t="shared" si="38"/>
        <v>3.5548184716220559E-2</v>
      </c>
      <c r="R2230" s="33">
        <v>0.16282860775771735</v>
      </c>
      <c r="S2230" s="34">
        <v>5.8380000000000001E-2</v>
      </c>
    </row>
    <row r="2231" spans="16:19" x14ac:dyDescent="0.25">
      <c r="P2231" s="27">
        <v>3.2548184716220556E-2</v>
      </c>
      <c r="Q2231" s="28">
        <f t="shared" si="38"/>
        <v>3.5548184716220559E-2</v>
      </c>
      <c r="R2231" s="31">
        <v>0.15939660775771733</v>
      </c>
      <c r="S2231" s="32">
        <v>6.4329999999999998E-2</v>
      </c>
    </row>
    <row r="2232" spans="16:19" x14ac:dyDescent="0.25">
      <c r="P2232" s="27">
        <v>3.2548184716220556E-2</v>
      </c>
      <c r="Q2232" s="28">
        <f t="shared" si="38"/>
        <v>3.5548184716220559E-2</v>
      </c>
      <c r="R2232" s="31">
        <v>0.15939660775771733</v>
      </c>
      <c r="S2232" s="32">
        <v>5.2999999999999999E-2</v>
      </c>
    </row>
    <row r="2233" spans="16:19" x14ac:dyDescent="0.25">
      <c r="P2233" s="27">
        <v>3.2548184716220556E-2</v>
      </c>
      <c r="Q2233" s="28">
        <f t="shared" si="38"/>
        <v>3.5548184716220559E-2</v>
      </c>
      <c r="R2233" s="31">
        <v>0.15939660775771733</v>
      </c>
      <c r="S2233" s="32">
        <v>4.9360000000000001E-2</v>
      </c>
    </row>
    <row r="2234" spans="16:19" x14ac:dyDescent="0.25">
      <c r="P2234" s="27">
        <v>3.2548184716220556E-2</v>
      </c>
      <c r="Q2234" s="28">
        <f t="shared" si="38"/>
        <v>3.5548184716220559E-2</v>
      </c>
      <c r="R2234" s="31">
        <v>0.15939660775771733</v>
      </c>
      <c r="S2234" s="32">
        <v>4.4534916000000001E-2</v>
      </c>
    </row>
    <row r="2235" spans="16:19" x14ac:dyDescent="0.25">
      <c r="P2235" s="27">
        <v>3.2548184716220556E-2</v>
      </c>
      <c r="Q2235" s="28">
        <f t="shared" si="38"/>
        <v>3.5548184716220559E-2</v>
      </c>
      <c r="R2235" s="29">
        <v>0.15003660775771735</v>
      </c>
      <c r="S2235" s="30">
        <v>4.9320000000000003E-2</v>
      </c>
    </row>
    <row r="2236" spans="16:19" x14ac:dyDescent="0.25">
      <c r="P2236" s="27">
        <v>3.2548184716220556E-2</v>
      </c>
      <c r="Q2236" s="28">
        <f t="shared" si="38"/>
        <v>3.5548184716220559E-2</v>
      </c>
      <c r="R2236" s="29">
        <v>0.15003660775771735</v>
      </c>
      <c r="S2236" s="30">
        <v>3.7499999999999999E-2</v>
      </c>
    </row>
    <row r="2237" spans="16:19" x14ac:dyDescent="0.25">
      <c r="P2237" s="27">
        <v>3.2548184716220556E-2</v>
      </c>
      <c r="Q2237" s="28">
        <f t="shared" si="38"/>
        <v>3.5548184716220559E-2</v>
      </c>
      <c r="R2237" s="29">
        <v>0.15003660775771735</v>
      </c>
      <c r="S2237" s="30">
        <v>3.313E-2</v>
      </c>
    </row>
    <row r="2238" spans="16:19" x14ac:dyDescent="0.25">
      <c r="P2238" s="27">
        <v>3.2548184716220556E-2</v>
      </c>
      <c r="Q2238" s="28">
        <f t="shared" si="38"/>
        <v>3.5548184716220559E-2</v>
      </c>
      <c r="R2238" s="29">
        <v>0.15003660775771735</v>
      </c>
      <c r="S2238" s="30">
        <v>0.03</v>
      </c>
    </row>
    <row r="2239" spans="16:19" x14ac:dyDescent="0.25">
      <c r="P2239" s="27">
        <v>3.2548184716220556E-2</v>
      </c>
      <c r="Q2239" s="28">
        <f t="shared" si="38"/>
        <v>3.5548184716220559E-2</v>
      </c>
      <c r="R2239" s="29">
        <v>0.15003660775771735</v>
      </c>
      <c r="S2239" s="30">
        <v>3.313E-2</v>
      </c>
    </row>
    <row r="2240" spans="16:19" x14ac:dyDescent="0.25">
      <c r="P2240" s="27">
        <v>3.2548184716220556E-2</v>
      </c>
      <c r="Q2240" s="28">
        <f t="shared" si="38"/>
        <v>3.5548184716220559E-2</v>
      </c>
      <c r="R2240" s="29">
        <v>0.15003660775771735</v>
      </c>
      <c r="S2240" s="30">
        <v>3.533E-2</v>
      </c>
    </row>
    <row r="2241" spans="16:19" x14ac:dyDescent="0.25">
      <c r="P2241" s="27">
        <v>3.2548184716220556E-2</v>
      </c>
      <c r="Q2241" s="28">
        <f t="shared" si="38"/>
        <v>3.5548184716220559E-2</v>
      </c>
      <c r="R2241" s="29">
        <v>0.15003660775771735</v>
      </c>
      <c r="S2241" s="30">
        <v>4.9049999999999996E-2</v>
      </c>
    </row>
    <row r="2242" spans="16:19" x14ac:dyDescent="0.25">
      <c r="P2242" s="27">
        <v>3.2548184716220556E-2</v>
      </c>
      <c r="Q2242" s="28">
        <f t="shared" si="38"/>
        <v>3.5548184716220559E-2</v>
      </c>
      <c r="R2242" s="29">
        <v>0.15003660775771735</v>
      </c>
      <c r="S2242" s="30">
        <v>5.2829999999999995E-2</v>
      </c>
    </row>
    <row r="2243" spans="16:19" x14ac:dyDescent="0.25">
      <c r="P2243" s="27">
        <v>3.2548184716220556E-2</v>
      </c>
      <c r="Q2243" s="28">
        <f t="shared" si="38"/>
        <v>3.5548184716220559E-2</v>
      </c>
      <c r="R2243" s="31">
        <v>0.15939660775771733</v>
      </c>
      <c r="S2243" s="32">
        <v>7.5700000000000003E-2</v>
      </c>
    </row>
    <row r="2244" spans="16:19" x14ac:dyDescent="0.25">
      <c r="P2244" s="27">
        <v>3.2548184716220556E-2</v>
      </c>
      <c r="Q2244" s="28">
        <f t="shared" si="38"/>
        <v>3.5548184716220559E-2</v>
      </c>
      <c r="R2244" s="33">
        <v>0.16282860775771735</v>
      </c>
      <c r="S2244" s="34">
        <v>7.85E-2</v>
      </c>
    </row>
    <row r="2245" spans="16:19" x14ac:dyDescent="0.25">
      <c r="P2245" s="27">
        <v>3.2548184716220556E-2</v>
      </c>
      <c r="Q2245" s="28">
        <f t="shared" ref="Q2245:Q2308" si="39">P2245+0.003</f>
        <v>3.5548184716220559E-2</v>
      </c>
      <c r="R2245" s="33">
        <v>0.16282860775771735</v>
      </c>
      <c r="S2245" s="34">
        <v>6.4799999999999996E-2</v>
      </c>
    </row>
    <row r="2246" spans="16:19" x14ac:dyDescent="0.25">
      <c r="P2246" s="27">
        <v>3.2548184716220556E-2</v>
      </c>
      <c r="Q2246" s="28">
        <f t="shared" si="39"/>
        <v>3.5548184716220559E-2</v>
      </c>
      <c r="R2246" s="33">
        <v>0.16282860775771735</v>
      </c>
      <c r="S2246" s="34">
        <v>5.8650000000000001E-2</v>
      </c>
    </row>
    <row r="2247" spans="16:19" x14ac:dyDescent="0.25">
      <c r="P2247" s="27">
        <v>3.2548184716220556E-2</v>
      </c>
      <c r="Q2247" s="28">
        <f t="shared" si="39"/>
        <v>3.5548184716220559E-2</v>
      </c>
      <c r="R2247" s="33">
        <v>0.16282860775771735</v>
      </c>
      <c r="S2247" s="34">
        <v>5.074E-2</v>
      </c>
    </row>
    <row r="2248" spans="16:19" x14ac:dyDescent="0.25">
      <c r="P2248" s="27">
        <v>3.2548184716220556E-2</v>
      </c>
      <c r="Q2248" s="28">
        <f t="shared" si="39"/>
        <v>3.5548184716220559E-2</v>
      </c>
      <c r="R2248" s="33">
        <v>0.16282860775771735</v>
      </c>
      <c r="S2248" s="34">
        <v>5.0349999999999999E-2</v>
      </c>
    </row>
    <row r="2249" spans="16:19" x14ac:dyDescent="0.25">
      <c r="P2249" s="27">
        <v>3.2548184716220556E-2</v>
      </c>
      <c r="Q2249" s="28">
        <f t="shared" si="39"/>
        <v>3.5548184716220559E-2</v>
      </c>
      <c r="R2249" s="33">
        <v>0.16282860775771735</v>
      </c>
      <c r="S2249" s="34">
        <v>5.1400000000000001E-2</v>
      </c>
    </row>
    <row r="2250" spans="16:19" x14ac:dyDescent="0.25">
      <c r="P2250" s="27">
        <v>3.2548184716220556E-2</v>
      </c>
      <c r="Q2250" s="28">
        <f t="shared" si="39"/>
        <v>3.5548184716220559E-2</v>
      </c>
      <c r="R2250" s="33">
        <v>0.16282860775771735</v>
      </c>
      <c r="S2250" s="34">
        <v>5.1110000000000003E-2</v>
      </c>
    </row>
    <row r="2251" spans="16:19" x14ac:dyDescent="0.25">
      <c r="P2251" s="27">
        <v>3.2548184716220556E-2</v>
      </c>
      <c r="Q2251" s="28">
        <f t="shared" si="39"/>
        <v>3.5548184716220559E-2</v>
      </c>
      <c r="R2251" s="33">
        <v>0.16282860775771735</v>
      </c>
      <c r="S2251" s="34">
        <v>5.2549999999999999E-2</v>
      </c>
    </row>
    <row r="2252" spans="16:19" x14ac:dyDescent="0.25">
      <c r="P2252" s="27">
        <v>3.2548184716220556E-2</v>
      </c>
      <c r="Q2252" s="28">
        <f t="shared" si="39"/>
        <v>3.5548184716220559E-2</v>
      </c>
      <c r="R2252" s="33">
        <v>0.16282860775771735</v>
      </c>
      <c r="S2252" s="34">
        <v>4.9919999999999999E-2</v>
      </c>
    </row>
    <row r="2253" spans="16:19" x14ac:dyDescent="0.25">
      <c r="P2253" s="27">
        <v>3.2548184716220556E-2</v>
      </c>
      <c r="Q2253" s="28">
        <f t="shared" si="39"/>
        <v>3.5548184716220559E-2</v>
      </c>
      <c r="R2253" s="33">
        <v>0.16282860775771735</v>
      </c>
      <c r="S2253" s="34">
        <v>4.999E-2</v>
      </c>
    </row>
    <row r="2254" spans="16:19" x14ac:dyDescent="0.25">
      <c r="P2254" s="27">
        <v>3.2548184716220556E-2</v>
      </c>
      <c r="Q2254" s="28">
        <f t="shared" si="39"/>
        <v>3.5548184716220559E-2</v>
      </c>
      <c r="R2254" s="33">
        <v>0.16282860775771735</v>
      </c>
      <c r="S2254" s="34">
        <v>5.457E-2</v>
      </c>
    </row>
    <row r="2255" spans="16:19" x14ac:dyDescent="0.25">
      <c r="P2255" s="27">
        <v>3.2548184716220556E-2</v>
      </c>
      <c r="Q2255" s="28">
        <f t="shared" si="39"/>
        <v>3.5548184716220559E-2</v>
      </c>
      <c r="R2255" s="31">
        <v>0.15939660775771733</v>
      </c>
      <c r="S2255" s="32">
        <v>5.9900808999999999E-2</v>
      </c>
    </row>
    <row r="2256" spans="16:19" x14ac:dyDescent="0.25">
      <c r="P2256" s="27">
        <v>3.2548184716220556E-2</v>
      </c>
      <c r="Q2256" s="28">
        <f t="shared" si="39"/>
        <v>3.5548184716220559E-2</v>
      </c>
      <c r="R2256" s="31">
        <v>0.15939660775771733</v>
      </c>
      <c r="S2256" s="32">
        <v>5.2990000000000002E-2</v>
      </c>
    </row>
    <row r="2257" spans="16:19" x14ac:dyDescent="0.25">
      <c r="P2257" s="27">
        <v>3.2548184716220556E-2</v>
      </c>
      <c r="Q2257" s="28">
        <f t="shared" si="39"/>
        <v>3.5548184716220559E-2</v>
      </c>
      <c r="R2257" s="31">
        <v>0.15939660775771733</v>
      </c>
      <c r="S2257" s="32">
        <v>4.7380000000000005E-2</v>
      </c>
    </row>
    <row r="2258" spans="16:19" x14ac:dyDescent="0.25">
      <c r="P2258" s="27">
        <v>3.2548184716220556E-2</v>
      </c>
      <c r="Q2258" s="28">
        <f t="shared" si="39"/>
        <v>3.5548184716220559E-2</v>
      </c>
      <c r="R2258" s="31">
        <v>0.15939660775771733</v>
      </c>
      <c r="S2258" s="32">
        <v>4.011E-2</v>
      </c>
    </row>
    <row r="2259" spans="16:19" x14ac:dyDescent="0.25">
      <c r="P2259" s="27">
        <v>3.2548184716220556E-2</v>
      </c>
      <c r="Q2259" s="28">
        <f t="shared" si="39"/>
        <v>3.5548184716220559E-2</v>
      </c>
      <c r="R2259" s="29">
        <v>0.15003660775771735</v>
      </c>
      <c r="S2259" s="30">
        <v>3.5999999999999997E-2</v>
      </c>
    </row>
    <row r="2260" spans="16:19" x14ac:dyDescent="0.25">
      <c r="P2260" s="27">
        <v>3.2548184716220556E-2</v>
      </c>
      <c r="Q2260" s="28">
        <f t="shared" si="39"/>
        <v>3.5548184716220559E-2</v>
      </c>
      <c r="R2260" s="29">
        <v>0.15003660775771735</v>
      </c>
      <c r="S2260" s="30">
        <v>3.2070000000000001E-2</v>
      </c>
    </row>
    <row r="2261" spans="16:19" x14ac:dyDescent="0.25">
      <c r="P2261" s="27">
        <v>3.2548184716220556E-2</v>
      </c>
      <c r="Q2261" s="28">
        <f t="shared" si="39"/>
        <v>3.5548184716220559E-2</v>
      </c>
      <c r="R2261" s="29">
        <v>0.15003660775771735</v>
      </c>
      <c r="S2261" s="30">
        <v>2.9100000000000001E-2</v>
      </c>
    </row>
    <row r="2262" spans="16:19" x14ac:dyDescent="0.25">
      <c r="P2262" s="27">
        <v>3.2548184716220556E-2</v>
      </c>
      <c r="Q2262" s="28">
        <f t="shared" si="39"/>
        <v>3.5548184716220559E-2</v>
      </c>
      <c r="R2262" s="29">
        <v>0.15003660775771735</v>
      </c>
      <c r="S2262" s="30">
        <v>2.666E-2</v>
      </c>
    </row>
    <row r="2263" spans="16:19" x14ac:dyDescent="0.25">
      <c r="P2263" s="27">
        <v>3.2548184716220556E-2</v>
      </c>
      <c r="Q2263" s="28">
        <f t="shared" si="39"/>
        <v>3.5548184716220559E-2</v>
      </c>
      <c r="R2263" s="29">
        <v>0.15003660775771735</v>
      </c>
      <c r="S2263" s="30">
        <v>2.75E-2</v>
      </c>
    </row>
    <row r="2264" spans="16:19" x14ac:dyDescent="0.25">
      <c r="P2264" s="27">
        <v>3.2548184716220556E-2</v>
      </c>
      <c r="Q2264" s="28">
        <f t="shared" si="39"/>
        <v>3.5548184716220559E-2</v>
      </c>
      <c r="R2264" s="29">
        <v>0.15003660775771735</v>
      </c>
      <c r="S2264" s="30">
        <v>3.2590000000000001E-2</v>
      </c>
    </row>
    <row r="2265" spans="16:19" x14ac:dyDescent="0.25">
      <c r="P2265" s="27">
        <v>3.2548184716220556E-2</v>
      </c>
      <c r="Q2265" s="28">
        <f t="shared" si="39"/>
        <v>3.5548184716220559E-2</v>
      </c>
      <c r="R2265" s="29">
        <v>0.15003660775771735</v>
      </c>
      <c r="S2265" s="30">
        <v>3.7520000000000005E-2</v>
      </c>
    </row>
    <row r="2266" spans="16:19" x14ac:dyDescent="0.25">
      <c r="P2266" s="27">
        <v>3.2548184716220556E-2</v>
      </c>
      <c r="Q2266" s="28">
        <f t="shared" si="39"/>
        <v>3.5548184716220559E-2</v>
      </c>
      <c r="R2266" s="29">
        <v>0.15003660775771735</v>
      </c>
      <c r="S2266" s="30">
        <v>4.8780000000000004E-2</v>
      </c>
    </row>
    <row r="2267" spans="16:19" x14ac:dyDescent="0.25">
      <c r="P2267" s="27">
        <v>3.2548184716220556E-2</v>
      </c>
      <c r="Q2267" s="28">
        <f t="shared" si="39"/>
        <v>3.5548184716220559E-2</v>
      </c>
      <c r="R2267" s="31">
        <v>0.15939660775771733</v>
      </c>
      <c r="S2267" s="32">
        <v>6.9949999999999998E-2</v>
      </c>
    </row>
    <row r="2268" spans="16:19" x14ac:dyDescent="0.25">
      <c r="P2268" s="27">
        <v>3.2548184716220556E-2</v>
      </c>
      <c r="Q2268" s="28">
        <f t="shared" si="39"/>
        <v>3.5548184716220559E-2</v>
      </c>
      <c r="R2268" s="33">
        <v>0.16282860775771735</v>
      </c>
      <c r="S2268" s="34">
        <v>7.7950000000000005E-2</v>
      </c>
    </row>
    <row r="2269" spans="16:19" x14ac:dyDescent="0.25">
      <c r="P2269" s="27">
        <v>3.2548184716220556E-2</v>
      </c>
      <c r="Q2269" s="28">
        <f t="shared" si="39"/>
        <v>3.5548184716220559E-2</v>
      </c>
      <c r="R2269" s="33">
        <v>0.16282860775771735</v>
      </c>
      <c r="S2269" s="34">
        <v>6.4799999999999996E-2</v>
      </c>
    </row>
    <row r="2270" spans="16:19" x14ac:dyDescent="0.25">
      <c r="P2270" s="27">
        <v>3.2548184716220556E-2</v>
      </c>
      <c r="Q2270" s="28">
        <f t="shared" si="39"/>
        <v>3.5548184716220559E-2</v>
      </c>
      <c r="R2270" s="33">
        <v>0.16282860775771735</v>
      </c>
      <c r="S2270" s="34">
        <v>5.5799999999999995E-2</v>
      </c>
    </row>
    <row r="2271" spans="16:19" x14ac:dyDescent="0.25">
      <c r="P2271" s="27">
        <v>3.2548184716220556E-2</v>
      </c>
      <c r="Q2271" s="28">
        <f t="shared" si="39"/>
        <v>3.5548184716220559E-2</v>
      </c>
      <c r="R2271" s="33">
        <v>0.16282860775771735</v>
      </c>
      <c r="S2271" s="34">
        <v>5.0070000000000003E-2</v>
      </c>
    </row>
    <row r="2272" spans="16:19" x14ac:dyDescent="0.25">
      <c r="P2272" s="27">
        <v>3.2548184716220556E-2</v>
      </c>
      <c r="Q2272" s="28">
        <f t="shared" si="39"/>
        <v>3.5548184716220559E-2</v>
      </c>
      <c r="R2272" s="33">
        <v>0.16282860775771735</v>
      </c>
      <c r="S2272" s="34">
        <v>3.95E-2</v>
      </c>
    </row>
    <row r="2273" spans="16:19" x14ac:dyDescent="0.25">
      <c r="P2273" s="27">
        <v>3.2548184716220556E-2</v>
      </c>
      <c r="Q2273" s="28">
        <f t="shared" si="39"/>
        <v>3.5548184716220559E-2</v>
      </c>
      <c r="R2273" s="33">
        <v>0.16282860775771735</v>
      </c>
      <c r="S2273" s="34">
        <v>3.9509999999999997E-2</v>
      </c>
    </row>
    <row r="2274" spans="16:19" x14ac:dyDescent="0.25">
      <c r="P2274" s="27">
        <v>3.2548184716220556E-2</v>
      </c>
      <c r="Q2274" s="28">
        <f t="shared" si="39"/>
        <v>3.5548184716220559E-2</v>
      </c>
      <c r="R2274" s="33">
        <v>0.16282860775771735</v>
      </c>
      <c r="S2274" s="34">
        <v>4.5060000000000003E-2</v>
      </c>
    </row>
    <row r="2275" spans="16:19" x14ac:dyDescent="0.25">
      <c r="P2275" s="27">
        <v>3.2548184716220556E-2</v>
      </c>
      <c r="Q2275" s="28">
        <f t="shared" si="39"/>
        <v>3.5548184716220559E-2</v>
      </c>
      <c r="R2275" s="33">
        <v>0.16282860775771735</v>
      </c>
      <c r="S2275" s="34">
        <v>4.2999999999999997E-2</v>
      </c>
    </row>
    <row r="2276" spans="16:19" x14ac:dyDescent="0.25">
      <c r="P2276" s="27">
        <v>3.2548184716220556E-2</v>
      </c>
      <c r="Q2276" s="28">
        <f t="shared" si="39"/>
        <v>3.5548184716220559E-2</v>
      </c>
      <c r="R2276" s="33">
        <v>0.16282860775771735</v>
      </c>
      <c r="S2276" s="34">
        <v>4.5079999999999995E-2</v>
      </c>
    </row>
    <row r="2277" spans="16:19" x14ac:dyDescent="0.25">
      <c r="P2277" s="27">
        <v>3.2548184716220556E-2</v>
      </c>
      <c r="Q2277" s="28">
        <f t="shared" si="39"/>
        <v>3.5548184716220559E-2</v>
      </c>
      <c r="R2277" s="33">
        <v>0.16282860775771735</v>
      </c>
      <c r="S2277" s="34">
        <v>4.5090000000000005E-2</v>
      </c>
    </row>
    <row r="2278" spans="16:19" x14ac:dyDescent="0.25">
      <c r="P2278" s="27">
        <v>3.2548184716220556E-2</v>
      </c>
      <c r="Q2278" s="28">
        <f t="shared" si="39"/>
        <v>3.5548184716220559E-2</v>
      </c>
      <c r="R2278" s="33">
        <v>0.16282860775771735</v>
      </c>
      <c r="S2278" s="34">
        <v>5.9859999999999997E-2</v>
      </c>
    </row>
    <row r="2279" spans="16:19" x14ac:dyDescent="0.25">
      <c r="P2279" s="27">
        <v>3.2548184716220556E-2</v>
      </c>
      <c r="Q2279" s="28">
        <f t="shared" si="39"/>
        <v>3.5548184716220559E-2</v>
      </c>
      <c r="R2279" s="31">
        <v>0.15939660775771733</v>
      </c>
      <c r="S2279" s="32">
        <v>7.0000000000000007E-2</v>
      </c>
    </row>
    <row r="2280" spans="16:19" x14ac:dyDescent="0.25">
      <c r="P2280" s="27">
        <v>3.2548184716220556E-2</v>
      </c>
      <c r="Q2280" s="28">
        <f t="shared" si="39"/>
        <v>3.5548184716220559E-2</v>
      </c>
      <c r="R2280" s="31">
        <v>0.15939660775771733</v>
      </c>
      <c r="S2280" s="32">
        <v>5.5350000000000003E-2</v>
      </c>
    </row>
    <row r="2281" spans="16:19" x14ac:dyDescent="0.25">
      <c r="P2281" s="27">
        <v>3.2548184716220556E-2</v>
      </c>
      <c r="Q2281" s="28">
        <f t="shared" si="39"/>
        <v>3.5548184716220559E-2</v>
      </c>
      <c r="R2281" s="31">
        <v>0.15939660775771733</v>
      </c>
      <c r="S2281" s="32">
        <v>5.0999999999999997E-2</v>
      </c>
    </row>
    <row r="2282" spans="16:19" x14ac:dyDescent="0.25">
      <c r="P2282" s="27">
        <v>3.2548184716220556E-2</v>
      </c>
      <c r="Q2282" s="28">
        <f t="shared" si="39"/>
        <v>3.5548184716220559E-2</v>
      </c>
      <c r="R2282" s="31">
        <v>0.15939660775771733</v>
      </c>
      <c r="S2282" s="32">
        <v>4.9950000000000001E-2</v>
      </c>
    </row>
    <row r="2283" spans="16:19" x14ac:dyDescent="0.25">
      <c r="P2283" s="27">
        <v>3.2548184716220556E-2</v>
      </c>
      <c r="Q2283" s="28">
        <f t="shared" si="39"/>
        <v>3.5548184716220559E-2</v>
      </c>
      <c r="R2283" s="29">
        <v>0.15003660775771735</v>
      </c>
      <c r="S2283" s="30">
        <v>3.9399999999999998E-2</v>
      </c>
    </row>
    <row r="2284" spans="16:19" x14ac:dyDescent="0.25">
      <c r="P2284" s="27">
        <v>3.2548184716220556E-2</v>
      </c>
      <c r="Q2284" s="28">
        <f t="shared" si="39"/>
        <v>3.5548184716220559E-2</v>
      </c>
      <c r="R2284" s="29">
        <v>0.15003660775771735</v>
      </c>
      <c r="S2284" s="30">
        <v>3.2600000000000004E-2</v>
      </c>
    </row>
    <row r="2285" spans="16:19" x14ac:dyDescent="0.25">
      <c r="P2285" s="27">
        <v>3.2548184716220556E-2</v>
      </c>
      <c r="Q2285" s="28">
        <f t="shared" si="39"/>
        <v>3.5548184716220559E-2</v>
      </c>
      <c r="R2285" s="29">
        <v>0.15003660775771735</v>
      </c>
      <c r="S2285" s="30">
        <v>3.2439999999999997E-2</v>
      </c>
    </row>
    <row r="2286" spans="16:19" x14ac:dyDescent="0.25">
      <c r="P2286" s="27">
        <v>3.2548184716220556E-2</v>
      </c>
      <c r="Q2286" s="28">
        <f t="shared" si="39"/>
        <v>3.5548184716220559E-2</v>
      </c>
      <c r="R2286" s="29">
        <v>0.15003660775771735</v>
      </c>
      <c r="S2286" s="30">
        <v>2.5999999999999999E-2</v>
      </c>
    </row>
    <row r="2287" spans="16:19" x14ac:dyDescent="0.25">
      <c r="P2287" s="27">
        <v>3.2548184716220556E-2</v>
      </c>
      <c r="Q2287" s="28">
        <f t="shared" si="39"/>
        <v>3.5548184716220559E-2</v>
      </c>
      <c r="R2287" s="29">
        <v>0.15003660775771735</v>
      </c>
      <c r="S2287" s="30">
        <v>2.8000000000000001E-2</v>
      </c>
    </row>
    <row r="2288" spans="16:19" x14ac:dyDescent="0.25">
      <c r="P2288" s="27">
        <v>3.2548184716220556E-2</v>
      </c>
      <c r="Q2288" s="28">
        <f t="shared" si="39"/>
        <v>3.5548184716220559E-2</v>
      </c>
      <c r="R2288" s="29">
        <v>0.15003660775771735</v>
      </c>
      <c r="S2288" s="30">
        <v>2.7E-2</v>
      </c>
    </row>
    <row r="2289" spans="16:19" x14ac:dyDescent="0.25">
      <c r="P2289" s="27">
        <v>3.2548184716220556E-2</v>
      </c>
      <c r="Q2289" s="28">
        <f t="shared" si="39"/>
        <v>3.5548184716220559E-2</v>
      </c>
      <c r="R2289" s="29">
        <v>0.15003660775771735</v>
      </c>
      <c r="S2289" s="30">
        <v>3.0600000000000002E-2</v>
      </c>
    </row>
    <row r="2290" spans="16:19" x14ac:dyDescent="0.25">
      <c r="P2290" s="27">
        <v>3.2548184716220556E-2</v>
      </c>
      <c r="Q2290" s="28">
        <f t="shared" si="39"/>
        <v>3.5548184716220559E-2</v>
      </c>
      <c r="R2290" s="29">
        <v>0.15003660775771735</v>
      </c>
      <c r="S2290" s="30">
        <v>2.606E-2</v>
      </c>
    </row>
    <row r="2291" spans="16:19" x14ac:dyDescent="0.25">
      <c r="P2291" s="27">
        <v>3.2548184716220556E-2</v>
      </c>
      <c r="Q2291" s="28">
        <f t="shared" si="39"/>
        <v>3.5548184716220559E-2</v>
      </c>
      <c r="R2291" s="31">
        <v>0.15939660775771733</v>
      </c>
      <c r="S2291" s="32">
        <v>0.04</v>
      </c>
    </row>
    <row r="2292" spans="16:19" x14ac:dyDescent="0.25">
      <c r="P2292" s="27">
        <v>3.2548184716220556E-2</v>
      </c>
      <c r="Q2292" s="28">
        <f t="shared" si="39"/>
        <v>3.5548184716220559E-2</v>
      </c>
      <c r="R2292" s="33">
        <v>0.16282860775771735</v>
      </c>
      <c r="S2292" s="34">
        <v>2.8329999999999998E-2</v>
      </c>
    </row>
    <row r="2293" spans="16:19" x14ac:dyDescent="0.25">
      <c r="P2293" s="27">
        <v>3.2548184716220556E-2</v>
      </c>
      <c r="Q2293" s="28">
        <f t="shared" si="39"/>
        <v>3.5548184716220559E-2</v>
      </c>
      <c r="R2293" s="33">
        <v>0.16282860775771735</v>
      </c>
      <c r="S2293" s="34">
        <v>2.63E-2</v>
      </c>
    </row>
    <row r="2294" spans="16:19" x14ac:dyDescent="0.25">
      <c r="P2294" s="27">
        <v>3.2548184716220556E-2</v>
      </c>
      <c r="Q2294" s="28">
        <f t="shared" si="39"/>
        <v>3.5548184716220559E-2</v>
      </c>
      <c r="R2294" s="33">
        <v>0.16282860775771735</v>
      </c>
      <c r="S2294" s="34">
        <v>2.5999999999999999E-2</v>
      </c>
    </row>
    <row r="2295" spans="16:19" x14ac:dyDescent="0.25">
      <c r="P2295" s="27">
        <v>3.2548184716220556E-2</v>
      </c>
      <c r="Q2295" s="28">
        <f t="shared" si="39"/>
        <v>3.5548184716220559E-2</v>
      </c>
      <c r="R2295" s="33">
        <v>0.16282860775771735</v>
      </c>
      <c r="S2295" s="34">
        <v>2.1329999999999998E-2</v>
      </c>
    </row>
    <row r="2296" spans="16:19" x14ac:dyDescent="0.25">
      <c r="P2296" s="27">
        <v>3.2548184716220556E-2</v>
      </c>
      <c r="Q2296" s="28">
        <f t="shared" si="39"/>
        <v>3.5548184716220559E-2</v>
      </c>
      <c r="R2296" s="33">
        <v>0.16282860775771735</v>
      </c>
      <c r="S2296" s="34">
        <v>1.6120000000000002E-2</v>
      </c>
    </row>
    <row r="2297" spans="16:19" x14ac:dyDescent="0.25">
      <c r="P2297" s="27">
        <v>3.2548184716220556E-2</v>
      </c>
      <c r="Q2297" s="28">
        <f t="shared" si="39"/>
        <v>3.5548184716220559E-2</v>
      </c>
      <c r="R2297" s="33">
        <v>0.16282860775771735</v>
      </c>
      <c r="S2297" s="34">
        <v>1.4150000000000001E-2</v>
      </c>
    </row>
    <row r="2298" spans="16:19" x14ac:dyDescent="0.25">
      <c r="P2298" s="27">
        <v>3.2548184716220556E-2</v>
      </c>
      <c r="Q2298" s="28">
        <f t="shared" si="39"/>
        <v>3.5548184716220559E-2</v>
      </c>
      <c r="R2298" s="33">
        <v>0.16282860775771735</v>
      </c>
      <c r="S2298" s="34">
        <v>1.4500000000000001E-2</v>
      </c>
    </row>
    <row r="2299" spans="16:19" x14ac:dyDescent="0.25">
      <c r="P2299" s="27">
        <v>3.2548184716220556E-2</v>
      </c>
      <c r="Q2299" s="28">
        <f t="shared" si="39"/>
        <v>3.5548184716220559E-2</v>
      </c>
      <c r="R2299" s="33">
        <v>0.16282860775771735</v>
      </c>
      <c r="S2299" s="34">
        <v>1.5900000000000001E-2</v>
      </c>
    </row>
    <row r="2300" spans="16:19" x14ac:dyDescent="0.25">
      <c r="P2300" s="27">
        <v>3.2548184716220556E-2</v>
      </c>
      <c r="Q2300" s="28">
        <f t="shared" si="39"/>
        <v>3.5548184716220559E-2</v>
      </c>
      <c r="R2300" s="33">
        <v>0.16282860775771735</v>
      </c>
      <c r="S2300" s="34">
        <v>2.3969999999999998E-2</v>
      </c>
    </row>
    <row r="2301" spans="16:19" x14ac:dyDescent="0.25">
      <c r="P2301" s="27">
        <v>3.2548184716220556E-2</v>
      </c>
      <c r="Q2301" s="28">
        <f t="shared" si="39"/>
        <v>3.5548184716220559E-2</v>
      </c>
      <c r="R2301" s="33">
        <v>0.16282860775771735</v>
      </c>
      <c r="S2301" s="34">
        <v>3.2579999999999998E-2</v>
      </c>
    </row>
    <row r="2302" spans="16:19" x14ac:dyDescent="0.25">
      <c r="P2302" s="27">
        <v>3.2548184716220556E-2</v>
      </c>
      <c r="Q2302" s="28">
        <f t="shared" si="39"/>
        <v>3.5548184716220559E-2</v>
      </c>
      <c r="R2302" s="33">
        <v>0.16282860775771735</v>
      </c>
      <c r="S2302" s="34">
        <v>4.6021265999999998E-2</v>
      </c>
    </row>
    <row r="2303" spans="16:19" x14ac:dyDescent="0.25">
      <c r="P2303" s="27">
        <v>3.2548184716220556E-2</v>
      </c>
      <c r="Q2303" s="28">
        <f t="shared" si="39"/>
        <v>3.5548184716220559E-2</v>
      </c>
      <c r="R2303" s="31">
        <v>0.15939660775771733</v>
      </c>
      <c r="S2303" s="32">
        <v>5.8999999999999997E-2</v>
      </c>
    </row>
    <row r="2304" spans="16:19" x14ac:dyDescent="0.25">
      <c r="P2304" s="27">
        <v>3.2548184716220556E-2</v>
      </c>
      <c r="Q2304" s="28">
        <f t="shared" si="39"/>
        <v>3.5548184716220559E-2</v>
      </c>
      <c r="R2304" s="31">
        <v>0.15939660775771733</v>
      </c>
      <c r="S2304" s="32">
        <v>5.0389999999999997E-2</v>
      </c>
    </row>
    <row r="2305" spans="16:19" x14ac:dyDescent="0.25">
      <c r="P2305" s="27">
        <v>3.2548184716220556E-2</v>
      </c>
      <c r="Q2305" s="28">
        <f t="shared" si="39"/>
        <v>3.5548184716220559E-2</v>
      </c>
      <c r="R2305" s="31">
        <v>0.15939660775771733</v>
      </c>
      <c r="S2305" s="32">
        <v>4.5219999999999996E-2</v>
      </c>
    </row>
    <row r="2306" spans="16:19" x14ac:dyDescent="0.25">
      <c r="P2306" s="27">
        <v>3.2548184716220556E-2</v>
      </c>
      <c r="Q2306" s="28">
        <f t="shared" si="39"/>
        <v>3.5548184716220559E-2</v>
      </c>
      <c r="R2306" s="31">
        <v>0.15939660775771733</v>
      </c>
      <c r="S2306" s="32">
        <v>4.2299999999999997E-2</v>
      </c>
    </row>
    <row r="2307" spans="16:19" x14ac:dyDescent="0.25">
      <c r="P2307" s="27">
        <v>3.2548184716220556E-2</v>
      </c>
      <c r="Q2307" s="28">
        <f t="shared" si="39"/>
        <v>3.5548184716220559E-2</v>
      </c>
      <c r="R2307" s="29">
        <v>0.15003660775771735</v>
      </c>
      <c r="S2307" s="30">
        <v>3.9460000000000002E-2</v>
      </c>
    </row>
    <row r="2308" spans="16:19" x14ac:dyDescent="0.25">
      <c r="P2308" s="27">
        <v>3.2548184716220556E-2</v>
      </c>
      <c r="Q2308" s="28">
        <f t="shared" si="39"/>
        <v>3.5548184716220559E-2</v>
      </c>
      <c r="R2308" s="29">
        <v>0.15003660775771735</v>
      </c>
      <c r="S2308" s="30">
        <v>3.5349999999999999E-2</v>
      </c>
    </row>
    <row r="2309" spans="16:19" x14ac:dyDescent="0.25">
      <c r="P2309" s="27">
        <v>3.2548184716220556E-2</v>
      </c>
      <c r="Q2309" s="28">
        <f t="shared" ref="Q2309:Q2372" si="40">P2309+0.003</f>
        <v>3.5548184716220559E-2</v>
      </c>
      <c r="R2309" s="29">
        <v>0.15003660775771735</v>
      </c>
      <c r="S2309" s="30">
        <v>2.8969999999999999E-2</v>
      </c>
    </row>
    <row r="2310" spans="16:19" x14ac:dyDescent="0.25">
      <c r="P2310" s="27">
        <v>3.2548184716220556E-2</v>
      </c>
      <c r="Q2310" s="28">
        <f t="shared" si="40"/>
        <v>3.5548184716220559E-2</v>
      </c>
      <c r="R2310" s="29">
        <v>0.15003660775771735</v>
      </c>
      <c r="S2310" s="30">
        <v>2.896E-2</v>
      </c>
    </row>
    <row r="2311" spans="16:19" x14ac:dyDescent="0.25">
      <c r="P2311" s="27">
        <v>3.2548184716220556E-2</v>
      </c>
      <c r="Q2311" s="28">
        <f t="shared" si="40"/>
        <v>3.5548184716220559E-2</v>
      </c>
      <c r="R2311" s="29">
        <v>0.15003660775771735</v>
      </c>
      <c r="S2311" s="30">
        <v>3.0300000000000001E-2</v>
      </c>
    </row>
    <row r="2312" spans="16:19" x14ac:dyDescent="0.25">
      <c r="P2312" s="27">
        <v>3.2548184716220556E-2</v>
      </c>
      <c r="Q2312" s="28">
        <f t="shared" si="40"/>
        <v>3.5548184716220559E-2</v>
      </c>
      <c r="R2312" s="29">
        <v>0.15003660775771735</v>
      </c>
      <c r="S2312" s="30">
        <v>3.6150000000000002E-2</v>
      </c>
    </row>
    <row r="2313" spans="16:19" x14ac:dyDescent="0.25">
      <c r="P2313" s="27">
        <v>3.2548184716220556E-2</v>
      </c>
      <c r="Q2313" s="28">
        <f t="shared" si="40"/>
        <v>3.5548184716220559E-2</v>
      </c>
      <c r="R2313" s="29">
        <v>0.15003660775771735</v>
      </c>
      <c r="S2313" s="30">
        <v>5.0999999999999997E-2</v>
      </c>
    </row>
    <row r="2314" spans="16:19" x14ac:dyDescent="0.25">
      <c r="P2314" s="27">
        <v>3.2548184716220556E-2</v>
      </c>
      <c r="Q2314" s="28">
        <f t="shared" si="40"/>
        <v>3.5548184716220559E-2</v>
      </c>
      <c r="R2314" s="29">
        <v>0.15003660775771735</v>
      </c>
      <c r="S2314" s="30">
        <v>6.6000000000000003E-2</v>
      </c>
    </row>
    <row r="2315" spans="16:19" x14ac:dyDescent="0.25">
      <c r="P2315" s="27">
        <v>3.2548184716220556E-2</v>
      </c>
      <c r="Q2315" s="28">
        <f t="shared" si="40"/>
        <v>3.5548184716220559E-2</v>
      </c>
      <c r="R2315" s="31">
        <v>0.15939999999999999</v>
      </c>
      <c r="S2315" s="32">
        <v>7.9650000000000012E-2</v>
      </c>
    </row>
    <row r="2316" spans="16:19" x14ac:dyDescent="0.25">
      <c r="P2316" s="27">
        <v>3.2548184716220556E-2</v>
      </c>
      <c r="Q2316" s="28">
        <f t="shared" si="40"/>
        <v>3.5548184716220559E-2</v>
      </c>
      <c r="R2316" s="31">
        <v>0.15939999999999999</v>
      </c>
      <c r="S2316" s="32">
        <v>6.3250000000000001E-2</v>
      </c>
    </row>
    <row r="2317" spans="16:19" x14ac:dyDescent="0.25">
      <c r="P2317" s="27">
        <v>3.2548184716220556E-2</v>
      </c>
      <c r="Q2317" s="28">
        <f t="shared" si="40"/>
        <v>3.5548184716220559E-2</v>
      </c>
      <c r="R2317" s="31">
        <v>0.15939999999999999</v>
      </c>
      <c r="S2317" s="32">
        <v>4.9059999999999999E-2</v>
      </c>
    </row>
    <row r="2318" spans="16:19" x14ac:dyDescent="0.25">
      <c r="P2318" s="27">
        <v>3.2548184716220556E-2</v>
      </c>
      <c r="Q2318" s="28">
        <f t="shared" si="40"/>
        <v>3.5548184716220559E-2</v>
      </c>
      <c r="R2318" s="31">
        <v>0.15939999999999999</v>
      </c>
      <c r="S2318" s="32">
        <v>4.5999999999999999E-2</v>
      </c>
    </row>
    <row r="2319" spans="16:19" x14ac:dyDescent="0.25">
      <c r="P2319" s="27">
        <v>3.2548184716220556E-2</v>
      </c>
      <c r="Q2319" s="28">
        <f t="shared" si="40"/>
        <v>3.5548184716220559E-2</v>
      </c>
      <c r="R2319" s="31">
        <v>0.15939999999999999</v>
      </c>
      <c r="S2319" s="32">
        <v>0.04</v>
      </c>
    </row>
    <row r="2320" spans="16:19" x14ac:dyDescent="0.25">
      <c r="P2320" s="27">
        <v>3.2548184716220556E-2</v>
      </c>
      <c r="Q2320" s="28">
        <f t="shared" si="40"/>
        <v>3.5548184716220559E-2</v>
      </c>
      <c r="R2320" s="31">
        <v>0.15939999999999999</v>
      </c>
      <c r="S2320" s="32">
        <v>0.04</v>
      </c>
    </row>
    <row r="2321" spans="16:19" x14ac:dyDescent="0.25">
      <c r="P2321" s="27">
        <v>3.2548184716220556E-2</v>
      </c>
      <c r="Q2321" s="28">
        <f t="shared" si="40"/>
        <v>3.5548184716220559E-2</v>
      </c>
      <c r="R2321" s="31">
        <v>0.15939999999999999</v>
      </c>
      <c r="S2321" s="32">
        <v>4.0396023999999996E-2</v>
      </c>
    </row>
    <row r="2322" spans="16:19" x14ac:dyDescent="0.25">
      <c r="P2322" s="27">
        <v>3.2548184716220556E-2</v>
      </c>
      <c r="Q2322" s="28">
        <f t="shared" si="40"/>
        <v>3.5548184716220559E-2</v>
      </c>
      <c r="R2322" s="31">
        <v>0.15939999999999999</v>
      </c>
      <c r="S2322" s="32">
        <v>4.5030000000000001E-2</v>
      </c>
    </row>
    <row r="2323" spans="16:19" x14ac:dyDescent="0.25">
      <c r="P2323" s="27">
        <v>3.2548184716220556E-2</v>
      </c>
      <c r="Q2323" s="28">
        <f t="shared" si="40"/>
        <v>3.5548184716220559E-2</v>
      </c>
      <c r="R2323" s="31">
        <v>0.15939999999999999</v>
      </c>
      <c r="S2323" s="32">
        <v>4.7500000000000001E-2</v>
      </c>
    </row>
    <row r="2324" spans="16:19" x14ac:dyDescent="0.25">
      <c r="P2324" s="27">
        <v>3.2548184716220556E-2</v>
      </c>
      <c r="Q2324" s="28">
        <f t="shared" si="40"/>
        <v>3.5548184716220559E-2</v>
      </c>
      <c r="R2324" s="31">
        <v>0.15939999999999999</v>
      </c>
      <c r="S2324" s="32">
        <v>4.65E-2</v>
      </c>
    </row>
    <row r="2325" spans="16:19" x14ac:dyDescent="0.25">
      <c r="P2325" s="27">
        <v>3.2548184716220556E-2</v>
      </c>
      <c r="Q2325" s="28">
        <f t="shared" si="40"/>
        <v>3.5548184716220559E-2</v>
      </c>
      <c r="R2325" s="31">
        <v>0.15939999999999999</v>
      </c>
      <c r="S2325" s="32">
        <v>4.9977477999999999E-2</v>
      </c>
    </row>
    <row r="2326" spans="16:19" x14ac:dyDescent="0.25">
      <c r="P2326" s="27">
        <v>3.2548184716220556E-2</v>
      </c>
      <c r="Q2326" s="28">
        <f t="shared" si="40"/>
        <v>3.5548184716220559E-2</v>
      </c>
      <c r="R2326" s="31">
        <v>0.15939999999999999</v>
      </c>
      <c r="S2326" s="32">
        <v>6.0530599000000004E-2</v>
      </c>
    </row>
    <row r="2327" spans="16:19" x14ac:dyDescent="0.25">
      <c r="P2327" s="27">
        <v>3.2548184716220556E-2</v>
      </c>
      <c r="Q2327" s="28">
        <f t="shared" si="40"/>
        <v>3.5548184716220559E-2</v>
      </c>
      <c r="R2327" s="31">
        <v>0.15939999999999999</v>
      </c>
      <c r="S2327" s="32">
        <v>7.7435096999999994E-2</v>
      </c>
    </row>
    <row r="2328" spans="16:19" x14ac:dyDescent="0.25">
      <c r="P2328" s="27">
        <v>3.2548184716220556E-2</v>
      </c>
      <c r="Q2328" s="28">
        <f t="shared" si="40"/>
        <v>3.5548184716220559E-2</v>
      </c>
      <c r="R2328" s="31">
        <v>0.15939999999999999</v>
      </c>
      <c r="S2328" s="32">
        <v>6.0060000000000002E-2</v>
      </c>
    </row>
    <row r="2329" spans="16:19" x14ac:dyDescent="0.25">
      <c r="P2329" s="27">
        <v>3.2548184716220556E-2</v>
      </c>
      <c r="Q2329" s="28">
        <f t="shared" si="40"/>
        <v>3.5548184716220559E-2</v>
      </c>
      <c r="R2329" s="31">
        <v>0.15939999999999999</v>
      </c>
      <c r="S2329" s="32">
        <v>5.1150000000000001E-2</v>
      </c>
    </row>
    <row r="2330" spans="16:19" x14ac:dyDescent="0.25">
      <c r="P2330" s="27">
        <v>3.2548184716220556E-2</v>
      </c>
      <c r="Q2330" s="28">
        <f t="shared" si="40"/>
        <v>3.5548184716220559E-2</v>
      </c>
      <c r="R2330" s="31">
        <v>0.15939999999999999</v>
      </c>
      <c r="S2330" s="32">
        <v>4.7500000000000001E-2</v>
      </c>
    </row>
    <row r="2331" spans="16:19" x14ac:dyDescent="0.25">
      <c r="P2331" s="27">
        <v>3.2548184716220556E-2</v>
      </c>
      <c r="Q2331" s="28">
        <f t="shared" si="40"/>
        <v>3.5548184716220559E-2</v>
      </c>
      <c r="R2331" s="29">
        <v>0.15</v>
      </c>
      <c r="S2331" s="30">
        <v>3.7499999999999999E-2</v>
      </c>
    </row>
    <row r="2332" spans="16:19" x14ac:dyDescent="0.25">
      <c r="P2332" s="27">
        <v>3.2548184716220556E-2</v>
      </c>
      <c r="Q2332" s="28">
        <f t="shared" si="40"/>
        <v>3.5548184716220559E-2</v>
      </c>
      <c r="R2332" s="29">
        <v>0.15</v>
      </c>
      <c r="S2332" s="30">
        <v>3.2600000000000004E-2</v>
      </c>
    </row>
    <row r="2333" spans="16:19" x14ac:dyDescent="0.25">
      <c r="P2333" s="27">
        <v>3.2548184716220556E-2</v>
      </c>
      <c r="Q2333" s="28">
        <f t="shared" si="40"/>
        <v>3.5548184716220559E-2</v>
      </c>
      <c r="R2333" s="29">
        <v>0.15</v>
      </c>
      <c r="S2333" s="30">
        <v>3.2590000000000001E-2</v>
      </c>
    </row>
    <row r="2334" spans="16:19" x14ac:dyDescent="0.25">
      <c r="P2334" s="27">
        <v>3.2548184716220556E-2</v>
      </c>
      <c r="Q2334" s="28">
        <f t="shared" si="40"/>
        <v>3.5548184716220559E-2</v>
      </c>
      <c r="R2334" s="29">
        <v>0.15</v>
      </c>
      <c r="S2334" s="30">
        <v>2.9717758E-2</v>
      </c>
    </row>
    <row r="2335" spans="16:19" x14ac:dyDescent="0.25">
      <c r="P2335" s="27">
        <v>3.2548184716220556E-2</v>
      </c>
      <c r="Q2335" s="28">
        <f t="shared" si="40"/>
        <v>3.5548184716220559E-2</v>
      </c>
      <c r="R2335" s="29">
        <v>0.15</v>
      </c>
      <c r="S2335" s="30">
        <v>3.0314823000000001E-2</v>
      </c>
    </row>
    <row r="2336" spans="16:19" x14ac:dyDescent="0.25">
      <c r="P2336" s="27">
        <v>3.2548184716220556E-2</v>
      </c>
      <c r="Q2336" s="28">
        <f t="shared" si="40"/>
        <v>3.5548184716220559E-2</v>
      </c>
      <c r="R2336" s="29">
        <v>0.15</v>
      </c>
      <c r="S2336" s="30">
        <v>3.4820000000000004E-2</v>
      </c>
    </row>
    <row r="2337" spans="16:19" x14ac:dyDescent="0.25">
      <c r="P2337" s="27">
        <v>3.2548184716220556E-2</v>
      </c>
      <c r="Q2337" s="28">
        <f t="shared" si="40"/>
        <v>3.5548184716220559E-2</v>
      </c>
      <c r="R2337" s="29">
        <v>0.15</v>
      </c>
      <c r="S2337" s="30">
        <v>4.3477912000000001E-2</v>
      </c>
    </row>
    <row r="2338" spans="16:19" x14ac:dyDescent="0.25">
      <c r="P2338" s="27">
        <v>3.2548184716220556E-2</v>
      </c>
      <c r="Q2338" s="28">
        <f t="shared" si="40"/>
        <v>3.5548184716220559E-2</v>
      </c>
      <c r="R2338" s="29">
        <v>0.15</v>
      </c>
      <c r="S2338" s="30">
        <v>4.9710000000000004E-2</v>
      </c>
    </row>
    <row r="2339" spans="16:19" x14ac:dyDescent="0.25">
      <c r="P2339" s="27">
        <v>3.2548184716220556E-2</v>
      </c>
      <c r="Q2339" s="28">
        <f t="shared" si="40"/>
        <v>3.5548184716220559E-2</v>
      </c>
      <c r="R2339" s="29">
        <v>0.15</v>
      </c>
      <c r="S2339" s="30">
        <v>6.2834082999999999E-2</v>
      </c>
    </row>
    <row r="2340" spans="16:19" x14ac:dyDescent="0.25">
      <c r="P2340" s="27">
        <v>3.2548184716220556E-2</v>
      </c>
      <c r="Q2340" s="28">
        <f t="shared" si="40"/>
        <v>3.5548184716220559E-2</v>
      </c>
      <c r="R2340" s="29">
        <v>0.15</v>
      </c>
      <c r="S2340" s="30">
        <v>5.774E-2</v>
      </c>
    </row>
    <row r="2341" spans="16:19" x14ac:dyDescent="0.25">
      <c r="P2341" s="27">
        <v>3.2548184716220556E-2</v>
      </c>
      <c r="Q2341" s="28">
        <f t="shared" si="40"/>
        <v>3.5548184716220559E-2</v>
      </c>
      <c r="R2341" s="29">
        <v>0.15</v>
      </c>
      <c r="S2341" s="30">
        <v>4.8000000000000001E-2</v>
      </c>
    </row>
    <row r="2342" spans="16:19" x14ac:dyDescent="0.25">
      <c r="P2342" s="27">
        <v>3.2548184716220556E-2</v>
      </c>
      <c r="Q2342" s="28">
        <f t="shared" si="40"/>
        <v>3.5548184716220559E-2</v>
      </c>
      <c r="R2342" s="29">
        <v>0.15</v>
      </c>
      <c r="S2342" s="30">
        <v>4.5999999999999999E-2</v>
      </c>
    </row>
    <row r="2343" spans="16:19" x14ac:dyDescent="0.25">
      <c r="P2343" s="27">
        <v>3.2548184716220556E-2</v>
      </c>
      <c r="Q2343" s="28">
        <f t="shared" si="40"/>
        <v>3.5548184716220559E-2</v>
      </c>
      <c r="R2343" s="29">
        <v>0.15</v>
      </c>
      <c r="S2343" s="30">
        <v>4.0149999999999998E-2</v>
      </c>
    </row>
    <row r="2344" spans="16:19" x14ac:dyDescent="0.25">
      <c r="P2344" s="27">
        <v>3.2548184716220556E-2</v>
      </c>
      <c r="Q2344" s="28">
        <f t="shared" si="40"/>
        <v>3.5548184716220559E-2</v>
      </c>
      <c r="R2344" s="29">
        <v>0.15</v>
      </c>
      <c r="S2344" s="30">
        <v>4.0899999999999999E-2</v>
      </c>
    </row>
    <row r="2345" spans="16:19" x14ac:dyDescent="0.25">
      <c r="P2345" s="27">
        <v>3.2548184716220556E-2</v>
      </c>
      <c r="Q2345" s="28">
        <f t="shared" si="40"/>
        <v>3.5548184716220559E-2</v>
      </c>
      <c r="R2345" s="29">
        <v>0.15</v>
      </c>
      <c r="S2345" s="30">
        <v>4.5030000000000001E-2</v>
      </c>
    </row>
    <row r="2346" spans="16:19" x14ac:dyDescent="0.25">
      <c r="P2346" s="27">
        <v>3.2548184716220556E-2</v>
      </c>
      <c r="Q2346" s="28">
        <f t="shared" si="40"/>
        <v>3.5548184716220559E-2</v>
      </c>
      <c r="R2346" s="29">
        <v>0.15</v>
      </c>
      <c r="S2346" s="30">
        <v>4.5670000000000002E-2</v>
      </c>
    </row>
    <row r="2347" spans="16:19" x14ac:dyDescent="0.25">
      <c r="P2347" s="27">
        <v>3.2548184716220556E-2</v>
      </c>
      <c r="Q2347" s="28">
        <f t="shared" si="40"/>
        <v>3.5548184716220559E-2</v>
      </c>
      <c r="R2347" s="29">
        <v>0.15</v>
      </c>
      <c r="S2347" s="30">
        <v>4.7500000000000001E-2</v>
      </c>
    </row>
    <row r="2348" spans="16:19" x14ac:dyDescent="0.25">
      <c r="P2348" s="27">
        <v>3.2548184716220556E-2</v>
      </c>
      <c r="Q2348" s="28">
        <f t="shared" si="40"/>
        <v>3.5548184716220559E-2</v>
      </c>
      <c r="R2348" s="29">
        <v>0.15</v>
      </c>
      <c r="S2348" s="30">
        <v>4.7E-2</v>
      </c>
    </row>
    <row r="2349" spans="16:19" x14ac:dyDescent="0.25">
      <c r="P2349" s="27">
        <v>3.2548184716220556E-2</v>
      </c>
      <c r="Q2349" s="28">
        <f t="shared" si="40"/>
        <v>3.5548184716220559E-2</v>
      </c>
      <c r="R2349" s="29">
        <v>0.15</v>
      </c>
      <c r="S2349" s="30">
        <v>4.9169999999999998E-2</v>
      </c>
    </row>
    <row r="2350" spans="16:19" x14ac:dyDescent="0.25">
      <c r="P2350" s="27">
        <v>3.2548184716220556E-2</v>
      </c>
      <c r="Q2350" s="28">
        <f t="shared" si="40"/>
        <v>3.5548184716220559E-2</v>
      </c>
      <c r="R2350" s="29">
        <v>0.15</v>
      </c>
      <c r="S2350" s="30">
        <v>5.7180938000000001E-2</v>
      </c>
    </row>
    <row r="2351" spans="16:19" x14ac:dyDescent="0.25">
      <c r="P2351" s="27">
        <v>3.2548184716220556E-2</v>
      </c>
      <c r="Q2351" s="28">
        <f t="shared" si="40"/>
        <v>3.5548184716220559E-2</v>
      </c>
      <c r="R2351" s="29">
        <v>0.15</v>
      </c>
      <c r="S2351" s="30">
        <v>6.9573819999999995E-2</v>
      </c>
    </row>
    <row r="2352" spans="16:19" x14ac:dyDescent="0.25">
      <c r="P2352" s="27">
        <v>3.2548184716220556E-2</v>
      </c>
      <c r="Q2352" s="28">
        <f t="shared" si="40"/>
        <v>3.5548184716220559E-2</v>
      </c>
      <c r="R2352" s="29">
        <v>0.15</v>
      </c>
      <c r="S2352" s="30">
        <v>5.1293199000000005E-2</v>
      </c>
    </row>
    <row r="2353" spans="16:19" x14ac:dyDescent="0.25">
      <c r="P2353" s="27">
        <v>3.2548184716220556E-2</v>
      </c>
      <c r="Q2353" s="28">
        <f t="shared" si="40"/>
        <v>3.5548184716220559E-2</v>
      </c>
      <c r="R2353" s="29">
        <v>0.15</v>
      </c>
      <c r="S2353" s="30">
        <v>4.65E-2</v>
      </c>
    </row>
    <row r="2354" spans="16:19" x14ac:dyDescent="0.25">
      <c r="P2354" s="27">
        <v>3.2548184716220556E-2</v>
      </c>
      <c r="Q2354" s="28">
        <f t="shared" si="40"/>
        <v>3.5548184716220559E-2</v>
      </c>
      <c r="R2354" s="29">
        <v>0.15</v>
      </c>
      <c r="S2354" s="30">
        <v>3.8549999999999994E-2</v>
      </c>
    </row>
    <row r="2355" spans="16:19" x14ac:dyDescent="0.25">
      <c r="P2355" s="27">
        <v>3.2548184716220556E-2</v>
      </c>
      <c r="Q2355" s="28">
        <f t="shared" si="40"/>
        <v>3.5548184716220559E-2</v>
      </c>
      <c r="R2355" s="29">
        <v>0.15</v>
      </c>
      <c r="S2355" s="30">
        <v>3.6150000000000002E-2</v>
      </c>
    </row>
    <row r="2356" spans="16:19" x14ac:dyDescent="0.25">
      <c r="P2356" s="27">
        <v>3.2548184716220556E-2</v>
      </c>
      <c r="Q2356" s="28">
        <f t="shared" si="40"/>
        <v>3.5548184716220559E-2</v>
      </c>
      <c r="R2356" s="29">
        <v>0.15</v>
      </c>
      <c r="S2356" s="30">
        <v>3.2649999999999998E-2</v>
      </c>
    </row>
    <row r="2357" spans="16:19" x14ac:dyDescent="0.25">
      <c r="P2357" s="27">
        <v>3.2548184716220556E-2</v>
      </c>
      <c r="Q2357" s="28">
        <f t="shared" si="40"/>
        <v>3.5548184716220559E-2</v>
      </c>
      <c r="R2357" s="29">
        <v>0.15</v>
      </c>
      <c r="S2357" s="30">
        <v>2.75E-2</v>
      </c>
    </row>
    <row r="2358" spans="16:19" x14ac:dyDescent="0.25">
      <c r="P2358" s="27">
        <v>3.2548184716220556E-2</v>
      </c>
      <c r="Q2358" s="28">
        <f t="shared" si="40"/>
        <v>3.5548184716220559E-2</v>
      </c>
      <c r="R2358" s="29">
        <v>0.15</v>
      </c>
      <c r="S2358" s="30">
        <v>2.4230000000000002E-2</v>
      </c>
    </row>
    <row r="2359" spans="16:19" x14ac:dyDescent="0.25">
      <c r="P2359" s="27">
        <v>3.2548184716220556E-2</v>
      </c>
      <c r="Q2359" s="28">
        <f t="shared" si="40"/>
        <v>3.5548184716220559E-2</v>
      </c>
      <c r="R2359" s="29">
        <v>0.15</v>
      </c>
      <c r="S2359" s="30">
        <v>2.4590000000000001E-2</v>
      </c>
    </row>
    <row r="2360" spans="16:19" x14ac:dyDescent="0.25">
      <c r="P2360" s="27">
        <v>3.2548184716220556E-2</v>
      </c>
      <c r="Q2360" s="28">
        <f t="shared" si="40"/>
        <v>3.5548184716220559E-2</v>
      </c>
      <c r="R2360" s="29">
        <v>0.15</v>
      </c>
      <c r="S2360" s="30">
        <v>3.3397252000000002E-2</v>
      </c>
    </row>
    <row r="2361" spans="16:19" x14ac:dyDescent="0.25">
      <c r="P2361" s="27">
        <v>3.2548184716220556E-2</v>
      </c>
      <c r="Q2361" s="28">
        <f t="shared" si="40"/>
        <v>3.5548184716220559E-2</v>
      </c>
      <c r="R2361" s="29">
        <v>0.15</v>
      </c>
      <c r="S2361" s="30">
        <v>4.1299999999999996E-2</v>
      </c>
    </row>
    <row r="2362" spans="16:19" x14ac:dyDescent="0.25">
      <c r="P2362" s="27">
        <v>3.2548184716220556E-2</v>
      </c>
      <c r="Q2362" s="28">
        <f t="shared" si="40"/>
        <v>3.5548184716220559E-2</v>
      </c>
      <c r="R2362" s="29">
        <v>0.15</v>
      </c>
      <c r="S2362" s="30">
        <v>4.8079999999999998E-2</v>
      </c>
    </row>
    <row r="2363" spans="16:19" x14ac:dyDescent="0.25">
      <c r="P2363" s="27">
        <v>3.2548184716220556E-2</v>
      </c>
      <c r="Q2363" s="28">
        <f t="shared" si="40"/>
        <v>3.5548184716220559E-2</v>
      </c>
      <c r="R2363" s="29">
        <v>0.15</v>
      </c>
      <c r="S2363" s="30">
        <v>6.2520000000000006E-2</v>
      </c>
    </row>
    <row r="2364" spans="16:19" x14ac:dyDescent="0.25">
      <c r="P2364" s="27">
        <v>3.2548184716220556E-2</v>
      </c>
      <c r="Q2364" s="28">
        <f t="shared" si="40"/>
        <v>3.5548184716220559E-2</v>
      </c>
      <c r="R2364" s="29">
        <v>0.15</v>
      </c>
      <c r="S2364" s="30">
        <v>5.604E-2</v>
      </c>
    </row>
    <row r="2365" spans="16:19" x14ac:dyDescent="0.25">
      <c r="P2365" s="27">
        <v>3.2548184716220556E-2</v>
      </c>
      <c r="Q2365" s="28">
        <f t="shared" si="40"/>
        <v>3.5548184716220559E-2</v>
      </c>
      <c r="R2365" s="29">
        <v>0.15</v>
      </c>
      <c r="S2365" s="30">
        <v>5.2909999999999999E-2</v>
      </c>
    </row>
    <row r="2366" spans="16:19" x14ac:dyDescent="0.25">
      <c r="P2366" s="27">
        <v>3.2548184716220556E-2</v>
      </c>
      <c r="Q2366" s="28">
        <f t="shared" si="40"/>
        <v>3.5548184716220559E-2</v>
      </c>
      <c r="R2366" s="29">
        <v>0.15</v>
      </c>
      <c r="S2366" s="30">
        <v>5.2340000000000005E-2</v>
      </c>
    </row>
    <row r="2367" spans="16:19" x14ac:dyDescent="0.25">
      <c r="P2367" s="27">
        <v>3.2548184716220556E-2</v>
      </c>
      <c r="Q2367" s="28">
        <f t="shared" si="40"/>
        <v>3.5548184716220559E-2</v>
      </c>
      <c r="R2367" s="29">
        <v>0.15</v>
      </c>
      <c r="S2367" s="30">
        <v>4.5010000000000001E-2</v>
      </c>
    </row>
    <row r="2368" spans="16:19" x14ac:dyDescent="0.25">
      <c r="P2368" s="27">
        <v>3.2548184716220556E-2</v>
      </c>
      <c r="Q2368" s="28">
        <f t="shared" si="40"/>
        <v>3.5548184716220559E-2</v>
      </c>
      <c r="R2368" s="29">
        <v>0.15</v>
      </c>
      <c r="S2368" s="30">
        <v>4.487E-2</v>
      </c>
    </row>
    <row r="2369" spans="16:19" x14ac:dyDescent="0.25">
      <c r="P2369" s="27">
        <v>3.2548184716220556E-2</v>
      </c>
      <c r="Q2369" s="28">
        <f t="shared" si="40"/>
        <v>3.5548184716220559E-2</v>
      </c>
      <c r="R2369" s="29">
        <v>0.15</v>
      </c>
      <c r="S2369" s="30">
        <v>4.4999999999999998E-2</v>
      </c>
    </row>
    <row r="2370" spans="16:19" x14ac:dyDescent="0.25">
      <c r="P2370" s="27">
        <v>3.2548184716220556E-2</v>
      </c>
      <c r="Q2370" s="28">
        <f t="shared" si="40"/>
        <v>3.5548184716220559E-2</v>
      </c>
      <c r="R2370" s="29">
        <v>0.15</v>
      </c>
      <c r="S2370" s="30">
        <v>4.3650000000000001E-2</v>
      </c>
    </row>
    <row r="2371" spans="16:19" x14ac:dyDescent="0.25">
      <c r="P2371" s="27">
        <v>3.2548184716220556E-2</v>
      </c>
      <c r="Q2371" s="28">
        <f t="shared" si="40"/>
        <v>3.5548184716220559E-2</v>
      </c>
      <c r="R2371" s="29">
        <v>0.15</v>
      </c>
      <c r="S2371" s="30">
        <v>4.4499999999999998E-2</v>
      </c>
    </row>
    <row r="2372" spans="16:19" x14ac:dyDescent="0.25">
      <c r="P2372" s="27">
        <v>3.2548184716220556E-2</v>
      </c>
      <c r="Q2372" s="28">
        <f t="shared" si="40"/>
        <v>3.5548184716220559E-2</v>
      </c>
      <c r="R2372" s="29">
        <v>0.15</v>
      </c>
      <c r="S2372" s="30">
        <v>3.9799999999999995E-2</v>
      </c>
    </row>
    <row r="2373" spans="16:19" x14ac:dyDescent="0.25">
      <c r="P2373" s="27">
        <v>3.2548184716220556E-2</v>
      </c>
      <c r="Q2373" s="28">
        <f t="shared" ref="Q2373:Q2436" si="41">P2373+0.003</f>
        <v>3.5548184716220559E-2</v>
      </c>
      <c r="R2373" s="29">
        <v>0.15</v>
      </c>
      <c r="S2373" s="30">
        <v>4.4864161E-2</v>
      </c>
    </row>
    <row r="2374" spans="16:19" x14ac:dyDescent="0.25">
      <c r="P2374" s="27">
        <v>3.2548184716220556E-2</v>
      </c>
      <c r="Q2374" s="28">
        <f t="shared" si="41"/>
        <v>3.5548184716220559E-2</v>
      </c>
      <c r="R2374" s="29">
        <v>0.15</v>
      </c>
      <c r="S2374" s="30">
        <v>5.4060000000000004E-2</v>
      </c>
    </row>
    <row r="2375" spans="16:19" x14ac:dyDescent="0.25">
      <c r="P2375" s="27">
        <v>3.2548184716220556E-2</v>
      </c>
      <c r="Q2375" s="28">
        <f t="shared" si="41"/>
        <v>3.5548184716220559E-2</v>
      </c>
      <c r="R2375" s="29">
        <v>0.15</v>
      </c>
      <c r="S2375" s="30">
        <v>7.6749999999999999E-2</v>
      </c>
    </row>
    <row r="2376" spans="16:19" x14ac:dyDescent="0.25">
      <c r="P2376" s="27">
        <v>3.2548184716220556E-2</v>
      </c>
      <c r="Q2376" s="28">
        <f t="shared" si="41"/>
        <v>3.5548184716220559E-2</v>
      </c>
      <c r="R2376" s="29">
        <v>0.15</v>
      </c>
      <c r="S2376" s="30">
        <v>5.1409999999999997E-2</v>
      </c>
    </row>
    <row r="2377" spans="16:19" x14ac:dyDescent="0.25">
      <c r="P2377" s="27">
        <v>3.2548184716220556E-2</v>
      </c>
      <c r="Q2377" s="28">
        <f t="shared" si="41"/>
        <v>3.5548184716220559E-2</v>
      </c>
      <c r="R2377" s="29">
        <v>0.15</v>
      </c>
      <c r="S2377" s="30">
        <v>4.6659999999999993E-2</v>
      </c>
    </row>
    <row r="2378" spans="16:19" x14ac:dyDescent="0.25">
      <c r="P2378" s="27">
        <v>3.2548184716220556E-2</v>
      </c>
      <c r="Q2378" s="28">
        <f t="shared" si="41"/>
        <v>3.5548184716220559E-2</v>
      </c>
      <c r="R2378" s="29">
        <v>0.15</v>
      </c>
      <c r="S2378" s="30">
        <v>0.04</v>
      </c>
    </row>
    <row r="2379" spans="16:19" x14ac:dyDescent="0.25">
      <c r="P2379" s="27">
        <v>3.2548184716220556E-2</v>
      </c>
      <c r="Q2379" s="28">
        <f t="shared" si="41"/>
        <v>3.5548184716220559E-2</v>
      </c>
      <c r="R2379" s="29">
        <v>0.15</v>
      </c>
      <c r="S2379" s="30">
        <v>3.5999999999999997E-2</v>
      </c>
    </row>
    <row r="2380" spans="16:19" x14ac:dyDescent="0.25">
      <c r="P2380" s="27">
        <v>3.2548184716220556E-2</v>
      </c>
      <c r="Q2380" s="28">
        <f t="shared" si="41"/>
        <v>3.5548184716220559E-2</v>
      </c>
      <c r="R2380" s="29">
        <v>0.15</v>
      </c>
      <c r="S2380" s="30">
        <v>3.2600000000000004E-2</v>
      </c>
    </row>
    <row r="2381" spans="16:19" x14ac:dyDescent="0.25">
      <c r="P2381" s="27">
        <v>3.2548184716220556E-2</v>
      </c>
      <c r="Q2381" s="28">
        <f t="shared" si="41"/>
        <v>3.5548184716220559E-2</v>
      </c>
      <c r="R2381" s="29">
        <v>0.15</v>
      </c>
      <c r="S2381" s="30">
        <v>2.81E-2</v>
      </c>
    </row>
    <row r="2382" spans="16:19" x14ac:dyDescent="0.25">
      <c r="P2382" s="27">
        <v>3.2548184716220556E-2</v>
      </c>
      <c r="Q2382" s="28">
        <f t="shared" si="41"/>
        <v>3.5548184716220559E-2</v>
      </c>
      <c r="R2382" s="29">
        <v>0.15</v>
      </c>
      <c r="S2382" s="30">
        <v>2.3039999999999998E-2</v>
      </c>
    </row>
    <row r="2383" spans="16:19" x14ac:dyDescent="0.25">
      <c r="P2383" s="27">
        <v>3.2548184716220556E-2</v>
      </c>
      <c r="Q2383" s="28">
        <f t="shared" si="41"/>
        <v>3.5548184716220559E-2</v>
      </c>
      <c r="R2383" s="29">
        <v>0.15</v>
      </c>
      <c r="S2383" s="30">
        <v>2.4E-2</v>
      </c>
    </row>
    <row r="2384" spans="16:19" x14ac:dyDescent="0.25">
      <c r="P2384" s="27">
        <v>3.2548184716220556E-2</v>
      </c>
      <c r="Q2384" s="28">
        <f t="shared" si="41"/>
        <v>3.5548184716220559E-2</v>
      </c>
      <c r="R2384" s="29">
        <v>0.15</v>
      </c>
      <c r="S2384" s="30">
        <v>3.1809999999999998E-2</v>
      </c>
    </row>
    <row r="2385" spans="16:19" x14ac:dyDescent="0.25">
      <c r="P2385" s="27">
        <v>3.2548184716220556E-2</v>
      </c>
      <c r="Q2385" s="28">
        <f t="shared" si="41"/>
        <v>3.5548184716220559E-2</v>
      </c>
      <c r="R2385" s="29">
        <v>0.15</v>
      </c>
      <c r="S2385" s="30">
        <v>4.3999999999999997E-2</v>
      </c>
    </row>
    <row r="2386" spans="16:19" x14ac:dyDescent="0.25">
      <c r="P2386" s="27">
        <v>3.2548184716220556E-2</v>
      </c>
      <c r="Q2386" s="28">
        <f t="shared" si="41"/>
        <v>3.5548184716220559E-2</v>
      </c>
      <c r="R2386" s="29">
        <v>0.15</v>
      </c>
      <c r="S2386" s="30">
        <v>5.1580000000000001E-2</v>
      </c>
    </row>
    <row r="2387" spans="16:19" x14ac:dyDescent="0.25">
      <c r="P2387" s="27">
        <v>3.2548184716220556E-2</v>
      </c>
      <c r="Q2387" s="28">
        <f t="shared" si="41"/>
        <v>3.5548184716220559E-2</v>
      </c>
      <c r="R2387" s="31">
        <v>0.15939660775771733</v>
      </c>
      <c r="S2387" s="32">
        <v>5.8999999999999997E-2</v>
      </c>
    </row>
    <row r="2388" spans="16:19" x14ac:dyDescent="0.25">
      <c r="P2388" s="27">
        <v>3.2548184716220556E-2</v>
      </c>
      <c r="Q2388" s="28">
        <f t="shared" si="41"/>
        <v>3.5548184716220559E-2</v>
      </c>
      <c r="R2388" s="33">
        <v>0.16282860775771735</v>
      </c>
      <c r="S2388" s="34">
        <v>5.6000000000000001E-2</v>
      </c>
    </row>
    <row r="2389" spans="16:19" x14ac:dyDescent="0.25">
      <c r="P2389" s="27">
        <v>3.2548184716220556E-2</v>
      </c>
      <c r="Q2389" s="28">
        <f t="shared" si="41"/>
        <v>3.5548184716220559E-2</v>
      </c>
      <c r="R2389" s="33">
        <v>0.16282860775771735</v>
      </c>
      <c r="S2389" s="34">
        <v>4.8100000000000004E-2</v>
      </c>
    </row>
    <row r="2390" spans="16:19" x14ac:dyDescent="0.25">
      <c r="P2390" s="27">
        <v>3.2548184716220556E-2</v>
      </c>
      <c r="Q2390" s="28">
        <f t="shared" si="41"/>
        <v>3.5548184716220559E-2</v>
      </c>
      <c r="R2390" s="33">
        <v>0.16282860775771735</v>
      </c>
      <c r="S2390" s="34">
        <v>4.6600000000000003E-2</v>
      </c>
    </row>
    <row r="2391" spans="16:19" x14ac:dyDescent="0.25">
      <c r="P2391" s="27">
        <v>3.2548184716220556E-2</v>
      </c>
      <c r="Q2391" s="28">
        <f t="shared" si="41"/>
        <v>3.5548184716220559E-2</v>
      </c>
      <c r="R2391" s="33">
        <v>0.16282860775771735</v>
      </c>
      <c r="S2391" s="34">
        <v>4.2770000000000002E-2</v>
      </c>
    </row>
    <row r="2392" spans="16:19" x14ac:dyDescent="0.25">
      <c r="P2392" s="27">
        <v>3.2548184716220556E-2</v>
      </c>
      <c r="Q2392" s="28">
        <f t="shared" si="41"/>
        <v>3.5548184716220559E-2</v>
      </c>
      <c r="R2392" s="33">
        <v>0.16282860775771735</v>
      </c>
      <c r="S2392" s="34">
        <v>4.2000000000000003E-2</v>
      </c>
    </row>
    <row r="2393" spans="16:19" x14ac:dyDescent="0.25">
      <c r="P2393" s="27">
        <v>3.2548184716220556E-2</v>
      </c>
      <c r="Q2393" s="28">
        <f t="shared" si="41"/>
        <v>3.5548184716220559E-2</v>
      </c>
      <c r="R2393" s="33">
        <v>0.16282860775771735</v>
      </c>
      <c r="S2393" s="34">
        <v>4.2000000000000003E-2</v>
      </c>
    </row>
    <row r="2394" spans="16:19" x14ac:dyDescent="0.25">
      <c r="P2394" s="27">
        <v>3.2548184716220556E-2</v>
      </c>
      <c r="Q2394" s="28">
        <f t="shared" si="41"/>
        <v>3.5548184716220559E-2</v>
      </c>
      <c r="R2394" s="33">
        <v>0.16282860775771735</v>
      </c>
      <c r="S2394" s="34">
        <v>4.1399999999999999E-2</v>
      </c>
    </row>
    <row r="2395" spans="16:19" x14ac:dyDescent="0.25">
      <c r="P2395" s="27">
        <v>3.2548184716220556E-2</v>
      </c>
      <c r="Q2395" s="28">
        <f t="shared" si="41"/>
        <v>3.5548184716220559E-2</v>
      </c>
      <c r="R2395" s="33">
        <v>0.16282860775771735</v>
      </c>
      <c r="S2395" s="34">
        <v>3.95E-2</v>
      </c>
    </row>
    <row r="2396" spans="16:19" x14ac:dyDescent="0.25">
      <c r="P2396" s="27">
        <v>3.2548184716220556E-2</v>
      </c>
      <c r="Q2396" s="28">
        <f t="shared" si="41"/>
        <v>3.5548184716220559E-2</v>
      </c>
      <c r="R2396" s="33">
        <v>0.16282860775771735</v>
      </c>
      <c r="S2396" s="34">
        <v>4.1500000000000002E-2</v>
      </c>
    </row>
    <row r="2397" spans="16:19" x14ac:dyDescent="0.25">
      <c r="P2397" s="27">
        <v>3.2548184716220556E-2</v>
      </c>
      <c r="Q2397" s="28">
        <f t="shared" si="41"/>
        <v>3.5548184716220559E-2</v>
      </c>
      <c r="R2397" s="33">
        <v>0.16282860775771735</v>
      </c>
      <c r="S2397" s="34">
        <v>4.7490000000000004E-2</v>
      </c>
    </row>
    <row r="2398" spans="16:19" x14ac:dyDescent="0.25">
      <c r="P2398" s="27">
        <v>3.2548184716220556E-2</v>
      </c>
      <c r="Q2398" s="28">
        <f t="shared" si="41"/>
        <v>3.5548184716220559E-2</v>
      </c>
      <c r="R2398" s="33">
        <v>0.16282860775771735</v>
      </c>
      <c r="S2398" s="34">
        <v>5.8250000000000003E-2</v>
      </c>
    </row>
    <row r="2399" spans="16:19" x14ac:dyDescent="0.25">
      <c r="P2399" s="27">
        <v>3.2548184716220556E-2</v>
      </c>
      <c r="Q2399" s="28">
        <f t="shared" si="41"/>
        <v>3.5548184716220559E-2</v>
      </c>
      <c r="R2399" s="31">
        <v>0.15939660775771733</v>
      </c>
      <c r="S2399" s="32">
        <v>8.4963598000000001E-2</v>
      </c>
    </row>
    <row r="2400" spans="16:19" x14ac:dyDescent="0.25">
      <c r="P2400" s="27">
        <v>3.2548184716220556E-2</v>
      </c>
      <c r="Q2400" s="28">
        <f t="shared" si="41"/>
        <v>3.5548184716220559E-2</v>
      </c>
      <c r="R2400" s="31">
        <v>0.15939660775771733</v>
      </c>
      <c r="S2400" s="32">
        <v>5.9409999999999998E-2</v>
      </c>
    </row>
    <row r="2401" spans="16:19" x14ac:dyDescent="0.25">
      <c r="P2401" s="27">
        <v>3.2548184716220556E-2</v>
      </c>
      <c r="Q2401" s="28">
        <f t="shared" si="41"/>
        <v>3.5548184716220559E-2</v>
      </c>
      <c r="R2401" s="31">
        <v>0.15939660775771733</v>
      </c>
      <c r="S2401" s="32">
        <v>0.05</v>
      </c>
    </row>
    <row r="2402" spans="16:19" x14ac:dyDescent="0.25">
      <c r="P2402" s="27">
        <v>3.2548184716220556E-2</v>
      </c>
      <c r="Q2402" s="28">
        <f t="shared" si="41"/>
        <v>3.5548184716220559E-2</v>
      </c>
      <c r="R2402" s="31">
        <v>0.15939660775771733</v>
      </c>
      <c r="S2402" s="32">
        <v>4.5010000000000001E-2</v>
      </c>
    </row>
    <row r="2403" spans="16:19" x14ac:dyDescent="0.25">
      <c r="P2403" s="27">
        <v>3.2548184716220556E-2</v>
      </c>
      <c r="Q2403" s="28">
        <f t="shared" si="41"/>
        <v>3.5548184716220559E-2</v>
      </c>
      <c r="R2403" s="29">
        <v>0.15003660775771735</v>
      </c>
      <c r="S2403" s="30">
        <v>3.2719999999999999E-2</v>
      </c>
    </row>
    <row r="2404" spans="16:19" x14ac:dyDescent="0.25">
      <c r="P2404" s="27">
        <v>3.2548184716220556E-2</v>
      </c>
      <c r="Q2404" s="28">
        <f t="shared" si="41"/>
        <v>3.5548184716220559E-2</v>
      </c>
      <c r="R2404" s="29">
        <v>0.15003660775771735</v>
      </c>
      <c r="S2404" s="30">
        <v>2.955E-2</v>
      </c>
    </row>
    <row r="2405" spans="16:19" x14ac:dyDescent="0.25">
      <c r="P2405" s="27">
        <v>3.2548184716220556E-2</v>
      </c>
      <c r="Q2405" s="28">
        <f t="shared" si="41"/>
        <v>3.5548184716220559E-2</v>
      </c>
      <c r="R2405" s="29">
        <v>0.15003660775771735</v>
      </c>
      <c r="S2405" s="30">
        <v>2.605E-2</v>
      </c>
    </row>
    <row r="2406" spans="16:19" x14ac:dyDescent="0.25">
      <c r="P2406" s="27">
        <v>3.2548184716220556E-2</v>
      </c>
      <c r="Q2406" s="28">
        <f t="shared" si="41"/>
        <v>3.5548184716220559E-2</v>
      </c>
      <c r="R2406" s="29">
        <v>0.15003660775771735</v>
      </c>
      <c r="S2406" s="30">
        <v>2.4149999999999998E-2</v>
      </c>
    </row>
    <row r="2407" spans="16:19" x14ac:dyDescent="0.25">
      <c r="P2407" s="27">
        <v>3.2548184716220556E-2</v>
      </c>
      <c r="Q2407" s="28">
        <f t="shared" si="41"/>
        <v>3.5548184716220559E-2</v>
      </c>
      <c r="R2407" s="29">
        <v>0.15003660775771735</v>
      </c>
      <c r="S2407" s="30">
        <v>2.5000000000000001E-2</v>
      </c>
    </row>
    <row r="2408" spans="16:19" x14ac:dyDescent="0.25">
      <c r="P2408" s="27">
        <v>3.2548184716220556E-2</v>
      </c>
      <c r="Q2408" s="28">
        <f t="shared" si="41"/>
        <v>3.5548184716220559E-2</v>
      </c>
      <c r="R2408" s="29">
        <v>0.15003660775771735</v>
      </c>
      <c r="S2408" s="30">
        <v>3.065E-2</v>
      </c>
    </row>
    <row r="2409" spans="16:19" x14ac:dyDescent="0.25">
      <c r="P2409" s="27">
        <v>3.2548184716220556E-2</v>
      </c>
      <c r="Q2409" s="28">
        <f t="shared" si="41"/>
        <v>3.5548184716220559E-2</v>
      </c>
      <c r="R2409" s="29">
        <v>0.15003660775771735</v>
      </c>
      <c r="S2409" s="30">
        <v>4.2110000000000002E-2</v>
      </c>
    </row>
    <row r="2410" spans="16:19" x14ac:dyDescent="0.25">
      <c r="P2410" s="27">
        <v>3.2548184716220556E-2</v>
      </c>
      <c r="Q2410" s="28">
        <f t="shared" si="41"/>
        <v>3.5548184716220559E-2</v>
      </c>
      <c r="R2410" s="29">
        <v>0.15003660775771735</v>
      </c>
      <c r="S2410" s="30">
        <v>5.049E-2</v>
      </c>
    </row>
    <row r="2411" spans="16:19" x14ac:dyDescent="0.25">
      <c r="P2411" s="27">
        <v>3.2548184716220556E-2</v>
      </c>
      <c r="Q2411" s="28">
        <f t="shared" si="41"/>
        <v>3.5548184716220559E-2</v>
      </c>
      <c r="R2411" s="31">
        <v>0.15939660775771733</v>
      </c>
      <c r="S2411" s="32">
        <v>6.1799999999999994E-2</v>
      </c>
    </row>
    <row r="2412" spans="16:19" x14ac:dyDescent="0.25">
      <c r="P2412" s="27">
        <v>3.2548184716220556E-2</v>
      </c>
      <c r="Q2412" s="28">
        <f t="shared" si="41"/>
        <v>3.5548184716220559E-2</v>
      </c>
      <c r="R2412" s="33">
        <v>0.16282860775771735</v>
      </c>
      <c r="S2412" s="34">
        <v>5.765E-2</v>
      </c>
    </row>
    <row r="2413" spans="16:19" x14ac:dyDescent="0.25">
      <c r="P2413" s="27">
        <v>3.2548184716220556E-2</v>
      </c>
      <c r="Q2413" s="28">
        <f t="shared" si="41"/>
        <v>3.5548184716220559E-2</v>
      </c>
      <c r="R2413" s="33">
        <v>0.16282860775771735</v>
      </c>
      <c r="S2413" s="34">
        <v>5.1650000000000001E-2</v>
      </c>
    </row>
    <row r="2414" spans="16:19" x14ac:dyDescent="0.25">
      <c r="P2414" s="27">
        <v>3.2548184716220556E-2</v>
      </c>
      <c r="Q2414" s="28">
        <f t="shared" si="41"/>
        <v>3.5548184716220559E-2</v>
      </c>
      <c r="R2414" s="33">
        <v>0.16282860775771735</v>
      </c>
      <c r="S2414" s="34">
        <v>4.8000000000000001E-2</v>
      </c>
    </row>
    <row r="2415" spans="16:19" x14ac:dyDescent="0.25">
      <c r="P2415" s="27">
        <v>3.2548184716220556E-2</v>
      </c>
      <c r="Q2415" s="28">
        <f t="shared" si="41"/>
        <v>3.5548184716220559E-2</v>
      </c>
      <c r="R2415" s="33">
        <v>0.16282860775771735</v>
      </c>
      <c r="S2415" s="34">
        <v>4.0100000000000004E-2</v>
      </c>
    </row>
    <row r="2416" spans="16:19" x14ac:dyDescent="0.25">
      <c r="P2416" s="27">
        <v>3.2548184716220556E-2</v>
      </c>
      <c r="Q2416" s="28">
        <f t="shared" si="41"/>
        <v>3.5548184716220559E-2</v>
      </c>
      <c r="R2416" s="33">
        <v>0.16282860775771735</v>
      </c>
      <c r="S2416" s="34">
        <v>3.8969999999999998E-2</v>
      </c>
    </row>
    <row r="2417" spans="16:19" x14ac:dyDescent="0.25">
      <c r="P2417" s="27">
        <v>3.2548184716220556E-2</v>
      </c>
      <c r="Q2417" s="28">
        <f t="shared" si="41"/>
        <v>3.5548184716220559E-2</v>
      </c>
      <c r="R2417" s="33">
        <v>0.16282860775771735</v>
      </c>
      <c r="S2417" s="34">
        <v>3.8969999999999998E-2</v>
      </c>
    </row>
    <row r="2418" spans="16:19" x14ac:dyDescent="0.25">
      <c r="P2418" s="27">
        <v>3.2548184716220556E-2</v>
      </c>
      <c r="Q2418" s="28">
        <f t="shared" si="41"/>
        <v>3.5548184716220559E-2</v>
      </c>
      <c r="R2418" s="33">
        <v>0.16282860775771735</v>
      </c>
      <c r="S2418" s="34">
        <v>3.8619999999999995E-2</v>
      </c>
    </row>
    <row r="2419" spans="16:19" x14ac:dyDescent="0.25">
      <c r="P2419" s="27">
        <v>3.2548184716220556E-2</v>
      </c>
      <c r="Q2419" s="28">
        <f t="shared" si="41"/>
        <v>3.5548184716220559E-2</v>
      </c>
      <c r="R2419" s="33">
        <v>0.16282860775771735</v>
      </c>
      <c r="S2419" s="34">
        <v>3.8200000000000005E-2</v>
      </c>
    </row>
    <row r="2420" spans="16:19" x14ac:dyDescent="0.25">
      <c r="P2420" s="27">
        <v>3.2548184716220556E-2</v>
      </c>
      <c r="Q2420" s="28">
        <f t="shared" si="41"/>
        <v>3.5548184716220559E-2</v>
      </c>
      <c r="R2420" s="33">
        <v>0.16282860775771735</v>
      </c>
      <c r="S2420" s="34">
        <v>3.9799999999999995E-2</v>
      </c>
    </row>
    <row r="2421" spans="16:19" x14ac:dyDescent="0.25">
      <c r="P2421" s="27">
        <v>3.2548184716220556E-2</v>
      </c>
      <c r="Q2421" s="28">
        <f t="shared" si="41"/>
        <v>3.5548184716220559E-2</v>
      </c>
      <c r="R2421" s="33">
        <v>0.16282860775771735</v>
      </c>
      <c r="S2421" s="34">
        <v>4.4929999999999998E-2</v>
      </c>
    </row>
    <row r="2422" spans="16:19" x14ac:dyDescent="0.25">
      <c r="P2422" s="27">
        <v>3.2548184716220556E-2</v>
      </c>
      <c r="Q2422" s="28">
        <f t="shared" si="41"/>
        <v>3.5548184716220559E-2</v>
      </c>
      <c r="R2422" s="33">
        <v>0.16282860775771735</v>
      </c>
      <c r="S2422" s="34">
        <v>5.4060000000000004E-2</v>
      </c>
    </row>
    <row r="2423" spans="16:19" x14ac:dyDescent="0.25">
      <c r="P2423" s="27">
        <v>3.2548184716220556E-2</v>
      </c>
      <c r="Q2423" s="28">
        <f t="shared" si="41"/>
        <v>3.5548184716220559E-2</v>
      </c>
      <c r="R2423" s="31">
        <v>0.15939660775771733</v>
      </c>
      <c r="S2423" s="32">
        <v>7.5227484999999997E-2</v>
      </c>
    </row>
    <row r="2424" spans="16:19" x14ac:dyDescent="0.25">
      <c r="P2424" s="27">
        <v>3.2548184716220556E-2</v>
      </c>
      <c r="Q2424" s="28">
        <f t="shared" si="41"/>
        <v>3.5548184716220559E-2</v>
      </c>
      <c r="R2424" s="31">
        <v>0.15939660775771733</v>
      </c>
      <c r="S2424" s="32">
        <v>5.1800691000000003E-2</v>
      </c>
    </row>
    <row r="2425" spans="16:19" x14ac:dyDescent="0.25">
      <c r="P2425" s="27">
        <v>3.2548184716220556E-2</v>
      </c>
      <c r="Q2425" s="28">
        <f t="shared" si="41"/>
        <v>3.5548184716220559E-2</v>
      </c>
      <c r="R2425" s="31">
        <v>0.15939660775771733</v>
      </c>
      <c r="S2425" s="32">
        <v>4.4359999999999997E-2</v>
      </c>
    </row>
    <row r="2426" spans="16:19" x14ac:dyDescent="0.25">
      <c r="P2426" s="27">
        <v>3.2548184716220556E-2</v>
      </c>
      <c r="Q2426" s="28">
        <f t="shared" si="41"/>
        <v>3.5548184716220559E-2</v>
      </c>
      <c r="R2426" s="31">
        <v>0.15939660775771733</v>
      </c>
      <c r="S2426" s="32">
        <v>3.7310000000000003E-2</v>
      </c>
    </row>
    <row r="2427" spans="16:19" x14ac:dyDescent="0.25">
      <c r="P2427" s="27">
        <v>3.2548184716220556E-2</v>
      </c>
      <c r="Q2427" s="28">
        <f t="shared" si="41"/>
        <v>3.5548184716220559E-2</v>
      </c>
      <c r="R2427" s="29">
        <v>0.15003660775771735</v>
      </c>
      <c r="S2427" s="30">
        <v>4.5899999999999996E-2</v>
      </c>
    </row>
    <row r="2428" spans="16:19" x14ac:dyDescent="0.25">
      <c r="P2428" s="27">
        <v>3.2548184716220556E-2</v>
      </c>
      <c r="Q2428" s="28">
        <f t="shared" si="41"/>
        <v>3.5548184716220559E-2</v>
      </c>
      <c r="R2428" s="29">
        <v>0.15003660775771735</v>
      </c>
      <c r="S2428" s="30">
        <v>3.635E-2</v>
      </c>
    </row>
    <row r="2429" spans="16:19" x14ac:dyDescent="0.25">
      <c r="P2429" s="27">
        <v>3.2548184716220556E-2</v>
      </c>
      <c r="Q2429" s="28">
        <f t="shared" si="41"/>
        <v>3.5548184716220559E-2</v>
      </c>
      <c r="R2429" s="29">
        <v>0.15003660775771735</v>
      </c>
      <c r="S2429" s="30">
        <v>3.4099999999999998E-2</v>
      </c>
    </row>
    <row r="2430" spans="16:19" x14ac:dyDescent="0.25">
      <c r="P2430" s="27">
        <v>3.2548184716220556E-2</v>
      </c>
      <c r="Q2430" s="28">
        <f t="shared" si="41"/>
        <v>3.5548184716220559E-2</v>
      </c>
      <c r="R2430" s="29">
        <v>0.15003660775771735</v>
      </c>
      <c r="S2430" s="30">
        <v>3.3000000000000002E-2</v>
      </c>
    </row>
    <row r="2431" spans="16:19" x14ac:dyDescent="0.25">
      <c r="P2431" s="27">
        <v>3.2548184716220556E-2</v>
      </c>
      <c r="Q2431" s="28">
        <f t="shared" si="41"/>
        <v>3.5548184716220559E-2</v>
      </c>
      <c r="R2431" s="29">
        <v>0.15003660775771735</v>
      </c>
      <c r="S2431" s="30">
        <v>3.2649999999999998E-2</v>
      </c>
    </row>
    <row r="2432" spans="16:19" x14ac:dyDescent="0.25">
      <c r="P2432" s="27">
        <v>3.2548184716220556E-2</v>
      </c>
      <c r="Q2432" s="28">
        <f t="shared" si="41"/>
        <v>3.5548184716220559E-2</v>
      </c>
      <c r="R2432" s="29">
        <v>0.15003660775771735</v>
      </c>
      <c r="S2432" s="30">
        <v>3.2809999999999999E-2</v>
      </c>
    </row>
    <row r="2433" spans="16:19" x14ac:dyDescent="0.25">
      <c r="P2433" s="27">
        <v>3.2548184716220556E-2</v>
      </c>
      <c r="Q2433" s="28">
        <f t="shared" si="41"/>
        <v>3.5548184716220559E-2</v>
      </c>
      <c r="R2433" s="29">
        <v>0.15003660775771735</v>
      </c>
      <c r="S2433" s="30">
        <v>3.7999999999999999E-2</v>
      </c>
    </row>
    <row r="2434" spans="16:19" x14ac:dyDescent="0.25">
      <c r="P2434" s="27">
        <v>3.2548184716220556E-2</v>
      </c>
      <c r="Q2434" s="28">
        <f t="shared" si="41"/>
        <v>3.5548184716220559E-2</v>
      </c>
      <c r="R2434" s="29">
        <v>0.15003660775771735</v>
      </c>
      <c r="S2434" s="30">
        <v>4.8000000000000001E-2</v>
      </c>
    </row>
    <row r="2435" spans="16:19" x14ac:dyDescent="0.25">
      <c r="P2435" s="27">
        <v>3.2548184716220556E-2</v>
      </c>
      <c r="Q2435" s="28">
        <f t="shared" si="41"/>
        <v>3.5548184716220559E-2</v>
      </c>
      <c r="R2435" s="31">
        <v>0.15939660775771733</v>
      </c>
      <c r="S2435" s="32">
        <v>5.1130000000000002E-2</v>
      </c>
    </row>
    <row r="2436" spans="16:19" x14ac:dyDescent="0.25">
      <c r="P2436" s="27">
        <v>3.2548184716220556E-2</v>
      </c>
      <c r="Q2436" s="28">
        <f t="shared" si="41"/>
        <v>3.5548184716220559E-2</v>
      </c>
      <c r="R2436" s="33">
        <v>0.16282860775771735</v>
      </c>
      <c r="S2436" s="34">
        <v>5.0430000000000003E-2</v>
      </c>
    </row>
    <row r="2437" spans="16:19" x14ac:dyDescent="0.25">
      <c r="P2437" s="27">
        <v>3.2548184716220556E-2</v>
      </c>
      <c r="Q2437" s="28">
        <f t="shared" ref="Q2437:Q2500" si="42">P2437+0.003</f>
        <v>3.5548184716220559E-2</v>
      </c>
      <c r="R2437" s="33">
        <v>0.16282860775771735</v>
      </c>
      <c r="S2437" s="34">
        <v>0.04</v>
      </c>
    </row>
    <row r="2438" spans="16:19" x14ac:dyDescent="0.25">
      <c r="P2438" s="27">
        <v>3.2548184716220556E-2</v>
      </c>
      <c r="Q2438" s="28">
        <f t="shared" si="42"/>
        <v>3.5548184716220559E-2</v>
      </c>
      <c r="R2438" s="33">
        <v>0.16282860775771735</v>
      </c>
      <c r="S2438" s="34">
        <v>3.5999999999999997E-2</v>
      </c>
    </row>
    <row r="2439" spans="16:19" x14ac:dyDescent="0.25">
      <c r="P2439" s="27">
        <v>3.2548184716220556E-2</v>
      </c>
      <c r="Q2439" s="28">
        <f t="shared" si="42"/>
        <v>3.5548184716220559E-2</v>
      </c>
      <c r="R2439" s="33">
        <v>0.16282860775771735</v>
      </c>
      <c r="S2439" s="34">
        <v>3.3000000000000002E-2</v>
      </c>
    </row>
    <row r="2440" spans="16:19" x14ac:dyDescent="0.25">
      <c r="P2440" s="27">
        <v>3.2548184716220556E-2</v>
      </c>
      <c r="Q2440" s="28">
        <f t="shared" si="42"/>
        <v>3.5548184716220559E-2</v>
      </c>
      <c r="R2440" s="33">
        <v>0.16282860775771735</v>
      </c>
      <c r="S2440" s="34">
        <v>3.1E-2</v>
      </c>
    </row>
    <row r="2441" spans="16:19" x14ac:dyDescent="0.25">
      <c r="P2441" s="27">
        <v>3.2548184716220556E-2</v>
      </c>
      <c r="Q2441" s="28">
        <f t="shared" si="42"/>
        <v>3.5548184716220559E-2</v>
      </c>
      <c r="R2441" s="33">
        <v>0.16282860775771735</v>
      </c>
      <c r="S2441" s="34">
        <v>2.8680000000000001E-2</v>
      </c>
    </row>
    <row r="2442" spans="16:19" x14ac:dyDescent="0.25">
      <c r="P2442" s="27">
        <v>3.2548184716220556E-2</v>
      </c>
      <c r="Q2442" s="28">
        <f t="shared" si="42"/>
        <v>3.5548184716220559E-2</v>
      </c>
      <c r="R2442" s="33">
        <v>0.16282860775771735</v>
      </c>
      <c r="S2442" s="34">
        <v>2.9649999999999999E-2</v>
      </c>
    </row>
    <row r="2443" spans="16:19" x14ac:dyDescent="0.25">
      <c r="P2443" s="27">
        <v>3.2548184716220556E-2</v>
      </c>
      <c r="Q2443" s="28">
        <f t="shared" si="42"/>
        <v>3.5548184716220559E-2</v>
      </c>
      <c r="R2443" s="33">
        <v>0.16282860775771735</v>
      </c>
      <c r="S2443" s="34">
        <v>3.4099999999999998E-2</v>
      </c>
    </row>
    <row r="2444" spans="16:19" x14ac:dyDescent="0.25">
      <c r="P2444" s="27">
        <v>3.2548184716220556E-2</v>
      </c>
      <c r="Q2444" s="28">
        <f t="shared" si="42"/>
        <v>3.5548184716220559E-2</v>
      </c>
      <c r="R2444" s="33">
        <v>0.16282860775771735</v>
      </c>
      <c r="S2444" s="34">
        <v>4.292E-2</v>
      </c>
    </row>
    <row r="2445" spans="16:19" x14ac:dyDescent="0.25">
      <c r="P2445" s="27">
        <v>3.2548184716220556E-2</v>
      </c>
      <c r="Q2445" s="28">
        <f t="shared" si="42"/>
        <v>3.5548184716220559E-2</v>
      </c>
      <c r="R2445" s="33">
        <v>0.16282860775771735</v>
      </c>
      <c r="S2445" s="34">
        <v>4.7649999999999998E-2</v>
      </c>
    </row>
    <row r="2446" spans="16:19" x14ac:dyDescent="0.25">
      <c r="P2446" s="27">
        <v>3.2548184716220556E-2</v>
      </c>
      <c r="Q2446" s="28">
        <f t="shared" si="42"/>
        <v>3.5548184716220559E-2</v>
      </c>
      <c r="R2446" s="33">
        <v>0.16282860775771735</v>
      </c>
      <c r="S2446" s="34">
        <v>5.5570000000000001E-2</v>
      </c>
    </row>
    <row r="2447" spans="16:19" x14ac:dyDescent="0.25">
      <c r="P2447" s="27">
        <v>3.2548184716220556E-2</v>
      </c>
      <c r="Q2447" s="28">
        <f t="shared" si="42"/>
        <v>3.5548184716220559E-2</v>
      </c>
      <c r="R2447" s="31">
        <v>0.15939660775771733</v>
      </c>
      <c r="S2447" s="32">
        <v>7.9500000000000001E-2</v>
      </c>
    </row>
    <row r="2448" spans="16:19" x14ac:dyDescent="0.25">
      <c r="P2448" s="27">
        <v>3.2548184716220556E-2</v>
      </c>
      <c r="Q2448" s="28">
        <f t="shared" si="42"/>
        <v>3.5548184716220559E-2</v>
      </c>
      <c r="R2448" s="31">
        <v>0.15939660775771733</v>
      </c>
      <c r="S2448" s="32">
        <v>5.323E-2</v>
      </c>
    </row>
    <row r="2449" spans="16:19" x14ac:dyDescent="0.25">
      <c r="P2449" s="27">
        <v>3.2548184716220556E-2</v>
      </c>
      <c r="Q2449" s="28">
        <f t="shared" si="42"/>
        <v>3.5548184716220559E-2</v>
      </c>
      <c r="R2449" s="31">
        <v>0.15939660775771733</v>
      </c>
      <c r="S2449" s="32">
        <v>5.0750000000000003E-2</v>
      </c>
    </row>
    <row r="2450" spans="16:19" x14ac:dyDescent="0.25">
      <c r="P2450" s="27">
        <v>3.2548184716220556E-2</v>
      </c>
      <c r="Q2450" s="28">
        <f t="shared" si="42"/>
        <v>3.5548184716220559E-2</v>
      </c>
      <c r="R2450" s="31">
        <v>0.15939660775771733</v>
      </c>
      <c r="S2450" s="32">
        <v>4.8180000000000001E-2</v>
      </c>
    </row>
    <row r="2451" spans="16:19" x14ac:dyDescent="0.25">
      <c r="P2451" s="27">
        <v>3.2548184716220556E-2</v>
      </c>
      <c r="Q2451" s="28">
        <f t="shared" si="42"/>
        <v>3.5548184716220559E-2</v>
      </c>
      <c r="R2451" s="29">
        <v>0.15003660775771735</v>
      </c>
      <c r="S2451" s="30">
        <v>4.7649999999999998E-2</v>
      </c>
    </row>
    <row r="2452" spans="16:19" x14ac:dyDescent="0.25">
      <c r="P2452" s="27">
        <v>3.2548184716220556E-2</v>
      </c>
      <c r="Q2452" s="28">
        <f t="shared" si="42"/>
        <v>3.5548184716220559E-2</v>
      </c>
      <c r="R2452" s="29">
        <v>0.15003660775771735</v>
      </c>
      <c r="S2452" s="30">
        <v>3.4546360999999998E-2</v>
      </c>
    </row>
    <row r="2453" spans="16:19" x14ac:dyDescent="0.25">
      <c r="P2453" s="27">
        <v>3.2548184716220556E-2</v>
      </c>
      <c r="Q2453" s="28">
        <f t="shared" si="42"/>
        <v>3.5548184716220559E-2</v>
      </c>
      <c r="R2453" s="29">
        <v>0.15003660775771735</v>
      </c>
      <c r="S2453" s="30">
        <v>3.2809999999999999E-2</v>
      </c>
    </row>
    <row r="2454" spans="16:19" x14ac:dyDescent="0.25">
      <c r="P2454" s="27">
        <v>3.2548184716220556E-2</v>
      </c>
      <c r="Q2454" s="28">
        <f t="shared" si="42"/>
        <v>3.5548184716220559E-2</v>
      </c>
      <c r="R2454" s="29">
        <v>0.15003660775771735</v>
      </c>
      <c r="S2454" s="30">
        <v>3.2649999999999998E-2</v>
      </c>
    </row>
    <row r="2455" spans="16:19" x14ac:dyDescent="0.25">
      <c r="P2455" s="27">
        <v>3.2548184716220556E-2</v>
      </c>
      <c r="Q2455" s="28">
        <f t="shared" si="42"/>
        <v>3.5548184716220559E-2</v>
      </c>
      <c r="R2455" s="29">
        <v>0.15003660775771735</v>
      </c>
      <c r="S2455" s="30">
        <v>3.2299999999999995E-2</v>
      </c>
    </row>
    <row r="2456" spans="16:19" x14ac:dyDescent="0.25">
      <c r="P2456" s="27">
        <v>3.2548184716220556E-2</v>
      </c>
      <c r="Q2456" s="28">
        <f t="shared" si="42"/>
        <v>3.5548184716220559E-2</v>
      </c>
      <c r="R2456" s="29">
        <v>0.15003660775771735</v>
      </c>
      <c r="S2456" s="30">
        <v>3.2649999999999998E-2</v>
      </c>
    </row>
    <row r="2457" spans="16:19" x14ac:dyDescent="0.25">
      <c r="P2457" s="27">
        <v>3.2548184716220556E-2</v>
      </c>
      <c r="Q2457" s="28">
        <f t="shared" si="42"/>
        <v>3.5548184716220559E-2</v>
      </c>
      <c r="R2457" s="29">
        <v>0.15003660775771735</v>
      </c>
      <c r="S2457" s="30">
        <v>3.2649999999999998E-2</v>
      </c>
    </row>
    <row r="2458" spans="16:19" x14ac:dyDescent="0.25">
      <c r="P2458" s="27">
        <v>3.2548184716220556E-2</v>
      </c>
      <c r="Q2458" s="28">
        <f t="shared" si="42"/>
        <v>3.5548184716220559E-2</v>
      </c>
      <c r="R2458" s="29">
        <v>0.15003660775771735</v>
      </c>
      <c r="S2458" s="30">
        <v>3.2809999999999999E-2</v>
      </c>
    </row>
    <row r="2459" spans="16:19" x14ac:dyDescent="0.25">
      <c r="P2459" s="27">
        <v>3.2548184716220556E-2</v>
      </c>
      <c r="Q2459" s="28">
        <f t="shared" si="42"/>
        <v>3.5548184716220559E-2</v>
      </c>
      <c r="R2459" s="31">
        <v>0.15939660775771733</v>
      </c>
      <c r="S2459" s="32">
        <v>4.0039999999999999E-2</v>
      </c>
    </row>
    <row r="2460" spans="16:19" x14ac:dyDescent="0.25">
      <c r="P2460" s="27">
        <v>3.2548184716220556E-2</v>
      </c>
      <c r="Q2460" s="28">
        <f t="shared" si="42"/>
        <v>3.5548184716220559E-2</v>
      </c>
      <c r="R2460" s="33">
        <v>0.16282860775771735</v>
      </c>
      <c r="S2460" s="34">
        <v>4.6270000000000006E-2</v>
      </c>
    </row>
    <row r="2461" spans="16:19" x14ac:dyDescent="0.25">
      <c r="P2461" s="27">
        <v>3.2548184716220556E-2</v>
      </c>
      <c r="Q2461" s="28">
        <f t="shared" si="42"/>
        <v>3.5548184716220559E-2</v>
      </c>
      <c r="R2461" s="33">
        <v>0.16282860775771735</v>
      </c>
      <c r="S2461" s="34">
        <v>4.2999999999999997E-2</v>
      </c>
    </row>
    <row r="2462" spans="16:19" x14ac:dyDescent="0.25">
      <c r="P2462" s="27">
        <v>3.2548184716220556E-2</v>
      </c>
      <c r="Q2462" s="28">
        <f t="shared" si="42"/>
        <v>3.5548184716220559E-2</v>
      </c>
      <c r="R2462" s="33">
        <v>0.16282860775771735</v>
      </c>
      <c r="S2462" s="34">
        <v>4.1119999999999997E-2</v>
      </c>
    </row>
    <row r="2463" spans="16:19" x14ac:dyDescent="0.25">
      <c r="P2463" s="27">
        <v>3.2548184716220556E-2</v>
      </c>
      <c r="Q2463" s="28">
        <f t="shared" si="42"/>
        <v>3.5548184716220559E-2</v>
      </c>
      <c r="R2463" s="33">
        <v>0.16282860775771735</v>
      </c>
      <c r="S2463" s="34">
        <v>3.8179999999999999E-2</v>
      </c>
    </row>
    <row r="2464" spans="16:19" x14ac:dyDescent="0.25">
      <c r="P2464" s="27">
        <v>3.2548184716220556E-2</v>
      </c>
      <c r="Q2464" s="28">
        <f t="shared" si="42"/>
        <v>3.5548184716220559E-2</v>
      </c>
      <c r="R2464" s="33">
        <v>0.16282860775771735</v>
      </c>
      <c r="S2464" s="34">
        <v>2.5000000000000001E-2</v>
      </c>
    </row>
    <row r="2465" spans="16:19" x14ac:dyDescent="0.25">
      <c r="P2465" s="27">
        <v>3.2548184716220556E-2</v>
      </c>
      <c r="Q2465" s="28">
        <f t="shared" si="42"/>
        <v>3.5548184716220559E-2</v>
      </c>
      <c r="R2465" s="33">
        <v>0.16282860775771735</v>
      </c>
      <c r="S2465" s="34">
        <v>0.02</v>
      </c>
    </row>
    <row r="2466" spans="16:19" x14ac:dyDescent="0.25">
      <c r="P2466" s="27">
        <v>3.2548184716220556E-2</v>
      </c>
      <c r="Q2466" s="28">
        <f t="shared" si="42"/>
        <v>3.5548184716220559E-2</v>
      </c>
      <c r="R2466" s="33">
        <v>0.16282860775771735</v>
      </c>
      <c r="S2466" s="34">
        <v>0.02</v>
      </c>
    </row>
    <row r="2467" spans="16:19" x14ac:dyDescent="0.25">
      <c r="P2467" s="27">
        <v>3.2548184716220556E-2</v>
      </c>
      <c r="Q2467" s="28">
        <f t="shared" si="42"/>
        <v>3.5548184716220559E-2</v>
      </c>
      <c r="R2467" s="33">
        <v>0.16282860775771735</v>
      </c>
      <c r="S2467" s="34">
        <v>3.1449999999999999E-2</v>
      </c>
    </row>
    <row r="2468" spans="16:19" x14ac:dyDescent="0.25">
      <c r="P2468" s="27">
        <v>3.2548184716220556E-2</v>
      </c>
      <c r="Q2468" s="28">
        <f t="shared" si="42"/>
        <v>3.5548184716220559E-2</v>
      </c>
      <c r="R2468" s="33">
        <v>0.16282860775771735</v>
      </c>
      <c r="S2468" s="34">
        <v>1.9899999999999998E-2</v>
      </c>
    </row>
    <row r="2469" spans="16:19" x14ac:dyDescent="0.25">
      <c r="P2469" s="27">
        <v>3.2548184716220556E-2</v>
      </c>
      <c r="Q2469" s="28">
        <f t="shared" si="42"/>
        <v>3.5548184716220559E-2</v>
      </c>
      <c r="R2469" s="33">
        <v>0.16282860775771735</v>
      </c>
      <c r="S2469" s="34">
        <v>4.2500000000000003E-2</v>
      </c>
    </row>
    <row r="2470" spans="16:19" x14ac:dyDescent="0.25">
      <c r="P2470" s="27">
        <v>3.2548184716220556E-2</v>
      </c>
      <c r="Q2470" s="28">
        <f t="shared" si="42"/>
        <v>3.5548184716220559E-2</v>
      </c>
      <c r="R2470" s="33">
        <v>0.16282860775771735</v>
      </c>
      <c r="S2470" s="34">
        <v>4.9729999999999996E-2</v>
      </c>
    </row>
    <row r="2471" spans="16:19" x14ac:dyDescent="0.25">
      <c r="P2471" s="27">
        <v>3.2548184716220556E-2</v>
      </c>
      <c r="Q2471" s="28">
        <f t="shared" si="42"/>
        <v>3.5548184716220559E-2</v>
      </c>
      <c r="R2471" s="31">
        <v>0.15939660775771733</v>
      </c>
      <c r="S2471" s="32">
        <v>8.77E-2</v>
      </c>
    </row>
    <row r="2472" spans="16:19" x14ac:dyDescent="0.25">
      <c r="P2472" s="27">
        <v>3.2548184716220556E-2</v>
      </c>
      <c r="Q2472" s="28">
        <f t="shared" si="42"/>
        <v>3.5548184716220559E-2</v>
      </c>
      <c r="R2472" s="31">
        <v>0.15939660775771733</v>
      </c>
      <c r="S2472" s="32">
        <v>6.6819999999999991E-2</v>
      </c>
    </row>
    <row r="2473" spans="16:19" x14ac:dyDescent="0.25">
      <c r="P2473" s="27">
        <v>3.2548184716220556E-2</v>
      </c>
      <c r="Q2473" s="28">
        <f t="shared" si="42"/>
        <v>3.5548184716220559E-2</v>
      </c>
      <c r="R2473" s="31">
        <v>0.15939660775771733</v>
      </c>
      <c r="S2473" s="32">
        <v>5.0909999999999997E-2</v>
      </c>
    </row>
    <row r="2474" spans="16:19" x14ac:dyDescent="0.25">
      <c r="P2474" s="27">
        <v>3.2548184716220556E-2</v>
      </c>
      <c r="Q2474" s="28">
        <f t="shared" si="42"/>
        <v>3.5548184716220559E-2</v>
      </c>
      <c r="R2474" s="31">
        <v>0.15939660775771733</v>
      </c>
      <c r="S2474" s="32">
        <v>4.7439999999999996E-2</v>
      </c>
    </row>
    <row r="2475" spans="16:19" x14ac:dyDescent="0.25">
      <c r="P2475" s="27">
        <v>3.2548184716220556E-2</v>
      </c>
      <c r="Q2475" s="28">
        <f t="shared" si="42"/>
        <v>3.5548184716220559E-2</v>
      </c>
      <c r="R2475" s="29">
        <v>0.15003660775771735</v>
      </c>
      <c r="S2475" s="30">
        <v>3.7630000000000004E-2</v>
      </c>
    </row>
    <row r="2476" spans="16:19" x14ac:dyDescent="0.25">
      <c r="P2476" s="27">
        <v>3.2548184716220556E-2</v>
      </c>
      <c r="Q2476" s="28">
        <f t="shared" si="42"/>
        <v>3.5548184716220559E-2</v>
      </c>
      <c r="R2476" s="29">
        <v>0.15003660775771735</v>
      </c>
      <c r="S2476" s="30">
        <v>3.2809999999999999E-2</v>
      </c>
    </row>
    <row r="2477" spans="16:19" x14ac:dyDescent="0.25">
      <c r="P2477" s="27">
        <v>3.2548184716220556E-2</v>
      </c>
      <c r="Q2477" s="28">
        <f t="shared" si="42"/>
        <v>3.5548184716220559E-2</v>
      </c>
      <c r="R2477" s="29">
        <v>0.15003660775771735</v>
      </c>
      <c r="S2477" s="30">
        <v>3.2530000000000003E-2</v>
      </c>
    </row>
    <row r="2478" spans="16:19" x14ac:dyDescent="0.25">
      <c r="P2478" s="27">
        <v>3.2548184716220556E-2</v>
      </c>
      <c r="Q2478" s="28">
        <f t="shared" si="42"/>
        <v>3.5548184716220559E-2</v>
      </c>
      <c r="R2478" s="29">
        <v>0.15003660775771735</v>
      </c>
      <c r="S2478" s="30">
        <v>3.0097703E-2</v>
      </c>
    </row>
    <row r="2479" spans="16:19" x14ac:dyDescent="0.25">
      <c r="P2479" s="27">
        <v>3.2548184716220556E-2</v>
      </c>
      <c r="Q2479" s="28">
        <f t="shared" si="42"/>
        <v>3.5548184716220559E-2</v>
      </c>
      <c r="R2479" s="29">
        <v>0.15003660775771735</v>
      </c>
      <c r="S2479" s="30">
        <v>3.055484E-2</v>
      </c>
    </row>
    <row r="2480" spans="16:19" x14ac:dyDescent="0.25">
      <c r="P2480" s="27">
        <v>3.2548184716220556E-2</v>
      </c>
      <c r="Q2480" s="28">
        <f t="shared" si="42"/>
        <v>3.5548184716220559E-2</v>
      </c>
      <c r="R2480" s="29">
        <v>0.15003660775771735</v>
      </c>
      <c r="S2480" s="30">
        <v>3.5560000000000001E-2</v>
      </c>
    </row>
    <row r="2481" spans="16:19" x14ac:dyDescent="0.25">
      <c r="P2481" s="27">
        <v>3.2548184716220556E-2</v>
      </c>
      <c r="Q2481" s="28">
        <f t="shared" si="42"/>
        <v>3.5548184716220559E-2</v>
      </c>
      <c r="R2481" s="29">
        <v>0.15003660775771735</v>
      </c>
      <c r="S2481" s="30">
        <v>5.1200000000000002E-2</v>
      </c>
    </row>
    <row r="2482" spans="16:19" x14ac:dyDescent="0.25">
      <c r="P2482" s="27">
        <v>3.2548184716220556E-2</v>
      </c>
      <c r="Q2482" s="28">
        <f t="shared" si="42"/>
        <v>3.5548184716220559E-2</v>
      </c>
      <c r="R2482" s="29">
        <v>0.15003660775771735</v>
      </c>
      <c r="S2482" s="30">
        <v>6.9319999999999993E-2</v>
      </c>
    </row>
    <row r="2483" spans="16:19" x14ac:dyDescent="0.25">
      <c r="P2483" s="27">
        <v>3.2548184716220556E-2</v>
      </c>
      <c r="Q2483" s="28">
        <f t="shared" si="42"/>
        <v>3.5548184716220559E-2</v>
      </c>
      <c r="R2483" s="31">
        <v>0.15939999999999999</v>
      </c>
      <c r="S2483" s="32">
        <v>7.8503438999999994E-2</v>
      </c>
    </row>
    <row r="2484" spans="16:19" x14ac:dyDescent="0.25">
      <c r="P2484" s="27">
        <v>3.2548184716220556E-2</v>
      </c>
      <c r="Q2484" s="28">
        <f t="shared" si="42"/>
        <v>3.5548184716220559E-2</v>
      </c>
      <c r="R2484" s="31">
        <v>0.15939999999999999</v>
      </c>
      <c r="S2484" s="32">
        <v>5.7869999999999998E-2</v>
      </c>
    </row>
    <row r="2485" spans="16:19" x14ac:dyDescent="0.25">
      <c r="P2485" s="27">
        <v>3.2548184716220556E-2</v>
      </c>
      <c r="Q2485" s="28">
        <f t="shared" si="42"/>
        <v>3.5548184716220559E-2</v>
      </c>
      <c r="R2485" s="31">
        <v>0.15939999999999999</v>
      </c>
      <c r="S2485" s="32">
        <v>5.0840000000000003E-2</v>
      </c>
    </row>
    <row r="2486" spans="16:19" x14ac:dyDescent="0.25">
      <c r="P2486" s="27">
        <v>3.2548184716220556E-2</v>
      </c>
      <c r="Q2486" s="28">
        <f t="shared" si="42"/>
        <v>3.5548184716220559E-2</v>
      </c>
      <c r="R2486" s="31">
        <v>0.15939999999999999</v>
      </c>
      <c r="S2486" s="32">
        <v>4.65E-2</v>
      </c>
    </row>
    <row r="2487" spans="16:19" x14ac:dyDescent="0.25">
      <c r="P2487" s="27">
        <v>3.2548184716220556E-2</v>
      </c>
      <c r="Q2487" s="28">
        <f t="shared" si="42"/>
        <v>3.5548184716220559E-2</v>
      </c>
      <c r="R2487" s="31">
        <v>0.15939999999999999</v>
      </c>
      <c r="S2487" s="32">
        <v>3.7440000000000001E-2</v>
      </c>
    </row>
    <row r="2488" spans="16:19" x14ac:dyDescent="0.25">
      <c r="P2488" s="27">
        <v>3.2548184716220556E-2</v>
      </c>
      <c r="Q2488" s="28">
        <f t="shared" si="42"/>
        <v>3.5548184716220559E-2</v>
      </c>
      <c r="R2488" s="31">
        <v>0.15939999999999999</v>
      </c>
      <c r="S2488" s="32">
        <v>3.5360000000000003E-2</v>
      </c>
    </row>
    <row r="2489" spans="16:19" x14ac:dyDescent="0.25">
      <c r="P2489" s="27">
        <v>3.2548184716220556E-2</v>
      </c>
      <c r="Q2489" s="28">
        <f t="shared" si="42"/>
        <v>3.5548184716220559E-2</v>
      </c>
      <c r="R2489" s="31">
        <v>0.15939999999999999</v>
      </c>
      <c r="S2489" s="32">
        <v>3.8869999999999995E-2</v>
      </c>
    </row>
    <row r="2490" spans="16:19" x14ac:dyDescent="0.25">
      <c r="P2490" s="27">
        <v>3.2548184716220556E-2</v>
      </c>
      <c r="Q2490" s="28">
        <f t="shared" si="42"/>
        <v>3.5548184716220559E-2</v>
      </c>
      <c r="R2490" s="31">
        <v>0.15939999999999999</v>
      </c>
      <c r="S2490" s="32">
        <v>4.1000000000000002E-2</v>
      </c>
    </row>
    <row r="2491" spans="16:19" x14ac:dyDescent="0.25">
      <c r="P2491" s="27">
        <v>3.2548184716220556E-2</v>
      </c>
      <c r="Q2491" s="28">
        <f t="shared" si="42"/>
        <v>3.5548184716220559E-2</v>
      </c>
      <c r="R2491" s="31">
        <v>0.15939999999999999</v>
      </c>
      <c r="S2491" s="32">
        <v>4.65E-2</v>
      </c>
    </row>
    <row r="2492" spans="16:19" x14ac:dyDescent="0.25">
      <c r="P2492" s="27">
        <v>3.2548184716220556E-2</v>
      </c>
      <c r="Q2492" s="28">
        <f t="shared" si="42"/>
        <v>3.5548184716220559E-2</v>
      </c>
      <c r="R2492" s="31">
        <v>0.15939999999999999</v>
      </c>
      <c r="S2492" s="32">
        <v>4.5406385E-2</v>
      </c>
    </row>
    <row r="2493" spans="16:19" x14ac:dyDescent="0.25">
      <c r="P2493" s="27">
        <v>3.2548184716220556E-2</v>
      </c>
      <c r="Q2493" s="28">
        <f t="shared" si="42"/>
        <v>3.5548184716220559E-2</v>
      </c>
      <c r="R2493" s="31">
        <v>0.15939999999999999</v>
      </c>
      <c r="S2493" s="32">
        <v>4.6289999999999998E-2</v>
      </c>
    </row>
    <row r="2494" spans="16:19" x14ac:dyDescent="0.25">
      <c r="P2494" s="27">
        <v>3.2548184716220556E-2</v>
      </c>
      <c r="Q2494" s="28">
        <f t="shared" si="42"/>
        <v>3.5548184716220559E-2</v>
      </c>
      <c r="R2494" s="31">
        <v>0.15939999999999999</v>
      </c>
      <c r="S2494" s="32">
        <v>5.3429999999999998E-2</v>
      </c>
    </row>
    <row r="2495" spans="16:19" x14ac:dyDescent="0.25">
      <c r="P2495" s="27">
        <v>3.2548184716220556E-2</v>
      </c>
      <c r="Q2495" s="28">
        <f t="shared" si="42"/>
        <v>3.5548184716220559E-2</v>
      </c>
      <c r="R2495" s="31">
        <v>0.15939999999999999</v>
      </c>
      <c r="S2495" s="32">
        <v>7.2989999999999999E-2</v>
      </c>
    </row>
    <row r="2496" spans="16:19" x14ac:dyDescent="0.25">
      <c r="P2496" s="27">
        <v>3.2548184716220556E-2</v>
      </c>
      <c r="Q2496" s="28">
        <f t="shared" si="42"/>
        <v>3.5548184716220559E-2</v>
      </c>
      <c r="R2496" s="31">
        <v>0.15939999999999999</v>
      </c>
      <c r="S2496" s="32">
        <v>5.3060000000000003E-2</v>
      </c>
    </row>
    <row r="2497" spans="16:19" x14ac:dyDescent="0.25">
      <c r="P2497" s="27">
        <v>3.2548184716220556E-2</v>
      </c>
      <c r="Q2497" s="28">
        <f t="shared" si="42"/>
        <v>3.5548184716220559E-2</v>
      </c>
      <c r="R2497" s="31">
        <v>0.15939999999999999</v>
      </c>
      <c r="S2497" s="32">
        <v>4.283E-2</v>
      </c>
    </row>
    <row r="2498" spans="16:19" x14ac:dyDescent="0.25">
      <c r="P2498" s="27">
        <v>3.2548184716220556E-2</v>
      </c>
      <c r="Q2498" s="28">
        <f t="shared" si="42"/>
        <v>3.5548184716220559E-2</v>
      </c>
      <c r="R2498" s="31">
        <v>0.15939999999999999</v>
      </c>
      <c r="S2498" s="32">
        <v>3.601E-2</v>
      </c>
    </row>
    <row r="2499" spans="16:19" x14ac:dyDescent="0.25">
      <c r="P2499" s="27">
        <v>3.2548184716220556E-2</v>
      </c>
      <c r="Q2499" s="28">
        <f t="shared" si="42"/>
        <v>3.5548184716220559E-2</v>
      </c>
      <c r="R2499" s="29">
        <v>0.15</v>
      </c>
      <c r="S2499" s="30">
        <v>3.2649999999999998E-2</v>
      </c>
    </row>
    <row r="2500" spans="16:19" x14ac:dyDescent="0.25">
      <c r="P2500" s="27">
        <v>3.2548184716220556E-2</v>
      </c>
      <c r="Q2500" s="28">
        <f t="shared" si="42"/>
        <v>3.5548184716220559E-2</v>
      </c>
      <c r="R2500" s="29">
        <v>0.15</v>
      </c>
      <c r="S2500" s="30">
        <v>2.479E-2</v>
      </c>
    </row>
    <row r="2501" spans="16:19" x14ac:dyDescent="0.25">
      <c r="P2501" s="27">
        <v>3.2548184716220556E-2</v>
      </c>
      <c r="Q2501" s="28">
        <f t="shared" ref="Q2501:Q2564" si="43">P2501+0.003</f>
        <v>3.5548184716220559E-2</v>
      </c>
      <c r="R2501" s="29">
        <v>0.15</v>
      </c>
      <c r="S2501" s="30">
        <v>2.002E-2</v>
      </c>
    </row>
    <row r="2502" spans="16:19" x14ac:dyDescent="0.25">
      <c r="P2502" s="27">
        <v>3.2548184716220556E-2</v>
      </c>
      <c r="Q2502" s="28">
        <f t="shared" si="43"/>
        <v>3.5548184716220559E-2</v>
      </c>
      <c r="R2502" s="29">
        <v>0.15</v>
      </c>
      <c r="S2502" s="30">
        <v>1.7999999999999999E-2</v>
      </c>
    </row>
    <row r="2503" spans="16:19" x14ac:dyDescent="0.25">
      <c r="P2503" s="27">
        <v>3.2548184716220556E-2</v>
      </c>
      <c r="Q2503" s="28">
        <f t="shared" si="43"/>
        <v>3.5548184716220559E-2</v>
      </c>
      <c r="R2503" s="29">
        <v>0.15</v>
      </c>
      <c r="S2503" s="30">
        <v>1.7999999999999999E-2</v>
      </c>
    </row>
    <row r="2504" spans="16:19" x14ac:dyDescent="0.25">
      <c r="P2504" s="27">
        <v>3.2548184716220556E-2</v>
      </c>
      <c r="Q2504" s="28">
        <f t="shared" si="43"/>
        <v>3.5548184716220559E-2</v>
      </c>
      <c r="R2504" s="29">
        <v>0.15</v>
      </c>
      <c r="S2504" s="30">
        <v>2.7199999999999998E-2</v>
      </c>
    </row>
    <row r="2505" spans="16:19" x14ac:dyDescent="0.25">
      <c r="P2505" s="27">
        <v>3.2548184716220556E-2</v>
      </c>
      <c r="Q2505" s="28">
        <f t="shared" si="43"/>
        <v>3.5548184716220559E-2</v>
      </c>
      <c r="R2505" s="29">
        <v>0.15</v>
      </c>
      <c r="S2505" s="30">
        <v>3.9E-2</v>
      </c>
    </row>
    <row r="2506" spans="16:19" x14ac:dyDescent="0.25">
      <c r="P2506" s="27">
        <v>3.2548184716220556E-2</v>
      </c>
      <c r="Q2506" s="28">
        <f t="shared" si="43"/>
        <v>3.5548184716220559E-2</v>
      </c>
      <c r="R2506" s="29">
        <v>0.15</v>
      </c>
      <c r="S2506" s="30">
        <v>4.9979999999999997E-2</v>
      </c>
    </row>
    <row r="2507" spans="16:19" x14ac:dyDescent="0.25">
      <c r="P2507" s="27">
        <v>3.2548184716220556E-2</v>
      </c>
      <c r="Q2507" s="28">
        <f t="shared" si="43"/>
        <v>3.5548184716220559E-2</v>
      </c>
      <c r="R2507" s="29">
        <v>0.15</v>
      </c>
      <c r="S2507" s="30">
        <v>6.1325899999999996E-2</v>
      </c>
    </row>
    <row r="2508" spans="16:19" x14ac:dyDescent="0.25">
      <c r="P2508" s="27">
        <v>3.2548184716220556E-2</v>
      </c>
      <c r="Q2508" s="28">
        <f t="shared" si="43"/>
        <v>3.5548184716220559E-2</v>
      </c>
      <c r="R2508" s="29">
        <v>0.15</v>
      </c>
      <c r="S2508" s="30">
        <v>6.5000000000000002E-2</v>
      </c>
    </row>
    <row r="2509" spans="16:19" x14ac:dyDescent="0.25">
      <c r="P2509" s="27">
        <v>3.2548184716220556E-2</v>
      </c>
      <c r="Q2509" s="28">
        <f t="shared" si="43"/>
        <v>3.5548184716220559E-2</v>
      </c>
      <c r="R2509" s="29">
        <v>0.15</v>
      </c>
      <c r="S2509" s="30">
        <v>5.2330000000000002E-2</v>
      </c>
    </row>
    <row r="2510" spans="16:19" x14ac:dyDescent="0.25">
      <c r="P2510" s="27">
        <v>3.2548184716220556E-2</v>
      </c>
      <c r="Q2510" s="28">
        <f t="shared" si="43"/>
        <v>3.5548184716220559E-2</v>
      </c>
      <c r="R2510" s="29">
        <v>0.15</v>
      </c>
      <c r="S2510" s="30">
        <v>5.058E-2</v>
      </c>
    </row>
    <row r="2511" spans="16:19" x14ac:dyDescent="0.25">
      <c r="P2511" s="27">
        <v>3.2548184716220556E-2</v>
      </c>
      <c r="Q2511" s="28">
        <f t="shared" si="43"/>
        <v>3.5548184716220559E-2</v>
      </c>
      <c r="R2511" s="29">
        <v>0.15</v>
      </c>
      <c r="S2511" s="30">
        <v>4.2709999999999998E-2</v>
      </c>
    </row>
    <row r="2512" spans="16:19" x14ac:dyDescent="0.25">
      <c r="P2512" s="27">
        <v>3.2548184716220556E-2</v>
      </c>
      <c r="Q2512" s="28">
        <f t="shared" si="43"/>
        <v>3.5548184716220559E-2</v>
      </c>
      <c r="R2512" s="29">
        <v>0.15</v>
      </c>
      <c r="S2512" s="30">
        <v>4.1710000000000004E-2</v>
      </c>
    </row>
    <row r="2513" spans="16:19" x14ac:dyDescent="0.25">
      <c r="P2513" s="27">
        <v>3.2548184716220556E-2</v>
      </c>
      <c r="Q2513" s="28">
        <f t="shared" si="43"/>
        <v>3.5548184716220559E-2</v>
      </c>
      <c r="R2513" s="29">
        <v>0.15</v>
      </c>
      <c r="S2513" s="30">
        <v>4.5010000000000001E-2</v>
      </c>
    </row>
    <row r="2514" spans="16:19" x14ac:dyDescent="0.25">
      <c r="P2514" s="27">
        <v>3.2548184716220556E-2</v>
      </c>
      <c r="Q2514" s="28">
        <f t="shared" si="43"/>
        <v>3.5548184716220559E-2</v>
      </c>
      <c r="R2514" s="29">
        <v>0.15</v>
      </c>
      <c r="S2514" s="30">
        <v>4.65E-2</v>
      </c>
    </row>
    <row r="2515" spans="16:19" x14ac:dyDescent="0.25">
      <c r="P2515" s="27">
        <v>3.2548184716220556E-2</v>
      </c>
      <c r="Q2515" s="28">
        <f t="shared" si="43"/>
        <v>3.5548184716220559E-2</v>
      </c>
      <c r="R2515" s="29">
        <v>0.15</v>
      </c>
      <c r="S2515" s="30">
        <v>4.9979999999999997E-2</v>
      </c>
    </row>
    <row r="2516" spans="16:19" x14ac:dyDescent="0.25">
      <c r="P2516" s="27">
        <v>3.2548184716220556E-2</v>
      </c>
      <c r="Q2516" s="28">
        <f t="shared" si="43"/>
        <v>3.5548184716220559E-2</v>
      </c>
      <c r="R2516" s="29">
        <v>0.15</v>
      </c>
      <c r="S2516" s="30">
        <v>4.65E-2</v>
      </c>
    </row>
    <row r="2517" spans="16:19" x14ac:dyDescent="0.25">
      <c r="P2517" s="27">
        <v>3.2548184716220556E-2</v>
      </c>
      <c r="Q2517" s="28">
        <f t="shared" si="43"/>
        <v>3.5548184716220559E-2</v>
      </c>
      <c r="R2517" s="29">
        <v>0.15</v>
      </c>
      <c r="S2517" s="30">
        <v>4.8210000000000003E-2</v>
      </c>
    </row>
    <row r="2518" spans="16:19" x14ac:dyDescent="0.25">
      <c r="P2518" s="27">
        <v>3.2548184716220556E-2</v>
      </c>
      <c r="Q2518" s="28">
        <f t="shared" si="43"/>
        <v>3.5548184716220559E-2</v>
      </c>
      <c r="R2518" s="29">
        <v>0.15</v>
      </c>
      <c r="S2518" s="30">
        <v>5.3749999999999999E-2</v>
      </c>
    </row>
    <row r="2519" spans="16:19" x14ac:dyDescent="0.25">
      <c r="P2519" s="27">
        <v>3.2548184716220556E-2</v>
      </c>
      <c r="Q2519" s="28">
        <f t="shared" si="43"/>
        <v>3.5548184716220559E-2</v>
      </c>
      <c r="R2519" s="29">
        <v>0.15</v>
      </c>
      <c r="S2519" s="30">
        <v>7.4990000000000001E-2</v>
      </c>
    </row>
    <row r="2520" spans="16:19" x14ac:dyDescent="0.25">
      <c r="P2520" s="27">
        <v>3.2548184716220556E-2</v>
      </c>
      <c r="Q2520" s="28">
        <f t="shared" si="43"/>
        <v>3.5548184716220559E-2</v>
      </c>
      <c r="R2520" s="29">
        <v>0.15</v>
      </c>
      <c r="S2520" s="30">
        <v>5.3249999999999999E-2</v>
      </c>
    </row>
    <row r="2521" spans="16:19" x14ac:dyDescent="0.25">
      <c r="P2521" s="27">
        <v>3.2548184716220556E-2</v>
      </c>
      <c r="Q2521" s="28">
        <f t="shared" si="43"/>
        <v>3.5548184716220559E-2</v>
      </c>
      <c r="R2521" s="29">
        <v>0.15</v>
      </c>
      <c r="S2521" s="30">
        <v>4.65E-2</v>
      </c>
    </row>
    <row r="2522" spans="16:19" x14ac:dyDescent="0.25">
      <c r="P2522" s="27">
        <v>3.2548184716220556E-2</v>
      </c>
      <c r="Q2522" s="28">
        <f t="shared" si="43"/>
        <v>3.5548184716220559E-2</v>
      </c>
      <c r="R2522" s="29">
        <v>0.15</v>
      </c>
      <c r="S2522" s="30">
        <v>3.9990000000000005E-2</v>
      </c>
    </row>
    <row r="2523" spans="16:19" x14ac:dyDescent="0.25">
      <c r="P2523" s="27">
        <v>3.2548184716220556E-2</v>
      </c>
      <c r="Q2523" s="28">
        <f t="shared" si="43"/>
        <v>3.5548184716220559E-2</v>
      </c>
      <c r="R2523" s="29">
        <v>0.15</v>
      </c>
      <c r="S2523" s="30">
        <v>3.7630000000000004E-2</v>
      </c>
    </row>
    <row r="2524" spans="16:19" x14ac:dyDescent="0.25">
      <c r="P2524" s="27">
        <v>3.2548184716220556E-2</v>
      </c>
      <c r="Q2524" s="28">
        <f t="shared" si="43"/>
        <v>3.5548184716220559E-2</v>
      </c>
      <c r="R2524" s="29">
        <v>0.15</v>
      </c>
      <c r="S2524" s="30">
        <v>3.2649999999999998E-2</v>
      </c>
    </row>
    <row r="2525" spans="16:19" x14ac:dyDescent="0.25">
      <c r="P2525" s="27">
        <v>3.2548184716220556E-2</v>
      </c>
      <c r="Q2525" s="28">
        <f t="shared" si="43"/>
        <v>3.5548184716220559E-2</v>
      </c>
      <c r="R2525" s="29">
        <v>0.15</v>
      </c>
      <c r="S2525" s="30">
        <v>2.8719999999999999E-2</v>
      </c>
    </row>
    <row r="2526" spans="16:19" x14ac:dyDescent="0.25">
      <c r="P2526" s="27">
        <v>3.2548184716220556E-2</v>
      </c>
      <c r="Q2526" s="28">
        <f t="shared" si="43"/>
        <v>3.5548184716220559E-2</v>
      </c>
      <c r="R2526" s="29">
        <v>0.15</v>
      </c>
      <c r="S2526" s="30">
        <v>2.69E-2</v>
      </c>
    </row>
    <row r="2527" spans="16:19" x14ac:dyDescent="0.25">
      <c r="P2527" s="27">
        <v>3.2548184716220556E-2</v>
      </c>
      <c r="Q2527" s="28">
        <f t="shared" si="43"/>
        <v>3.5548184716220559E-2</v>
      </c>
      <c r="R2527" s="29">
        <v>0.15</v>
      </c>
      <c r="S2527" s="30">
        <v>2.768E-2</v>
      </c>
    </row>
    <row r="2528" spans="16:19" x14ac:dyDescent="0.25">
      <c r="P2528" s="27">
        <v>3.2548184716220556E-2</v>
      </c>
      <c r="Q2528" s="28">
        <f t="shared" si="43"/>
        <v>3.5548184716220559E-2</v>
      </c>
      <c r="R2528" s="29">
        <v>0.15</v>
      </c>
      <c r="S2528" s="30">
        <v>3.5560000000000001E-2</v>
      </c>
    </row>
    <row r="2529" spans="16:19" x14ac:dyDescent="0.25">
      <c r="P2529" s="27">
        <v>3.2548184716220556E-2</v>
      </c>
      <c r="Q2529" s="28">
        <f t="shared" si="43"/>
        <v>3.5548184716220559E-2</v>
      </c>
      <c r="R2529" s="29">
        <v>0.15</v>
      </c>
      <c r="S2529" s="30">
        <v>5.0119999999999998E-2</v>
      </c>
    </row>
    <row r="2530" spans="16:19" x14ac:dyDescent="0.25">
      <c r="P2530" s="27">
        <v>3.2548184716220556E-2</v>
      </c>
      <c r="Q2530" s="28">
        <f t="shared" si="43"/>
        <v>3.5548184716220559E-2</v>
      </c>
      <c r="R2530" s="29">
        <v>0.15</v>
      </c>
      <c r="S2530" s="30">
        <v>5.5509999999999997E-2</v>
      </c>
    </row>
    <row r="2531" spans="16:19" x14ac:dyDescent="0.25">
      <c r="P2531" s="27">
        <v>3.2548184716220556E-2</v>
      </c>
      <c r="Q2531" s="28">
        <f t="shared" si="43"/>
        <v>3.5548184716220559E-2</v>
      </c>
      <c r="R2531" s="31">
        <v>0.15939660775771733</v>
      </c>
      <c r="S2531" s="32">
        <v>7.0582491000000011E-2</v>
      </c>
    </row>
    <row r="2532" spans="16:19" x14ac:dyDescent="0.25">
      <c r="P2532" s="27">
        <v>3.2548184716220556E-2</v>
      </c>
      <c r="Q2532" s="28">
        <f t="shared" si="43"/>
        <v>3.5548184716220559E-2</v>
      </c>
      <c r="R2532" s="33">
        <v>0.16282860775771735</v>
      </c>
      <c r="S2532" s="34">
        <v>6.6619999999999999E-2</v>
      </c>
    </row>
    <row r="2533" spans="16:19" x14ac:dyDescent="0.25">
      <c r="P2533" s="27">
        <v>3.2548184716220556E-2</v>
      </c>
      <c r="Q2533" s="28">
        <f t="shared" si="43"/>
        <v>3.5548184716220559E-2</v>
      </c>
      <c r="R2533" s="33">
        <v>0.16282860775771735</v>
      </c>
      <c r="S2533" s="34">
        <v>5.1672145999999995E-2</v>
      </c>
    </row>
    <row r="2534" spans="16:19" x14ac:dyDescent="0.25">
      <c r="P2534" s="27">
        <v>3.2548184716220556E-2</v>
      </c>
      <c r="Q2534" s="28">
        <f t="shared" si="43"/>
        <v>3.5548184716220559E-2</v>
      </c>
      <c r="R2534" s="33">
        <v>0.16282860775771735</v>
      </c>
      <c r="S2534" s="34">
        <v>4.9000000000000002E-2</v>
      </c>
    </row>
    <row r="2535" spans="16:19" x14ac:dyDescent="0.25">
      <c r="P2535" s="27">
        <v>3.2548184716220556E-2</v>
      </c>
      <c r="Q2535" s="28">
        <f t="shared" si="43"/>
        <v>3.5548184716220559E-2</v>
      </c>
      <c r="R2535" s="33">
        <v>0.16282860775771735</v>
      </c>
      <c r="S2535" s="34">
        <v>4.4080000000000001E-2</v>
      </c>
    </row>
    <row r="2536" spans="16:19" x14ac:dyDescent="0.25">
      <c r="P2536" s="27">
        <v>3.2548184716220556E-2</v>
      </c>
      <c r="Q2536" s="28">
        <f t="shared" si="43"/>
        <v>3.5548184716220559E-2</v>
      </c>
      <c r="R2536" s="33">
        <v>0.16282860775771735</v>
      </c>
      <c r="S2536" s="34">
        <v>4.0989999999999999E-2</v>
      </c>
    </row>
    <row r="2537" spans="16:19" x14ac:dyDescent="0.25">
      <c r="P2537" s="27">
        <v>3.2548184716220556E-2</v>
      </c>
      <c r="Q2537" s="28">
        <f t="shared" si="43"/>
        <v>3.5548184716220559E-2</v>
      </c>
      <c r="R2537" s="33">
        <v>0.16282860775771735</v>
      </c>
      <c r="S2537" s="34">
        <v>4.5030000000000001E-2</v>
      </c>
    </row>
    <row r="2538" spans="16:19" x14ac:dyDescent="0.25">
      <c r="P2538" s="27">
        <v>3.2548184716220556E-2</v>
      </c>
      <c r="Q2538" s="28">
        <f t="shared" si="43"/>
        <v>3.5548184716220559E-2</v>
      </c>
      <c r="R2538" s="33">
        <v>0.16282860775771735</v>
      </c>
      <c r="S2538" s="34">
        <v>5.1736927000000002E-2</v>
      </c>
    </row>
    <row r="2539" spans="16:19" x14ac:dyDescent="0.25">
      <c r="P2539" s="27">
        <v>3.2548184716220556E-2</v>
      </c>
      <c r="Q2539" s="28">
        <f t="shared" si="43"/>
        <v>3.5548184716220559E-2</v>
      </c>
      <c r="R2539" s="33">
        <v>0.16282860775771735</v>
      </c>
      <c r="S2539" s="34">
        <v>5.2990000000000002E-2</v>
      </c>
    </row>
    <row r="2540" spans="16:19" x14ac:dyDescent="0.25">
      <c r="P2540" s="27">
        <v>3.2548184716220556E-2</v>
      </c>
      <c r="Q2540" s="28">
        <f t="shared" si="43"/>
        <v>3.5548184716220559E-2</v>
      </c>
      <c r="R2540" s="33">
        <v>0.16282860775771735</v>
      </c>
      <c r="S2540" s="34">
        <v>5.1929999999999997E-2</v>
      </c>
    </row>
    <row r="2541" spans="16:19" x14ac:dyDescent="0.25">
      <c r="P2541" s="27">
        <v>3.2548184716220556E-2</v>
      </c>
      <c r="Q2541" s="28">
        <f t="shared" si="43"/>
        <v>3.5548184716220559E-2</v>
      </c>
      <c r="R2541" s="33">
        <v>0.16282860775771735</v>
      </c>
      <c r="S2541" s="34">
        <v>4.999E-2</v>
      </c>
    </row>
    <row r="2542" spans="16:19" x14ac:dyDescent="0.25">
      <c r="P2542" s="27">
        <v>3.2548184716220556E-2</v>
      </c>
      <c r="Q2542" s="28">
        <f t="shared" si="43"/>
        <v>3.5548184716220559E-2</v>
      </c>
      <c r="R2542" s="33">
        <v>0.16282860775771735</v>
      </c>
      <c r="S2542" s="34">
        <v>5.5E-2</v>
      </c>
    </row>
    <row r="2543" spans="16:19" x14ac:dyDescent="0.25">
      <c r="P2543" s="27">
        <v>3.2548184716220556E-2</v>
      </c>
      <c r="Q2543" s="28">
        <f t="shared" si="43"/>
        <v>3.5548184716220559E-2</v>
      </c>
      <c r="R2543" s="31">
        <v>0.15939660775771733</v>
      </c>
      <c r="S2543" s="32">
        <v>0.08</v>
      </c>
    </row>
    <row r="2544" spans="16:19" x14ac:dyDescent="0.25">
      <c r="P2544" s="27">
        <v>3.2548184716220556E-2</v>
      </c>
      <c r="Q2544" s="28">
        <f t="shared" si="43"/>
        <v>3.5548184716220559E-2</v>
      </c>
      <c r="R2544" s="31">
        <v>0.15939660775771733</v>
      </c>
      <c r="S2544" s="32">
        <v>5.5829999999999998E-2</v>
      </c>
    </row>
    <row r="2545" spans="16:19" x14ac:dyDescent="0.25">
      <c r="P2545" s="27">
        <v>3.2548184716220556E-2</v>
      </c>
      <c r="Q2545" s="28">
        <f t="shared" si="43"/>
        <v>3.5548184716220559E-2</v>
      </c>
      <c r="R2545" s="31">
        <v>0.15939660775771733</v>
      </c>
      <c r="S2545" s="32">
        <v>4.999E-2</v>
      </c>
    </row>
    <row r="2546" spans="16:19" x14ac:dyDescent="0.25">
      <c r="P2546" s="27">
        <v>3.2548184716220556E-2</v>
      </c>
      <c r="Q2546" s="28">
        <f t="shared" si="43"/>
        <v>3.5548184716220559E-2</v>
      </c>
      <c r="R2546" s="31">
        <v>0.15939660775771733</v>
      </c>
      <c r="S2546" s="32">
        <v>4.3439999999999999E-2</v>
      </c>
    </row>
    <row r="2547" spans="16:19" x14ac:dyDescent="0.25">
      <c r="P2547" s="27">
        <v>3.2548184716220556E-2</v>
      </c>
      <c r="Q2547" s="28">
        <f t="shared" si="43"/>
        <v>3.5548184716220559E-2</v>
      </c>
      <c r="R2547" s="29">
        <v>0.15003660775771735</v>
      </c>
      <c r="S2547" s="30">
        <v>3.7909999999999999E-2</v>
      </c>
    </row>
    <row r="2548" spans="16:19" x14ac:dyDescent="0.25">
      <c r="P2548" s="27">
        <v>3.2548184716220556E-2</v>
      </c>
      <c r="Q2548" s="28">
        <f t="shared" si="43"/>
        <v>3.5548184716220559E-2</v>
      </c>
      <c r="R2548" s="29">
        <v>0.15003660775771735</v>
      </c>
      <c r="S2548" s="30">
        <v>3.2670000000000005E-2</v>
      </c>
    </row>
    <row r="2549" spans="16:19" x14ac:dyDescent="0.25">
      <c r="P2549" s="27">
        <v>3.2548184716220556E-2</v>
      </c>
      <c r="Q2549" s="28">
        <f t="shared" si="43"/>
        <v>3.5548184716220559E-2</v>
      </c>
      <c r="R2549" s="29">
        <v>0.15003660775771735</v>
      </c>
      <c r="S2549" s="30">
        <v>2.9010000000000001E-2</v>
      </c>
    </row>
    <row r="2550" spans="16:19" x14ac:dyDescent="0.25">
      <c r="P2550" s="27">
        <v>3.2548184716220556E-2</v>
      </c>
      <c r="Q2550" s="28">
        <f t="shared" si="43"/>
        <v>3.5548184716220559E-2</v>
      </c>
      <c r="R2550" s="29">
        <v>0.15003660775771735</v>
      </c>
      <c r="S2550" s="30">
        <v>2.7570000000000001E-2</v>
      </c>
    </row>
    <row r="2551" spans="16:19" x14ac:dyDescent="0.25">
      <c r="P2551" s="27">
        <v>3.2548184716220556E-2</v>
      </c>
      <c r="Q2551" s="28">
        <f t="shared" si="43"/>
        <v>3.5548184716220559E-2</v>
      </c>
      <c r="R2551" s="29">
        <v>0.15003660775771735</v>
      </c>
      <c r="S2551" s="30">
        <v>2.7879999999999999E-2</v>
      </c>
    </row>
    <row r="2552" spans="16:19" x14ac:dyDescent="0.25">
      <c r="P2552" s="27">
        <v>3.2548184716220556E-2</v>
      </c>
      <c r="Q2552" s="28">
        <f t="shared" si="43"/>
        <v>3.5548184716220559E-2</v>
      </c>
      <c r="R2552" s="29">
        <v>0.15003660775771735</v>
      </c>
      <c r="S2552" s="30">
        <v>3.3119999999999997E-2</v>
      </c>
    </row>
    <row r="2553" spans="16:19" x14ac:dyDescent="0.25">
      <c r="P2553" s="27">
        <v>3.2548184716220556E-2</v>
      </c>
      <c r="Q2553" s="28">
        <f t="shared" si="43"/>
        <v>3.5548184716220559E-2</v>
      </c>
      <c r="R2553" s="29">
        <v>0.15003660775771735</v>
      </c>
      <c r="S2553" s="30">
        <v>4.4999999999999998E-2</v>
      </c>
    </row>
    <row r="2554" spans="16:19" x14ac:dyDescent="0.25">
      <c r="P2554" s="27">
        <v>3.2548184716220556E-2</v>
      </c>
      <c r="Q2554" s="28">
        <f t="shared" si="43"/>
        <v>3.5548184716220559E-2</v>
      </c>
      <c r="R2554" s="29">
        <v>0.15003660775771735</v>
      </c>
      <c r="S2554" s="30">
        <v>5.2499999999999998E-2</v>
      </c>
    </row>
    <row r="2555" spans="16:19" x14ac:dyDescent="0.25">
      <c r="P2555" s="27">
        <v>3.2548184716220556E-2</v>
      </c>
      <c r="Q2555" s="28">
        <f t="shared" si="43"/>
        <v>3.5548184716220559E-2</v>
      </c>
      <c r="R2555" s="31">
        <v>0.15939660775771733</v>
      </c>
      <c r="S2555" s="32">
        <v>6.3916989999999993E-2</v>
      </c>
    </row>
    <row r="2556" spans="16:19" x14ac:dyDescent="0.25">
      <c r="P2556" s="27">
        <v>3.2548184716220556E-2</v>
      </c>
      <c r="Q2556" s="28">
        <f t="shared" si="43"/>
        <v>3.5548184716220559E-2</v>
      </c>
      <c r="R2556" s="33">
        <v>0.16282860775771735</v>
      </c>
      <c r="S2556" s="34">
        <v>5.9310000000000002E-2</v>
      </c>
    </row>
    <row r="2557" spans="16:19" x14ac:dyDescent="0.25">
      <c r="P2557" s="27">
        <v>3.2548184716220556E-2</v>
      </c>
      <c r="Q2557" s="28">
        <f t="shared" si="43"/>
        <v>3.5548184716220559E-2</v>
      </c>
      <c r="R2557" s="33">
        <v>0.16282860775771735</v>
      </c>
      <c r="S2557" s="34">
        <v>4.8719999999999999E-2</v>
      </c>
    </row>
    <row r="2558" spans="16:19" x14ac:dyDescent="0.25">
      <c r="P2558" s="27">
        <v>3.2548184716220556E-2</v>
      </c>
      <c r="Q2558" s="28">
        <f t="shared" si="43"/>
        <v>3.5548184716220559E-2</v>
      </c>
      <c r="R2558" s="33">
        <v>0.16282860775771735</v>
      </c>
      <c r="S2558" s="34">
        <v>4.4999999999999998E-2</v>
      </c>
    </row>
    <row r="2559" spans="16:19" x14ac:dyDescent="0.25">
      <c r="P2559" s="27">
        <v>3.2548184716220556E-2</v>
      </c>
      <c r="Q2559" s="28">
        <f t="shared" si="43"/>
        <v>3.5548184716220559E-2</v>
      </c>
      <c r="R2559" s="33">
        <v>0.16282860775771735</v>
      </c>
      <c r="S2559" s="34">
        <v>3.9420000000000004E-2</v>
      </c>
    </row>
    <row r="2560" spans="16:19" x14ac:dyDescent="0.25">
      <c r="P2560" s="27">
        <v>3.2548184716220556E-2</v>
      </c>
      <c r="Q2560" s="28">
        <f t="shared" si="43"/>
        <v>3.5548184716220559E-2</v>
      </c>
      <c r="R2560" s="33">
        <v>0.16282860775771735</v>
      </c>
      <c r="S2560" s="34">
        <v>3.7850000000000002E-2</v>
      </c>
    </row>
    <row r="2561" spans="16:19" x14ac:dyDescent="0.25">
      <c r="P2561" s="27">
        <v>3.2548184716220556E-2</v>
      </c>
      <c r="Q2561" s="28">
        <f t="shared" si="43"/>
        <v>3.5548184716220559E-2</v>
      </c>
      <c r="R2561" s="33">
        <v>0.16282860775771735</v>
      </c>
      <c r="S2561" s="34">
        <v>3.9719999999999998E-2</v>
      </c>
    </row>
    <row r="2562" spans="16:19" x14ac:dyDescent="0.25">
      <c r="P2562" s="27">
        <v>3.2548184716220556E-2</v>
      </c>
      <c r="Q2562" s="28">
        <f t="shared" si="43"/>
        <v>3.5548184716220559E-2</v>
      </c>
      <c r="R2562" s="33">
        <v>0.16282860775771735</v>
      </c>
      <c r="S2562" s="34">
        <v>4.4999999999999998E-2</v>
      </c>
    </row>
    <row r="2563" spans="16:19" x14ac:dyDescent="0.25">
      <c r="P2563" s="27">
        <v>3.2548184716220556E-2</v>
      </c>
      <c r="Q2563" s="28">
        <f t="shared" si="43"/>
        <v>3.5548184716220559E-2</v>
      </c>
      <c r="R2563" s="33">
        <v>0.16282860775771735</v>
      </c>
      <c r="S2563" s="34">
        <v>4.7149999999999997E-2</v>
      </c>
    </row>
    <row r="2564" spans="16:19" x14ac:dyDescent="0.25">
      <c r="P2564" s="27">
        <v>3.2548184716220556E-2</v>
      </c>
      <c r="Q2564" s="28">
        <f t="shared" si="43"/>
        <v>3.5548184716220559E-2</v>
      </c>
      <c r="R2564" s="33">
        <v>0.16282860775771735</v>
      </c>
      <c r="S2564" s="34">
        <v>4.5960000000000001E-2</v>
      </c>
    </row>
    <row r="2565" spans="16:19" x14ac:dyDescent="0.25">
      <c r="P2565" s="27">
        <v>3.2548184716220556E-2</v>
      </c>
      <c r="Q2565" s="28">
        <f t="shared" ref="Q2565:Q2628" si="44">P2565+0.003</f>
        <v>3.5548184716220559E-2</v>
      </c>
      <c r="R2565" s="33">
        <v>0.16282860775771735</v>
      </c>
      <c r="S2565" s="34">
        <v>4.5219999999999996E-2</v>
      </c>
    </row>
    <row r="2566" spans="16:19" x14ac:dyDescent="0.25">
      <c r="P2566" s="27">
        <v>3.2548184716220556E-2</v>
      </c>
      <c r="Q2566" s="28">
        <f t="shared" si="44"/>
        <v>3.5548184716220559E-2</v>
      </c>
      <c r="R2566" s="33">
        <v>0.16282860775771735</v>
      </c>
      <c r="S2566" s="34">
        <v>5.2990000000000002E-2</v>
      </c>
    </row>
    <row r="2567" spans="16:19" x14ac:dyDescent="0.25">
      <c r="P2567" s="27">
        <v>3.2548184716220556E-2</v>
      </c>
      <c r="Q2567" s="28">
        <f t="shared" si="44"/>
        <v>3.5548184716220559E-2</v>
      </c>
      <c r="R2567" s="31">
        <v>0.15939660775771733</v>
      </c>
      <c r="S2567" s="32">
        <v>7.4990000000000001E-2</v>
      </c>
    </row>
    <row r="2568" spans="16:19" x14ac:dyDescent="0.25">
      <c r="P2568" s="27">
        <v>3.2548184716220556E-2</v>
      </c>
      <c r="Q2568" s="28">
        <f t="shared" si="44"/>
        <v>3.5548184716220559E-2</v>
      </c>
      <c r="R2568" s="31">
        <v>0.15939660775771733</v>
      </c>
      <c r="S2568" s="32">
        <v>5.357E-2</v>
      </c>
    </row>
    <row r="2569" spans="16:19" x14ac:dyDescent="0.25">
      <c r="P2569" s="27">
        <v>3.2548184716220556E-2</v>
      </c>
      <c r="Q2569" s="28">
        <f t="shared" si="44"/>
        <v>3.5548184716220559E-2</v>
      </c>
      <c r="R2569" s="31">
        <v>0.15939660775771733</v>
      </c>
      <c r="S2569" s="32">
        <v>0.05</v>
      </c>
    </row>
    <row r="2570" spans="16:19" x14ac:dyDescent="0.25">
      <c r="P2570" s="27">
        <v>3.2548184716220556E-2</v>
      </c>
      <c r="Q2570" s="28">
        <f t="shared" si="44"/>
        <v>3.5548184716220559E-2</v>
      </c>
      <c r="R2570" s="31">
        <v>0.15939660775771733</v>
      </c>
      <c r="S2570" s="32">
        <v>4.2000000000000003E-2</v>
      </c>
    </row>
    <row r="2571" spans="16:19" x14ac:dyDescent="0.25">
      <c r="P2571" s="27">
        <v>3.2548184716220556E-2</v>
      </c>
      <c r="Q2571" s="28">
        <f t="shared" si="44"/>
        <v>3.5548184716220559E-2</v>
      </c>
      <c r="R2571" s="29">
        <v>0.15003660775771735</v>
      </c>
      <c r="S2571" s="30">
        <v>3.8179999999999999E-2</v>
      </c>
    </row>
    <row r="2572" spans="16:19" x14ac:dyDescent="0.25">
      <c r="P2572" s="27">
        <v>3.2548184716220556E-2</v>
      </c>
      <c r="Q2572" s="28">
        <f t="shared" si="44"/>
        <v>3.5548184716220559E-2</v>
      </c>
      <c r="R2572" s="29">
        <v>0.15003660775771735</v>
      </c>
      <c r="S2572" s="30">
        <v>3.5360000000000003E-2</v>
      </c>
    </row>
    <row r="2573" spans="16:19" x14ac:dyDescent="0.25">
      <c r="P2573" s="27">
        <v>3.2548184716220556E-2</v>
      </c>
      <c r="Q2573" s="28">
        <f t="shared" si="44"/>
        <v>3.5548184716220559E-2</v>
      </c>
      <c r="R2573" s="29">
        <v>0.15003660775771735</v>
      </c>
      <c r="S2573" s="30">
        <v>3.2649999999999998E-2</v>
      </c>
    </row>
    <row r="2574" spans="16:19" x14ac:dyDescent="0.25">
      <c r="P2574" s="27">
        <v>3.2548184716220556E-2</v>
      </c>
      <c r="Q2574" s="28">
        <f t="shared" si="44"/>
        <v>3.5548184716220559E-2</v>
      </c>
      <c r="R2574" s="29">
        <v>0.15003660775771735</v>
      </c>
      <c r="S2574" s="30">
        <v>2.647E-2</v>
      </c>
    </row>
    <row r="2575" spans="16:19" x14ac:dyDescent="0.25">
      <c r="P2575" s="27">
        <v>3.2548184716220556E-2</v>
      </c>
      <c r="Q2575" s="28">
        <f t="shared" si="44"/>
        <v>3.5548184716220559E-2</v>
      </c>
      <c r="R2575" s="29">
        <v>0.15003660775771735</v>
      </c>
      <c r="S2575" s="30">
        <v>2.579E-2</v>
      </c>
    </row>
    <row r="2576" spans="16:19" x14ac:dyDescent="0.25">
      <c r="P2576" s="27">
        <v>3.2548184716220556E-2</v>
      </c>
      <c r="Q2576" s="28">
        <f t="shared" si="44"/>
        <v>3.5548184716220559E-2</v>
      </c>
      <c r="R2576" s="29">
        <v>0.15003660775771735</v>
      </c>
      <c r="S2576" s="30">
        <v>3.4159999999999996E-2</v>
      </c>
    </row>
    <row r="2577" spans="16:19" x14ac:dyDescent="0.25">
      <c r="P2577" s="27">
        <v>3.2548184716220556E-2</v>
      </c>
      <c r="Q2577" s="28">
        <f t="shared" si="44"/>
        <v>3.5548184716220559E-2</v>
      </c>
      <c r="R2577" s="29">
        <v>0.15003660775771735</v>
      </c>
      <c r="S2577" s="30">
        <v>4.5520000000000005E-2</v>
      </c>
    </row>
    <row r="2578" spans="16:19" x14ac:dyDescent="0.25">
      <c r="P2578" s="27">
        <v>3.2548184716220556E-2</v>
      </c>
      <c r="Q2578" s="28">
        <f t="shared" si="44"/>
        <v>3.5548184716220559E-2</v>
      </c>
      <c r="R2578" s="29">
        <v>0.15003660775771735</v>
      </c>
      <c r="S2578" s="30">
        <v>5.0368690000000001E-2</v>
      </c>
    </row>
    <row r="2579" spans="16:19" x14ac:dyDescent="0.25">
      <c r="P2579" s="27">
        <v>3.2548184716220556E-2</v>
      </c>
      <c r="Q2579" s="28">
        <f t="shared" si="44"/>
        <v>3.5548184716220559E-2</v>
      </c>
      <c r="R2579" s="31">
        <v>0.15939660775771733</v>
      </c>
      <c r="S2579" s="32">
        <v>5.6840000000000002E-2</v>
      </c>
    </row>
    <row r="2580" spans="16:19" x14ac:dyDescent="0.25">
      <c r="P2580" s="27">
        <v>3.2548184716220556E-2</v>
      </c>
      <c r="Q2580" s="28">
        <f t="shared" si="44"/>
        <v>3.5548184716220559E-2</v>
      </c>
      <c r="R2580" s="33">
        <v>0.16282860775771735</v>
      </c>
      <c r="S2580" s="34">
        <v>5.2409999999999998E-2</v>
      </c>
    </row>
    <row r="2581" spans="16:19" x14ac:dyDescent="0.25">
      <c r="P2581" s="27">
        <v>3.2548184716220556E-2</v>
      </c>
      <c r="Q2581" s="28">
        <f t="shared" si="44"/>
        <v>3.5548184716220559E-2</v>
      </c>
      <c r="R2581" s="33">
        <v>0.16282860775771735</v>
      </c>
      <c r="S2581" s="34">
        <v>4.517359E-2</v>
      </c>
    </row>
    <row r="2582" spans="16:19" x14ac:dyDescent="0.25">
      <c r="P2582" s="27">
        <v>3.2548184716220556E-2</v>
      </c>
      <c r="Q2582" s="28">
        <f t="shared" si="44"/>
        <v>3.5548184716220559E-2</v>
      </c>
      <c r="R2582" s="33">
        <v>0.16282860775771735</v>
      </c>
      <c r="S2582" s="34">
        <v>3.9477246000000001E-2</v>
      </c>
    </row>
    <row r="2583" spans="16:19" x14ac:dyDescent="0.25">
      <c r="P2583" s="27">
        <v>3.2548184716220556E-2</v>
      </c>
      <c r="Q2583" s="28">
        <f t="shared" si="44"/>
        <v>3.5548184716220559E-2</v>
      </c>
      <c r="R2583" s="33">
        <v>0.16282860775771735</v>
      </c>
      <c r="S2583" s="34">
        <v>3.7100000000000001E-2</v>
      </c>
    </row>
    <row r="2584" spans="16:19" x14ac:dyDescent="0.25">
      <c r="P2584" s="27">
        <v>3.2548184716220556E-2</v>
      </c>
      <c r="Q2584" s="28">
        <f t="shared" si="44"/>
        <v>3.5548184716220559E-2</v>
      </c>
      <c r="R2584" s="33">
        <v>0.16282860775771735</v>
      </c>
      <c r="S2584" s="34">
        <v>3.5000000000000003E-2</v>
      </c>
    </row>
    <row r="2585" spans="16:19" x14ac:dyDescent="0.25">
      <c r="P2585" s="27">
        <v>3.2548184716220556E-2</v>
      </c>
      <c r="Q2585" s="28">
        <f t="shared" si="44"/>
        <v>3.5548184716220559E-2</v>
      </c>
      <c r="R2585" s="33">
        <v>0.16282860775771735</v>
      </c>
      <c r="S2585" s="34">
        <v>3.5000000000000003E-2</v>
      </c>
    </row>
    <row r="2586" spans="16:19" x14ac:dyDescent="0.25">
      <c r="P2586" s="27">
        <v>3.2548184716220556E-2</v>
      </c>
      <c r="Q2586" s="28">
        <f t="shared" si="44"/>
        <v>3.5548184716220559E-2</v>
      </c>
      <c r="R2586" s="33">
        <v>0.16282860775771735</v>
      </c>
      <c r="S2586" s="34">
        <v>4.0600000000000004E-2</v>
      </c>
    </row>
    <row r="2587" spans="16:19" x14ac:dyDescent="0.25">
      <c r="P2587" s="27">
        <v>3.2548184716220556E-2</v>
      </c>
      <c r="Q2587" s="28">
        <f t="shared" si="44"/>
        <v>3.5548184716220559E-2</v>
      </c>
      <c r="R2587" s="33">
        <v>0.16282860775771735</v>
      </c>
      <c r="S2587" s="34">
        <v>4.3340000000000004E-2</v>
      </c>
    </row>
    <row r="2588" spans="16:19" x14ac:dyDescent="0.25">
      <c r="P2588" s="27">
        <v>3.2548184716220556E-2</v>
      </c>
      <c r="Q2588" s="28">
        <f t="shared" si="44"/>
        <v>3.5548184716220559E-2</v>
      </c>
      <c r="R2588" s="33">
        <v>0.16282860775771735</v>
      </c>
      <c r="S2588" s="34">
        <v>4.6047538000000006E-2</v>
      </c>
    </row>
    <row r="2589" spans="16:19" x14ac:dyDescent="0.25">
      <c r="P2589" s="27">
        <v>3.2548184716220556E-2</v>
      </c>
      <c r="Q2589" s="28">
        <f t="shared" si="44"/>
        <v>3.5548184716220559E-2</v>
      </c>
      <c r="R2589" s="33">
        <v>0.16282860775771735</v>
      </c>
      <c r="S2589" s="34">
        <v>4.8500000000000001E-2</v>
      </c>
    </row>
    <row r="2590" spans="16:19" x14ac:dyDescent="0.25">
      <c r="P2590" s="27">
        <v>3.2548184716220556E-2</v>
      </c>
      <c r="Q2590" s="28">
        <f t="shared" si="44"/>
        <v>3.5548184716220559E-2</v>
      </c>
      <c r="R2590" s="33">
        <v>0.16282860775771735</v>
      </c>
      <c r="S2590" s="34">
        <v>5.2979999999999999E-2</v>
      </c>
    </row>
    <row r="2591" spans="16:19" x14ac:dyDescent="0.25">
      <c r="P2591" s="27">
        <v>3.2548184716220556E-2</v>
      </c>
      <c r="Q2591" s="28">
        <f t="shared" si="44"/>
        <v>3.5548184716220559E-2</v>
      </c>
      <c r="R2591" s="31">
        <v>0.15939660775771733</v>
      </c>
      <c r="S2591" s="32">
        <v>7.2999999999999995E-2</v>
      </c>
    </row>
    <row r="2592" spans="16:19" x14ac:dyDescent="0.25">
      <c r="P2592" s="27">
        <v>3.2548184716220556E-2</v>
      </c>
      <c r="Q2592" s="28">
        <f t="shared" si="44"/>
        <v>3.5548184716220559E-2</v>
      </c>
      <c r="R2592" s="31">
        <v>0.15939660775771733</v>
      </c>
      <c r="S2592" s="32">
        <v>5.2990000000000002E-2</v>
      </c>
    </row>
    <row r="2593" spans="16:19" x14ac:dyDescent="0.25">
      <c r="P2593" s="27">
        <v>3.2548184716220556E-2</v>
      </c>
      <c r="Q2593" s="28">
        <f t="shared" si="44"/>
        <v>3.5548184716220559E-2</v>
      </c>
      <c r="R2593" s="31">
        <v>0.15939660775771733</v>
      </c>
      <c r="S2593" s="32">
        <v>4.9448061000000001E-2</v>
      </c>
    </row>
    <row r="2594" spans="16:19" x14ac:dyDescent="0.25">
      <c r="P2594" s="27">
        <v>3.2548184716220556E-2</v>
      </c>
      <c r="Q2594" s="28">
        <f t="shared" si="44"/>
        <v>3.5548184716220559E-2</v>
      </c>
      <c r="R2594" s="31">
        <v>0.15939660775771733</v>
      </c>
      <c r="S2594" s="32">
        <v>4.1960000000000004E-2</v>
      </c>
    </row>
    <row r="2595" spans="16:19" x14ac:dyDescent="0.25">
      <c r="P2595" s="27">
        <v>3.2548184716220556E-2</v>
      </c>
      <c r="Q2595" s="28">
        <f t="shared" si="44"/>
        <v>3.5548184716220559E-2</v>
      </c>
      <c r="R2595" s="29">
        <v>0.15003660775771735</v>
      </c>
      <c r="S2595" s="30">
        <v>5.3914873000000002E-2</v>
      </c>
    </row>
    <row r="2596" spans="16:19" x14ac:dyDescent="0.25">
      <c r="P2596" s="27">
        <v>3.2548184716220556E-2</v>
      </c>
      <c r="Q2596" s="28">
        <f t="shared" si="44"/>
        <v>3.5548184716220559E-2</v>
      </c>
      <c r="R2596" s="29">
        <v>0.15003660775771735</v>
      </c>
      <c r="S2596" s="30">
        <v>4.7820000000000001E-2</v>
      </c>
    </row>
    <row r="2597" spans="16:19" x14ac:dyDescent="0.25">
      <c r="P2597" s="27">
        <v>3.2548184716220556E-2</v>
      </c>
      <c r="Q2597" s="28">
        <f t="shared" si="44"/>
        <v>3.5548184716220559E-2</v>
      </c>
      <c r="R2597" s="29">
        <v>0.15003660775771735</v>
      </c>
      <c r="S2597" s="30">
        <v>3.9525154999999999E-2</v>
      </c>
    </row>
    <row r="2598" spans="16:19" x14ac:dyDescent="0.25">
      <c r="P2598" s="27">
        <v>3.2548184716220556E-2</v>
      </c>
      <c r="Q2598" s="28">
        <f t="shared" si="44"/>
        <v>3.5548184716220559E-2</v>
      </c>
      <c r="R2598" s="29">
        <v>0.15003660775771735</v>
      </c>
      <c r="S2598" s="30">
        <v>3.8850000000000003E-2</v>
      </c>
    </row>
    <row r="2599" spans="16:19" x14ac:dyDescent="0.25">
      <c r="P2599" s="27">
        <v>3.2548184716220556E-2</v>
      </c>
      <c r="Q2599" s="28">
        <f t="shared" si="44"/>
        <v>3.5548184716220559E-2</v>
      </c>
      <c r="R2599" s="29">
        <v>0.15003660775771735</v>
      </c>
      <c r="S2599" s="30">
        <v>3.8850000000000003E-2</v>
      </c>
    </row>
    <row r="2600" spans="16:19" x14ac:dyDescent="0.25">
      <c r="P2600" s="27">
        <v>3.2548184716220556E-2</v>
      </c>
      <c r="Q2600" s="28">
        <f t="shared" si="44"/>
        <v>3.5548184716220559E-2</v>
      </c>
      <c r="R2600" s="29">
        <v>0.15003660775771735</v>
      </c>
      <c r="S2600" s="30">
        <v>3.8850000000000003E-2</v>
      </c>
    </row>
    <row r="2601" spans="16:19" x14ac:dyDescent="0.25">
      <c r="P2601" s="27">
        <v>3.2548184716220556E-2</v>
      </c>
      <c r="Q2601" s="28">
        <f t="shared" si="44"/>
        <v>3.5548184716220559E-2</v>
      </c>
      <c r="R2601" s="29">
        <v>0.15003660775771735</v>
      </c>
      <c r="S2601" s="30">
        <v>3.9329999999999997E-2</v>
      </c>
    </row>
    <row r="2602" spans="16:19" x14ac:dyDescent="0.25">
      <c r="P2602" s="27">
        <v>3.2548184716220556E-2</v>
      </c>
      <c r="Q2602" s="28">
        <f t="shared" si="44"/>
        <v>3.5548184716220559E-2</v>
      </c>
      <c r="R2602" s="29">
        <v>0.15003660775771735</v>
      </c>
      <c r="S2602" s="30">
        <v>0.04</v>
      </c>
    </row>
    <row r="2603" spans="16:19" x14ac:dyDescent="0.25">
      <c r="P2603" s="27">
        <v>3.2548184716220556E-2</v>
      </c>
      <c r="Q2603" s="28">
        <f t="shared" si="44"/>
        <v>3.5548184716220559E-2</v>
      </c>
      <c r="R2603" s="31">
        <v>0.15939660775771733</v>
      </c>
      <c r="S2603" s="32">
        <v>5.3200000000000004E-2</v>
      </c>
    </row>
    <row r="2604" spans="16:19" x14ac:dyDescent="0.25">
      <c r="P2604" s="27">
        <v>3.2548184716220556E-2</v>
      </c>
      <c r="Q2604" s="28">
        <f t="shared" si="44"/>
        <v>3.5548184716220559E-2</v>
      </c>
      <c r="R2604" s="33">
        <v>0.16282860775771735</v>
      </c>
      <c r="S2604" s="34">
        <v>5.8136604000000001E-2</v>
      </c>
    </row>
    <row r="2605" spans="16:19" x14ac:dyDescent="0.25">
      <c r="P2605" s="27">
        <v>3.2548184716220556E-2</v>
      </c>
      <c r="Q2605" s="28">
        <f t="shared" si="44"/>
        <v>3.5548184716220559E-2</v>
      </c>
      <c r="R2605" s="33">
        <v>0.16282860775771735</v>
      </c>
      <c r="S2605" s="34">
        <v>0.06</v>
      </c>
    </row>
    <row r="2606" spans="16:19" x14ac:dyDescent="0.25">
      <c r="P2606" s="27">
        <v>3.2548184716220556E-2</v>
      </c>
      <c r="Q2606" s="28">
        <f t="shared" si="44"/>
        <v>3.5548184716220559E-2</v>
      </c>
      <c r="R2606" s="33">
        <v>0.16282860775771735</v>
      </c>
      <c r="S2606" s="34">
        <v>6.055E-2</v>
      </c>
    </row>
    <row r="2607" spans="16:19" x14ac:dyDescent="0.25">
      <c r="P2607" s="27">
        <v>3.2548184716220556E-2</v>
      </c>
      <c r="Q2607" s="28">
        <f t="shared" si="44"/>
        <v>3.5548184716220559E-2</v>
      </c>
      <c r="R2607" s="33">
        <v>0.16282860775771735</v>
      </c>
      <c r="S2607" s="34">
        <v>5.5149999999999998E-2</v>
      </c>
    </row>
    <row r="2608" spans="16:19" x14ac:dyDescent="0.25">
      <c r="P2608" s="27">
        <v>3.2548184716220556E-2</v>
      </c>
      <c r="Q2608" s="28">
        <f t="shared" si="44"/>
        <v>3.5548184716220559E-2</v>
      </c>
      <c r="R2608" s="33">
        <v>0.16282860775771735</v>
      </c>
      <c r="S2608" s="34">
        <v>4.1000000000000002E-2</v>
      </c>
    </row>
    <row r="2609" spans="16:19" x14ac:dyDescent="0.25">
      <c r="P2609" s="27">
        <v>3.2548184716220556E-2</v>
      </c>
      <c r="Q2609" s="28">
        <f t="shared" si="44"/>
        <v>3.5548184716220559E-2</v>
      </c>
      <c r="R2609" s="33">
        <v>0.16282860775771735</v>
      </c>
      <c r="S2609" s="34">
        <v>4.1000000000000002E-2</v>
      </c>
    </row>
    <row r="2610" spans="16:19" x14ac:dyDescent="0.25">
      <c r="P2610" s="27">
        <v>3.2548184716220556E-2</v>
      </c>
      <c r="Q2610" s="28">
        <f t="shared" si="44"/>
        <v>3.5548184716220559E-2</v>
      </c>
      <c r="R2610" s="33">
        <v>0.16282860775771735</v>
      </c>
      <c r="S2610" s="34">
        <v>4.1000000000000002E-2</v>
      </c>
    </row>
    <row r="2611" spans="16:19" x14ac:dyDescent="0.25">
      <c r="P2611" s="27">
        <v>3.2548184716220556E-2</v>
      </c>
      <c r="Q2611" s="28">
        <f t="shared" si="44"/>
        <v>3.5548184716220559E-2</v>
      </c>
      <c r="R2611" s="33">
        <v>0.16282860775771735</v>
      </c>
      <c r="S2611" s="34">
        <v>4.052E-2</v>
      </c>
    </row>
    <row r="2612" spans="16:19" x14ac:dyDescent="0.25">
      <c r="P2612" s="27">
        <v>3.2548184716220556E-2</v>
      </c>
      <c r="Q2612" s="28">
        <f t="shared" si="44"/>
        <v>3.5548184716220559E-2</v>
      </c>
      <c r="R2612" s="33">
        <v>0.16282860775771735</v>
      </c>
      <c r="S2612" s="34">
        <v>3.8009999999999995E-2</v>
      </c>
    </row>
    <row r="2613" spans="16:19" x14ac:dyDescent="0.25">
      <c r="P2613" s="27">
        <v>3.2548184716220556E-2</v>
      </c>
      <c r="Q2613" s="28">
        <f t="shared" si="44"/>
        <v>3.5548184716220559E-2</v>
      </c>
      <c r="R2613" s="33">
        <v>0.16282860775771735</v>
      </c>
      <c r="S2613" s="34">
        <v>4.2090000000000002E-2</v>
      </c>
    </row>
    <row r="2614" spans="16:19" x14ac:dyDescent="0.25">
      <c r="P2614" s="27">
        <v>3.2548184716220556E-2</v>
      </c>
      <c r="Q2614" s="28">
        <f t="shared" si="44"/>
        <v>3.5548184716220559E-2</v>
      </c>
      <c r="R2614" s="33">
        <v>0.16282860775771735</v>
      </c>
      <c r="S2614" s="34">
        <v>5.185E-2</v>
      </c>
    </row>
    <row r="2615" spans="16:19" x14ac:dyDescent="0.25">
      <c r="P2615" s="27">
        <v>3.2548184716220556E-2</v>
      </c>
      <c r="Q2615" s="28">
        <f t="shared" si="44"/>
        <v>3.5548184716220559E-2</v>
      </c>
      <c r="R2615" s="31">
        <v>0.15939660775771733</v>
      </c>
      <c r="S2615" s="32">
        <v>5.808E-2</v>
      </c>
    </row>
    <row r="2616" spans="16:19" x14ac:dyDescent="0.25">
      <c r="P2616" s="27">
        <v>3.2548184716220556E-2</v>
      </c>
      <c r="Q2616" s="28">
        <f t="shared" si="44"/>
        <v>3.5548184716220559E-2</v>
      </c>
      <c r="R2616" s="31">
        <v>0.15939660775771733</v>
      </c>
      <c r="S2616" s="32">
        <v>4.999E-2</v>
      </c>
    </row>
    <row r="2617" spans="16:19" x14ac:dyDescent="0.25">
      <c r="P2617" s="27">
        <v>3.2548184716220556E-2</v>
      </c>
      <c r="Q2617" s="28">
        <f t="shared" si="44"/>
        <v>3.5548184716220559E-2</v>
      </c>
      <c r="R2617" s="31">
        <v>0.15939660775771733</v>
      </c>
      <c r="S2617" s="32">
        <v>4.7200000000000006E-2</v>
      </c>
    </row>
    <row r="2618" spans="16:19" x14ac:dyDescent="0.25">
      <c r="P2618" s="27">
        <v>3.2548184716220556E-2</v>
      </c>
      <c r="Q2618" s="28">
        <f t="shared" si="44"/>
        <v>3.5548184716220559E-2</v>
      </c>
      <c r="R2618" s="31">
        <v>0.15939660775771733</v>
      </c>
      <c r="S2618" s="32">
        <v>3.9329999999999997E-2</v>
      </c>
    </row>
    <row r="2619" spans="16:19" x14ac:dyDescent="0.25">
      <c r="P2619" s="27">
        <v>3.2548184716220556E-2</v>
      </c>
      <c r="Q2619" s="28">
        <f t="shared" si="44"/>
        <v>3.5548184716220559E-2</v>
      </c>
      <c r="R2619" s="29">
        <v>0.15003660775771735</v>
      </c>
      <c r="S2619" s="30">
        <v>4.5499999999999999E-2</v>
      </c>
    </row>
    <row r="2620" spans="16:19" x14ac:dyDescent="0.25">
      <c r="P2620" s="27">
        <v>3.2548184716220556E-2</v>
      </c>
      <c r="Q2620" s="28">
        <f t="shared" si="44"/>
        <v>3.5548184716220559E-2</v>
      </c>
      <c r="R2620" s="29">
        <v>0.15003660775771735</v>
      </c>
      <c r="S2620" s="30">
        <v>0.04</v>
      </c>
    </row>
    <row r="2621" spans="16:19" x14ac:dyDescent="0.25">
      <c r="P2621" s="27">
        <v>3.2548184716220556E-2</v>
      </c>
      <c r="Q2621" s="28">
        <f t="shared" si="44"/>
        <v>3.5548184716220559E-2</v>
      </c>
      <c r="R2621" s="29">
        <v>0.15003660775771735</v>
      </c>
      <c r="S2621" s="30">
        <v>3.7280000000000001E-2</v>
      </c>
    </row>
    <row r="2622" spans="16:19" x14ac:dyDescent="0.25">
      <c r="P2622" s="27">
        <v>3.2548184716220556E-2</v>
      </c>
      <c r="Q2622" s="28">
        <f t="shared" si="44"/>
        <v>3.5548184716220559E-2</v>
      </c>
      <c r="R2622" s="29">
        <v>0.15003660775771735</v>
      </c>
      <c r="S2622" s="30">
        <v>3.7090000000000005E-2</v>
      </c>
    </row>
    <row r="2623" spans="16:19" x14ac:dyDescent="0.25">
      <c r="P2623" s="27">
        <v>3.2548184716220556E-2</v>
      </c>
      <c r="Q2623" s="28">
        <f t="shared" si="44"/>
        <v>3.5548184716220559E-2</v>
      </c>
      <c r="R2623" s="29">
        <v>0.15003660775771735</v>
      </c>
      <c r="S2623" s="30">
        <v>3.7090000000000005E-2</v>
      </c>
    </row>
    <row r="2624" spans="16:19" x14ac:dyDescent="0.25">
      <c r="P2624" s="27">
        <v>3.2548184716220556E-2</v>
      </c>
      <c r="Q2624" s="28">
        <f t="shared" si="44"/>
        <v>3.5548184716220559E-2</v>
      </c>
      <c r="R2624" s="29">
        <v>0.15003660775771735</v>
      </c>
      <c r="S2624" s="30">
        <v>3.7280000000000001E-2</v>
      </c>
    </row>
    <row r="2625" spans="16:19" x14ac:dyDescent="0.25">
      <c r="P2625" s="27">
        <v>3.2548184716220556E-2</v>
      </c>
      <c r="Q2625" s="28">
        <f t="shared" si="44"/>
        <v>3.5548184716220559E-2</v>
      </c>
      <c r="R2625" s="29">
        <v>0.15003660775771735</v>
      </c>
      <c r="S2625" s="30">
        <v>3.8789999999999998E-2</v>
      </c>
    </row>
    <row r="2626" spans="16:19" x14ac:dyDescent="0.25">
      <c r="P2626" s="27">
        <v>3.2548184716220556E-2</v>
      </c>
      <c r="Q2626" s="28">
        <f t="shared" si="44"/>
        <v>3.5548184716220559E-2</v>
      </c>
      <c r="R2626" s="29">
        <v>0.15003660775771735</v>
      </c>
      <c r="S2626" s="30">
        <v>3.7090000000000005E-2</v>
      </c>
    </row>
    <row r="2627" spans="16:19" x14ac:dyDescent="0.25">
      <c r="P2627" s="27">
        <v>3.2548184716220556E-2</v>
      </c>
      <c r="Q2627" s="28">
        <f t="shared" si="44"/>
        <v>3.5548184716220559E-2</v>
      </c>
      <c r="R2627" s="31">
        <v>0.15939660775771733</v>
      </c>
      <c r="S2627" s="32">
        <v>3.7090000000000005E-2</v>
      </c>
    </row>
    <row r="2628" spans="16:19" x14ac:dyDescent="0.25">
      <c r="P2628" s="27">
        <v>3.2548184716220556E-2</v>
      </c>
      <c r="Q2628" s="28">
        <f t="shared" si="44"/>
        <v>3.5548184716220559E-2</v>
      </c>
      <c r="R2628" s="33">
        <v>0.16282860775771735</v>
      </c>
      <c r="S2628" s="34">
        <v>3.7280000000000001E-2</v>
      </c>
    </row>
    <row r="2629" spans="16:19" x14ac:dyDescent="0.25">
      <c r="P2629" s="27">
        <v>3.2548184716220556E-2</v>
      </c>
      <c r="Q2629" s="28">
        <f t="shared" ref="Q2629:Q2692" si="45">P2629+0.003</f>
        <v>3.5548184716220559E-2</v>
      </c>
      <c r="R2629" s="33">
        <v>0.16282860775771735</v>
      </c>
      <c r="S2629" s="34">
        <v>3.3020000000000001E-2</v>
      </c>
    </row>
    <row r="2630" spans="16:19" x14ac:dyDescent="0.25">
      <c r="P2630" s="27">
        <v>3.2548184716220556E-2</v>
      </c>
      <c r="Q2630" s="28">
        <f t="shared" si="45"/>
        <v>3.5548184716220559E-2</v>
      </c>
      <c r="R2630" s="33">
        <v>0.16282860775771735</v>
      </c>
      <c r="S2630" s="34">
        <v>3.5654068999999997E-2</v>
      </c>
    </row>
    <row r="2631" spans="16:19" x14ac:dyDescent="0.25">
      <c r="P2631" s="27">
        <v>3.2548184716220556E-2</v>
      </c>
      <c r="Q2631" s="28">
        <f t="shared" si="45"/>
        <v>3.5548184716220559E-2</v>
      </c>
      <c r="R2631" s="33">
        <v>0.16282860775771735</v>
      </c>
      <c r="S2631" s="34">
        <v>2.2859999999999998E-2</v>
      </c>
    </row>
    <row r="2632" spans="16:19" x14ac:dyDescent="0.25">
      <c r="P2632" s="27">
        <v>3.2548184716220556E-2</v>
      </c>
      <c r="Q2632" s="28">
        <f t="shared" si="45"/>
        <v>3.5548184716220559E-2</v>
      </c>
      <c r="R2632" s="33">
        <v>0.16282860775771735</v>
      </c>
      <c r="S2632" s="34">
        <v>0.01</v>
      </c>
    </row>
    <row r="2633" spans="16:19" x14ac:dyDescent="0.25">
      <c r="P2633" s="27">
        <v>3.2548184716220556E-2</v>
      </c>
      <c r="Q2633" s="28">
        <f t="shared" si="45"/>
        <v>3.5548184716220559E-2</v>
      </c>
      <c r="R2633" s="33">
        <v>0.16282860775771735</v>
      </c>
      <c r="S2633" s="34">
        <v>1.242E-2</v>
      </c>
    </row>
    <row r="2634" spans="16:19" x14ac:dyDescent="0.25">
      <c r="P2634" s="27">
        <v>3.2548184716220556E-2</v>
      </c>
      <c r="Q2634" s="28">
        <f t="shared" si="45"/>
        <v>3.5548184716220559E-2</v>
      </c>
      <c r="R2634" s="33">
        <v>0.16282860775771735</v>
      </c>
      <c r="S2634" s="34">
        <v>1.4109999999999999E-2</v>
      </c>
    </row>
    <row r="2635" spans="16:19" x14ac:dyDescent="0.25">
      <c r="P2635" s="27">
        <v>3.2548184716220556E-2</v>
      </c>
      <c r="Q2635" s="28">
        <f t="shared" si="45"/>
        <v>3.5548184716220559E-2</v>
      </c>
      <c r="R2635" s="33">
        <v>0.16282860775771735</v>
      </c>
      <c r="S2635" s="34">
        <v>2.1228699E-2</v>
      </c>
    </row>
    <row r="2636" spans="16:19" x14ac:dyDescent="0.25">
      <c r="P2636" s="27">
        <v>3.2548184716220556E-2</v>
      </c>
      <c r="Q2636" s="28">
        <f t="shared" si="45"/>
        <v>3.5548184716220559E-2</v>
      </c>
      <c r="R2636" s="33">
        <v>0.16282860775771735</v>
      </c>
      <c r="S2636" s="34">
        <v>3.7090000000000005E-2</v>
      </c>
    </row>
    <row r="2637" spans="16:19" x14ac:dyDescent="0.25">
      <c r="P2637" s="27">
        <v>3.2548184716220556E-2</v>
      </c>
      <c r="Q2637" s="28">
        <f t="shared" si="45"/>
        <v>3.5548184716220559E-2</v>
      </c>
      <c r="R2637" s="33">
        <v>0.16282860775771735</v>
      </c>
      <c r="S2637" s="34">
        <v>4.0500000000000001E-2</v>
      </c>
    </row>
    <row r="2638" spans="16:19" x14ac:dyDescent="0.25">
      <c r="P2638" s="27">
        <v>3.2548184716220556E-2</v>
      </c>
      <c r="Q2638" s="28">
        <f t="shared" si="45"/>
        <v>3.5548184716220559E-2</v>
      </c>
      <c r="R2638" s="33">
        <v>0.16282860775771735</v>
      </c>
      <c r="S2638" s="34">
        <v>5.4109999999999998E-2</v>
      </c>
    </row>
    <row r="2639" spans="16:19" x14ac:dyDescent="0.25">
      <c r="P2639" s="27">
        <v>3.2548184716220556E-2</v>
      </c>
      <c r="Q2639" s="28">
        <f t="shared" si="45"/>
        <v>3.5548184716220559E-2</v>
      </c>
      <c r="R2639" s="31">
        <v>0.15939660775771733</v>
      </c>
      <c r="S2639" s="32">
        <v>0.08</v>
      </c>
    </row>
    <row r="2640" spans="16:19" x14ac:dyDescent="0.25">
      <c r="P2640" s="27">
        <v>3.2548184716220556E-2</v>
      </c>
      <c r="Q2640" s="28">
        <f t="shared" si="45"/>
        <v>3.5548184716220559E-2</v>
      </c>
      <c r="R2640" s="31">
        <v>0.15939660775771733</v>
      </c>
      <c r="S2640" s="32">
        <v>6.4569999999999989E-2</v>
      </c>
    </row>
    <row r="2641" spans="16:19" x14ac:dyDescent="0.25">
      <c r="P2641" s="27">
        <v>3.2548184716220556E-2</v>
      </c>
      <c r="Q2641" s="28">
        <f t="shared" si="45"/>
        <v>3.5548184716220559E-2</v>
      </c>
      <c r="R2641" s="31">
        <v>0.15939660775771733</v>
      </c>
      <c r="S2641" s="32">
        <v>5.3450000000000004E-2</v>
      </c>
    </row>
    <row r="2642" spans="16:19" x14ac:dyDescent="0.25">
      <c r="P2642" s="27">
        <v>3.2548184716220556E-2</v>
      </c>
      <c r="Q2642" s="28">
        <f t="shared" si="45"/>
        <v>3.5548184716220559E-2</v>
      </c>
      <c r="R2642" s="31">
        <v>0.15939660775771733</v>
      </c>
      <c r="S2642" s="32">
        <v>4.9630000000000001E-2</v>
      </c>
    </row>
    <row r="2643" spans="16:19" x14ac:dyDescent="0.25">
      <c r="P2643" s="27">
        <v>3.2548184716220556E-2</v>
      </c>
      <c r="Q2643" s="28">
        <f t="shared" si="45"/>
        <v>3.5548184716220559E-2</v>
      </c>
      <c r="R2643" s="29">
        <v>0.15003660775771735</v>
      </c>
      <c r="S2643" s="30">
        <v>7.9129999999999992E-2</v>
      </c>
    </row>
    <row r="2644" spans="16:19" x14ac:dyDescent="0.25">
      <c r="P2644" s="27">
        <v>3.2548184716220556E-2</v>
      </c>
      <c r="Q2644" s="28">
        <f t="shared" si="45"/>
        <v>3.5548184716220559E-2</v>
      </c>
      <c r="R2644" s="29">
        <v>0.15003660775771735</v>
      </c>
      <c r="S2644" s="30">
        <v>5.5149999999999998E-2</v>
      </c>
    </row>
    <row r="2645" spans="16:19" x14ac:dyDescent="0.25">
      <c r="P2645" s="27">
        <v>3.2548184716220556E-2</v>
      </c>
      <c r="Q2645" s="28">
        <f t="shared" si="45"/>
        <v>3.5548184716220559E-2</v>
      </c>
      <c r="R2645" s="29">
        <v>0.15003660775771735</v>
      </c>
      <c r="S2645" s="30">
        <v>5.262E-2</v>
      </c>
    </row>
    <row r="2646" spans="16:19" x14ac:dyDescent="0.25">
      <c r="P2646" s="27">
        <v>3.2548184716220556E-2</v>
      </c>
      <c r="Q2646" s="28">
        <f t="shared" si="45"/>
        <v>3.5548184716220559E-2</v>
      </c>
      <c r="R2646" s="29">
        <v>0.15003660775771735</v>
      </c>
      <c r="S2646" s="30">
        <v>4.7500000000000001E-2</v>
      </c>
    </row>
    <row r="2647" spans="16:19" x14ac:dyDescent="0.25">
      <c r="P2647" s="27">
        <v>3.2548184716220556E-2</v>
      </c>
      <c r="Q2647" s="28">
        <f t="shared" si="45"/>
        <v>3.5548184716220559E-2</v>
      </c>
      <c r="R2647" s="29">
        <v>0.15003660775771735</v>
      </c>
      <c r="S2647" s="30">
        <v>4.7299999999999995E-2</v>
      </c>
    </row>
    <row r="2648" spans="16:19" x14ac:dyDescent="0.25">
      <c r="P2648" s="27">
        <v>3.2548184716220556E-2</v>
      </c>
      <c r="Q2648" s="28">
        <f t="shared" si="45"/>
        <v>3.5548184716220559E-2</v>
      </c>
      <c r="R2648" s="29">
        <v>0.15003660775771735</v>
      </c>
      <c r="S2648" s="30">
        <v>4.7820000000000001E-2</v>
      </c>
    </row>
    <row r="2649" spans="16:19" x14ac:dyDescent="0.25">
      <c r="P2649" s="27">
        <v>3.2548184716220556E-2</v>
      </c>
      <c r="Q2649" s="28">
        <f t="shared" si="45"/>
        <v>3.5548184716220559E-2</v>
      </c>
      <c r="R2649" s="29">
        <v>0.15003660775771735</v>
      </c>
      <c r="S2649" s="30">
        <v>0.04</v>
      </c>
    </row>
    <row r="2650" spans="16:19" x14ac:dyDescent="0.25">
      <c r="P2650" s="27">
        <v>3.2548184716220556E-2</v>
      </c>
      <c r="Q2650" s="28">
        <f t="shared" si="45"/>
        <v>3.5548184716220559E-2</v>
      </c>
      <c r="R2650" s="29">
        <v>0.15003660775771735</v>
      </c>
      <c r="S2650" s="30">
        <v>3.7819999999999999E-2</v>
      </c>
    </row>
    <row r="2651" spans="16:19" x14ac:dyDescent="0.25">
      <c r="P2651" s="27">
        <v>3.2548184716220556E-2</v>
      </c>
      <c r="Q2651" s="28">
        <f t="shared" si="45"/>
        <v>3.5548184716220559E-2</v>
      </c>
      <c r="R2651" s="31">
        <v>0.15939999999999999</v>
      </c>
      <c r="S2651" s="32">
        <v>3.7819999999999999E-2</v>
      </c>
    </row>
    <row r="2652" spans="16:19" x14ac:dyDescent="0.25">
      <c r="P2652" s="27">
        <v>3.2548184716220556E-2</v>
      </c>
      <c r="Q2652" s="28">
        <f t="shared" si="45"/>
        <v>3.5548184716220559E-2</v>
      </c>
      <c r="R2652" s="31">
        <v>0.15939999999999999</v>
      </c>
      <c r="S2652" s="32">
        <v>4.4999999999999998E-2</v>
      </c>
    </row>
    <row r="2653" spans="16:19" x14ac:dyDescent="0.25">
      <c r="P2653" s="27">
        <v>3.2548184716220556E-2</v>
      </c>
      <c r="Q2653" s="28">
        <f t="shared" si="45"/>
        <v>3.5548184716220559E-2</v>
      </c>
      <c r="R2653" s="31">
        <v>0.15939999999999999</v>
      </c>
      <c r="S2653" s="32">
        <v>4.9919999999999999E-2</v>
      </c>
    </row>
    <row r="2654" spans="16:19" x14ac:dyDescent="0.25">
      <c r="P2654" s="27">
        <v>3.2548184716220556E-2</v>
      </c>
      <c r="Q2654" s="28">
        <f t="shared" si="45"/>
        <v>3.5548184716220559E-2</v>
      </c>
      <c r="R2654" s="31">
        <v>0.15939999999999999</v>
      </c>
      <c r="S2654" s="32">
        <v>5.2010000000000001E-2</v>
      </c>
    </row>
    <row r="2655" spans="16:19" x14ac:dyDescent="0.25">
      <c r="P2655" s="27">
        <v>3.2548184716220556E-2</v>
      </c>
      <c r="Q2655" s="28">
        <f t="shared" si="45"/>
        <v>3.5548184716220559E-2</v>
      </c>
      <c r="R2655" s="31">
        <v>0.15939999999999999</v>
      </c>
      <c r="S2655" s="32">
        <v>4.9909999999999996E-2</v>
      </c>
    </row>
    <row r="2656" spans="16:19" x14ac:dyDescent="0.25">
      <c r="P2656" s="27">
        <v>3.2548184716220556E-2</v>
      </c>
      <c r="Q2656" s="28">
        <f t="shared" si="45"/>
        <v>3.5548184716220559E-2</v>
      </c>
      <c r="R2656" s="31">
        <v>0.15939999999999999</v>
      </c>
      <c r="S2656" s="32">
        <v>3.5619999999999999E-2</v>
      </c>
    </row>
    <row r="2657" spans="16:19" x14ac:dyDescent="0.25">
      <c r="P2657" s="27">
        <v>3.2548184716220556E-2</v>
      </c>
      <c r="Q2657" s="28">
        <f t="shared" si="45"/>
        <v>3.5548184716220559E-2</v>
      </c>
      <c r="R2657" s="31">
        <v>0.15939999999999999</v>
      </c>
      <c r="S2657" s="32">
        <v>3.5619999999999999E-2</v>
      </c>
    </row>
    <row r="2658" spans="16:19" x14ac:dyDescent="0.25">
      <c r="P2658" s="27">
        <v>3.2548184716220556E-2</v>
      </c>
      <c r="Q2658" s="28">
        <f t="shared" si="45"/>
        <v>3.5548184716220559E-2</v>
      </c>
      <c r="R2658" s="31">
        <v>0.15939999999999999</v>
      </c>
      <c r="S2658" s="32">
        <v>3.5619999999999999E-2</v>
      </c>
    </row>
    <row r="2659" spans="16:19" x14ac:dyDescent="0.25">
      <c r="P2659" s="27">
        <v>3.2548184716220556E-2</v>
      </c>
      <c r="Q2659" s="28">
        <f t="shared" si="45"/>
        <v>3.5548184716220559E-2</v>
      </c>
      <c r="R2659" s="31">
        <v>0.15939999999999999</v>
      </c>
      <c r="S2659" s="32">
        <v>3.5619999999999999E-2</v>
      </c>
    </row>
    <row r="2660" spans="16:19" x14ac:dyDescent="0.25">
      <c r="P2660" s="27">
        <v>3.2548184716220556E-2</v>
      </c>
      <c r="Q2660" s="28">
        <f t="shared" si="45"/>
        <v>3.5548184716220559E-2</v>
      </c>
      <c r="R2660" s="31">
        <v>0.15939999999999999</v>
      </c>
      <c r="S2660" s="32">
        <v>3.5999999999999997E-2</v>
      </c>
    </row>
    <row r="2661" spans="16:19" x14ac:dyDescent="0.25">
      <c r="P2661" s="27">
        <v>3.2548184716220556E-2</v>
      </c>
      <c r="Q2661" s="28">
        <f t="shared" si="45"/>
        <v>3.5548184716220559E-2</v>
      </c>
      <c r="R2661" s="31">
        <v>0.15939999999999999</v>
      </c>
      <c r="S2661" s="32">
        <v>3.9329999999999997E-2</v>
      </c>
    </row>
    <row r="2662" spans="16:19" x14ac:dyDescent="0.25">
      <c r="P2662" s="27">
        <v>3.2548184716220556E-2</v>
      </c>
      <c r="Q2662" s="28">
        <f t="shared" si="45"/>
        <v>3.5548184716220559E-2</v>
      </c>
      <c r="R2662" s="31">
        <v>0.15939999999999999</v>
      </c>
      <c r="S2662" s="32">
        <v>4.999E-2</v>
      </c>
    </row>
    <row r="2663" spans="16:19" x14ac:dyDescent="0.25">
      <c r="P2663" s="27">
        <v>3.2548184716220556E-2</v>
      </c>
      <c r="Q2663" s="28">
        <f t="shared" si="45"/>
        <v>3.5548184716220559E-2</v>
      </c>
      <c r="R2663" s="31">
        <v>0.15939999999999999</v>
      </c>
      <c r="S2663" s="32">
        <v>6.6652805999999995E-2</v>
      </c>
    </row>
    <row r="2664" spans="16:19" x14ac:dyDescent="0.25">
      <c r="P2664" s="27">
        <v>3.2548184716220556E-2</v>
      </c>
      <c r="Q2664" s="28">
        <f t="shared" si="45"/>
        <v>3.5548184716220559E-2</v>
      </c>
      <c r="R2664" s="31">
        <v>0.15939999999999999</v>
      </c>
      <c r="S2664" s="32">
        <v>5.4729999999999994E-2</v>
      </c>
    </row>
    <row r="2665" spans="16:19" x14ac:dyDescent="0.25">
      <c r="P2665" s="27">
        <v>3.2548184716220556E-2</v>
      </c>
      <c r="Q2665" s="28">
        <f t="shared" si="45"/>
        <v>3.5548184716220559E-2</v>
      </c>
      <c r="R2665" s="31">
        <v>0.15939999999999999</v>
      </c>
      <c r="S2665" s="32">
        <v>4.999E-2</v>
      </c>
    </row>
    <row r="2666" spans="16:19" x14ac:dyDescent="0.25">
      <c r="P2666" s="27">
        <v>3.2548184716220556E-2</v>
      </c>
      <c r="Q2666" s="28">
        <f t="shared" si="45"/>
        <v>3.5548184716220559E-2</v>
      </c>
      <c r="R2666" s="31">
        <v>0.15939999999999999</v>
      </c>
      <c r="S2666" s="32">
        <v>4.1000000000000002E-2</v>
      </c>
    </row>
    <row r="2667" spans="16:19" x14ac:dyDescent="0.25">
      <c r="P2667" s="27">
        <v>3.2548184716220556E-2</v>
      </c>
      <c r="Q2667" s="28">
        <f t="shared" si="45"/>
        <v>3.5548184716220559E-2</v>
      </c>
      <c r="R2667" s="29">
        <v>0.15</v>
      </c>
      <c r="S2667" s="30">
        <v>0.06</v>
      </c>
    </row>
    <row r="2668" spans="16:19" x14ac:dyDescent="0.25">
      <c r="P2668" s="27">
        <v>3.2548184716220556E-2</v>
      </c>
      <c r="Q2668" s="28">
        <f t="shared" si="45"/>
        <v>3.5548184716220559E-2</v>
      </c>
      <c r="R2668" s="29">
        <v>0.15</v>
      </c>
      <c r="S2668" s="30">
        <v>5.262E-2</v>
      </c>
    </row>
    <row r="2669" spans="16:19" x14ac:dyDescent="0.25">
      <c r="P2669" s="27">
        <v>3.2548184716220556E-2</v>
      </c>
      <c r="Q2669" s="28">
        <f t="shared" si="45"/>
        <v>3.5548184716220559E-2</v>
      </c>
      <c r="R2669" s="29">
        <v>0.15</v>
      </c>
      <c r="S2669" s="30">
        <v>4.9000000000000002E-2</v>
      </c>
    </row>
    <row r="2670" spans="16:19" x14ac:dyDescent="0.25">
      <c r="P2670" s="27">
        <v>3.2548184716220556E-2</v>
      </c>
      <c r="Q2670" s="28">
        <f t="shared" si="45"/>
        <v>3.5548184716220559E-2</v>
      </c>
      <c r="R2670" s="29">
        <v>0.15</v>
      </c>
      <c r="S2670" s="30">
        <v>4.6579999999999996E-2</v>
      </c>
    </row>
    <row r="2671" spans="16:19" x14ac:dyDescent="0.25">
      <c r="P2671" s="27">
        <v>3.2548184716220556E-2</v>
      </c>
      <c r="Q2671" s="28">
        <f t="shared" si="45"/>
        <v>3.5548184716220559E-2</v>
      </c>
      <c r="R2671" s="29">
        <v>0.15</v>
      </c>
      <c r="S2671" s="30">
        <v>4.9880000000000001E-2</v>
      </c>
    </row>
    <row r="2672" spans="16:19" x14ac:dyDescent="0.25">
      <c r="P2672" s="27">
        <v>3.2548184716220556E-2</v>
      </c>
      <c r="Q2672" s="28">
        <f t="shared" si="45"/>
        <v>3.5548184716220559E-2</v>
      </c>
      <c r="R2672" s="29">
        <v>0.15</v>
      </c>
      <c r="S2672" s="30">
        <v>5.6610000000000001E-2</v>
      </c>
    </row>
    <row r="2673" spans="16:19" x14ac:dyDescent="0.25">
      <c r="P2673" s="27">
        <v>3.2548184716220556E-2</v>
      </c>
      <c r="Q2673" s="28">
        <f t="shared" si="45"/>
        <v>3.5548184716220559E-2</v>
      </c>
      <c r="R2673" s="29">
        <v>0.15</v>
      </c>
      <c r="S2673" s="30">
        <v>7.9000000000000001E-2</v>
      </c>
    </row>
    <row r="2674" spans="16:19" x14ac:dyDescent="0.25">
      <c r="P2674" s="27">
        <v>3.2548184716220556E-2</v>
      </c>
      <c r="Q2674" s="28">
        <f t="shared" si="45"/>
        <v>3.5548184716220559E-2</v>
      </c>
      <c r="R2674" s="29">
        <v>0.15</v>
      </c>
      <c r="S2674" s="30">
        <v>7.4969999999999995E-2</v>
      </c>
    </row>
    <row r="2675" spans="16:19" x14ac:dyDescent="0.25">
      <c r="P2675" s="27">
        <v>3.2548184716220556E-2</v>
      </c>
      <c r="Q2675" s="28">
        <f t="shared" si="45"/>
        <v>3.5548184716220559E-2</v>
      </c>
      <c r="R2675" s="29">
        <v>0.15</v>
      </c>
      <c r="S2675" s="30">
        <v>8.9959999999999998E-2</v>
      </c>
    </row>
    <row r="2676" spans="16:19" x14ac:dyDescent="0.25">
      <c r="P2676" s="27">
        <v>3.2548184716220556E-2</v>
      </c>
      <c r="Q2676" s="28">
        <f t="shared" si="45"/>
        <v>3.5548184716220559E-2</v>
      </c>
      <c r="R2676" s="29">
        <v>0.15</v>
      </c>
      <c r="S2676" s="30">
        <v>7.8420174999999995E-2</v>
      </c>
    </row>
    <row r="2677" spans="16:19" x14ac:dyDescent="0.25">
      <c r="P2677" s="27">
        <v>3.2548184716220556E-2</v>
      </c>
      <c r="Q2677" s="28">
        <f t="shared" si="45"/>
        <v>3.5548184716220559E-2</v>
      </c>
      <c r="R2677" s="29">
        <v>0.15</v>
      </c>
      <c r="S2677" s="30">
        <v>7.0879999999999999E-2</v>
      </c>
    </row>
    <row r="2678" spans="16:19" x14ac:dyDescent="0.25">
      <c r="P2678" s="27">
        <v>3.2548184716220556E-2</v>
      </c>
      <c r="Q2678" s="28">
        <f t="shared" si="45"/>
        <v>3.5548184716220559E-2</v>
      </c>
      <c r="R2678" s="29">
        <v>0.15</v>
      </c>
      <c r="S2678" s="30">
        <v>7.0879999999999999E-2</v>
      </c>
    </row>
    <row r="2679" spans="16:19" x14ac:dyDescent="0.25">
      <c r="P2679" s="27">
        <v>3.2548184716220556E-2</v>
      </c>
      <c r="Q2679" s="28">
        <f t="shared" si="45"/>
        <v>3.5548184716220559E-2</v>
      </c>
      <c r="R2679" s="29">
        <v>0.15</v>
      </c>
      <c r="S2679" s="30">
        <v>5.7509999999999999E-2</v>
      </c>
    </row>
    <row r="2680" spans="16:19" x14ac:dyDescent="0.25">
      <c r="P2680" s="27">
        <v>3.2548184716220556E-2</v>
      </c>
      <c r="Q2680" s="28">
        <f t="shared" si="45"/>
        <v>3.5548184716220559E-2</v>
      </c>
      <c r="R2680" s="29">
        <v>0.15</v>
      </c>
      <c r="S2680" s="30">
        <v>5.7009999999999998E-2</v>
      </c>
    </row>
    <row r="2681" spans="16:19" x14ac:dyDescent="0.25">
      <c r="P2681" s="27">
        <v>3.2548184716220556E-2</v>
      </c>
      <c r="Q2681" s="28">
        <f t="shared" si="45"/>
        <v>3.5548184716220559E-2</v>
      </c>
      <c r="R2681" s="29">
        <v>0.15</v>
      </c>
      <c r="S2681" s="30">
        <v>6.1009999999999995E-2</v>
      </c>
    </row>
    <row r="2682" spans="16:19" x14ac:dyDescent="0.25">
      <c r="P2682" s="27">
        <v>3.2548184716220556E-2</v>
      </c>
      <c r="Q2682" s="28">
        <f t="shared" si="45"/>
        <v>3.5548184716220559E-2</v>
      </c>
      <c r="R2682" s="29">
        <v>0.15</v>
      </c>
      <c r="S2682" s="30">
        <v>6.515E-2</v>
      </c>
    </row>
    <row r="2683" spans="16:19" x14ac:dyDescent="0.25">
      <c r="P2683" s="27">
        <v>3.2548184716220556E-2</v>
      </c>
      <c r="Q2683" s="28">
        <f t="shared" si="45"/>
        <v>3.5548184716220559E-2</v>
      </c>
      <c r="R2683" s="29">
        <v>0.15</v>
      </c>
      <c r="S2683" s="30">
        <v>7.8980000000000009E-2</v>
      </c>
    </row>
    <row r="2684" spans="16:19" x14ac:dyDescent="0.25">
      <c r="P2684" s="27">
        <v>3.2548184716220556E-2</v>
      </c>
      <c r="Q2684" s="28">
        <f t="shared" si="45"/>
        <v>3.5548184716220559E-2</v>
      </c>
      <c r="R2684" s="29">
        <v>0.15</v>
      </c>
      <c r="S2684" s="30">
        <v>6.4360000000000001E-2</v>
      </c>
    </row>
    <row r="2685" spans="16:19" x14ac:dyDescent="0.25">
      <c r="P2685" s="27">
        <v>3.2548184716220556E-2</v>
      </c>
      <c r="Q2685" s="28">
        <f t="shared" si="45"/>
        <v>3.5548184716220559E-2</v>
      </c>
      <c r="R2685" s="29">
        <v>0.15</v>
      </c>
      <c r="S2685" s="30">
        <v>6.4376712000000003E-2</v>
      </c>
    </row>
    <row r="2686" spans="16:19" x14ac:dyDescent="0.25">
      <c r="P2686" s="27">
        <v>3.2548184716220556E-2</v>
      </c>
      <c r="Q2686" s="28">
        <f t="shared" si="45"/>
        <v>3.5548184716220559E-2</v>
      </c>
      <c r="R2686" s="29">
        <v>0.15</v>
      </c>
      <c r="S2686" s="30">
        <v>7.2389999999999996E-2</v>
      </c>
    </row>
    <row r="2687" spans="16:19" x14ac:dyDescent="0.25">
      <c r="P2687" s="27">
        <v>3.2548184716220556E-2</v>
      </c>
      <c r="Q2687" s="28">
        <f t="shared" si="45"/>
        <v>3.5548184716220559E-2</v>
      </c>
      <c r="R2687" s="29">
        <v>0.15</v>
      </c>
      <c r="S2687" s="30">
        <v>8.7910000000000002E-2</v>
      </c>
    </row>
    <row r="2688" spans="16:19" x14ac:dyDescent="0.25">
      <c r="P2688" s="27">
        <v>3.2548184716220556E-2</v>
      </c>
      <c r="Q2688" s="28">
        <f t="shared" si="45"/>
        <v>3.5548184716220559E-2</v>
      </c>
      <c r="R2688" s="29">
        <v>0.15</v>
      </c>
      <c r="S2688" s="30">
        <v>7.3130000000000001E-2</v>
      </c>
    </row>
    <row r="2689" spans="16:19" x14ac:dyDescent="0.25">
      <c r="P2689" s="27">
        <v>3.2548184716220556E-2</v>
      </c>
      <c r="Q2689" s="28">
        <f t="shared" si="45"/>
        <v>3.5548184716220559E-2</v>
      </c>
      <c r="R2689" s="29">
        <v>0.15</v>
      </c>
      <c r="S2689" s="30">
        <v>6.4989999999999992E-2</v>
      </c>
    </row>
    <row r="2690" spans="16:19" x14ac:dyDescent="0.25">
      <c r="P2690" s="27">
        <v>3.2548184716220556E-2</v>
      </c>
      <c r="Q2690" s="28">
        <f t="shared" si="45"/>
        <v>3.5548184716220559E-2</v>
      </c>
      <c r="R2690" s="29">
        <v>0.15</v>
      </c>
      <c r="S2690" s="30">
        <v>5.4960000000000002E-2</v>
      </c>
    </row>
    <row r="2691" spans="16:19" x14ac:dyDescent="0.25">
      <c r="P2691" s="27">
        <v>3.2548184716220556E-2</v>
      </c>
      <c r="Q2691" s="28">
        <f t="shared" si="45"/>
        <v>3.5548184716220559E-2</v>
      </c>
      <c r="R2691" s="29">
        <v>0.15</v>
      </c>
      <c r="S2691" s="30">
        <v>5.8549999999999998E-2</v>
      </c>
    </row>
    <row r="2692" spans="16:19" x14ac:dyDescent="0.25">
      <c r="P2692" s="27">
        <v>3.2548184716220556E-2</v>
      </c>
      <c r="Q2692" s="28">
        <f t="shared" si="45"/>
        <v>3.5548184716220559E-2</v>
      </c>
      <c r="R2692" s="29">
        <v>0.15</v>
      </c>
      <c r="S2692" s="30">
        <v>4.7649999999999998E-2</v>
      </c>
    </row>
    <row r="2693" spans="16:19" x14ac:dyDescent="0.25">
      <c r="P2693" s="27">
        <v>3.2548184716220556E-2</v>
      </c>
      <c r="Q2693" s="28">
        <f t="shared" ref="Q2693:Q2756" si="46">P2693+0.003</f>
        <v>3.5548184716220559E-2</v>
      </c>
      <c r="R2693" s="29">
        <v>0.15</v>
      </c>
      <c r="S2693" s="30">
        <v>3.8719999999999997E-2</v>
      </c>
    </row>
    <row r="2694" spans="16:19" x14ac:dyDescent="0.25">
      <c r="P2694" s="27">
        <v>3.2548184716220556E-2</v>
      </c>
      <c r="Q2694" s="28">
        <f t="shared" si="46"/>
        <v>3.5548184716220559E-2</v>
      </c>
      <c r="R2694" s="29">
        <v>0.15</v>
      </c>
      <c r="S2694" s="30">
        <v>3.7280000000000001E-2</v>
      </c>
    </row>
    <row r="2695" spans="16:19" x14ac:dyDescent="0.25">
      <c r="P2695" s="27">
        <v>3.2548184716220556E-2</v>
      </c>
      <c r="Q2695" s="28">
        <f t="shared" si="46"/>
        <v>3.5548184716220559E-2</v>
      </c>
      <c r="R2695" s="29">
        <v>0.15</v>
      </c>
      <c r="S2695" s="30">
        <v>3.5999999999999997E-2</v>
      </c>
    </row>
    <row r="2696" spans="16:19" x14ac:dyDescent="0.25">
      <c r="P2696" s="27">
        <v>3.2548184716220556E-2</v>
      </c>
      <c r="Q2696" s="28">
        <f t="shared" si="46"/>
        <v>3.5548184716220559E-2</v>
      </c>
      <c r="R2696" s="29">
        <v>0.15</v>
      </c>
      <c r="S2696" s="30">
        <v>4.02E-2</v>
      </c>
    </row>
    <row r="2697" spans="16:19" x14ac:dyDescent="0.25">
      <c r="P2697" s="27">
        <v>3.2548184716220556E-2</v>
      </c>
      <c r="Q2697" s="28">
        <f t="shared" si="46"/>
        <v>3.5548184716220559E-2</v>
      </c>
      <c r="R2697" s="29">
        <v>0.15</v>
      </c>
      <c r="S2697" s="30">
        <v>5.2179999999999997E-2</v>
      </c>
    </row>
    <row r="2698" spans="16:19" x14ac:dyDescent="0.25">
      <c r="P2698" s="27">
        <v>3.2548184716220556E-2</v>
      </c>
      <c r="Q2698" s="28">
        <f t="shared" si="46"/>
        <v>3.5548184716220559E-2</v>
      </c>
      <c r="R2698" s="29">
        <v>0.15</v>
      </c>
      <c r="S2698" s="30">
        <v>5.5149999999999998E-2</v>
      </c>
    </row>
    <row r="2699" spans="16:19" x14ac:dyDescent="0.25">
      <c r="P2699" s="27">
        <v>3.2548184716220556E-2</v>
      </c>
      <c r="Q2699" s="28">
        <f t="shared" si="46"/>
        <v>3.5548184716220559E-2</v>
      </c>
      <c r="R2699" s="31">
        <v>0.15939660775771733</v>
      </c>
      <c r="S2699" s="32">
        <v>9.8849999999999993E-2</v>
      </c>
    </row>
    <row r="2700" spans="16:19" x14ac:dyDescent="0.25">
      <c r="P2700" s="27">
        <v>3.2548184716220556E-2</v>
      </c>
      <c r="Q2700" s="28">
        <f t="shared" si="46"/>
        <v>3.5548184716220559E-2</v>
      </c>
      <c r="R2700" s="33">
        <v>0.16282860775771735</v>
      </c>
      <c r="S2700" s="34">
        <v>8.2000000000000003E-2</v>
      </c>
    </row>
    <row r="2701" spans="16:19" x14ac:dyDescent="0.25">
      <c r="P2701" s="27">
        <v>3.2548184716220556E-2</v>
      </c>
      <c r="Q2701" s="28">
        <f t="shared" si="46"/>
        <v>3.5548184716220559E-2</v>
      </c>
      <c r="R2701" s="33">
        <v>0.16282860775771735</v>
      </c>
      <c r="S2701" s="34">
        <v>6.6470000000000001E-2</v>
      </c>
    </row>
    <row r="2702" spans="16:19" x14ac:dyDescent="0.25">
      <c r="P2702" s="27">
        <v>3.2548184716220556E-2</v>
      </c>
      <c r="Q2702" s="28">
        <f t="shared" si="46"/>
        <v>3.5548184716220559E-2</v>
      </c>
      <c r="R2702" s="33">
        <v>0.16282860775771735</v>
      </c>
      <c r="S2702" s="34">
        <v>6.9000000000000006E-2</v>
      </c>
    </row>
    <row r="2703" spans="16:19" x14ac:dyDescent="0.25">
      <c r="P2703" s="27">
        <v>3.2548184716220556E-2</v>
      </c>
      <c r="Q2703" s="28">
        <f t="shared" si="46"/>
        <v>3.5548184716220559E-2</v>
      </c>
      <c r="R2703" s="33">
        <v>0.16282860775771735</v>
      </c>
      <c r="S2703" s="34">
        <v>5.4420000000000003E-2</v>
      </c>
    </row>
    <row r="2704" spans="16:19" x14ac:dyDescent="0.25">
      <c r="P2704" s="27">
        <v>3.2548184716220556E-2</v>
      </c>
      <c r="Q2704" s="28">
        <f t="shared" si="46"/>
        <v>3.5548184716220559E-2</v>
      </c>
      <c r="R2704" s="33">
        <v>0.16282860775771735</v>
      </c>
      <c r="S2704" s="34">
        <v>5.2979999999999999E-2</v>
      </c>
    </row>
    <row r="2705" spans="16:19" x14ac:dyDescent="0.25">
      <c r="P2705" s="27">
        <v>3.2548184716220556E-2</v>
      </c>
      <c r="Q2705" s="28">
        <f t="shared" si="46"/>
        <v>3.5548184716220559E-2</v>
      </c>
      <c r="R2705" s="33">
        <v>0.16282860775771735</v>
      </c>
      <c r="S2705" s="34">
        <v>5.7020000000000001E-2</v>
      </c>
    </row>
    <row r="2706" spans="16:19" x14ac:dyDescent="0.25">
      <c r="P2706" s="27">
        <v>3.2548184716220556E-2</v>
      </c>
      <c r="Q2706" s="28">
        <f t="shared" si="46"/>
        <v>3.5548184716220559E-2</v>
      </c>
      <c r="R2706" s="33">
        <v>0.16282860775771735</v>
      </c>
      <c r="S2706" s="34">
        <v>5.7020000000000001E-2</v>
      </c>
    </row>
    <row r="2707" spans="16:19" x14ac:dyDescent="0.25">
      <c r="P2707" s="27">
        <v>3.2548184716220556E-2</v>
      </c>
      <c r="Q2707" s="28">
        <f t="shared" si="46"/>
        <v>3.5548184716220559E-2</v>
      </c>
      <c r="R2707" s="33">
        <v>0.16282860775771735</v>
      </c>
      <c r="S2707" s="34">
        <v>6.1009999999999995E-2</v>
      </c>
    </row>
    <row r="2708" spans="16:19" x14ac:dyDescent="0.25">
      <c r="P2708" s="27">
        <v>3.2548184716220556E-2</v>
      </c>
      <c r="Q2708" s="28">
        <f t="shared" si="46"/>
        <v>3.5548184716220559E-2</v>
      </c>
      <c r="R2708" s="33">
        <v>0.16282860775771735</v>
      </c>
      <c r="S2708" s="34">
        <v>5.5149999999999998E-2</v>
      </c>
    </row>
    <row r="2709" spans="16:19" x14ac:dyDescent="0.25">
      <c r="P2709" s="27">
        <v>3.2548184716220556E-2</v>
      </c>
      <c r="Q2709" s="28">
        <f t="shared" si="46"/>
        <v>3.5548184716220559E-2</v>
      </c>
      <c r="R2709" s="33">
        <v>0.16282860775771735</v>
      </c>
      <c r="S2709" s="34">
        <v>5.5149999999999998E-2</v>
      </c>
    </row>
    <row r="2710" spans="16:19" x14ac:dyDescent="0.25">
      <c r="P2710" s="27">
        <v>3.2548184716220556E-2</v>
      </c>
      <c r="Q2710" s="28">
        <f t="shared" si="46"/>
        <v>3.5548184716220559E-2</v>
      </c>
      <c r="R2710" s="33">
        <v>0.16282860775771735</v>
      </c>
      <c r="S2710" s="34">
        <v>5.924981E-2</v>
      </c>
    </row>
    <row r="2711" spans="16:19" x14ac:dyDescent="0.25">
      <c r="P2711" s="27">
        <v>3.2548184716220556E-2</v>
      </c>
      <c r="Q2711" s="28">
        <f t="shared" si="46"/>
        <v>3.5548184716220559E-2</v>
      </c>
      <c r="R2711" s="31">
        <v>0.15939660775771733</v>
      </c>
      <c r="S2711" s="32">
        <v>8.4110000000000004E-2</v>
      </c>
    </row>
    <row r="2712" spans="16:19" x14ac:dyDescent="0.25">
      <c r="P2712" s="27">
        <v>3.2548184716220556E-2</v>
      </c>
      <c r="Q2712" s="28">
        <f t="shared" si="46"/>
        <v>3.5548184716220559E-2</v>
      </c>
      <c r="R2712" s="31">
        <v>0.15939660775771733</v>
      </c>
      <c r="S2712" s="32">
        <v>0.06</v>
      </c>
    </row>
    <row r="2713" spans="16:19" x14ac:dyDescent="0.25">
      <c r="P2713" s="27">
        <v>3.2548184716220556E-2</v>
      </c>
      <c r="Q2713" s="28">
        <f t="shared" si="46"/>
        <v>3.5548184716220559E-2</v>
      </c>
      <c r="R2713" s="31">
        <v>0.15939660775771733</v>
      </c>
      <c r="S2713" s="32">
        <v>5.2010000000000001E-2</v>
      </c>
    </row>
    <row r="2714" spans="16:19" x14ac:dyDescent="0.25">
      <c r="P2714" s="27">
        <v>3.2548184716220556E-2</v>
      </c>
      <c r="Q2714" s="28">
        <f t="shared" si="46"/>
        <v>3.5548184716220559E-2</v>
      </c>
      <c r="R2714" s="31">
        <v>0.15939660775771733</v>
      </c>
      <c r="S2714" s="32">
        <v>4.9820000000000003E-2</v>
      </c>
    </row>
    <row r="2715" spans="16:19" x14ac:dyDescent="0.25">
      <c r="P2715" s="27">
        <v>3.2548184716220556E-2</v>
      </c>
      <c r="Q2715" s="28">
        <f t="shared" si="46"/>
        <v>3.5548184716220559E-2</v>
      </c>
      <c r="R2715" s="29">
        <v>0.15003660775771735</v>
      </c>
      <c r="S2715" s="30">
        <v>6.0979999999999999E-2</v>
      </c>
    </row>
    <row r="2716" spans="16:19" x14ac:dyDescent="0.25">
      <c r="P2716" s="27">
        <v>3.2548184716220556E-2</v>
      </c>
      <c r="Q2716" s="28">
        <f t="shared" si="46"/>
        <v>3.5548184716220559E-2</v>
      </c>
      <c r="R2716" s="29">
        <v>0.15003660775771735</v>
      </c>
      <c r="S2716" s="30">
        <v>5.2940000000000001E-2</v>
      </c>
    </row>
    <row r="2717" spans="16:19" x14ac:dyDescent="0.25">
      <c r="P2717" s="27">
        <v>3.2548184716220556E-2</v>
      </c>
      <c r="Q2717" s="28">
        <f t="shared" si="46"/>
        <v>3.5548184716220559E-2</v>
      </c>
      <c r="R2717" s="29">
        <v>0.15003660775771735</v>
      </c>
      <c r="S2717" s="30">
        <v>4.7299999999999995E-2</v>
      </c>
    </row>
    <row r="2718" spans="16:19" x14ac:dyDescent="0.25">
      <c r="P2718" s="27">
        <v>3.2548184716220556E-2</v>
      </c>
      <c r="Q2718" s="28">
        <f t="shared" si="46"/>
        <v>3.5548184716220559E-2</v>
      </c>
      <c r="R2718" s="29">
        <v>0.15003660775771735</v>
      </c>
      <c r="S2718" s="30">
        <v>4.8420000000000005E-2</v>
      </c>
    </row>
    <row r="2719" spans="16:19" x14ac:dyDescent="0.25">
      <c r="P2719" s="27">
        <v>3.2548184716220556E-2</v>
      </c>
      <c r="Q2719" s="28">
        <f t="shared" si="46"/>
        <v>3.5548184716220559E-2</v>
      </c>
      <c r="R2719" s="29">
        <v>0.15003660775771735</v>
      </c>
      <c r="S2719" s="30">
        <v>4.9998189000000005E-2</v>
      </c>
    </row>
    <row r="2720" spans="16:19" x14ac:dyDescent="0.25">
      <c r="P2720" s="27">
        <v>3.2548184716220556E-2</v>
      </c>
      <c r="Q2720" s="28">
        <f t="shared" si="46"/>
        <v>3.5548184716220559E-2</v>
      </c>
      <c r="R2720" s="29">
        <v>0.15003660775771735</v>
      </c>
      <c r="S2720" s="30">
        <v>5.3009999999999995E-2</v>
      </c>
    </row>
    <row r="2721" spans="16:19" x14ac:dyDescent="0.25">
      <c r="P2721" s="27">
        <v>3.2548184716220556E-2</v>
      </c>
      <c r="Q2721" s="28">
        <f t="shared" si="46"/>
        <v>3.5548184716220559E-2</v>
      </c>
      <c r="R2721" s="29">
        <v>0.15003660775771735</v>
      </c>
      <c r="S2721" s="30">
        <v>6.3615567999999997E-2</v>
      </c>
    </row>
    <row r="2722" spans="16:19" x14ac:dyDescent="0.25">
      <c r="P2722" s="27">
        <v>3.2548184716220556E-2</v>
      </c>
      <c r="Q2722" s="28">
        <f t="shared" si="46"/>
        <v>3.5548184716220559E-2</v>
      </c>
      <c r="R2722" s="29">
        <v>0.15003660775771735</v>
      </c>
      <c r="S2722" s="30">
        <v>6.225E-2</v>
      </c>
    </row>
    <row r="2723" spans="16:19" x14ac:dyDescent="0.25">
      <c r="P2723" s="27">
        <v>3.2548184716220556E-2</v>
      </c>
      <c r="Q2723" s="28">
        <f t="shared" si="46"/>
        <v>3.5548184716220559E-2</v>
      </c>
      <c r="R2723" s="31">
        <v>0.15939660775771733</v>
      </c>
      <c r="S2723" s="32">
        <v>9.4792859000000007E-2</v>
      </c>
    </row>
    <row r="2724" spans="16:19" x14ac:dyDescent="0.25">
      <c r="P2724" s="27">
        <v>3.2548184716220556E-2</v>
      </c>
      <c r="Q2724" s="28">
        <f t="shared" si="46"/>
        <v>3.5548184716220559E-2</v>
      </c>
      <c r="R2724" s="33">
        <v>0.16282860775771735</v>
      </c>
      <c r="S2724" s="34">
        <v>8.1720000000000001E-2</v>
      </c>
    </row>
    <row r="2725" spans="16:19" x14ac:dyDescent="0.25">
      <c r="P2725" s="27">
        <v>3.2548184716220556E-2</v>
      </c>
      <c r="Q2725" s="28">
        <f t="shared" si="46"/>
        <v>3.5548184716220559E-2</v>
      </c>
      <c r="R2725" s="33">
        <v>0.16282860775771735</v>
      </c>
      <c r="S2725" s="34">
        <v>6.9239999999999996E-2</v>
      </c>
    </row>
    <row r="2726" spans="16:19" x14ac:dyDescent="0.25">
      <c r="P2726" s="27">
        <v>3.2548184716220556E-2</v>
      </c>
      <c r="Q2726" s="28">
        <f t="shared" si="46"/>
        <v>3.5548184716220559E-2</v>
      </c>
      <c r="R2726" s="33">
        <v>0.16282860775771735</v>
      </c>
      <c r="S2726" s="34">
        <v>6.5409999999999996E-2</v>
      </c>
    </row>
    <row r="2727" spans="16:19" x14ac:dyDescent="0.25">
      <c r="P2727" s="27">
        <v>3.2548184716220556E-2</v>
      </c>
      <c r="Q2727" s="28">
        <f t="shared" si="46"/>
        <v>3.5548184716220559E-2</v>
      </c>
      <c r="R2727" s="33">
        <v>0.16282860775771735</v>
      </c>
      <c r="S2727" s="34">
        <v>5.7020000000000001E-2</v>
      </c>
    </row>
    <row r="2728" spans="16:19" x14ac:dyDescent="0.25">
      <c r="P2728" s="27">
        <v>3.2548184716220556E-2</v>
      </c>
      <c r="Q2728" s="28">
        <f t="shared" si="46"/>
        <v>3.5548184716220559E-2</v>
      </c>
      <c r="R2728" s="33">
        <v>0.16282860775771735</v>
      </c>
      <c r="S2728" s="34">
        <v>5.7529999999999998E-2</v>
      </c>
    </row>
    <row r="2729" spans="16:19" x14ac:dyDescent="0.25">
      <c r="P2729" s="27">
        <v>3.2548184716220556E-2</v>
      </c>
      <c r="Q2729" s="28">
        <f t="shared" si="46"/>
        <v>3.5548184716220559E-2</v>
      </c>
      <c r="R2729" s="33">
        <v>0.16282860775771735</v>
      </c>
      <c r="S2729" s="34">
        <v>6.4360000000000001E-2</v>
      </c>
    </row>
    <row r="2730" spans="16:19" x14ac:dyDescent="0.25">
      <c r="P2730" s="27">
        <v>3.2548184716220556E-2</v>
      </c>
      <c r="Q2730" s="28">
        <f t="shared" si="46"/>
        <v>3.5548184716220559E-2</v>
      </c>
      <c r="R2730" s="33">
        <v>0.16282860775771735</v>
      </c>
      <c r="S2730" s="34">
        <v>6.515E-2</v>
      </c>
    </row>
    <row r="2731" spans="16:19" x14ac:dyDescent="0.25">
      <c r="P2731" s="27">
        <v>3.2548184716220556E-2</v>
      </c>
      <c r="Q2731" s="28">
        <f t="shared" si="46"/>
        <v>3.5548184716220559E-2</v>
      </c>
      <c r="R2731" s="33">
        <v>0.16282860775771735</v>
      </c>
      <c r="S2731" s="34">
        <v>8.2000000000000003E-2</v>
      </c>
    </row>
    <row r="2732" spans="16:19" x14ac:dyDescent="0.25">
      <c r="P2732" s="27">
        <v>3.2548184716220556E-2</v>
      </c>
      <c r="Q2732" s="28">
        <f t="shared" si="46"/>
        <v>3.5548184716220559E-2</v>
      </c>
      <c r="R2732" s="33">
        <v>0.16282860775771735</v>
      </c>
      <c r="S2732" s="34">
        <v>7.4999999999999997E-2</v>
      </c>
    </row>
    <row r="2733" spans="16:19" x14ac:dyDescent="0.25">
      <c r="P2733" s="27">
        <v>3.2548184716220556E-2</v>
      </c>
      <c r="Q2733" s="28">
        <f t="shared" si="46"/>
        <v>3.5548184716220559E-2</v>
      </c>
      <c r="R2733" s="33">
        <v>0.16282860775771735</v>
      </c>
      <c r="S2733" s="34">
        <v>7.1510000000000004E-2</v>
      </c>
    </row>
    <row r="2734" spans="16:19" x14ac:dyDescent="0.25">
      <c r="P2734" s="27">
        <v>3.2548184716220556E-2</v>
      </c>
      <c r="Q2734" s="28">
        <f t="shared" si="46"/>
        <v>3.5548184716220559E-2</v>
      </c>
      <c r="R2734" s="33">
        <v>0.16282860775771735</v>
      </c>
      <c r="S2734" s="34">
        <v>7.1739999999999998E-2</v>
      </c>
    </row>
    <row r="2735" spans="16:19" x14ac:dyDescent="0.25">
      <c r="P2735" s="27">
        <v>3.2548184716220556E-2</v>
      </c>
      <c r="Q2735" s="28">
        <f t="shared" si="46"/>
        <v>3.5548184716220559E-2</v>
      </c>
      <c r="R2735" s="31">
        <v>0.15939660775771733</v>
      </c>
      <c r="S2735" s="32">
        <v>9.1230000000000006E-2</v>
      </c>
    </row>
    <row r="2736" spans="16:19" x14ac:dyDescent="0.25">
      <c r="P2736" s="27">
        <v>3.2548184716220556E-2</v>
      </c>
      <c r="Q2736" s="28">
        <f t="shared" si="46"/>
        <v>3.5548184716220559E-2</v>
      </c>
      <c r="R2736" s="31">
        <v>0.15939660775771733</v>
      </c>
      <c r="S2736" s="32">
        <v>6.6629999999999995E-2</v>
      </c>
    </row>
    <row r="2737" spans="16:19" x14ac:dyDescent="0.25">
      <c r="P2737" s="27">
        <v>3.2548184716220556E-2</v>
      </c>
      <c r="Q2737" s="28">
        <f t="shared" si="46"/>
        <v>3.5548184716220559E-2</v>
      </c>
      <c r="R2737" s="31">
        <v>0.15939660775771733</v>
      </c>
      <c r="S2737" s="32">
        <v>6.0979999999999999E-2</v>
      </c>
    </row>
    <row r="2738" spans="16:19" x14ac:dyDescent="0.25">
      <c r="P2738" s="27">
        <v>3.2548184716220556E-2</v>
      </c>
      <c r="Q2738" s="28">
        <f t="shared" si="46"/>
        <v>3.5548184716220559E-2</v>
      </c>
      <c r="R2738" s="31">
        <v>0.15939660775771733</v>
      </c>
      <c r="S2738" s="32">
        <v>5.3259999999999995E-2</v>
      </c>
    </row>
    <row r="2739" spans="16:19" x14ac:dyDescent="0.25">
      <c r="P2739" s="27">
        <v>3.2548184716220556E-2</v>
      </c>
      <c r="Q2739" s="28">
        <f t="shared" si="46"/>
        <v>3.5548184716220559E-2</v>
      </c>
      <c r="R2739" s="29">
        <v>0.15003660775771735</v>
      </c>
      <c r="S2739" s="30">
        <v>5.8880000000000002E-2</v>
      </c>
    </row>
    <row r="2740" spans="16:19" x14ac:dyDescent="0.25">
      <c r="P2740" s="27">
        <v>3.2548184716220556E-2</v>
      </c>
      <c r="Q2740" s="28">
        <f t="shared" si="46"/>
        <v>3.5548184716220559E-2</v>
      </c>
      <c r="R2740" s="29">
        <v>0.15003660775771735</v>
      </c>
      <c r="S2740" s="30">
        <v>4.6789999999999998E-2</v>
      </c>
    </row>
    <row r="2741" spans="16:19" x14ac:dyDescent="0.25">
      <c r="P2741" s="27">
        <v>3.2548184716220556E-2</v>
      </c>
      <c r="Q2741" s="28">
        <f t="shared" si="46"/>
        <v>3.5548184716220559E-2</v>
      </c>
      <c r="R2741" s="29">
        <v>0.15003660775771735</v>
      </c>
      <c r="S2741" s="30">
        <v>4.0090000000000001E-2</v>
      </c>
    </row>
    <row r="2742" spans="16:19" x14ac:dyDescent="0.25">
      <c r="P2742" s="27">
        <v>3.2548184716220556E-2</v>
      </c>
      <c r="Q2742" s="28">
        <f t="shared" si="46"/>
        <v>3.5548184716220559E-2</v>
      </c>
      <c r="R2742" s="29">
        <v>0.15003660775771735</v>
      </c>
      <c r="S2742" s="30">
        <v>3.7819999999999999E-2</v>
      </c>
    </row>
    <row r="2743" spans="16:19" x14ac:dyDescent="0.25">
      <c r="P2743" s="27">
        <v>3.2548184716220556E-2</v>
      </c>
      <c r="Q2743" s="28">
        <f t="shared" si="46"/>
        <v>3.5548184716220559E-2</v>
      </c>
      <c r="R2743" s="29">
        <v>0.15003660775771735</v>
      </c>
      <c r="S2743" s="30">
        <v>3.7935152999999999E-2</v>
      </c>
    </row>
    <row r="2744" spans="16:19" x14ac:dyDescent="0.25">
      <c r="P2744" s="27">
        <v>3.2548184716220556E-2</v>
      </c>
      <c r="Q2744" s="28">
        <f t="shared" si="46"/>
        <v>3.5548184716220559E-2</v>
      </c>
      <c r="R2744" s="29">
        <v>0.15003660775771735</v>
      </c>
      <c r="S2744" s="30">
        <v>3.8630000000000005E-2</v>
      </c>
    </row>
    <row r="2745" spans="16:19" x14ac:dyDescent="0.25">
      <c r="P2745" s="27">
        <v>3.2548184716220556E-2</v>
      </c>
      <c r="Q2745" s="28">
        <f t="shared" si="46"/>
        <v>3.5548184716220559E-2</v>
      </c>
      <c r="R2745" s="29">
        <v>0.15003660775771735</v>
      </c>
      <c r="S2745" s="30">
        <v>3.78E-2</v>
      </c>
    </row>
    <row r="2746" spans="16:19" x14ac:dyDescent="0.25">
      <c r="P2746" s="27">
        <v>3.2548184716220556E-2</v>
      </c>
      <c r="Q2746" s="28">
        <f t="shared" si="46"/>
        <v>3.5548184716220559E-2</v>
      </c>
      <c r="R2746" s="29">
        <v>0.15003660775771735</v>
      </c>
      <c r="S2746" s="30">
        <v>4.2049999999999997E-2</v>
      </c>
    </row>
    <row r="2747" spans="16:19" x14ac:dyDescent="0.25">
      <c r="P2747" s="27">
        <v>3.2548184716220556E-2</v>
      </c>
      <c r="Q2747" s="28">
        <f t="shared" si="46"/>
        <v>3.5548184716220559E-2</v>
      </c>
      <c r="R2747" s="29">
        <v>0.15003660775771735</v>
      </c>
      <c r="S2747" s="30">
        <v>4.3429999999999996E-2</v>
      </c>
    </row>
    <row r="2748" spans="16:19" x14ac:dyDescent="0.25">
      <c r="P2748" s="27">
        <v>3.2548184716220556E-2</v>
      </c>
      <c r="Q2748" s="28">
        <f t="shared" si="46"/>
        <v>3.5548184716220559E-2</v>
      </c>
      <c r="R2748" s="29">
        <v>0.15003660775771735</v>
      </c>
      <c r="S2748" s="30">
        <v>0.04</v>
      </c>
    </row>
    <row r="2749" spans="16:19" x14ac:dyDescent="0.25">
      <c r="P2749" s="27">
        <v>3.2548184716220556E-2</v>
      </c>
      <c r="Q2749" s="28">
        <f t="shared" si="46"/>
        <v>3.5548184716220559E-2</v>
      </c>
      <c r="R2749" s="29">
        <v>0.15003660775771735</v>
      </c>
      <c r="S2749" s="30">
        <v>3.7999999999999999E-2</v>
      </c>
    </row>
    <row r="2750" spans="16:19" x14ac:dyDescent="0.25">
      <c r="P2750" s="27">
        <v>3.2548184716220556E-2</v>
      </c>
      <c r="Q2750" s="28">
        <f t="shared" si="46"/>
        <v>3.5548184716220559E-2</v>
      </c>
      <c r="R2750" s="29">
        <v>0.15003660775771735</v>
      </c>
      <c r="S2750" s="30">
        <v>3.7359999999999997E-2</v>
      </c>
    </row>
    <row r="2751" spans="16:19" x14ac:dyDescent="0.25">
      <c r="P2751" s="27">
        <v>3.2548184716220556E-2</v>
      </c>
      <c r="Q2751" s="28">
        <f t="shared" si="46"/>
        <v>3.5548184716220559E-2</v>
      </c>
      <c r="R2751" s="29">
        <v>0.15003660775771735</v>
      </c>
      <c r="S2751" s="30">
        <v>3.6659999999999998E-2</v>
      </c>
    </row>
    <row r="2752" spans="16:19" x14ac:dyDescent="0.25">
      <c r="P2752" s="27">
        <v>3.2548184716220556E-2</v>
      </c>
      <c r="Q2752" s="28">
        <f t="shared" si="46"/>
        <v>3.5548184716220559E-2</v>
      </c>
      <c r="R2752" s="29">
        <v>0.15003660775771735</v>
      </c>
      <c r="S2752" s="30">
        <v>3.5580000000000001E-2</v>
      </c>
    </row>
    <row r="2753" spans="16:19" x14ac:dyDescent="0.25">
      <c r="P2753" s="27">
        <v>3.2548184716220556E-2</v>
      </c>
      <c r="Q2753" s="28">
        <f t="shared" si="46"/>
        <v>3.5548184716220559E-2</v>
      </c>
      <c r="R2753" s="29">
        <v>0.15003660775771735</v>
      </c>
      <c r="S2753" s="30">
        <v>3.4116287000000002E-2</v>
      </c>
    </row>
    <row r="2754" spans="16:19" x14ac:dyDescent="0.25">
      <c r="P2754" s="27">
        <v>3.2548184716220556E-2</v>
      </c>
      <c r="Q2754" s="28">
        <f t="shared" si="46"/>
        <v>3.5548184716220559E-2</v>
      </c>
      <c r="R2754" s="29">
        <v>0.15003660775771735</v>
      </c>
      <c r="S2754" s="30">
        <v>3.3149999999999999E-2</v>
      </c>
    </row>
    <row r="2755" spans="16:19" x14ac:dyDescent="0.25">
      <c r="P2755" s="27">
        <v>3.2548184716220556E-2</v>
      </c>
      <c r="Q2755" s="28">
        <f t="shared" si="46"/>
        <v>3.5548184716220559E-2</v>
      </c>
      <c r="R2755" s="29">
        <v>0.15003660775771735</v>
      </c>
      <c r="S2755" s="30">
        <v>3.4500000000000003E-2</v>
      </c>
    </row>
    <row r="2756" spans="16:19" x14ac:dyDescent="0.25">
      <c r="P2756" s="27">
        <v>3.2548184716220556E-2</v>
      </c>
      <c r="Q2756" s="28">
        <f t="shared" si="46"/>
        <v>3.5548184716220559E-2</v>
      </c>
      <c r="R2756" s="29">
        <v>0.15003660775771735</v>
      </c>
      <c r="S2756" s="30">
        <v>3.6200000000000003E-2</v>
      </c>
    </row>
    <row r="2757" spans="16:19" x14ac:dyDescent="0.25">
      <c r="P2757" s="27">
        <v>3.2548184716220556E-2</v>
      </c>
      <c r="Q2757" s="28">
        <f t="shared" ref="Q2757:Q2820" si="47">P2757+0.003</f>
        <v>3.5548184716220559E-2</v>
      </c>
      <c r="R2757" s="29">
        <v>0.15003660775771735</v>
      </c>
      <c r="S2757" s="30">
        <v>0.04</v>
      </c>
    </row>
    <row r="2758" spans="16:19" x14ac:dyDescent="0.25">
      <c r="P2758" s="27">
        <v>3.2548184716220556E-2</v>
      </c>
      <c r="Q2758" s="28">
        <f t="shared" si="47"/>
        <v>3.5548184716220559E-2</v>
      </c>
      <c r="R2758" s="29">
        <v>0.15003660775771735</v>
      </c>
      <c r="S2758" s="30">
        <v>5.0939999999999999E-2</v>
      </c>
    </row>
    <row r="2759" spans="16:19" x14ac:dyDescent="0.25">
      <c r="P2759" s="27">
        <v>3.2548184716220556E-2</v>
      </c>
      <c r="Q2759" s="28">
        <f t="shared" si="47"/>
        <v>3.5548184716220559E-2</v>
      </c>
      <c r="R2759" s="29">
        <v>0.15003660775771735</v>
      </c>
      <c r="S2759" s="30">
        <v>6.9989999999999997E-2</v>
      </c>
    </row>
    <row r="2760" spans="16:19" x14ac:dyDescent="0.25">
      <c r="P2760" s="27">
        <v>3.2548184716220556E-2</v>
      </c>
      <c r="Q2760" s="28">
        <f t="shared" si="47"/>
        <v>3.5548184716220559E-2</v>
      </c>
      <c r="R2760" s="29">
        <v>0.15003660775771735</v>
      </c>
      <c r="S2760" s="30">
        <v>5.7610000000000001E-2</v>
      </c>
    </row>
    <row r="2761" spans="16:19" x14ac:dyDescent="0.25">
      <c r="P2761" s="27">
        <v>3.2548184716220556E-2</v>
      </c>
      <c r="Q2761" s="28">
        <f t="shared" si="47"/>
        <v>3.5548184716220559E-2</v>
      </c>
      <c r="R2761" s="29">
        <v>0.15003660775771735</v>
      </c>
      <c r="S2761" s="30">
        <v>5.2940000000000001E-2</v>
      </c>
    </row>
    <row r="2762" spans="16:19" x14ac:dyDescent="0.25">
      <c r="P2762" s="27">
        <v>3.2548184716220556E-2</v>
      </c>
      <c r="Q2762" s="28">
        <f t="shared" si="47"/>
        <v>3.5548184716220559E-2</v>
      </c>
      <c r="R2762" s="29">
        <v>0.15003660775771735</v>
      </c>
      <c r="S2762" s="30">
        <v>5.0650000000000001E-2</v>
      </c>
    </row>
    <row r="2763" spans="16:19" x14ac:dyDescent="0.25">
      <c r="P2763" s="27">
        <v>3.2548184716220556E-2</v>
      </c>
      <c r="Q2763" s="28">
        <f t="shared" si="47"/>
        <v>3.5548184716220559E-2</v>
      </c>
      <c r="R2763" s="29">
        <v>0.15003660775771735</v>
      </c>
      <c r="S2763" s="30">
        <v>6.4000000000000001E-2</v>
      </c>
    </row>
    <row r="2764" spans="16:19" x14ac:dyDescent="0.25">
      <c r="P2764" s="27">
        <v>3.2548184716220556E-2</v>
      </c>
      <c r="Q2764" s="28">
        <f t="shared" si="47"/>
        <v>3.5548184716220559E-2</v>
      </c>
      <c r="R2764" s="29">
        <v>0.15003660775771735</v>
      </c>
      <c r="S2764" s="30">
        <v>4.8129999999999999E-2</v>
      </c>
    </row>
    <row r="2765" spans="16:19" x14ac:dyDescent="0.25">
      <c r="P2765" s="27">
        <v>3.2548184716220556E-2</v>
      </c>
      <c r="Q2765" s="28">
        <f t="shared" si="47"/>
        <v>3.5548184716220559E-2</v>
      </c>
      <c r="R2765" s="29">
        <v>0.15003660775771735</v>
      </c>
      <c r="S2765" s="30">
        <v>4.1500000000000002E-2</v>
      </c>
    </row>
    <row r="2766" spans="16:19" x14ac:dyDescent="0.25">
      <c r="P2766" s="27">
        <v>3.2548184716220556E-2</v>
      </c>
      <c r="Q2766" s="28">
        <f t="shared" si="47"/>
        <v>3.5548184716220559E-2</v>
      </c>
      <c r="R2766" s="29">
        <v>0.15003660775771735</v>
      </c>
      <c r="S2766" s="30">
        <v>3.9329999999999997E-2</v>
      </c>
    </row>
    <row r="2767" spans="16:19" x14ac:dyDescent="0.25">
      <c r="P2767" s="27">
        <v>3.2548184716220556E-2</v>
      </c>
      <c r="Q2767" s="28">
        <f t="shared" si="47"/>
        <v>3.5548184716220559E-2</v>
      </c>
      <c r="R2767" s="29">
        <v>0.15003660775771735</v>
      </c>
      <c r="S2767" s="30">
        <v>3.9409999999999994E-2</v>
      </c>
    </row>
    <row r="2768" spans="16:19" x14ac:dyDescent="0.25">
      <c r="P2768" s="27">
        <v>3.2548184716220556E-2</v>
      </c>
      <c r="Q2768" s="28">
        <f t="shared" si="47"/>
        <v>3.5548184716220559E-2</v>
      </c>
      <c r="R2768" s="29">
        <v>0.15003660775771735</v>
      </c>
      <c r="S2768" s="30">
        <v>4.4499999999999998E-2</v>
      </c>
    </row>
    <row r="2769" spans="16:19" x14ac:dyDescent="0.25">
      <c r="P2769" s="27">
        <v>3.2548184716220556E-2</v>
      </c>
      <c r="Q2769" s="28">
        <f t="shared" si="47"/>
        <v>3.5548184716220559E-2</v>
      </c>
      <c r="R2769" s="29">
        <v>0.15003660775771735</v>
      </c>
      <c r="S2769" s="30">
        <v>4.5999999999999999E-2</v>
      </c>
    </row>
    <row r="2770" spans="16:19" x14ac:dyDescent="0.25">
      <c r="P2770" s="27">
        <v>3.2548184716220556E-2</v>
      </c>
      <c r="Q2770" s="28">
        <f t="shared" si="47"/>
        <v>3.5548184716220559E-2</v>
      </c>
      <c r="R2770" s="29">
        <v>0.15003660775771735</v>
      </c>
      <c r="S2770" s="30">
        <v>4.9110205999999997E-2</v>
      </c>
    </row>
    <row r="2771" spans="16:19" x14ac:dyDescent="0.25">
      <c r="P2771" s="27">
        <v>3.2548184716220556E-2</v>
      </c>
      <c r="Q2771" s="28">
        <f t="shared" si="47"/>
        <v>3.5548184716220559E-2</v>
      </c>
      <c r="R2771" s="31">
        <v>0.15939660775771733</v>
      </c>
      <c r="S2771" s="32">
        <v>5.4009999999999996E-2</v>
      </c>
    </row>
    <row r="2772" spans="16:19" x14ac:dyDescent="0.25">
      <c r="P2772" s="27">
        <v>3.2548184716220556E-2</v>
      </c>
      <c r="Q2772" s="28">
        <f t="shared" si="47"/>
        <v>3.5548184716220559E-2</v>
      </c>
      <c r="R2772" s="33">
        <v>0.16282860775771735</v>
      </c>
      <c r="S2772" s="34">
        <v>5.3710000000000001E-2</v>
      </c>
    </row>
    <row r="2773" spans="16:19" x14ac:dyDescent="0.25">
      <c r="P2773" s="27">
        <v>3.2548184716220556E-2</v>
      </c>
      <c r="Q2773" s="28">
        <f t="shared" si="47"/>
        <v>3.5548184716220559E-2</v>
      </c>
      <c r="R2773" s="33">
        <v>0.16282860775771735</v>
      </c>
      <c r="S2773" s="34">
        <v>5.1229999999999998E-2</v>
      </c>
    </row>
    <row r="2774" spans="16:19" x14ac:dyDescent="0.25">
      <c r="P2774" s="27">
        <v>3.2548184716220556E-2</v>
      </c>
      <c r="Q2774" s="28">
        <f t="shared" si="47"/>
        <v>3.5548184716220559E-2</v>
      </c>
      <c r="R2774" s="33">
        <v>0.16282860775771735</v>
      </c>
      <c r="S2774" s="34">
        <v>0.05</v>
      </c>
    </row>
    <row r="2775" spans="16:19" x14ac:dyDescent="0.25">
      <c r="P2775" s="27">
        <v>3.2548184716220556E-2</v>
      </c>
      <c r="Q2775" s="28">
        <f t="shared" si="47"/>
        <v>3.5548184716220559E-2</v>
      </c>
      <c r="R2775" s="33">
        <v>0.16282860775771735</v>
      </c>
      <c r="S2775" s="34">
        <v>4.5999999999999999E-2</v>
      </c>
    </row>
    <row r="2776" spans="16:19" x14ac:dyDescent="0.25">
      <c r="P2776" s="27">
        <v>3.2548184716220556E-2</v>
      </c>
      <c r="Q2776" s="28">
        <f t="shared" si="47"/>
        <v>3.5548184716220559E-2</v>
      </c>
      <c r="R2776" s="33">
        <v>0.16282860775771735</v>
      </c>
      <c r="S2776" s="34">
        <v>3.9329999999999997E-2</v>
      </c>
    </row>
    <row r="2777" spans="16:19" x14ac:dyDescent="0.25">
      <c r="P2777" s="27">
        <v>3.2548184716220556E-2</v>
      </c>
      <c r="Q2777" s="28">
        <f t="shared" si="47"/>
        <v>3.5548184716220559E-2</v>
      </c>
      <c r="R2777" s="33">
        <v>0.16282860775771735</v>
      </c>
      <c r="S2777" s="34">
        <v>0.04</v>
      </c>
    </row>
    <row r="2778" spans="16:19" x14ac:dyDescent="0.25">
      <c r="P2778" s="27">
        <v>3.2548184716220556E-2</v>
      </c>
      <c r="Q2778" s="28">
        <f t="shared" si="47"/>
        <v>3.5548184716220559E-2</v>
      </c>
      <c r="R2778" s="33">
        <v>0.16282860775771735</v>
      </c>
      <c r="S2778" s="34">
        <v>4.7600000000000003E-2</v>
      </c>
    </row>
    <row r="2779" spans="16:19" x14ac:dyDescent="0.25">
      <c r="P2779" s="27">
        <v>3.2548184716220556E-2</v>
      </c>
      <c r="Q2779" s="28">
        <f t="shared" si="47"/>
        <v>3.5548184716220559E-2</v>
      </c>
      <c r="R2779" s="33">
        <v>0.16282860775771735</v>
      </c>
      <c r="S2779" s="34">
        <v>4.999E-2</v>
      </c>
    </row>
    <row r="2780" spans="16:19" x14ac:dyDescent="0.25">
      <c r="P2780" s="27">
        <v>3.2548184716220556E-2</v>
      </c>
      <c r="Q2780" s="28">
        <f t="shared" si="47"/>
        <v>3.5548184716220559E-2</v>
      </c>
      <c r="R2780" s="33">
        <v>0.16282860775771735</v>
      </c>
      <c r="S2780" s="34">
        <v>4.9540000000000001E-2</v>
      </c>
    </row>
    <row r="2781" spans="16:19" x14ac:dyDescent="0.25">
      <c r="P2781" s="27">
        <v>3.2548184716220556E-2</v>
      </c>
      <c r="Q2781" s="28">
        <f t="shared" si="47"/>
        <v>3.5548184716220559E-2</v>
      </c>
      <c r="R2781" s="33">
        <v>0.16282860775771735</v>
      </c>
      <c r="S2781" s="34">
        <v>0.05</v>
      </c>
    </row>
    <row r="2782" spans="16:19" x14ac:dyDescent="0.25">
      <c r="P2782" s="27">
        <v>3.2548184716220556E-2</v>
      </c>
      <c r="Q2782" s="28">
        <f t="shared" si="47"/>
        <v>3.5548184716220559E-2</v>
      </c>
      <c r="R2782" s="33">
        <v>0.16282860775771735</v>
      </c>
      <c r="S2782" s="34">
        <v>5.6000000000000001E-2</v>
      </c>
    </row>
    <row r="2783" spans="16:19" x14ac:dyDescent="0.25">
      <c r="P2783" s="27">
        <v>3.2548184716220556E-2</v>
      </c>
      <c r="Q2783" s="28">
        <f t="shared" si="47"/>
        <v>3.5548184716220559E-2</v>
      </c>
      <c r="R2783" s="31">
        <v>0.15939660775771733</v>
      </c>
      <c r="S2783" s="32">
        <v>7.4990000000000001E-2</v>
      </c>
    </row>
    <row r="2784" spans="16:19" x14ac:dyDescent="0.25">
      <c r="P2784" s="27">
        <v>3.2548184716220556E-2</v>
      </c>
      <c r="Q2784" s="28">
        <f t="shared" si="47"/>
        <v>3.5548184716220559E-2</v>
      </c>
      <c r="R2784" s="31">
        <v>0.15939660775771733</v>
      </c>
      <c r="S2784" s="32">
        <v>5.3869999999999994E-2</v>
      </c>
    </row>
    <row r="2785" spans="16:19" x14ac:dyDescent="0.25">
      <c r="P2785" s="27">
        <v>3.2548184716220556E-2</v>
      </c>
      <c r="Q2785" s="28">
        <f t="shared" si="47"/>
        <v>3.5548184716220559E-2</v>
      </c>
      <c r="R2785" s="31">
        <v>0.15939660775771733</v>
      </c>
      <c r="S2785" s="32">
        <v>5.1240000000000001E-2</v>
      </c>
    </row>
    <row r="2786" spans="16:19" x14ac:dyDescent="0.25">
      <c r="P2786" s="27">
        <v>3.2548184716220556E-2</v>
      </c>
      <c r="Q2786" s="28">
        <f t="shared" si="47"/>
        <v>3.5548184716220559E-2</v>
      </c>
      <c r="R2786" s="31">
        <v>0.15939660775771733</v>
      </c>
      <c r="S2786" s="32">
        <v>4.8000000000000001E-2</v>
      </c>
    </row>
    <row r="2787" spans="16:19" x14ac:dyDescent="0.25">
      <c r="P2787" s="27">
        <v>3.2548184716220556E-2</v>
      </c>
      <c r="Q2787" s="28">
        <f t="shared" si="47"/>
        <v>3.5548184716220559E-2</v>
      </c>
      <c r="R2787" s="29">
        <v>0.15003660775771735</v>
      </c>
      <c r="S2787" s="30">
        <v>5.5009999999999996E-2</v>
      </c>
    </row>
    <row r="2788" spans="16:19" x14ac:dyDescent="0.25">
      <c r="P2788" s="27">
        <v>3.2548184716220556E-2</v>
      </c>
      <c r="Q2788" s="28">
        <f t="shared" si="47"/>
        <v>3.5548184716220559E-2</v>
      </c>
      <c r="R2788" s="29">
        <v>0.15003660775771735</v>
      </c>
      <c r="S2788" s="30">
        <v>4.8000000000000001E-2</v>
      </c>
    </row>
    <row r="2789" spans="16:19" x14ac:dyDescent="0.25">
      <c r="P2789" s="27">
        <v>3.2548184716220556E-2</v>
      </c>
      <c r="Q2789" s="28">
        <f t="shared" si="47"/>
        <v>3.5548184716220559E-2</v>
      </c>
      <c r="R2789" s="29">
        <v>0.15003660775771735</v>
      </c>
      <c r="S2789" s="30">
        <v>3.9530000000000003E-2</v>
      </c>
    </row>
    <row r="2790" spans="16:19" x14ac:dyDescent="0.25">
      <c r="P2790" s="27">
        <v>3.2548184716220556E-2</v>
      </c>
      <c r="Q2790" s="28">
        <f t="shared" si="47"/>
        <v>3.5548184716220559E-2</v>
      </c>
      <c r="R2790" s="29">
        <v>0.15003660775771735</v>
      </c>
      <c r="S2790" s="30">
        <v>3.7260000000000001E-2</v>
      </c>
    </row>
    <row r="2791" spans="16:19" x14ac:dyDescent="0.25">
      <c r="P2791" s="27">
        <v>3.2548184716220556E-2</v>
      </c>
      <c r="Q2791" s="28">
        <f t="shared" si="47"/>
        <v>3.5548184716220559E-2</v>
      </c>
      <c r="R2791" s="29">
        <v>0.15003660775771735</v>
      </c>
      <c r="S2791" s="30">
        <v>3.7260000000000001E-2</v>
      </c>
    </row>
    <row r="2792" spans="16:19" x14ac:dyDescent="0.25">
      <c r="P2792" s="27">
        <v>3.2548184716220556E-2</v>
      </c>
      <c r="Q2792" s="28">
        <f t="shared" si="47"/>
        <v>3.5548184716220559E-2</v>
      </c>
      <c r="R2792" s="29">
        <v>0.15003660775771735</v>
      </c>
      <c r="S2792" s="30">
        <v>3.7450000000000004E-2</v>
      </c>
    </row>
    <row r="2793" spans="16:19" x14ac:dyDescent="0.25">
      <c r="P2793" s="27">
        <v>3.2548184716220556E-2</v>
      </c>
      <c r="Q2793" s="28">
        <f t="shared" si="47"/>
        <v>3.5548184716220559E-2</v>
      </c>
      <c r="R2793" s="29">
        <v>0.15003660775771735</v>
      </c>
      <c r="S2793" s="30">
        <v>3.551E-2</v>
      </c>
    </row>
    <row r="2794" spans="16:19" x14ac:dyDescent="0.25">
      <c r="P2794" s="27">
        <v>3.2548184716220556E-2</v>
      </c>
      <c r="Q2794" s="28">
        <f t="shared" si="47"/>
        <v>3.5548184716220559E-2</v>
      </c>
      <c r="R2794" s="29">
        <v>0.15003660775771735</v>
      </c>
      <c r="S2794" s="30">
        <v>3.3100000000000004E-2</v>
      </c>
    </row>
    <row r="2795" spans="16:19" x14ac:dyDescent="0.25">
      <c r="P2795" s="27">
        <v>3.2548184716220556E-2</v>
      </c>
      <c r="Q2795" s="28">
        <f t="shared" si="47"/>
        <v>3.5548184716220559E-2</v>
      </c>
      <c r="R2795" s="31">
        <v>0.15939660775771733</v>
      </c>
      <c r="S2795" s="32">
        <v>3.7999999999999999E-2</v>
      </c>
    </row>
    <row r="2796" spans="16:19" x14ac:dyDescent="0.25">
      <c r="P2796" s="27">
        <v>3.2548184716220556E-2</v>
      </c>
      <c r="Q2796" s="28">
        <f t="shared" si="47"/>
        <v>3.5548184716220559E-2</v>
      </c>
      <c r="R2796" s="33">
        <v>0.16282860775771735</v>
      </c>
      <c r="S2796" s="34">
        <v>3.7999999999999999E-2</v>
      </c>
    </row>
    <row r="2797" spans="16:19" x14ac:dyDescent="0.25">
      <c r="P2797" s="27">
        <v>3.2548184716220556E-2</v>
      </c>
      <c r="Q2797" s="28">
        <f t="shared" si="47"/>
        <v>3.5548184716220559E-2</v>
      </c>
      <c r="R2797" s="33">
        <v>0.16282860775771735</v>
      </c>
      <c r="S2797" s="34">
        <v>3.7260000000000001E-2</v>
      </c>
    </row>
    <row r="2798" spans="16:19" x14ac:dyDescent="0.25">
      <c r="P2798" s="27">
        <v>3.2548184716220556E-2</v>
      </c>
      <c r="Q2798" s="28">
        <f t="shared" si="47"/>
        <v>3.5548184716220559E-2</v>
      </c>
      <c r="R2798" s="33">
        <v>0.16282860775771735</v>
      </c>
      <c r="S2798" s="34">
        <v>3.8630000000000005E-2</v>
      </c>
    </row>
    <row r="2799" spans="16:19" x14ac:dyDescent="0.25">
      <c r="P2799" s="27">
        <v>3.2548184716220556E-2</v>
      </c>
      <c r="Q2799" s="28">
        <f t="shared" si="47"/>
        <v>3.5548184716220559E-2</v>
      </c>
      <c r="R2799" s="33">
        <v>0.16282860775771735</v>
      </c>
      <c r="S2799" s="34">
        <v>4.5542700000000005E-2</v>
      </c>
    </row>
    <row r="2800" spans="16:19" x14ac:dyDescent="0.25">
      <c r="P2800" s="27">
        <v>3.2548184716220556E-2</v>
      </c>
      <c r="Q2800" s="28">
        <f t="shared" si="47"/>
        <v>3.5548184716220559E-2</v>
      </c>
      <c r="R2800" s="33">
        <v>0.16282860775771735</v>
      </c>
      <c r="S2800" s="34">
        <v>4.7200000000000006E-2</v>
      </c>
    </row>
    <row r="2801" spans="16:19" x14ac:dyDescent="0.25">
      <c r="P2801" s="27">
        <v>3.2548184716220556E-2</v>
      </c>
      <c r="Q2801" s="28">
        <f t="shared" si="47"/>
        <v>3.5548184716220559E-2</v>
      </c>
      <c r="R2801" s="33">
        <v>0.16282860775771735</v>
      </c>
      <c r="S2801" s="34">
        <v>4.8149999999999998E-2</v>
      </c>
    </row>
    <row r="2802" spans="16:19" x14ac:dyDescent="0.25">
      <c r="P2802" s="27">
        <v>3.2548184716220556E-2</v>
      </c>
      <c r="Q2802" s="28">
        <f t="shared" si="47"/>
        <v>3.5548184716220559E-2</v>
      </c>
      <c r="R2802" s="33">
        <v>0.16282860775771735</v>
      </c>
      <c r="S2802" s="34">
        <v>4.9880000000000001E-2</v>
      </c>
    </row>
    <row r="2803" spans="16:19" x14ac:dyDescent="0.25">
      <c r="P2803" s="27">
        <v>3.2548184716220556E-2</v>
      </c>
      <c r="Q2803" s="28">
        <f t="shared" si="47"/>
        <v>3.5548184716220559E-2</v>
      </c>
      <c r="R2803" s="33">
        <v>0.16282860775771735</v>
      </c>
      <c r="S2803" s="34">
        <v>4.9450000000000001E-2</v>
      </c>
    </row>
    <row r="2804" spans="16:19" x14ac:dyDescent="0.25">
      <c r="P2804" s="27">
        <v>3.2548184716220556E-2</v>
      </c>
      <c r="Q2804" s="28">
        <f t="shared" si="47"/>
        <v>3.5548184716220559E-2</v>
      </c>
      <c r="R2804" s="33">
        <v>0.16282860775771735</v>
      </c>
      <c r="S2804" s="34">
        <v>3.3090000000000001E-2</v>
      </c>
    </row>
    <row r="2805" spans="16:19" x14ac:dyDescent="0.25">
      <c r="P2805" s="27">
        <v>3.2548184716220556E-2</v>
      </c>
      <c r="Q2805" s="28">
        <f t="shared" si="47"/>
        <v>3.5548184716220559E-2</v>
      </c>
      <c r="R2805" s="33">
        <v>0.16282860775771735</v>
      </c>
      <c r="S2805" s="34">
        <v>3.85E-2</v>
      </c>
    </row>
    <row r="2806" spans="16:19" x14ac:dyDescent="0.25">
      <c r="P2806" s="27">
        <v>3.2548184716220556E-2</v>
      </c>
      <c r="Q2806" s="28">
        <f t="shared" si="47"/>
        <v>3.5548184716220559E-2</v>
      </c>
      <c r="R2806" s="33">
        <v>0.16282860775771735</v>
      </c>
      <c r="S2806" s="34">
        <v>4.6899999999999997E-2</v>
      </c>
    </row>
    <row r="2807" spans="16:19" x14ac:dyDescent="0.25">
      <c r="P2807" s="27">
        <v>3.2548184716220556E-2</v>
      </c>
      <c r="Q2807" s="28">
        <f t="shared" si="47"/>
        <v>3.5548184716220559E-2</v>
      </c>
      <c r="R2807" s="31">
        <v>0.15939660775771733</v>
      </c>
      <c r="S2807" s="32">
        <v>5.4890000000000001E-2</v>
      </c>
    </row>
    <row r="2808" spans="16:19" x14ac:dyDescent="0.25">
      <c r="P2808" s="27">
        <v>3.2548184716220556E-2</v>
      </c>
      <c r="Q2808" s="28">
        <f t="shared" si="47"/>
        <v>3.5548184716220559E-2</v>
      </c>
      <c r="R2808" s="31">
        <v>0.15939660775771733</v>
      </c>
      <c r="S2808" s="32">
        <v>5.1569999999999998E-2</v>
      </c>
    </row>
    <row r="2809" spans="16:19" x14ac:dyDescent="0.25">
      <c r="P2809" s="27">
        <v>3.2548184716220556E-2</v>
      </c>
      <c r="Q2809" s="28">
        <f t="shared" si="47"/>
        <v>3.5548184716220559E-2</v>
      </c>
      <c r="R2809" s="31">
        <v>0.15939660775771733</v>
      </c>
      <c r="S2809" s="32">
        <v>4.8469999999999999E-2</v>
      </c>
    </row>
    <row r="2810" spans="16:19" x14ac:dyDescent="0.25">
      <c r="P2810" s="27">
        <v>3.2548184716220556E-2</v>
      </c>
      <c r="Q2810" s="28">
        <f t="shared" si="47"/>
        <v>3.5548184716220559E-2</v>
      </c>
      <c r="R2810" s="31">
        <v>0.15939660775771733</v>
      </c>
      <c r="S2810" s="32">
        <v>4.4999999999999998E-2</v>
      </c>
    </row>
    <row r="2811" spans="16:19" x14ac:dyDescent="0.25">
      <c r="P2811" s="27">
        <v>3.2548184716220556E-2</v>
      </c>
      <c r="Q2811" s="28">
        <f t="shared" si="47"/>
        <v>3.5548184716220559E-2</v>
      </c>
      <c r="R2811" s="29">
        <v>0.15003660775771735</v>
      </c>
      <c r="S2811" s="30">
        <v>3.5650000000000001E-2</v>
      </c>
    </row>
    <row r="2812" spans="16:19" x14ac:dyDescent="0.25">
      <c r="P2812" s="27">
        <v>3.2548184716220556E-2</v>
      </c>
      <c r="Q2812" s="28">
        <f t="shared" si="47"/>
        <v>3.5548184716220559E-2</v>
      </c>
      <c r="R2812" s="29">
        <v>0.15003660775771735</v>
      </c>
      <c r="S2812" s="30">
        <v>2.8670000000000001E-2</v>
      </c>
    </row>
    <row r="2813" spans="16:19" x14ac:dyDescent="0.25">
      <c r="P2813" s="27">
        <v>3.2548184716220556E-2</v>
      </c>
      <c r="Q2813" s="28">
        <f t="shared" si="47"/>
        <v>3.5548184716220559E-2</v>
      </c>
      <c r="R2813" s="29">
        <v>0.15003660775771735</v>
      </c>
      <c r="S2813" s="30">
        <v>2.4640000000000002E-2</v>
      </c>
    </row>
    <row r="2814" spans="16:19" x14ac:dyDescent="0.25">
      <c r="P2814" s="27">
        <v>3.2548184716220556E-2</v>
      </c>
      <c r="Q2814" s="28">
        <f t="shared" si="47"/>
        <v>3.5548184716220559E-2</v>
      </c>
      <c r="R2814" s="29">
        <v>0.15003660775771735</v>
      </c>
      <c r="S2814" s="30">
        <v>2.2870000000000001E-2</v>
      </c>
    </row>
    <row r="2815" spans="16:19" x14ac:dyDescent="0.25">
      <c r="P2815" s="27">
        <v>3.2548184716220556E-2</v>
      </c>
      <c r="Q2815" s="28">
        <f t="shared" si="47"/>
        <v>3.5548184716220559E-2</v>
      </c>
      <c r="R2815" s="29">
        <v>0.15003660775771735</v>
      </c>
      <c r="S2815" s="30">
        <v>2.4899999999999999E-2</v>
      </c>
    </row>
    <row r="2816" spans="16:19" x14ac:dyDescent="0.25">
      <c r="P2816" s="27">
        <v>3.2548184716220556E-2</v>
      </c>
      <c r="Q2816" s="28">
        <f t="shared" si="47"/>
        <v>3.5548184716220559E-2</v>
      </c>
      <c r="R2816" s="29">
        <v>0.15003660775771735</v>
      </c>
      <c r="S2816" s="30">
        <v>3.2710000000000003E-2</v>
      </c>
    </row>
    <row r="2817" spans="16:19" x14ac:dyDescent="0.25">
      <c r="P2817" s="27">
        <v>3.2548184716220556E-2</v>
      </c>
      <c r="Q2817" s="28">
        <f t="shared" si="47"/>
        <v>3.5548184716220559E-2</v>
      </c>
      <c r="R2817" s="29">
        <v>0.15003660775771735</v>
      </c>
      <c r="S2817" s="30">
        <v>4.4999999999999998E-2</v>
      </c>
    </row>
    <row r="2818" spans="16:19" x14ac:dyDescent="0.25">
      <c r="P2818" s="27">
        <v>3.2548184716220556E-2</v>
      </c>
      <c r="Q2818" s="28">
        <f t="shared" si="47"/>
        <v>3.5548184716220559E-2</v>
      </c>
      <c r="R2818" s="29">
        <v>0.15003660775771735</v>
      </c>
      <c r="S2818" s="30">
        <v>5.8029999999999998E-2</v>
      </c>
    </row>
    <row r="2819" spans="16:19" x14ac:dyDescent="0.25">
      <c r="P2819" s="27">
        <v>3.2548184716220556E-2</v>
      </c>
      <c r="Q2819" s="28">
        <f t="shared" si="47"/>
        <v>3.5548184716220559E-2</v>
      </c>
      <c r="R2819" s="31">
        <v>0.15939999999999999</v>
      </c>
      <c r="S2819" s="32">
        <v>0.12668818500000001</v>
      </c>
    </row>
    <row r="2820" spans="16:19" x14ac:dyDescent="0.25">
      <c r="P2820" s="27">
        <v>3.2548184716220556E-2</v>
      </c>
      <c r="Q2820" s="28">
        <f t="shared" si="47"/>
        <v>3.5548184716220559E-2</v>
      </c>
      <c r="R2820" s="31">
        <v>0.15939999999999999</v>
      </c>
      <c r="S2820" s="32">
        <v>0.14004</v>
      </c>
    </row>
    <row r="2821" spans="16:19" x14ac:dyDescent="0.25">
      <c r="P2821" s="27">
        <v>3.2548184716220556E-2</v>
      </c>
      <c r="Q2821" s="28">
        <f t="shared" ref="Q2821:Q2884" si="48">P2821+0.003</f>
        <v>3.5548184716220559E-2</v>
      </c>
      <c r="R2821" s="31">
        <v>0.15939999999999999</v>
      </c>
      <c r="S2821" s="32">
        <v>0.102077168</v>
      </c>
    </row>
    <row r="2822" spans="16:19" x14ac:dyDescent="0.25">
      <c r="P2822" s="27">
        <v>3.2548184716220556E-2</v>
      </c>
      <c r="Q2822" s="28">
        <f t="shared" si="48"/>
        <v>3.5548184716220559E-2</v>
      </c>
      <c r="R2822" s="31">
        <v>0.15939999999999999</v>
      </c>
      <c r="S2822" s="32">
        <v>0.104312586</v>
      </c>
    </row>
    <row r="2823" spans="16:19" x14ac:dyDescent="0.25">
      <c r="P2823" s="27">
        <v>3.2548184716220556E-2</v>
      </c>
      <c r="Q2823" s="28">
        <f t="shared" si="48"/>
        <v>3.5548184716220559E-2</v>
      </c>
      <c r="R2823" s="31">
        <v>0.15939999999999999</v>
      </c>
      <c r="S2823" s="32">
        <v>6.1710000000000001E-2</v>
      </c>
    </row>
    <row r="2824" spans="16:19" x14ac:dyDescent="0.25">
      <c r="P2824" s="27">
        <v>3.2548184716220556E-2</v>
      </c>
      <c r="Q2824" s="28">
        <f t="shared" si="48"/>
        <v>3.5548184716220559E-2</v>
      </c>
      <c r="R2824" s="31">
        <v>0.15939999999999999</v>
      </c>
      <c r="S2824" s="32">
        <v>6.7989999999999995E-2</v>
      </c>
    </row>
    <row r="2825" spans="16:19" x14ac:dyDescent="0.25">
      <c r="P2825" s="27">
        <v>3.2548184716220556E-2</v>
      </c>
      <c r="Q2825" s="28">
        <f t="shared" si="48"/>
        <v>3.5548184716220559E-2</v>
      </c>
      <c r="R2825" s="31">
        <v>0.15939999999999999</v>
      </c>
      <c r="S2825" s="32">
        <v>9.104000000000001E-2</v>
      </c>
    </row>
    <row r="2826" spans="16:19" x14ac:dyDescent="0.25">
      <c r="P2826" s="27">
        <v>3.2548184716220556E-2</v>
      </c>
      <c r="Q2826" s="28">
        <f t="shared" si="48"/>
        <v>3.5548184716220559E-2</v>
      </c>
      <c r="R2826" s="31">
        <v>0.15939999999999999</v>
      </c>
      <c r="S2826" s="32">
        <v>9.1060000000000002E-2</v>
      </c>
    </row>
    <row r="2827" spans="16:19" x14ac:dyDescent="0.25">
      <c r="P2827" s="27">
        <v>3.2548184716220556E-2</v>
      </c>
      <c r="Q2827" s="28">
        <f t="shared" si="48"/>
        <v>3.5548184716220559E-2</v>
      </c>
      <c r="R2827" s="31">
        <v>0.15939999999999999</v>
      </c>
      <c r="S2827" s="32">
        <v>0.12999000000000002</v>
      </c>
    </row>
    <row r="2828" spans="16:19" x14ac:dyDescent="0.25">
      <c r="P2828" s="27">
        <v>3.2548184716220556E-2</v>
      </c>
      <c r="Q2828" s="28">
        <f t="shared" si="48"/>
        <v>3.5548184716220559E-2</v>
      </c>
      <c r="R2828" s="31">
        <v>0.15939999999999999</v>
      </c>
      <c r="S2828" s="32">
        <v>7.1800000000000003E-2</v>
      </c>
    </row>
    <row r="2829" spans="16:19" x14ac:dyDescent="0.25">
      <c r="P2829" s="27">
        <v>3.2548184716220556E-2</v>
      </c>
      <c r="Q2829" s="28">
        <f t="shared" si="48"/>
        <v>3.5548184716220559E-2</v>
      </c>
      <c r="R2829" s="31">
        <v>0.15939999999999999</v>
      </c>
      <c r="S2829" s="32">
        <v>6.3549999999999995E-2</v>
      </c>
    </row>
    <row r="2830" spans="16:19" x14ac:dyDescent="0.25">
      <c r="P2830" s="27">
        <v>3.2548184716220556E-2</v>
      </c>
      <c r="Q2830" s="28">
        <f t="shared" si="48"/>
        <v>3.5548184716220559E-2</v>
      </c>
      <c r="R2830" s="31">
        <v>0.15939999999999999</v>
      </c>
      <c r="S2830" s="32">
        <v>6.1499999999999999E-2</v>
      </c>
    </row>
    <row r="2831" spans="16:19" x14ac:dyDescent="0.25">
      <c r="P2831" s="27">
        <v>3.2548184716220556E-2</v>
      </c>
      <c r="Q2831" s="28">
        <f t="shared" si="48"/>
        <v>3.5548184716220559E-2</v>
      </c>
      <c r="R2831" s="31">
        <v>0.15939999999999999</v>
      </c>
      <c r="S2831" s="32">
        <v>7.911E-2</v>
      </c>
    </row>
    <row r="2832" spans="16:19" x14ac:dyDescent="0.25">
      <c r="P2832" s="27">
        <v>3.2548184716220556E-2</v>
      </c>
      <c r="Q2832" s="28">
        <f t="shared" si="48"/>
        <v>3.5548184716220559E-2</v>
      </c>
      <c r="R2832" s="31">
        <v>0.15939999999999999</v>
      </c>
      <c r="S2832" s="32">
        <v>5.7630000000000001E-2</v>
      </c>
    </row>
    <row r="2833" spans="16:19" x14ac:dyDescent="0.25">
      <c r="P2833" s="27">
        <v>3.2548184716220556E-2</v>
      </c>
      <c r="Q2833" s="28">
        <f t="shared" si="48"/>
        <v>3.5548184716220559E-2</v>
      </c>
      <c r="R2833" s="31">
        <v>0.15939999999999999</v>
      </c>
      <c r="S2833" s="32">
        <v>5.1479999999999998E-2</v>
      </c>
    </row>
    <row r="2834" spans="16:19" x14ac:dyDescent="0.25">
      <c r="P2834" s="27">
        <v>3.2548184716220556E-2</v>
      </c>
      <c r="Q2834" s="28">
        <f t="shared" si="48"/>
        <v>3.5548184716220559E-2</v>
      </c>
      <c r="R2834" s="31">
        <v>0.15939999999999999</v>
      </c>
      <c r="S2834" s="32">
        <v>4.8000000000000001E-2</v>
      </c>
    </row>
    <row r="2835" spans="16:19" x14ac:dyDescent="0.25">
      <c r="P2835" s="27">
        <v>3.2548184716220556E-2</v>
      </c>
      <c r="Q2835" s="28">
        <f t="shared" si="48"/>
        <v>3.5548184716220559E-2</v>
      </c>
      <c r="R2835" s="29">
        <v>0.15</v>
      </c>
      <c r="S2835" s="30">
        <v>4.4999999999999998E-2</v>
      </c>
    </row>
    <row r="2836" spans="16:19" x14ac:dyDescent="0.25">
      <c r="P2836" s="27">
        <v>3.2548184716220556E-2</v>
      </c>
      <c r="Q2836" s="28">
        <f t="shared" si="48"/>
        <v>3.5548184716220559E-2</v>
      </c>
      <c r="R2836" s="29">
        <v>0.15</v>
      </c>
      <c r="S2836" s="30">
        <v>3.848E-2</v>
      </c>
    </row>
    <row r="2837" spans="16:19" x14ac:dyDescent="0.25">
      <c r="P2837" s="27">
        <v>3.2548184716220556E-2</v>
      </c>
      <c r="Q2837" s="28">
        <f t="shared" si="48"/>
        <v>3.5548184716220559E-2</v>
      </c>
      <c r="R2837" s="29">
        <v>0.15</v>
      </c>
      <c r="S2837" s="30">
        <v>3.2710000000000003E-2</v>
      </c>
    </row>
    <row r="2838" spans="16:19" x14ac:dyDescent="0.25">
      <c r="P2838" s="27">
        <v>3.2548184716220556E-2</v>
      </c>
      <c r="Q2838" s="28">
        <f t="shared" si="48"/>
        <v>3.5548184716220559E-2</v>
      </c>
      <c r="R2838" s="29">
        <v>0.15</v>
      </c>
      <c r="S2838" s="30">
        <v>3.2710000000000003E-2</v>
      </c>
    </row>
    <row r="2839" spans="16:19" x14ac:dyDescent="0.25">
      <c r="P2839" s="27">
        <v>3.2548184716220556E-2</v>
      </c>
      <c r="Q2839" s="28">
        <f t="shared" si="48"/>
        <v>3.5548184716220559E-2</v>
      </c>
      <c r="R2839" s="29">
        <v>0.15</v>
      </c>
      <c r="S2839" s="30">
        <v>3.2710000000000003E-2</v>
      </c>
    </row>
    <row r="2840" spans="16:19" x14ac:dyDescent="0.25">
      <c r="P2840" s="27">
        <v>3.2548184716220556E-2</v>
      </c>
      <c r="Q2840" s="28">
        <f t="shared" si="48"/>
        <v>3.5548184716220559E-2</v>
      </c>
      <c r="R2840" s="29">
        <v>0.15</v>
      </c>
      <c r="S2840" s="30">
        <v>3.61E-2</v>
      </c>
    </row>
    <row r="2841" spans="16:19" x14ac:dyDescent="0.25">
      <c r="P2841" s="27">
        <v>3.2548184716220556E-2</v>
      </c>
      <c r="Q2841" s="28">
        <f t="shared" si="48"/>
        <v>3.5548184716220559E-2</v>
      </c>
      <c r="R2841" s="29">
        <v>0.15</v>
      </c>
      <c r="S2841" s="30">
        <v>4.4999999999999998E-2</v>
      </c>
    </row>
    <row r="2842" spans="16:19" x14ac:dyDescent="0.25">
      <c r="P2842" s="27">
        <v>3.2548184716220556E-2</v>
      </c>
      <c r="Q2842" s="28">
        <f t="shared" si="48"/>
        <v>3.5548184716220559E-2</v>
      </c>
      <c r="R2842" s="29">
        <v>0.15</v>
      </c>
      <c r="S2842" s="30">
        <v>5.6930016999999999E-2</v>
      </c>
    </row>
    <row r="2843" spans="16:19" x14ac:dyDescent="0.25">
      <c r="P2843" s="27">
        <v>3.2548184716220556E-2</v>
      </c>
      <c r="Q2843" s="28">
        <f t="shared" si="48"/>
        <v>3.5548184716220559E-2</v>
      </c>
      <c r="R2843" s="29">
        <v>0.15</v>
      </c>
      <c r="S2843" s="30">
        <v>8.7569999999999995E-2</v>
      </c>
    </row>
    <row r="2844" spans="16:19" x14ac:dyDescent="0.25">
      <c r="P2844" s="27">
        <v>3.2548184716220556E-2</v>
      </c>
      <c r="Q2844" s="28">
        <f t="shared" si="48"/>
        <v>3.5548184716220559E-2</v>
      </c>
      <c r="R2844" s="29">
        <v>0.15</v>
      </c>
      <c r="S2844" s="30">
        <v>7.490999999999999E-2</v>
      </c>
    </row>
    <row r="2845" spans="16:19" x14ac:dyDescent="0.25">
      <c r="P2845" s="27">
        <v>3.2548184716220556E-2</v>
      </c>
      <c r="Q2845" s="28">
        <f t="shared" si="48"/>
        <v>3.5548184716220559E-2</v>
      </c>
      <c r="R2845" s="29">
        <v>0.15</v>
      </c>
      <c r="S2845" s="30">
        <v>6.3299999999999995E-2</v>
      </c>
    </row>
    <row r="2846" spans="16:19" x14ac:dyDescent="0.25">
      <c r="P2846" s="27">
        <v>3.2548184716220556E-2</v>
      </c>
      <c r="Q2846" s="28">
        <f t="shared" si="48"/>
        <v>3.5548184716220559E-2</v>
      </c>
      <c r="R2846" s="29">
        <v>0.15</v>
      </c>
      <c r="S2846" s="30">
        <v>0.06</v>
      </c>
    </row>
    <row r="2847" spans="16:19" x14ac:dyDescent="0.25">
      <c r="P2847" s="27">
        <v>3.2548184716220556E-2</v>
      </c>
      <c r="Q2847" s="28">
        <f t="shared" si="48"/>
        <v>3.5548184716220559E-2</v>
      </c>
      <c r="R2847" s="29">
        <v>0.15</v>
      </c>
      <c r="S2847" s="30">
        <v>5.3999999999999999E-2</v>
      </c>
    </row>
    <row r="2848" spans="16:19" x14ac:dyDescent="0.25">
      <c r="P2848" s="27">
        <v>3.2548184716220556E-2</v>
      </c>
      <c r="Q2848" s="28">
        <f t="shared" si="48"/>
        <v>3.5548184716220559E-2</v>
      </c>
      <c r="R2848" s="29">
        <v>0.15</v>
      </c>
      <c r="S2848" s="30">
        <v>5.5149999999999998E-2</v>
      </c>
    </row>
    <row r="2849" spans="16:19" x14ac:dyDescent="0.25">
      <c r="P2849" s="27">
        <v>3.2548184716220556E-2</v>
      </c>
      <c r="Q2849" s="28">
        <f t="shared" si="48"/>
        <v>3.5548184716220559E-2</v>
      </c>
      <c r="R2849" s="29">
        <v>0.15</v>
      </c>
      <c r="S2849" s="30">
        <v>5.8070000000000004E-2</v>
      </c>
    </row>
    <row r="2850" spans="16:19" x14ac:dyDescent="0.25">
      <c r="P2850" s="27">
        <v>3.2548184716220556E-2</v>
      </c>
      <c r="Q2850" s="28">
        <f t="shared" si="48"/>
        <v>3.5548184716220559E-2</v>
      </c>
      <c r="R2850" s="29">
        <v>0.15</v>
      </c>
      <c r="S2850" s="30">
        <v>0.06</v>
      </c>
    </row>
    <row r="2851" spans="16:19" x14ac:dyDescent="0.25">
      <c r="P2851" s="27">
        <v>3.2548184716220556E-2</v>
      </c>
      <c r="Q2851" s="28">
        <f t="shared" si="48"/>
        <v>3.5548184716220559E-2</v>
      </c>
      <c r="R2851" s="29">
        <v>0.15</v>
      </c>
      <c r="S2851" s="30">
        <v>6.7989999999999995E-2</v>
      </c>
    </row>
    <row r="2852" spans="16:19" x14ac:dyDescent="0.25">
      <c r="P2852" s="27">
        <v>3.2548184716220556E-2</v>
      </c>
      <c r="Q2852" s="28">
        <f t="shared" si="48"/>
        <v>3.5548184716220559E-2</v>
      </c>
      <c r="R2852" s="29">
        <v>0.15</v>
      </c>
      <c r="S2852" s="30">
        <v>6.071E-2</v>
      </c>
    </row>
    <row r="2853" spans="16:19" x14ac:dyDescent="0.25">
      <c r="P2853" s="27">
        <v>3.2548184716220556E-2</v>
      </c>
      <c r="Q2853" s="28">
        <f t="shared" si="48"/>
        <v>3.5548184716220559E-2</v>
      </c>
      <c r="R2853" s="29">
        <v>0.15</v>
      </c>
      <c r="S2853" s="30">
        <v>5.8070000000000004E-2</v>
      </c>
    </row>
    <row r="2854" spans="16:19" x14ac:dyDescent="0.25">
      <c r="P2854" s="27">
        <v>3.2548184716220556E-2</v>
      </c>
      <c r="Q2854" s="28">
        <f t="shared" si="48"/>
        <v>3.5548184716220559E-2</v>
      </c>
      <c r="R2854" s="29">
        <v>0.15</v>
      </c>
      <c r="S2854" s="30">
        <v>6.1710000000000001E-2</v>
      </c>
    </row>
    <row r="2855" spans="16:19" x14ac:dyDescent="0.25">
      <c r="P2855" s="27">
        <v>3.2548184716220556E-2</v>
      </c>
      <c r="Q2855" s="28">
        <f t="shared" si="48"/>
        <v>3.5548184716220559E-2</v>
      </c>
      <c r="R2855" s="29">
        <v>0.15</v>
      </c>
      <c r="S2855" s="30">
        <v>0.08</v>
      </c>
    </row>
    <row r="2856" spans="16:19" x14ac:dyDescent="0.25">
      <c r="P2856" s="27">
        <v>3.2548184716220556E-2</v>
      </c>
      <c r="Q2856" s="28">
        <f t="shared" si="48"/>
        <v>3.5548184716220559E-2</v>
      </c>
      <c r="R2856" s="29">
        <v>0.15</v>
      </c>
      <c r="S2856" s="30">
        <v>6.1609999999999998E-2</v>
      </c>
    </row>
    <row r="2857" spans="16:19" x14ac:dyDescent="0.25">
      <c r="P2857" s="27">
        <v>3.2548184716220556E-2</v>
      </c>
      <c r="Q2857" s="28">
        <f t="shared" si="48"/>
        <v>3.5548184716220559E-2</v>
      </c>
      <c r="R2857" s="29">
        <v>0.15</v>
      </c>
      <c r="S2857" s="30">
        <v>5.373E-2</v>
      </c>
    </row>
    <row r="2858" spans="16:19" x14ac:dyDescent="0.25">
      <c r="P2858" s="27">
        <v>3.2548184716220556E-2</v>
      </c>
      <c r="Q2858" s="28">
        <f t="shared" si="48"/>
        <v>3.5548184716220559E-2</v>
      </c>
      <c r="R2858" s="29">
        <v>0.15</v>
      </c>
      <c r="S2858" s="30">
        <v>5.0569999999999997E-2</v>
      </c>
    </row>
    <row r="2859" spans="16:19" x14ac:dyDescent="0.25">
      <c r="P2859" s="27">
        <v>3.2548184716220556E-2</v>
      </c>
      <c r="Q2859" s="28">
        <f t="shared" si="48"/>
        <v>3.5548184716220559E-2</v>
      </c>
      <c r="R2859" s="29">
        <v>0.15</v>
      </c>
      <c r="S2859" s="30">
        <v>5.0680000000000003E-2</v>
      </c>
    </row>
    <row r="2860" spans="16:19" x14ac:dyDescent="0.25">
      <c r="P2860" s="27">
        <v>3.2548184716220556E-2</v>
      </c>
      <c r="Q2860" s="28">
        <f t="shared" si="48"/>
        <v>3.5548184716220559E-2</v>
      </c>
      <c r="R2860" s="29">
        <v>0.15</v>
      </c>
      <c r="S2860" s="30">
        <v>4.292E-2</v>
      </c>
    </row>
    <row r="2861" spans="16:19" x14ac:dyDescent="0.25">
      <c r="P2861" s="27">
        <v>3.2548184716220556E-2</v>
      </c>
      <c r="Q2861" s="28">
        <f t="shared" si="48"/>
        <v>3.5548184716220559E-2</v>
      </c>
      <c r="R2861" s="29">
        <v>0.15</v>
      </c>
      <c r="S2861" s="30">
        <v>3.7450000000000004E-2</v>
      </c>
    </row>
    <row r="2862" spans="16:19" x14ac:dyDescent="0.25">
      <c r="P2862" s="27">
        <v>3.2548184716220556E-2</v>
      </c>
      <c r="Q2862" s="28">
        <f t="shared" si="48"/>
        <v>3.5548184716220559E-2</v>
      </c>
      <c r="R2862" s="29">
        <v>0.15</v>
      </c>
      <c r="S2862" s="30">
        <v>3.7260000000000001E-2</v>
      </c>
    </row>
    <row r="2863" spans="16:19" x14ac:dyDescent="0.25">
      <c r="P2863" s="27">
        <v>3.2548184716220556E-2</v>
      </c>
      <c r="Q2863" s="28">
        <f t="shared" si="48"/>
        <v>3.5548184716220559E-2</v>
      </c>
      <c r="R2863" s="29">
        <v>0.15</v>
      </c>
      <c r="S2863" s="30">
        <v>3.7450000000000004E-2</v>
      </c>
    </row>
    <row r="2864" spans="16:19" x14ac:dyDescent="0.25">
      <c r="P2864" s="27">
        <v>3.2548184716220556E-2</v>
      </c>
      <c r="Q2864" s="28">
        <f t="shared" si="48"/>
        <v>3.5548184716220559E-2</v>
      </c>
      <c r="R2864" s="29">
        <v>0.15</v>
      </c>
      <c r="S2864" s="30">
        <v>4.4990000000000002E-2</v>
      </c>
    </row>
    <row r="2865" spans="16:19" x14ac:dyDescent="0.25">
      <c r="P2865" s="27">
        <v>3.2548184716220556E-2</v>
      </c>
      <c r="Q2865" s="28">
        <f t="shared" si="48"/>
        <v>3.5548184716220559E-2</v>
      </c>
      <c r="R2865" s="29">
        <v>0.15</v>
      </c>
      <c r="S2865" s="30">
        <v>5.0700000000000002E-2</v>
      </c>
    </row>
    <row r="2866" spans="16:19" x14ac:dyDescent="0.25">
      <c r="P2866" s="27">
        <v>3.2548184716220556E-2</v>
      </c>
      <c r="Q2866" s="28">
        <f t="shared" si="48"/>
        <v>3.5548184716220559E-2</v>
      </c>
      <c r="R2866" s="29">
        <v>0.15</v>
      </c>
      <c r="S2866" s="30">
        <v>5.4609999999999999E-2</v>
      </c>
    </row>
    <row r="2867" spans="16:19" x14ac:dyDescent="0.25">
      <c r="P2867" s="27">
        <v>3.2548184716220556E-2</v>
      </c>
      <c r="Q2867" s="28">
        <f t="shared" si="48"/>
        <v>3.5548184716220559E-2</v>
      </c>
      <c r="R2867" s="31">
        <v>0.15939660775771733</v>
      </c>
      <c r="S2867" s="32">
        <v>7.6866401000000001E-2</v>
      </c>
    </row>
    <row r="2868" spans="16:19" x14ac:dyDescent="0.25">
      <c r="P2868" s="27">
        <v>3.2548184716220556E-2</v>
      </c>
      <c r="Q2868" s="28">
        <f t="shared" si="48"/>
        <v>3.5548184716220559E-2</v>
      </c>
      <c r="R2868" s="33">
        <v>0.16282860775771735</v>
      </c>
      <c r="S2868" s="34">
        <v>6.9989999999999997E-2</v>
      </c>
    </row>
    <row r="2869" spans="16:19" x14ac:dyDescent="0.25">
      <c r="P2869" s="27">
        <v>3.2548184716220556E-2</v>
      </c>
      <c r="Q2869" s="28">
        <f t="shared" si="48"/>
        <v>3.5548184716220559E-2</v>
      </c>
      <c r="R2869" s="33">
        <v>0.16282860775771735</v>
      </c>
      <c r="S2869" s="34">
        <v>6.6970000000000002E-2</v>
      </c>
    </row>
    <row r="2870" spans="16:19" x14ac:dyDescent="0.25">
      <c r="P2870" s="27">
        <v>3.2548184716220556E-2</v>
      </c>
      <c r="Q2870" s="28">
        <f t="shared" si="48"/>
        <v>3.5548184716220559E-2</v>
      </c>
      <c r="R2870" s="33">
        <v>0.16282860775771735</v>
      </c>
      <c r="S2870" s="34">
        <v>6.4849999999999991E-2</v>
      </c>
    </row>
    <row r="2871" spans="16:19" x14ac:dyDescent="0.25">
      <c r="P2871" s="27">
        <v>3.2548184716220556E-2</v>
      </c>
      <c r="Q2871" s="28">
        <f t="shared" si="48"/>
        <v>3.5548184716220559E-2</v>
      </c>
      <c r="R2871" s="33">
        <v>0.16282860775771735</v>
      </c>
      <c r="S2871" s="34">
        <v>5.7070000000000003E-2</v>
      </c>
    </row>
    <row r="2872" spans="16:19" x14ac:dyDescent="0.25">
      <c r="P2872" s="27">
        <v>3.2548184716220556E-2</v>
      </c>
      <c r="Q2872" s="28">
        <f t="shared" si="48"/>
        <v>3.5548184716220559E-2</v>
      </c>
      <c r="R2872" s="33">
        <v>0.16282860775771735</v>
      </c>
      <c r="S2872" s="34">
        <v>5.7520000000000002E-2</v>
      </c>
    </row>
    <row r="2873" spans="16:19" x14ac:dyDescent="0.25">
      <c r="P2873" s="27">
        <v>3.2548184716220556E-2</v>
      </c>
      <c r="Q2873" s="28">
        <f t="shared" si="48"/>
        <v>3.5548184716220559E-2</v>
      </c>
      <c r="R2873" s="33">
        <v>0.16282860775771735</v>
      </c>
      <c r="S2873" s="34">
        <v>6.0069999999999998E-2</v>
      </c>
    </row>
    <row r="2874" spans="16:19" x14ac:dyDescent="0.25">
      <c r="P2874" s="27">
        <v>3.2548184716220556E-2</v>
      </c>
      <c r="Q2874" s="28">
        <f t="shared" si="48"/>
        <v>3.5548184716220559E-2</v>
      </c>
      <c r="R2874" s="33">
        <v>0.16282860775771735</v>
      </c>
      <c r="S2874" s="34">
        <v>6.2429999999999999E-2</v>
      </c>
    </row>
    <row r="2875" spans="16:19" x14ac:dyDescent="0.25">
      <c r="P2875" s="27">
        <v>3.2548184716220556E-2</v>
      </c>
      <c r="Q2875" s="28">
        <f t="shared" si="48"/>
        <v>3.5548184716220559E-2</v>
      </c>
      <c r="R2875" s="33">
        <v>0.16282860775771735</v>
      </c>
      <c r="S2875" s="34">
        <v>6.2310000000000004E-2</v>
      </c>
    </row>
    <row r="2876" spans="16:19" x14ac:dyDescent="0.25">
      <c r="P2876" s="27">
        <v>3.2548184716220556E-2</v>
      </c>
      <c r="Q2876" s="28">
        <f t="shared" si="48"/>
        <v>3.5548184716220559E-2</v>
      </c>
      <c r="R2876" s="33">
        <v>0.16282860775771735</v>
      </c>
      <c r="S2876" s="34">
        <v>6.1310000000000003E-2</v>
      </c>
    </row>
    <row r="2877" spans="16:19" x14ac:dyDescent="0.25">
      <c r="P2877" s="27">
        <v>3.2548184716220556E-2</v>
      </c>
      <c r="Q2877" s="28">
        <f t="shared" si="48"/>
        <v>3.5548184716220559E-2</v>
      </c>
      <c r="R2877" s="33">
        <v>0.16282860775771735</v>
      </c>
      <c r="S2877" s="34">
        <v>5.8999999999999997E-2</v>
      </c>
    </row>
    <row r="2878" spans="16:19" x14ac:dyDescent="0.25">
      <c r="P2878" s="27">
        <v>3.2548184716220556E-2</v>
      </c>
      <c r="Q2878" s="28">
        <f t="shared" si="48"/>
        <v>3.5548184716220559E-2</v>
      </c>
      <c r="R2878" s="33">
        <v>0.16282860775771735</v>
      </c>
      <c r="S2878" s="34">
        <v>0.06</v>
      </c>
    </row>
    <row r="2879" spans="16:19" x14ac:dyDescent="0.25">
      <c r="P2879" s="27">
        <v>3.2548184716220556E-2</v>
      </c>
      <c r="Q2879" s="28">
        <f t="shared" si="48"/>
        <v>3.5548184716220559E-2</v>
      </c>
      <c r="R2879" s="31">
        <v>0.15939660775771733</v>
      </c>
      <c r="S2879" s="32">
        <v>8.0399999999999999E-2</v>
      </c>
    </row>
    <row r="2880" spans="16:19" x14ac:dyDescent="0.25">
      <c r="P2880" s="27">
        <v>3.2548184716220556E-2</v>
      </c>
      <c r="Q2880" s="28">
        <f t="shared" si="48"/>
        <v>3.5548184716220559E-2</v>
      </c>
      <c r="R2880" s="31">
        <v>0.15939660775771733</v>
      </c>
      <c r="S2880" s="32">
        <v>5.8999999999999997E-2</v>
      </c>
    </row>
    <row r="2881" spans="16:19" x14ac:dyDescent="0.25">
      <c r="P2881" s="27">
        <v>3.2548184716220556E-2</v>
      </c>
      <c r="Q2881" s="28">
        <f t="shared" si="48"/>
        <v>3.5548184716220559E-2</v>
      </c>
      <c r="R2881" s="31">
        <v>0.15939660775771733</v>
      </c>
      <c r="S2881" s="32">
        <v>5.5149999999999998E-2</v>
      </c>
    </row>
    <row r="2882" spans="16:19" x14ac:dyDescent="0.25">
      <c r="P2882" s="27">
        <v>3.2548184716220556E-2</v>
      </c>
      <c r="Q2882" s="28">
        <f t="shared" si="48"/>
        <v>3.5548184716220559E-2</v>
      </c>
      <c r="R2882" s="31">
        <v>0.15939660775771733</v>
      </c>
      <c r="S2882" s="32">
        <v>5.1595880000000004E-2</v>
      </c>
    </row>
    <row r="2883" spans="16:19" x14ac:dyDescent="0.25">
      <c r="P2883" s="27">
        <v>3.2548184716220556E-2</v>
      </c>
      <c r="Q2883" s="28">
        <f t="shared" si="48"/>
        <v>3.5548184716220559E-2</v>
      </c>
      <c r="R2883" s="29">
        <v>0.15003660775771735</v>
      </c>
      <c r="S2883" s="30">
        <v>5.1549999999999999E-2</v>
      </c>
    </row>
    <row r="2884" spans="16:19" x14ac:dyDescent="0.25">
      <c r="P2884" s="27">
        <v>3.2548184716220556E-2</v>
      </c>
      <c r="Q2884" s="28">
        <f t="shared" si="48"/>
        <v>3.5548184716220559E-2</v>
      </c>
      <c r="R2884" s="29">
        <v>0.15003660775771735</v>
      </c>
      <c r="S2884" s="30">
        <v>4.4499999999999998E-2</v>
      </c>
    </row>
    <row r="2885" spans="16:19" x14ac:dyDescent="0.25">
      <c r="P2885" s="27">
        <v>3.2548184716220556E-2</v>
      </c>
      <c r="Q2885" s="28">
        <f t="shared" ref="Q2885:Q2948" si="49">P2885+0.003</f>
        <v>3.5548184716220559E-2</v>
      </c>
      <c r="R2885" s="29">
        <v>0.15003660775771735</v>
      </c>
      <c r="S2885" s="30">
        <v>4.4499999999999998E-2</v>
      </c>
    </row>
    <row r="2886" spans="16:19" x14ac:dyDescent="0.25">
      <c r="P2886" s="27">
        <v>3.2548184716220556E-2</v>
      </c>
      <c r="Q2886" s="28">
        <f t="shared" si="49"/>
        <v>3.5548184716220559E-2</v>
      </c>
      <c r="R2886" s="29">
        <v>0.15003660775771735</v>
      </c>
      <c r="S2886" s="30">
        <v>4.4499999999999998E-2</v>
      </c>
    </row>
    <row r="2887" spans="16:19" x14ac:dyDescent="0.25">
      <c r="P2887" s="27">
        <v>3.2548184716220556E-2</v>
      </c>
      <c r="Q2887" s="28">
        <f t="shared" si="49"/>
        <v>3.5548184716220559E-2</v>
      </c>
      <c r="R2887" s="29">
        <v>0.15003660775771735</v>
      </c>
      <c r="S2887" s="30">
        <v>0.04</v>
      </c>
    </row>
    <row r="2888" spans="16:19" x14ac:dyDescent="0.25">
      <c r="P2888" s="27">
        <v>3.2548184716220556E-2</v>
      </c>
      <c r="Q2888" s="28">
        <f t="shared" si="49"/>
        <v>3.5548184716220559E-2</v>
      </c>
      <c r="R2888" s="29">
        <v>0.15003660775771735</v>
      </c>
      <c r="S2888" s="30">
        <v>3.61E-2</v>
      </c>
    </row>
    <row r="2889" spans="16:19" x14ac:dyDescent="0.25">
      <c r="P2889" s="27">
        <v>3.2548184716220556E-2</v>
      </c>
      <c r="Q2889" s="28">
        <f t="shared" si="49"/>
        <v>3.5548184716220559E-2</v>
      </c>
      <c r="R2889" s="29">
        <v>0.15003660775771735</v>
      </c>
      <c r="S2889" s="30">
        <v>3.2710000000000003E-2</v>
      </c>
    </row>
    <row r="2890" spans="16:19" x14ac:dyDescent="0.25">
      <c r="P2890" s="27">
        <v>3.2548184716220556E-2</v>
      </c>
      <c r="Q2890" s="28">
        <f t="shared" si="49"/>
        <v>3.5548184716220559E-2</v>
      </c>
      <c r="R2890" s="29">
        <v>0.15003660775771735</v>
      </c>
      <c r="S2890" s="30">
        <v>0.03</v>
      </c>
    </row>
    <row r="2891" spans="16:19" x14ac:dyDescent="0.25">
      <c r="P2891" s="27">
        <v>3.2548184716220556E-2</v>
      </c>
      <c r="Q2891" s="28">
        <f t="shared" si="49"/>
        <v>3.5548184716220559E-2</v>
      </c>
      <c r="R2891" s="29">
        <v>0.15003660775771735</v>
      </c>
      <c r="S2891" s="30">
        <v>0.03</v>
      </c>
    </row>
    <row r="2892" spans="16:19" x14ac:dyDescent="0.25">
      <c r="P2892" s="27">
        <v>3.2548184716220556E-2</v>
      </c>
      <c r="Q2892" s="28">
        <f t="shared" si="49"/>
        <v>3.5548184716220559E-2</v>
      </c>
      <c r="R2892" s="29">
        <v>0.15003660775771735</v>
      </c>
      <c r="S2892" s="30">
        <v>2.8000000000000001E-2</v>
      </c>
    </row>
    <row r="2893" spans="16:19" x14ac:dyDescent="0.25">
      <c r="P2893" s="27">
        <v>3.2548184716220556E-2</v>
      </c>
      <c r="Q2893" s="28">
        <f t="shared" si="49"/>
        <v>3.5548184716220559E-2</v>
      </c>
      <c r="R2893" s="29">
        <v>0.15003660775771735</v>
      </c>
      <c r="S2893" s="30">
        <v>2.4219999999999998E-2</v>
      </c>
    </row>
    <row r="2894" spans="16:19" x14ac:dyDescent="0.25">
      <c r="P2894" s="27">
        <v>3.2548184716220556E-2</v>
      </c>
      <c r="Q2894" s="28">
        <f t="shared" si="49"/>
        <v>3.5548184716220559E-2</v>
      </c>
      <c r="R2894" s="29">
        <v>0.15003660775771735</v>
      </c>
      <c r="S2894" s="30">
        <v>2.3E-2</v>
      </c>
    </row>
    <row r="2895" spans="16:19" x14ac:dyDescent="0.25">
      <c r="P2895" s="27">
        <v>3.2548184716220556E-2</v>
      </c>
      <c r="Q2895" s="28">
        <f t="shared" si="49"/>
        <v>3.5548184716220559E-2</v>
      </c>
      <c r="R2895" s="29">
        <v>0.15003660775771735</v>
      </c>
      <c r="S2895" s="30">
        <v>1.9629999999999998E-2</v>
      </c>
    </row>
    <row r="2896" spans="16:19" x14ac:dyDescent="0.25">
      <c r="P2896" s="27">
        <v>3.2548184716220556E-2</v>
      </c>
      <c r="Q2896" s="28">
        <f t="shared" si="49"/>
        <v>3.5548184716220559E-2</v>
      </c>
      <c r="R2896" s="29">
        <v>0.15003660775771735</v>
      </c>
      <c r="S2896" s="30">
        <v>1.0999999999999999E-2</v>
      </c>
    </row>
    <row r="2897" spans="16:19" x14ac:dyDescent="0.25">
      <c r="P2897" s="27">
        <v>3.2548184716220556E-2</v>
      </c>
      <c r="Q2897" s="28">
        <f t="shared" si="49"/>
        <v>3.5548184716220559E-2</v>
      </c>
      <c r="R2897" s="29">
        <v>0.15003660775771735</v>
      </c>
      <c r="S2897" s="30">
        <v>1.315E-2</v>
      </c>
    </row>
    <row r="2898" spans="16:19" x14ac:dyDescent="0.25">
      <c r="P2898" s="27">
        <v>3.2548184716220556E-2</v>
      </c>
      <c r="Q2898" s="28">
        <f t="shared" si="49"/>
        <v>3.5548184716220559E-2</v>
      </c>
      <c r="R2898" s="29">
        <v>0.15003660775771735</v>
      </c>
      <c r="S2898" s="30">
        <v>1.5449999999999998E-2</v>
      </c>
    </row>
    <row r="2899" spans="16:19" x14ac:dyDescent="0.25">
      <c r="P2899" s="27">
        <v>3.2548184716220556E-2</v>
      </c>
      <c r="Q2899" s="28">
        <f t="shared" si="49"/>
        <v>3.5548184716220559E-2</v>
      </c>
      <c r="R2899" s="29">
        <v>0.15003660775771735</v>
      </c>
      <c r="S2899" s="30">
        <v>1.7239999999999998E-2</v>
      </c>
    </row>
    <row r="2900" spans="16:19" x14ac:dyDescent="0.25">
      <c r="P2900" s="27">
        <v>3.2548184716220556E-2</v>
      </c>
      <c r="Q2900" s="28">
        <f t="shared" si="49"/>
        <v>3.5548184716220559E-2</v>
      </c>
      <c r="R2900" s="29">
        <v>0.15003660775771735</v>
      </c>
      <c r="S2900" s="30">
        <v>2.997E-2</v>
      </c>
    </row>
    <row r="2901" spans="16:19" x14ac:dyDescent="0.25">
      <c r="P2901" s="27">
        <v>3.2548184716220556E-2</v>
      </c>
      <c r="Q2901" s="28">
        <f t="shared" si="49"/>
        <v>3.5548184716220559E-2</v>
      </c>
      <c r="R2901" s="29">
        <v>0.15003660775771735</v>
      </c>
      <c r="S2901" s="30">
        <v>0.04</v>
      </c>
    </row>
    <row r="2902" spans="16:19" x14ac:dyDescent="0.25">
      <c r="P2902" s="27">
        <v>3.2548184716220556E-2</v>
      </c>
      <c r="Q2902" s="28">
        <f t="shared" si="49"/>
        <v>3.5548184716220559E-2</v>
      </c>
      <c r="R2902" s="29">
        <v>0.15003660775771735</v>
      </c>
      <c r="S2902" s="30">
        <v>4.9736600999999998E-2</v>
      </c>
    </row>
    <row r="2903" spans="16:19" x14ac:dyDescent="0.25">
      <c r="P2903" s="27">
        <v>3.2548184716220556E-2</v>
      </c>
      <c r="Q2903" s="28">
        <f t="shared" si="49"/>
        <v>3.5548184716220559E-2</v>
      </c>
      <c r="R2903" s="29">
        <v>0.15003660775771735</v>
      </c>
      <c r="S2903" s="30">
        <v>7.1047053999999998E-2</v>
      </c>
    </row>
    <row r="2904" spans="16:19" x14ac:dyDescent="0.25">
      <c r="P2904" s="27">
        <v>3.2548184716220556E-2</v>
      </c>
      <c r="Q2904" s="28">
        <f t="shared" si="49"/>
        <v>3.5548184716220559E-2</v>
      </c>
      <c r="R2904" s="29">
        <v>0.15003660775771735</v>
      </c>
      <c r="S2904" s="30">
        <v>5.6070000000000002E-2</v>
      </c>
    </row>
    <row r="2905" spans="16:19" x14ac:dyDescent="0.25">
      <c r="P2905" s="27">
        <v>3.2548184716220556E-2</v>
      </c>
      <c r="Q2905" s="28">
        <f t="shared" si="49"/>
        <v>3.5548184716220559E-2</v>
      </c>
      <c r="R2905" s="29">
        <v>0.15003660775771735</v>
      </c>
      <c r="S2905" s="30">
        <v>5.1249999999999997E-2</v>
      </c>
    </row>
    <row r="2906" spans="16:19" x14ac:dyDescent="0.25">
      <c r="P2906" s="27">
        <v>3.2548184716220556E-2</v>
      </c>
      <c r="Q2906" s="28">
        <f t="shared" si="49"/>
        <v>3.5548184716220559E-2</v>
      </c>
      <c r="R2906" s="29">
        <v>0.15003660775771735</v>
      </c>
      <c r="S2906" s="30">
        <v>4.7450000000000006E-2</v>
      </c>
    </row>
    <row r="2907" spans="16:19" x14ac:dyDescent="0.25">
      <c r="P2907" s="27">
        <v>3.2548184716220556E-2</v>
      </c>
      <c r="Q2907" s="28">
        <f t="shared" si="49"/>
        <v>3.5548184716220559E-2</v>
      </c>
      <c r="R2907" s="29">
        <v>0.15003660775771735</v>
      </c>
      <c r="S2907" s="30">
        <v>0.05</v>
      </c>
    </row>
    <row r="2908" spans="16:19" x14ac:dyDescent="0.25">
      <c r="P2908" s="27">
        <v>3.2548184716220556E-2</v>
      </c>
      <c r="Q2908" s="28">
        <f t="shared" si="49"/>
        <v>3.5548184716220559E-2</v>
      </c>
      <c r="R2908" s="29">
        <v>0.15003660775771735</v>
      </c>
      <c r="S2908" s="30">
        <v>4.4999999999999998E-2</v>
      </c>
    </row>
    <row r="2909" spans="16:19" x14ac:dyDescent="0.25">
      <c r="P2909" s="27">
        <v>3.2548184716220556E-2</v>
      </c>
      <c r="Q2909" s="28">
        <f t="shared" si="49"/>
        <v>3.5548184716220559E-2</v>
      </c>
      <c r="R2909" s="29">
        <v>0.15003660775771735</v>
      </c>
      <c r="S2909" s="30">
        <v>3.9869999999999996E-2</v>
      </c>
    </row>
    <row r="2910" spans="16:19" x14ac:dyDescent="0.25">
      <c r="P2910" s="27">
        <v>3.2548184716220556E-2</v>
      </c>
      <c r="Q2910" s="28">
        <f t="shared" si="49"/>
        <v>3.5548184716220559E-2</v>
      </c>
      <c r="R2910" s="29">
        <v>0.15003660775771735</v>
      </c>
      <c r="S2910" s="30">
        <v>3.7999999999999999E-2</v>
      </c>
    </row>
    <row r="2911" spans="16:19" x14ac:dyDescent="0.25">
      <c r="P2911" s="27">
        <v>3.2548184716220556E-2</v>
      </c>
      <c r="Q2911" s="28">
        <f t="shared" si="49"/>
        <v>3.5548184716220559E-2</v>
      </c>
      <c r="R2911" s="29">
        <v>0.15003660775771735</v>
      </c>
      <c r="S2911" s="30">
        <v>3.7260000000000001E-2</v>
      </c>
    </row>
    <row r="2912" spans="16:19" x14ac:dyDescent="0.25">
      <c r="P2912" s="27">
        <v>3.2548184716220556E-2</v>
      </c>
      <c r="Q2912" s="28">
        <f t="shared" si="49"/>
        <v>3.5548184716220559E-2</v>
      </c>
      <c r="R2912" s="29">
        <v>0.15003660775771735</v>
      </c>
      <c r="S2912" s="30">
        <v>4.0039999999999999E-2</v>
      </c>
    </row>
    <row r="2913" spans="16:19" x14ac:dyDescent="0.25">
      <c r="P2913" s="27">
        <v>3.2548184716220556E-2</v>
      </c>
      <c r="Q2913" s="28">
        <f t="shared" si="49"/>
        <v>3.5548184716220559E-2</v>
      </c>
      <c r="R2913" s="29">
        <v>0.15003660775771735</v>
      </c>
      <c r="S2913" s="30">
        <v>4.5999999999999999E-2</v>
      </c>
    </row>
    <row r="2914" spans="16:19" x14ac:dyDescent="0.25">
      <c r="P2914" s="27">
        <v>3.2548184716220556E-2</v>
      </c>
      <c r="Q2914" s="28">
        <f t="shared" si="49"/>
        <v>3.5548184716220559E-2</v>
      </c>
      <c r="R2914" s="29">
        <v>0.15003660775771735</v>
      </c>
      <c r="S2914" s="30">
        <v>5.015E-2</v>
      </c>
    </row>
    <row r="2915" spans="16:19" x14ac:dyDescent="0.25">
      <c r="P2915" s="27">
        <v>3.2548184716220556E-2</v>
      </c>
      <c r="Q2915" s="28">
        <f t="shared" si="49"/>
        <v>3.5548184716220559E-2</v>
      </c>
      <c r="R2915" s="31">
        <v>0.15939660775771733</v>
      </c>
      <c r="S2915" s="32">
        <v>7.3499999999999996E-2</v>
      </c>
    </row>
    <row r="2916" spans="16:19" x14ac:dyDescent="0.25">
      <c r="P2916" s="27">
        <v>3.2548184716220556E-2</v>
      </c>
      <c r="Q2916" s="28">
        <f t="shared" si="49"/>
        <v>3.5548184716220559E-2</v>
      </c>
      <c r="R2916" s="33">
        <v>0.16282860775771735</v>
      </c>
      <c r="S2916" s="34">
        <v>6.5709999999999991E-2</v>
      </c>
    </row>
    <row r="2917" spans="16:19" x14ac:dyDescent="0.25">
      <c r="P2917" s="27">
        <v>3.2548184716220556E-2</v>
      </c>
      <c r="Q2917" s="28">
        <f t="shared" si="49"/>
        <v>3.5548184716220559E-2</v>
      </c>
      <c r="R2917" s="33">
        <v>0.16282860775771735</v>
      </c>
      <c r="S2917" s="34">
        <v>6.3E-2</v>
      </c>
    </row>
    <row r="2918" spans="16:19" x14ac:dyDescent="0.25">
      <c r="P2918" s="27">
        <v>3.2548184716220556E-2</v>
      </c>
      <c r="Q2918" s="28">
        <f t="shared" si="49"/>
        <v>3.5548184716220559E-2</v>
      </c>
      <c r="R2918" s="33">
        <v>0.16282860775771735</v>
      </c>
      <c r="S2918" s="34">
        <v>6.3E-2</v>
      </c>
    </row>
    <row r="2919" spans="16:19" x14ac:dyDescent="0.25">
      <c r="P2919" s="27">
        <v>3.2548184716220556E-2</v>
      </c>
      <c r="Q2919" s="28">
        <f t="shared" si="49"/>
        <v>3.5548184716220559E-2</v>
      </c>
      <c r="R2919" s="33">
        <v>0.16282860775771735</v>
      </c>
      <c r="S2919" s="34">
        <v>5.2990000000000002E-2</v>
      </c>
    </row>
    <row r="2920" spans="16:19" x14ac:dyDescent="0.25">
      <c r="P2920" s="27">
        <v>3.2548184716220556E-2</v>
      </c>
      <c r="Q2920" s="28">
        <f t="shared" si="49"/>
        <v>3.5548184716220559E-2</v>
      </c>
      <c r="R2920" s="33">
        <v>0.16282860775771735</v>
      </c>
      <c r="S2920" s="34">
        <v>5.2990000000000002E-2</v>
      </c>
    </row>
    <row r="2921" spans="16:19" x14ac:dyDescent="0.25">
      <c r="P2921" s="27">
        <v>3.2548184716220556E-2</v>
      </c>
      <c r="Q2921" s="28">
        <f t="shared" si="49"/>
        <v>3.5548184716220559E-2</v>
      </c>
      <c r="R2921" s="33">
        <v>0.16282860775771735</v>
      </c>
      <c r="S2921" s="34">
        <v>5.672E-2</v>
      </c>
    </row>
    <row r="2922" spans="16:19" x14ac:dyDescent="0.25">
      <c r="P2922" s="27">
        <v>3.2548184716220556E-2</v>
      </c>
      <c r="Q2922" s="28">
        <f t="shared" si="49"/>
        <v>3.5548184716220559E-2</v>
      </c>
      <c r="R2922" s="33">
        <v>0.16282860775771735</v>
      </c>
      <c r="S2922" s="34">
        <v>5.9990000000000002E-2</v>
      </c>
    </row>
    <row r="2923" spans="16:19" x14ac:dyDescent="0.25">
      <c r="P2923" s="27">
        <v>3.2548184716220556E-2</v>
      </c>
      <c r="Q2923" s="28">
        <f t="shared" si="49"/>
        <v>3.5548184716220559E-2</v>
      </c>
      <c r="R2923" s="33">
        <v>0.16282860775771735</v>
      </c>
      <c r="S2923" s="34">
        <v>6.0899999999999996E-2</v>
      </c>
    </row>
    <row r="2924" spans="16:19" x14ac:dyDescent="0.25">
      <c r="P2924" s="27">
        <v>3.2548184716220556E-2</v>
      </c>
      <c r="Q2924" s="28">
        <f t="shared" si="49"/>
        <v>3.5548184716220559E-2</v>
      </c>
      <c r="R2924" s="33">
        <v>0.16282860775771735</v>
      </c>
      <c r="S2924" s="34">
        <v>5.4789999999999998E-2</v>
      </c>
    </row>
    <row r="2925" spans="16:19" x14ac:dyDescent="0.25">
      <c r="P2925" s="27">
        <v>3.2548184716220556E-2</v>
      </c>
      <c r="Q2925" s="28">
        <f t="shared" si="49"/>
        <v>3.5548184716220559E-2</v>
      </c>
      <c r="R2925" s="33">
        <v>0.16282860775771735</v>
      </c>
      <c r="S2925" s="34">
        <v>5.2990000000000002E-2</v>
      </c>
    </row>
    <row r="2926" spans="16:19" x14ac:dyDescent="0.25">
      <c r="P2926" s="27">
        <v>3.2548184716220556E-2</v>
      </c>
      <c r="Q2926" s="28">
        <f t="shared" si="49"/>
        <v>3.5548184716220559E-2</v>
      </c>
      <c r="R2926" s="33">
        <v>0.16282860775771735</v>
      </c>
      <c r="S2926" s="34">
        <v>5.5149999999999998E-2</v>
      </c>
    </row>
    <row r="2927" spans="16:19" x14ac:dyDescent="0.25">
      <c r="P2927" s="27">
        <v>3.2548184716220556E-2</v>
      </c>
      <c r="Q2927" s="28">
        <f t="shared" si="49"/>
        <v>3.5548184716220559E-2</v>
      </c>
      <c r="R2927" s="31">
        <v>0.15939660775771733</v>
      </c>
      <c r="S2927" s="32">
        <v>7.4990000000000001E-2</v>
      </c>
    </row>
    <row r="2928" spans="16:19" x14ac:dyDescent="0.25">
      <c r="P2928" s="27">
        <v>3.2548184716220556E-2</v>
      </c>
      <c r="Q2928" s="28">
        <f t="shared" si="49"/>
        <v>3.5548184716220559E-2</v>
      </c>
      <c r="R2928" s="31">
        <v>0.15939660775771733</v>
      </c>
      <c r="S2928" s="32">
        <v>6.071E-2</v>
      </c>
    </row>
    <row r="2929" spans="16:19" x14ac:dyDescent="0.25">
      <c r="P2929" s="27">
        <v>3.2548184716220556E-2</v>
      </c>
      <c r="Q2929" s="28">
        <f t="shared" si="49"/>
        <v>3.5548184716220559E-2</v>
      </c>
      <c r="R2929" s="31">
        <v>0.15939660775771733</v>
      </c>
      <c r="S2929" s="32">
        <v>5.0659999999999997E-2</v>
      </c>
    </row>
    <row r="2930" spans="16:19" x14ac:dyDescent="0.25">
      <c r="P2930" s="27">
        <v>3.2548184716220556E-2</v>
      </c>
      <c r="Q2930" s="28">
        <f t="shared" si="49"/>
        <v>3.5548184716220559E-2</v>
      </c>
      <c r="R2930" s="31">
        <v>0.15939660775771733</v>
      </c>
      <c r="S2930" s="32">
        <v>4.7549999999999995E-2</v>
      </c>
    </row>
    <row r="2931" spans="16:19" x14ac:dyDescent="0.25">
      <c r="P2931" s="27">
        <v>3.2548184716220556E-2</v>
      </c>
      <c r="Q2931" s="28">
        <f t="shared" si="49"/>
        <v>3.5548184716220559E-2</v>
      </c>
      <c r="R2931" s="29">
        <v>0.15003660775771735</v>
      </c>
      <c r="S2931" s="30">
        <v>6.4000000000000001E-2</v>
      </c>
    </row>
    <row r="2932" spans="16:19" x14ac:dyDescent="0.25">
      <c r="P2932" s="27">
        <v>3.2548184716220556E-2</v>
      </c>
      <c r="Q2932" s="28">
        <f t="shared" si="49"/>
        <v>3.5548184716220559E-2</v>
      </c>
      <c r="R2932" s="29">
        <v>0.15003660775771735</v>
      </c>
      <c r="S2932" s="30">
        <v>5.2130000000000003E-2</v>
      </c>
    </row>
    <row r="2933" spans="16:19" x14ac:dyDescent="0.25">
      <c r="P2933" s="27">
        <v>3.2548184716220556E-2</v>
      </c>
      <c r="Q2933" s="28">
        <f t="shared" si="49"/>
        <v>3.5548184716220559E-2</v>
      </c>
      <c r="R2933" s="29">
        <v>0.15003660775771735</v>
      </c>
      <c r="S2933" s="30">
        <v>5.0130000000000001E-2</v>
      </c>
    </row>
    <row r="2934" spans="16:19" x14ac:dyDescent="0.25">
      <c r="P2934" s="27">
        <v>3.2548184716220556E-2</v>
      </c>
      <c r="Q2934" s="28">
        <f t="shared" si="49"/>
        <v>3.5548184716220559E-2</v>
      </c>
      <c r="R2934" s="29">
        <v>0.15003660775771735</v>
      </c>
      <c r="S2934" s="30">
        <v>4.9729999999999996E-2</v>
      </c>
    </row>
    <row r="2935" spans="16:19" x14ac:dyDescent="0.25">
      <c r="P2935" s="27">
        <v>3.2548184716220556E-2</v>
      </c>
      <c r="Q2935" s="28">
        <f t="shared" si="49"/>
        <v>3.5548184716220559E-2</v>
      </c>
      <c r="R2935" s="29">
        <v>0.15003660775771735</v>
      </c>
      <c r="S2935" s="30">
        <v>4.9739999999999999E-2</v>
      </c>
    </row>
    <row r="2936" spans="16:19" x14ac:dyDescent="0.25">
      <c r="P2936" s="27">
        <v>3.2548184716220556E-2</v>
      </c>
      <c r="Q2936" s="28">
        <f t="shared" si="49"/>
        <v>3.5548184716220559E-2</v>
      </c>
      <c r="R2936" s="29">
        <v>0.15003660775771735</v>
      </c>
      <c r="S2936" s="30">
        <v>5.5149999999999998E-2</v>
      </c>
    </row>
    <row r="2937" spans="16:19" x14ac:dyDescent="0.25">
      <c r="P2937" s="27">
        <v>3.2548184716220556E-2</v>
      </c>
      <c r="Q2937" s="28">
        <f t="shared" si="49"/>
        <v>3.5548184716220559E-2</v>
      </c>
      <c r="R2937" s="29">
        <v>0.15003660775771735</v>
      </c>
      <c r="S2937" s="30">
        <v>5.4020000000000006E-2</v>
      </c>
    </row>
    <row r="2938" spans="16:19" x14ac:dyDescent="0.25">
      <c r="P2938" s="27">
        <v>3.2548184716220556E-2</v>
      </c>
      <c r="Q2938" s="28">
        <f t="shared" si="49"/>
        <v>3.5548184716220559E-2</v>
      </c>
      <c r="R2938" s="29">
        <v>0.15003660775771735</v>
      </c>
      <c r="S2938" s="30">
        <v>5.4109999999999998E-2</v>
      </c>
    </row>
    <row r="2939" spans="16:19" x14ac:dyDescent="0.25">
      <c r="P2939" s="27">
        <v>3.2548184716220556E-2</v>
      </c>
      <c r="Q2939" s="28">
        <f t="shared" si="49"/>
        <v>3.5548184716220559E-2</v>
      </c>
      <c r="R2939" s="31">
        <v>0.15939660775771733</v>
      </c>
      <c r="S2939" s="32">
        <v>5.5149999999999998E-2</v>
      </c>
    </row>
    <row r="2940" spans="16:19" x14ac:dyDescent="0.25">
      <c r="P2940" s="27">
        <v>3.2548184716220556E-2</v>
      </c>
      <c r="Q2940" s="28">
        <f t="shared" si="49"/>
        <v>3.5548184716220559E-2</v>
      </c>
      <c r="R2940" s="33">
        <v>0.16282860775771735</v>
      </c>
      <c r="S2940" s="34">
        <v>5.9700000000000003E-2</v>
      </c>
    </row>
    <row r="2941" spans="16:19" x14ac:dyDescent="0.25">
      <c r="P2941" s="27">
        <v>3.2548184716220556E-2</v>
      </c>
      <c r="Q2941" s="28">
        <f t="shared" si="49"/>
        <v>3.5548184716220559E-2</v>
      </c>
      <c r="R2941" s="33">
        <v>0.16282860775771735</v>
      </c>
      <c r="S2941" s="34">
        <v>0.05</v>
      </c>
    </row>
    <row r="2942" spans="16:19" x14ac:dyDescent="0.25">
      <c r="P2942" s="27">
        <v>3.2548184716220556E-2</v>
      </c>
      <c r="Q2942" s="28">
        <f t="shared" si="49"/>
        <v>3.5548184716220559E-2</v>
      </c>
      <c r="R2942" s="33">
        <v>0.16282860775771735</v>
      </c>
      <c r="S2942" s="34">
        <v>4.6640000000000001E-2</v>
      </c>
    </row>
    <row r="2943" spans="16:19" x14ac:dyDescent="0.25">
      <c r="P2943" s="27">
        <v>3.2548184716220556E-2</v>
      </c>
      <c r="Q2943" s="28">
        <f t="shared" si="49"/>
        <v>3.5548184716220559E-2</v>
      </c>
      <c r="R2943" s="33">
        <v>0.16282860775771735</v>
      </c>
      <c r="S2943" s="34">
        <v>4.5817785E-2</v>
      </c>
    </row>
    <row r="2944" spans="16:19" x14ac:dyDescent="0.25">
      <c r="P2944" s="27">
        <v>3.2548184716220556E-2</v>
      </c>
      <c r="Q2944" s="28">
        <f t="shared" si="49"/>
        <v>3.5548184716220559E-2</v>
      </c>
      <c r="R2944" s="33">
        <v>0.16282860775771735</v>
      </c>
      <c r="S2944" s="34">
        <v>4.1000000000000002E-2</v>
      </c>
    </row>
    <row r="2945" spans="16:19" x14ac:dyDescent="0.25">
      <c r="P2945" s="27">
        <v>3.2548184716220556E-2</v>
      </c>
      <c r="Q2945" s="28">
        <f t="shared" si="49"/>
        <v>3.5548184716220559E-2</v>
      </c>
      <c r="R2945" s="33">
        <v>0.16282860775771735</v>
      </c>
      <c r="S2945" s="34">
        <v>4.4364597000000006E-2</v>
      </c>
    </row>
    <row r="2946" spans="16:19" x14ac:dyDescent="0.25">
      <c r="P2946" s="27">
        <v>3.2548184716220556E-2</v>
      </c>
      <c r="Q2946" s="28">
        <f t="shared" si="49"/>
        <v>3.5548184716220559E-2</v>
      </c>
      <c r="R2946" s="33">
        <v>0.16282860775771735</v>
      </c>
      <c r="S2946" s="34">
        <v>4.5999999999999999E-2</v>
      </c>
    </row>
    <row r="2947" spans="16:19" x14ac:dyDescent="0.25">
      <c r="P2947" s="27">
        <v>3.2548184716220556E-2</v>
      </c>
      <c r="Q2947" s="28">
        <f t="shared" si="49"/>
        <v>3.5548184716220559E-2</v>
      </c>
      <c r="R2947" s="33">
        <v>0.16282860775771735</v>
      </c>
      <c r="S2947" s="34">
        <v>4.7149999999999997E-2</v>
      </c>
    </row>
    <row r="2948" spans="16:19" x14ac:dyDescent="0.25">
      <c r="P2948" s="27">
        <v>3.2548184716220556E-2</v>
      </c>
      <c r="Q2948" s="28">
        <f t="shared" si="49"/>
        <v>3.5548184716220559E-2</v>
      </c>
      <c r="R2948" s="33">
        <v>0.16282860775771735</v>
      </c>
      <c r="S2948" s="34">
        <v>4.999E-2</v>
      </c>
    </row>
    <row r="2949" spans="16:19" x14ac:dyDescent="0.25">
      <c r="P2949" s="27">
        <v>3.2548184716220556E-2</v>
      </c>
      <c r="Q2949" s="28">
        <f t="shared" ref="Q2949:Q3012" si="50">P2949+0.003</f>
        <v>3.5548184716220559E-2</v>
      </c>
      <c r="R2949" s="33">
        <v>0.16282860775771735</v>
      </c>
      <c r="S2949" s="34">
        <v>5.2639999999999999E-2</v>
      </c>
    </row>
    <row r="2950" spans="16:19" x14ac:dyDescent="0.25">
      <c r="P2950" s="27">
        <v>3.2548184716220556E-2</v>
      </c>
      <c r="Q2950" s="28">
        <f t="shared" si="50"/>
        <v>3.5548184716220559E-2</v>
      </c>
      <c r="R2950" s="33">
        <v>0.16282860775771735</v>
      </c>
      <c r="S2950" s="34">
        <v>6.4049999999999996E-2</v>
      </c>
    </row>
    <row r="2951" spans="16:19" x14ac:dyDescent="0.25">
      <c r="P2951" s="27">
        <v>3.2548184716220556E-2</v>
      </c>
      <c r="Q2951" s="28">
        <f t="shared" si="50"/>
        <v>3.5548184716220559E-2</v>
      </c>
      <c r="R2951" s="31">
        <v>0.15939660775771733</v>
      </c>
      <c r="S2951" s="32">
        <v>7.9989999999999992E-2</v>
      </c>
    </row>
    <row r="2952" spans="16:19" x14ac:dyDescent="0.25">
      <c r="P2952" s="27">
        <v>3.2548184716220556E-2</v>
      </c>
      <c r="Q2952" s="28">
        <f t="shared" si="50"/>
        <v>3.5548184716220559E-2</v>
      </c>
      <c r="R2952" s="31">
        <v>0.15939660775771733</v>
      </c>
      <c r="S2952" s="32">
        <v>6.2689999999999996E-2</v>
      </c>
    </row>
    <row r="2953" spans="16:19" x14ac:dyDescent="0.25">
      <c r="P2953" s="27">
        <v>3.2548184716220556E-2</v>
      </c>
      <c r="Q2953" s="28">
        <f t="shared" si="50"/>
        <v>3.5548184716220559E-2</v>
      </c>
      <c r="R2953" s="31">
        <v>0.15939660775771733</v>
      </c>
      <c r="S2953" s="32">
        <v>5.4340000000000006E-2</v>
      </c>
    </row>
    <row r="2954" spans="16:19" x14ac:dyDescent="0.25">
      <c r="P2954" s="27">
        <v>3.2548184716220556E-2</v>
      </c>
      <c r="Q2954" s="28">
        <f t="shared" si="50"/>
        <v>3.5548184716220559E-2</v>
      </c>
      <c r="R2954" s="31">
        <v>0.15939660775771733</v>
      </c>
      <c r="S2954" s="32">
        <v>5.1400000000000001E-2</v>
      </c>
    </row>
    <row r="2955" spans="16:19" x14ac:dyDescent="0.25">
      <c r="P2955" s="27">
        <v>3.2548184716220556E-2</v>
      </c>
      <c r="Q2955" s="28">
        <f t="shared" si="50"/>
        <v>3.5548184716220559E-2</v>
      </c>
      <c r="R2955" s="29">
        <v>0.15003660775771735</v>
      </c>
      <c r="S2955" s="30">
        <v>4.854E-2</v>
      </c>
    </row>
    <row r="2956" spans="16:19" x14ac:dyDescent="0.25">
      <c r="P2956" s="27">
        <v>3.2548184716220556E-2</v>
      </c>
      <c r="Q2956" s="28">
        <f t="shared" si="50"/>
        <v>3.5548184716220559E-2</v>
      </c>
      <c r="R2956" s="29">
        <v>0.15003660775771735</v>
      </c>
      <c r="S2956" s="30">
        <v>4.0030000000000003E-2</v>
      </c>
    </row>
    <row r="2957" spans="16:19" x14ac:dyDescent="0.25">
      <c r="P2957" s="27">
        <v>3.2548184716220556E-2</v>
      </c>
      <c r="Q2957" s="28">
        <f t="shared" si="50"/>
        <v>3.5548184716220559E-2</v>
      </c>
      <c r="R2957" s="29">
        <v>0.15003660775771735</v>
      </c>
      <c r="S2957" s="30">
        <v>3.798E-2</v>
      </c>
    </row>
    <row r="2958" spans="16:19" x14ac:dyDescent="0.25">
      <c r="P2958" s="27">
        <v>3.2548184716220556E-2</v>
      </c>
      <c r="Q2958" s="28">
        <f t="shared" si="50"/>
        <v>3.5548184716220559E-2</v>
      </c>
      <c r="R2958" s="29">
        <v>0.15003660775771735</v>
      </c>
      <c r="S2958" s="30">
        <v>3.798E-2</v>
      </c>
    </row>
    <row r="2959" spans="16:19" x14ac:dyDescent="0.25">
      <c r="P2959" s="27">
        <v>3.2548184716220556E-2</v>
      </c>
      <c r="Q2959" s="28">
        <f t="shared" si="50"/>
        <v>3.5548184716220559E-2</v>
      </c>
      <c r="R2959" s="29">
        <v>0.15003660775771735</v>
      </c>
      <c r="S2959" s="30">
        <v>3.7950000000000005E-2</v>
      </c>
    </row>
    <row r="2960" spans="16:19" x14ac:dyDescent="0.25">
      <c r="P2960" s="27">
        <v>3.2548184716220556E-2</v>
      </c>
      <c r="Q2960" s="28">
        <f t="shared" si="50"/>
        <v>3.5548184716220559E-2</v>
      </c>
      <c r="R2960" s="29">
        <v>0.15003660775771735</v>
      </c>
      <c r="S2960" s="30">
        <v>3.7743960999999999E-2</v>
      </c>
    </row>
    <row r="2961" spans="16:19" x14ac:dyDescent="0.25">
      <c r="P2961" s="27">
        <v>3.2548184716220556E-2</v>
      </c>
      <c r="Q2961" s="28">
        <f t="shared" si="50"/>
        <v>3.5548184716220559E-2</v>
      </c>
      <c r="R2961" s="29">
        <v>0.15003660775771735</v>
      </c>
      <c r="S2961" s="30">
        <v>3.3299999999999996E-2</v>
      </c>
    </row>
    <row r="2962" spans="16:19" x14ac:dyDescent="0.25">
      <c r="P2962" s="27">
        <v>3.2548184716220556E-2</v>
      </c>
      <c r="Q2962" s="28">
        <f t="shared" si="50"/>
        <v>3.5548184716220559E-2</v>
      </c>
      <c r="R2962" s="29">
        <v>0.15003660775771735</v>
      </c>
      <c r="S2962" s="30">
        <v>1.8749999999999999E-2</v>
      </c>
    </row>
    <row r="2963" spans="16:19" x14ac:dyDescent="0.25">
      <c r="P2963" s="27">
        <v>3.2548184716220556E-2</v>
      </c>
      <c r="Q2963" s="28">
        <f t="shared" si="50"/>
        <v>3.5548184716220559E-2</v>
      </c>
      <c r="R2963" s="31">
        <v>0.15939660775771733</v>
      </c>
      <c r="S2963" s="32">
        <v>1.9300000000000001E-2</v>
      </c>
    </row>
    <row r="2964" spans="16:19" x14ac:dyDescent="0.25">
      <c r="P2964" s="27">
        <v>3.2548184716220556E-2</v>
      </c>
      <c r="Q2964" s="28">
        <f t="shared" si="50"/>
        <v>3.5548184716220559E-2</v>
      </c>
      <c r="R2964" s="33">
        <v>0.16282860775771735</v>
      </c>
      <c r="S2964" s="34">
        <v>1.78E-2</v>
      </c>
    </row>
    <row r="2965" spans="16:19" x14ac:dyDescent="0.25">
      <c r="P2965" s="27">
        <v>3.2548184716220556E-2</v>
      </c>
      <c r="Q2965" s="28">
        <f t="shared" si="50"/>
        <v>3.5548184716220559E-2</v>
      </c>
      <c r="R2965" s="33">
        <v>0.16282860775771735</v>
      </c>
      <c r="S2965" s="34">
        <v>1.337E-2</v>
      </c>
    </row>
    <row r="2966" spans="16:19" x14ac:dyDescent="0.25">
      <c r="P2966" s="27">
        <v>3.2548184716220556E-2</v>
      </c>
      <c r="Q2966" s="28">
        <f t="shared" si="50"/>
        <v>3.5548184716220559E-2</v>
      </c>
      <c r="R2966" s="33">
        <v>0.16282860775771735</v>
      </c>
      <c r="S2966" s="34">
        <v>1.247E-2</v>
      </c>
    </row>
    <row r="2967" spans="16:19" x14ac:dyDescent="0.25">
      <c r="P2967" s="27">
        <v>3.2548184716220556E-2</v>
      </c>
      <c r="Q2967" s="28">
        <f t="shared" si="50"/>
        <v>3.5548184716220559E-2</v>
      </c>
      <c r="R2967" s="33">
        <v>0.16282860775771735</v>
      </c>
      <c r="S2967" s="34">
        <v>1.04E-2</v>
      </c>
    </row>
    <row r="2968" spans="16:19" x14ac:dyDescent="0.25">
      <c r="P2968" s="27">
        <v>3.2548184716220556E-2</v>
      </c>
      <c r="Q2968" s="28">
        <f t="shared" si="50"/>
        <v>3.5548184716220559E-2</v>
      </c>
      <c r="R2968" s="33">
        <v>0.16282860775771735</v>
      </c>
      <c r="S2968" s="34">
        <v>5.0000000000000001E-3</v>
      </c>
    </row>
    <row r="2969" spans="16:19" x14ac:dyDescent="0.25">
      <c r="P2969" s="27">
        <v>3.2548184716220556E-2</v>
      </c>
      <c r="Q2969" s="28">
        <f t="shared" si="50"/>
        <v>3.5548184716220559E-2</v>
      </c>
      <c r="R2969" s="33">
        <v>0.16282860775771735</v>
      </c>
      <c r="S2969" s="34">
        <v>4.8899999999999994E-3</v>
      </c>
    </row>
    <row r="2970" spans="16:19" x14ac:dyDescent="0.25">
      <c r="P2970" s="27">
        <v>3.2548184716220556E-2</v>
      </c>
      <c r="Q2970" s="28">
        <f t="shared" si="50"/>
        <v>3.5548184716220559E-2</v>
      </c>
      <c r="R2970" s="33">
        <v>0.16282860775771735</v>
      </c>
      <c r="S2970" s="34">
        <v>5.0000000000000001E-3</v>
      </c>
    </row>
    <row r="2971" spans="16:19" x14ac:dyDescent="0.25">
      <c r="P2971" s="27">
        <v>3.2548184716220556E-2</v>
      </c>
      <c r="Q2971" s="28">
        <f t="shared" si="50"/>
        <v>3.5548184716220559E-2</v>
      </c>
      <c r="R2971" s="33">
        <v>0.16282860775771735</v>
      </c>
      <c r="S2971" s="34">
        <v>8.7899999999999992E-3</v>
      </c>
    </row>
    <row r="2972" spans="16:19" x14ac:dyDescent="0.25">
      <c r="P2972" s="27">
        <v>3.2548184716220556E-2</v>
      </c>
      <c r="Q2972" s="28">
        <f t="shared" si="50"/>
        <v>3.5548184716220559E-2</v>
      </c>
      <c r="R2972" s="33">
        <v>0.16282860775771735</v>
      </c>
      <c r="S2972" s="34">
        <v>1.5949999999999999E-2</v>
      </c>
    </row>
    <row r="2973" spans="16:19" x14ac:dyDescent="0.25">
      <c r="P2973" s="27">
        <v>3.2548184716220556E-2</v>
      </c>
      <c r="Q2973" s="28">
        <f t="shared" si="50"/>
        <v>3.5548184716220559E-2</v>
      </c>
      <c r="R2973" s="33">
        <v>0.16282860775771735</v>
      </c>
      <c r="S2973" s="34">
        <v>3.1E-2</v>
      </c>
    </row>
    <row r="2974" spans="16:19" x14ac:dyDescent="0.25">
      <c r="P2974" s="27">
        <v>3.2548184716220556E-2</v>
      </c>
      <c r="Q2974" s="28">
        <f t="shared" si="50"/>
        <v>3.5548184716220559E-2</v>
      </c>
      <c r="R2974" s="33">
        <v>0.16282860775771735</v>
      </c>
      <c r="S2974" s="34">
        <v>3.9960000000000002E-2</v>
      </c>
    </row>
    <row r="2975" spans="16:19" x14ac:dyDescent="0.25">
      <c r="P2975" s="27">
        <v>3.2548184716220556E-2</v>
      </c>
      <c r="Q2975" s="28">
        <f t="shared" si="50"/>
        <v>3.5548184716220559E-2</v>
      </c>
      <c r="R2975" s="31">
        <v>0.15939660775771733</v>
      </c>
      <c r="S2975" s="32">
        <v>0.05</v>
      </c>
    </row>
    <row r="2976" spans="16:19" x14ac:dyDescent="0.25">
      <c r="P2976" s="27">
        <v>3.2548184716220556E-2</v>
      </c>
      <c r="Q2976" s="28">
        <f t="shared" si="50"/>
        <v>3.5548184716220559E-2</v>
      </c>
      <c r="R2976" s="31">
        <v>0.15939660775771733</v>
      </c>
      <c r="S2976" s="32">
        <v>0.05</v>
      </c>
    </row>
    <row r="2977" spans="16:19" x14ac:dyDescent="0.25">
      <c r="P2977" s="27">
        <v>3.2548184716220556E-2</v>
      </c>
      <c r="Q2977" s="28">
        <f t="shared" si="50"/>
        <v>3.5548184716220559E-2</v>
      </c>
      <c r="R2977" s="31">
        <v>0.15939660775771733</v>
      </c>
      <c r="S2977" s="32">
        <v>4.6590000000000006E-2</v>
      </c>
    </row>
    <row r="2978" spans="16:19" x14ac:dyDescent="0.25">
      <c r="P2978" s="27">
        <v>3.2548184716220556E-2</v>
      </c>
      <c r="Q2978" s="28">
        <f t="shared" si="50"/>
        <v>3.5548184716220559E-2</v>
      </c>
      <c r="R2978" s="31">
        <v>0.15939660775771733</v>
      </c>
      <c r="S2978" s="32">
        <v>3.7999999999999999E-2</v>
      </c>
    </row>
    <row r="2979" spans="16:19" x14ac:dyDescent="0.25">
      <c r="P2979" s="27">
        <v>3.2548184716220556E-2</v>
      </c>
      <c r="Q2979" s="28">
        <f t="shared" si="50"/>
        <v>3.5548184716220559E-2</v>
      </c>
      <c r="R2979" s="29">
        <v>0.15003660775771735</v>
      </c>
      <c r="S2979" s="30">
        <v>4.2999999999999997E-2</v>
      </c>
    </row>
    <row r="2980" spans="16:19" x14ac:dyDescent="0.25">
      <c r="P2980" s="27">
        <v>3.2548184716220556E-2</v>
      </c>
      <c r="Q2980" s="28">
        <f t="shared" si="50"/>
        <v>3.5548184716220559E-2</v>
      </c>
      <c r="R2980" s="29">
        <v>0.15003660775771735</v>
      </c>
      <c r="S2980" s="30">
        <v>3.6590000000000004E-2</v>
      </c>
    </row>
    <row r="2981" spans="16:19" x14ac:dyDescent="0.25">
      <c r="P2981" s="27">
        <v>3.2548184716220556E-2</v>
      </c>
      <c r="Q2981" s="28">
        <f t="shared" si="50"/>
        <v>3.5548184716220559E-2</v>
      </c>
      <c r="R2981" s="29">
        <v>0.15003660775771735</v>
      </c>
      <c r="S2981" s="30">
        <v>3.3070000000000002E-2</v>
      </c>
    </row>
    <row r="2982" spans="16:19" x14ac:dyDescent="0.25">
      <c r="P2982" s="27">
        <v>3.2548184716220556E-2</v>
      </c>
      <c r="Q2982" s="28">
        <f t="shared" si="50"/>
        <v>3.5548184716220559E-2</v>
      </c>
      <c r="R2982" s="29">
        <v>0.15003660775771735</v>
      </c>
      <c r="S2982" s="30">
        <v>0.03</v>
      </c>
    </row>
    <row r="2983" spans="16:19" x14ac:dyDescent="0.25">
      <c r="P2983" s="27">
        <v>3.2548184716220556E-2</v>
      </c>
      <c r="Q2983" s="28">
        <f t="shared" si="50"/>
        <v>3.5548184716220559E-2</v>
      </c>
      <c r="R2983" s="29">
        <v>0.15003660775771735</v>
      </c>
      <c r="S2983" s="30">
        <v>3.2400823000000002E-2</v>
      </c>
    </row>
    <row r="2984" spans="16:19" x14ac:dyDescent="0.25">
      <c r="P2984" s="27">
        <v>3.2548184716220556E-2</v>
      </c>
      <c r="Q2984" s="28">
        <f t="shared" si="50"/>
        <v>3.5548184716220559E-2</v>
      </c>
      <c r="R2984" s="29">
        <v>0.15003660775771735</v>
      </c>
      <c r="S2984" s="30">
        <v>3.7950000000000005E-2</v>
      </c>
    </row>
    <row r="2985" spans="16:19" x14ac:dyDescent="0.25">
      <c r="P2985" s="27">
        <v>3.2548184716220556E-2</v>
      </c>
      <c r="Q2985" s="28">
        <f t="shared" si="50"/>
        <v>3.5548184716220559E-2</v>
      </c>
      <c r="R2985" s="29">
        <v>0.15003660775771735</v>
      </c>
      <c r="S2985" s="30">
        <v>4.8779256E-2</v>
      </c>
    </row>
    <row r="2986" spans="16:19" x14ac:dyDescent="0.25">
      <c r="P2986" s="27">
        <v>3.2548184716220556E-2</v>
      </c>
      <c r="Q2986" s="28">
        <f t="shared" si="50"/>
        <v>3.5548184716220559E-2</v>
      </c>
      <c r="R2986" s="29">
        <v>0.15003660775771735</v>
      </c>
      <c r="S2986" s="30">
        <v>5.4729999999999994E-2</v>
      </c>
    </row>
    <row r="2987" spans="16:19" x14ac:dyDescent="0.25">
      <c r="P2987" s="27">
        <v>3.2548184716220556E-2</v>
      </c>
      <c r="Q2987" s="28">
        <f t="shared" si="50"/>
        <v>3.5548184716220559E-2</v>
      </c>
      <c r="R2987" s="31">
        <v>0.15939999999999999</v>
      </c>
      <c r="S2987" s="32">
        <v>6.6659999999999997E-2</v>
      </c>
    </row>
    <row r="2988" spans="16:19" x14ac:dyDescent="0.25">
      <c r="P2988" s="27">
        <v>3.2548184716220556E-2</v>
      </c>
      <c r="Q2988" s="28">
        <f t="shared" si="50"/>
        <v>3.5548184716220559E-2</v>
      </c>
      <c r="R2988" s="31">
        <v>0.15939999999999999</v>
      </c>
      <c r="S2988" s="32">
        <v>5.3280000000000001E-2</v>
      </c>
    </row>
    <row r="2989" spans="16:19" x14ac:dyDescent="0.25">
      <c r="P2989" s="27">
        <v>3.2548184716220556E-2</v>
      </c>
      <c r="Q2989" s="28">
        <f t="shared" si="50"/>
        <v>3.5548184716220559E-2</v>
      </c>
      <c r="R2989" s="31">
        <v>0.15939999999999999</v>
      </c>
      <c r="S2989" s="32">
        <v>4.8310000000000006E-2</v>
      </c>
    </row>
    <row r="2990" spans="16:19" x14ac:dyDescent="0.25">
      <c r="P2990" s="27">
        <v>3.2548184716220556E-2</v>
      </c>
      <c r="Q2990" s="28">
        <f t="shared" si="50"/>
        <v>3.5548184716220559E-2</v>
      </c>
      <c r="R2990" s="31">
        <v>0.15939999999999999</v>
      </c>
      <c r="S2990" s="32">
        <v>4.4999999999999998E-2</v>
      </c>
    </row>
    <row r="2991" spans="16:19" x14ac:dyDescent="0.25">
      <c r="P2991" s="27">
        <v>3.2548184716220556E-2</v>
      </c>
      <c r="Q2991" s="28">
        <f t="shared" si="50"/>
        <v>3.5548184716220559E-2</v>
      </c>
      <c r="R2991" s="31">
        <v>0.15939999999999999</v>
      </c>
      <c r="S2991" s="32">
        <v>3.9850000000000003E-2</v>
      </c>
    </row>
    <row r="2992" spans="16:19" x14ac:dyDescent="0.25">
      <c r="P2992" s="27">
        <v>3.2548184716220556E-2</v>
      </c>
      <c r="Q2992" s="28">
        <f t="shared" si="50"/>
        <v>3.5548184716220559E-2</v>
      </c>
      <c r="R2992" s="31">
        <v>0.15939999999999999</v>
      </c>
      <c r="S2992" s="32">
        <v>4.0299999999999996E-2</v>
      </c>
    </row>
    <row r="2993" spans="16:19" x14ac:dyDescent="0.25">
      <c r="P2993" s="27">
        <v>3.2548184716220556E-2</v>
      </c>
      <c r="Q2993" s="28">
        <f t="shared" si="50"/>
        <v>3.5548184716220559E-2</v>
      </c>
      <c r="R2993" s="31">
        <v>0.15939999999999999</v>
      </c>
      <c r="S2993" s="32">
        <v>4.0189999999999997E-2</v>
      </c>
    </row>
    <row r="2994" spans="16:19" x14ac:dyDescent="0.25">
      <c r="P2994" s="27">
        <v>3.2548184716220556E-2</v>
      </c>
      <c r="Q2994" s="28">
        <f t="shared" si="50"/>
        <v>3.5548184716220559E-2</v>
      </c>
      <c r="R2994" s="31">
        <v>0.15939999999999999</v>
      </c>
      <c r="S2994" s="32">
        <v>4.0379999999999999E-2</v>
      </c>
    </row>
    <row r="2995" spans="16:19" x14ac:dyDescent="0.25">
      <c r="P2995" s="27">
        <v>3.2548184716220556E-2</v>
      </c>
      <c r="Q2995" s="28">
        <f t="shared" si="50"/>
        <v>3.5548184716220559E-2</v>
      </c>
      <c r="R2995" s="31">
        <v>0.15939999999999999</v>
      </c>
      <c r="S2995" s="32">
        <v>4.5700000000000005E-2</v>
      </c>
    </row>
    <row r="2996" spans="16:19" x14ac:dyDescent="0.25">
      <c r="P2996" s="27">
        <v>3.2548184716220556E-2</v>
      </c>
      <c r="Q2996" s="28">
        <f t="shared" si="50"/>
        <v>3.5548184716220559E-2</v>
      </c>
      <c r="R2996" s="31">
        <v>0.15939999999999999</v>
      </c>
      <c r="S2996" s="32">
        <v>4.641E-2</v>
      </c>
    </row>
    <row r="2997" spans="16:19" x14ac:dyDescent="0.25">
      <c r="P2997" s="27">
        <v>3.2548184716220556E-2</v>
      </c>
      <c r="Q2997" s="28">
        <f t="shared" si="50"/>
        <v>3.5548184716220559E-2</v>
      </c>
      <c r="R2997" s="31">
        <v>0.15939999999999999</v>
      </c>
      <c r="S2997" s="32">
        <v>0.05</v>
      </c>
    </row>
    <row r="2998" spans="16:19" x14ac:dyDescent="0.25">
      <c r="P2998" s="27">
        <v>3.2548184716220556E-2</v>
      </c>
      <c r="Q2998" s="28">
        <f t="shared" si="50"/>
        <v>3.5548184716220559E-2</v>
      </c>
      <c r="R2998" s="31">
        <v>0.15939999999999999</v>
      </c>
      <c r="S2998" s="32">
        <v>5.5E-2</v>
      </c>
    </row>
    <row r="2999" spans="16:19" x14ac:dyDescent="0.25">
      <c r="P2999" s="27">
        <v>3.2548184716220556E-2</v>
      </c>
      <c r="Q2999" s="28">
        <f t="shared" si="50"/>
        <v>3.5548184716220559E-2</v>
      </c>
      <c r="R2999" s="31">
        <v>0.15939999999999999</v>
      </c>
      <c r="S2999" s="32">
        <v>7.959999999999999E-2</v>
      </c>
    </row>
    <row r="3000" spans="16:19" x14ac:dyDescent="0.25">
      <c r="P3000" s="27">
        <v>3.2548184716220556E-2</v>
      </c>
      <c r="Q3000" s="28">
        <f t="shared" si="50"/>
        <v>3.5548184716220559E-2</v>
      </c>
      <c r="R3000" s="31">
        <v>0.15939999999999999</v>
      </c>
      <c r="S3000" s="32">
        <v>6.191E-2</v>
      </c>
    </row>
    <row r="3001" spans="16:19" x14ac:dyDescent="0.25">
      <c r="P3001" s="27">
        <v>3.2548184716220556E-2</v>
      </c>
      <c r="Q3001" s="28">
        <f t="shared" si="50"/>
        <v>3.5548184716220559E-2</v>
      </c>
      <c r="R3001" s="31">
        <v>0.15939999999999999</v>
      </c>
      <c r="S3001" s="32">
        <v>5.0279999999999998E-2</v>
      </c>
    </row>
    <row r="3002" spans="16:19" x14ac:dyDescent="0.25">
      <c r="P3002" s="27">
        <v>3.2548184716220556E-2</v>
      </c>
      <c r="Q3002" s="28">
        <f t="shared" si="50"/>
        <v>3.5548184716220559E-2</v>
      </c>
      <c r="R3002" s="31">
        <v>0.15939999999999999</v>
      </c>
      <c r="S3002" s="32">
        <v>4.6659999999999993E-2</v>
      </c>
    </row>
    <row r="3003" spans="16:19" x14ac:dyDescent="0.25">
      <c r="P3003" s="27">
        <v>3.2548184716220556E-2</v>
      </c>
      <c r="Q3003" s="28">
        <f t="shared" si="50"/>
        <v>3.5548184716220559E-2</v>
      </c>
      <c r="R3003" s="29">
        <v>0.15</v>
      </c>
      <c r="S3003" s="30">
        <v>4.0030000000000003E-2</v>
      </c>
    </row>
    <row r="3004" spans="16:19" x14ac:dyDescent="0.25">
      <c r="P3004" s="27">
        <v>3.2548184716220556E-2</v>
      </c>
      <c r="Q3004" s="28">
        <f t="shared" si="50"/>
        <v>3.5548184716220559E-2</v>
      </c>
      <c r="R3004" s="29">
        <v>0.15</v>
      </c>
      <c r="S3004" s="30">
        <v>3.7950000000000005E-2</v>
      </c>
    </row>
    <row r="3005" spans="16:19" x14ac:dyDescent="0.25">
      <c r="P3005" s="27">
        <v>3.2548184716220556E-2</v>
      </c>
      <c r="Q3005" s="28">
        <f t="shared" si="50"/>
        <v>3.5548184716220559E-2</v>
      </c>
      <c r="R3005" s="29">
        <v>0.15</v>
      </c>
      <c r="S3005" s="30">
        <v>3.6990000000000002E-2</v>
      </c>
    </row>
    <row r="3006" spans="16:19" x14ac:dyDescent="0.25">
      <c r="P3006" s="27">
        <v>3.2548184716220556E-2</v>
      </c>
      <c r="Q3006" s="28">
        <f t="shared" si="50"/>
        <v>3.5548184716220559E-2</v>
      </c>
      <c r="R3006" s="29">
        <v>0.15</v>
      </c>
      <c r="S3006" s="30">
        <v>3.6990000000000002E-2</v>
      </c>
    </row>
    <row r="3007" spans="16:19" x14ac:dyDescent="0.25">
      <c r="P3007" s="27">
        <v>3.2548184716220556E-2</v>
      </c>
      <c r="Q3007" s="28">
        <f t="shared" si="50"/>
        <v>3.5548184716220559E-2</v>
      </c>
      <c r="R3007" s="29">
        <v>0.15</v>
      </c>
      <c r="S3007" s="30">
        <v>3.6990000000000002E-2</v>
      </c>
    </row>
    <row r="3008" spans="16:19" x14ac:dyDescent="0.25">
      <c r="P3008" s="27">
        <v>3.2548184716220556E-2</v>
      </c>
      <c r="Q3008" s="28">
        <f t="shared" si="50"/>
        <v>3.5548184716220559E-2</v>
      </c>
      <c r="R3008" s="29">
        <v>0.15</v>
      </c>
      <c r="S3008" s="30">
        <v>3.8840000000000006E-2</v>
      </c>
    </row>
    <row r="3009" spans="16:19" x14ac:dyDescent="0.25">
      <c r="P3009" s="27">
        <v>3.2548184716220556E-2</v>
      </c>
      <c r="Q3009" s="28">
        <f t="shared" si="50"/>
        <v>3.5548184716220559E-2</v>
      </c>
      <c r="R3009" s="29">
        <v>0.15</v>
      </c>
      <c r="S3009" s="30">
        <v>4.3499999999999997E-2</v>
      </c>
    </row>
    <row r="3010" spans="16:19" x14ac:dyDescent="0.25">
      <c r="P3010" s="27">
        <v>3.2548184716220556E-2</v>
      </c>
      <c r="Q3010" s="28">
        <f t="shared" si="50"/>
        <v>3.5548184716220559E-2</v>
      </c>
      <c r="R3010" s="29">
        <v>0.15</v>
      </c>
      <c r="S3010" s="30">
        <v>4.9729999999999996E-2</v>
      </c>
    </row>
    <row r="3011" spans="16:19" x14ac:dyDescent="0.25">
      <c r="P3011" s="27">
        <v>3.2548184716220556E-2</v>
      </c>
      <c r="Q3011" s="28">
        <f t="shared" si="50"/>
        <v>3.5548184716220559E-2</v>
      </c>
      <c r="R3011" s="29">
        <v>0.15</v>
      </c>
      <c r="S3011" s="30">
        <v>5.4340000000000006E-2</v>
      </c>
    </row>
    <row r="3012" spans="16:19" x14ac:dyDescent="0.25">
      <c r="P3012" s="27">
        <v>3.2548184716220556E-2</v>
      </c>
      <c r="Q3012" s="28">
        <f t="shared" si="50"/>
        <v>3.5548184716220559E-2</v>
      </c>
      <c r="R3012" s="29">
        <v>0.15</v>
      </c>
      <c r="S3012" s="30">
        <v>4.9450000000000001E-2</v>
      </c>
    </row>
    <row r="3013" spans="16:19" x14ac:dyDescent="0.25">
      <c r="P3013" s="27">
        <v>3.2548184716220556E-2</v>
      </c>
      <c r="Q3013" s="28">
        <f t="shared" ref="Q3013:Q3076" si="51">P3013+0.003</f>
        <v>3.5548184716220559E-2</v>
      </c>
      <c r="R3013" s="29">
        <v>0.15</v>
      </c>
      <c r="S3013" s="30">
        <v>4.4999999999999998E-2</v>
      </c>
    </row>
    <row r="3014" spans="16:19" x14ac:dyDescent="0.25">
      <c r="P3014" s="27">
        <v>3.2548184716220556E-2</v>
      </c>
      <c r="Q3014" s="28">
        <f t="shared" si="51"/>
        <v>3.5548184716220559E-2</v>
      </c>
      <c r="R3014" s="29">
        <v>0.15</v>
      </c>
      <c r="S3014" s="30">
        <v>4.4920000000000002E-2</v>
      </c>
    </row>
    <row r="3015" spans="16:19" x14ac:dyDescent="0.25">
      <c r="P3015" s="27">
        <v>3.2548184716220556E-2</v>
      </c>
      <c r="Q3015" s="28">
        <f t="shared" si="51"/>
        <v>3.5548184716220559E-2</v>
      </c>
      <c r="R3015" s="29">
        <v>0.15</v>
      </c>
      <c r="S3015" s="30">
        <v>3.6299999999999999E-2</v>
      </c>
    </row>
    <row r="3016" spans="16:19" x14ac:dyDescent="0.25">
      <c r="P3016" s="27">
        <v>3.2548184716220556E-2</v>
      </c>
      <c r="Q3016" s="28">
        <f t="shared" si="51"/>
        <v>3.5548184716220559E-2</v>
      </c>
      <c r="R3016" s="29">
        <v>0.15</v>
      </c>
      <c r="S3016" s="30">
        <v>3.8840000000000006E-2</v>
      </c>
    </row>
    <row r="3017" spans="16:19" x14ac:dyDescent="0.25">
      <c r="P3017" s="27">
        <v>3.2548184716220556E-2</v>
      </c>
      <c r="Q3017" s="28">
        <f t="shared" si="51"/>
        <v>3.5548184716220559E-2</v>
      </c>
      <c r="R3017" s="29">
        <v>0.15</v>
      </c>
      <c r="S3017" s="30">
        <v>4.4999999999999998E-2</v>
      </c>
    </row>
    <row r="3018" spans="16:19" x14ac:dyDescent="0.25">
      <c r="P3018" s="27">
        <v>3.2548184716220556E-2</v>
      </c>
      <c r="Q3018" s="28">
        <f t="shared" si="51"/>
        <v>3.5548184716220559E-2</v>
      </c>
      <c r="R3018" s="29">
        <v>0.15</v>
      </c>
      <c r="S3018" s="30">
        <v>4.7090000000000007E-2</v>
      </c>
    </row>
    <row r="3019" spans="16:19" x14ac:dyDescent="0.25">
      <c r="P3019" s="27">
        <v>3.2548184716220556E-2</v>
      </c>
      <c r="Q3019" s="28">
        <f t="shared" si="51"/>
        <v>3.5548184716220559E-2</v>
      </c>
      <c r="R3019" s="29">
        <v>0.15</v>
      </c>
      <c r="S3019" s="30">
        <v>4.999E-2</v>
      </c>
    </row>
    <row r="3020" spans="16:19" x14ac:dyDescent="0.25">
      <c r="P3020" s="27">
        <v>3.2548184716220556E-2</v>
      </c>
      <c r="Q3020" s="28">
        <f t="shared" si="51"/>
        <v>3.5548184716220559E-2</v>
      </c>
      <c r="R3020" s="29">
        <v>0.15</v>
      </c>
      <c r="S3020" s="30">
        <v>5.0770000000000003E-2</v>
      </c>
    </row>
    <row r="3021" spans="16:19" x14ac:dyDescent="0.25">
      <c r="P3021" s="27">
        <v>3.2548184716220556E-2</v>
      </c>
      <c r="Q3021" s="28">
        <f t="shared" si="51"/>
        <v>3.5548184716220559E-2</v>
      </c>
      <c r="R3021" s="29">
        <v>0.15</v>
      </c>
      <c r="S3021" s="30">
        <v>5.3103994000000002E-2</v>
      </c>
    </row>
    <row r="3022" spans="16:19" x14ac:dyDescent="0.25">
      <c r="P3022" s="27">
        <v>3.2548184716220556E-2</v>
      </c>
      <c r="Q3022" s="28">
        <f t="shared" si="51"/>
        <v>3.5548184716220559E-2</v>
      </c>
      <c r="R3022" s="29">
        <v>0.15</v>
      </c>
      <c r="S3022" s="30">
        <v>5.5719999999999999E-2</v>
      </c>
    </row>
    <row r="3023" spans="16:19" x14ac:dyDescent="0.25">
      <c r="P3023" s="27">
        <v>3.2548184716220556E-2</v>
      </c>
      <c r="Q3023" s="28">
        <f t="shared" si="51"/>
        <v>3.5548184716220559E-2</v>
      </c>
      <c r="R3023" s="29">
        <v>0.15</v>
      </c>
      <c r="S3023" s="30">
        <v>0.08</v>
      </c>
    </row>
    <row r="3024" spans="16:19" x14ac:dyDescent="0.25">
      <c r="P3024" s="27">
        <v>3.2548184716220556E-2</v>
      </c>
      <c r="Q3024" s="28">
        <f t="shared" si="51"/>
        <v>3.5548184716220559E-2</v>
      </c>
      <c r="R3024" s="29">
        <v>0.15</v>
      </c>
      <c r="S3024" s="30">
        <v>6.4140000000000003E-2</v>
      </c>
    </row>
    <row r="3025" spans="16:19" x14ac:dyDescent="0.25">
      <c r="P3025" s="27">
        <v>3.2548184716220556E-2</v>
      </c>
      <c r="Q3025" s="28">
        <f t="shared" si="51"/>
        <v>3.5548184716220559E-2</v>
      </c>
      <c r="R3025" s="29">
        <v>0.15</v>
      </c>
      <c r="S3025" s="30">
        <v>5.1999999999999998E-2</v>
      </c>
    </row>
    <row r="3026" spans="16:19" x14ac:dyDescent="0.25">
      <c r="P3026" s="27">
        <v>3.2548184716220556E-2</v>
      </c>
      <c r="Q3026" s="28">
        <f t="shared" si="51"/>
        <v>3.5548184716220559E-2</v>
      </c>
      <c r="R3026" s="29">
        <v>0.15</v>
      </c>
      <c r="S3026" s="30">
        <v>4.9430000000000002E-2</v>
      </c>
    </row>
    <row r="3027" spans="16:19" x14ac:dyDescent="0.25">
      <c r="P3027" s="27">
        <v>3.2548184716220556E-2</v>
      </c>
      <c r="Q3027" s="28">
        <f t="shared" si="51"/>
        <v>3.5548184716220559E-2</v>
      </c>
      <c r="R3027" s="29">
        <v>0.15</v>
      </c>
      <c r="S3027" s="30">
        <v>4.5999999999999999E-2</v>
      </c>
    </row>
    <row r="3028" spans="16:19" x14ac:dyDescent="0.25">
      <c r="P3028" s="27">
        <v>3.2548184716220556E-2</v>
      </c>
      <c r="Q3028" s="28">
        <f t="shared" si="51"/>
        <v>3.5548184716220559E-2</v>
      </c>
      <c r="R3028" s="29">
        <v>0.15</v>
      </c>
      <c r="S3028" s="30">
        <v>4.1329999999999999E-2</v>
      </c>
    </row>
    <row r="3029" spans="16:19" x14ac:dyDescent="0.25">
      <c r="P3029" s="27">
        <v>3.2548184716220556E-2</v>
      </c>
      <c r="Q3029" s="28">
        <f t="shared" si="51"/>
        <v>3.5548184716220559E-2</v>
      </c>
      <c r="R3029" s="29">
        <v>0.15</v>
      </c>
      <c r="S3029" s="30">
        <v>3.7999999999999999E-2</v>
      </c>
    </row>
    <row r="3030" spans="16:19" x14ac:dyDescent="0.25">
      <c r="P3030" s="27">
        <v>3.2548184716220556E-2</v>
      </c>
      <c r="Q3030" s="28">
        <f t="shared" si="51"/>
        <v>3.5548184716220559E-2</v>
      </c>
      <c r="R3030" s="29">
        <v>0.15</v>
      </c>
      <c r="S3030" s="30">
        <v>3.798E-2</v>
      </c>
    </row>
    <row r="3031" spans="16:19" x14ac:dyDescent="0.25">
      <c r="P3031" s="27">
        <v>3.2548184716220556E-2</v>
      </c>
      <c r="Q3031" s="28">
        <f t="shared" si="51"/>
        <v>3.5548184716220559E-2</v>
      </c>
      <c r="R3031" s="29">
        <v>0.15</v>
      </c>
      <c r="S3031" s="30">
        <v>3.7999999999999999E-2</v>
      </c>
    </row>
    <row r="3032" spans="16:19" x14ac:dyDescent="0.25">
      <c r="P3032" s="27">
        <v>3.2548184716220556E-2</v>
      </c>
      <c r="Q3032" s="28">
        <f t="shared" si="51"/>
        <v>3.5548184716220559E-2</v>
      </c>
      <c r="R3032" s="29">
        <v>0.15</v>
      </c>
      <c r="S3032" s="30">
        <v>4.3412864000000002E-2</v>
      </c>
    </row>
    <row r="3033" spans="16:19" x14ac:dyDescent="0.25">
      <c r="P3033" s="27">
        <v>3.2548184716220556E-2</v>
      </c>
      <c r="Q3033" s="28">
        <f t="shared" si="51"/>
        <v>3.5548184716220559E-2</v>
      </c>
      <c r="R3033" s="29">
        <v>0.15</v>
      </c>
      <c r="S3033" s="30">
        <v>4.4999999999999998E-2</v>
      </c>
    </row>
    <row r="3034" spans="16:19" x14ac:dyDescent="0.25">
      <c r="P3034" s="27">
        <v>3.2548184716220556E-2</v>
      </c>
      <c r="Q3034" s="28">
        <f t="shared" si="51"/>
        <v>3.5548184716220559E-2</v>
      </c>
      <c r="R3034" s="29">
        <v>0.15</v>
      </c>
      <c r="S3034" s="30">
        <v>0.05</v>
      </c>
    </row>
    <row r="3035" spans="16:19" x14ac:dyDescent="0.25">
      <c r="P3035" s="27">
        <v>3.2548184716220556E-2</v>
      </c>
      <c r="Q3035" s="28">
        <f t="shared" si="51"/>
        <v>3.5548184716220559E-2</v>
      </c>
      <c r="R3035" s="31">
        <v>0.15939660775771733</v>
      </c>
      <c r="S3035" s="32">
        <v>6.1979999999999993E-2</v>
      </c>
    </row>
    <row r="3036" spans="16:19" x14ac:dyDescent="0.25">
      <c r="P3036" s="27">
        <v>3.2548184716220556E-2</v>
      </c>
      <c r="Q3036" s="28">
        <f t="shared" si="51"/>
        <v>3.5548184716220559E-2</v>
      </c>
      <c r="R3036" s="33">
        <v>0.16282860775771735</v>
      </c>
      <c r="S3036" s="34">
        <v>5.2380000000000003E-2</v>
      </c>
    </row>
    <row r="3037" spans="16:19" x14ac:dyDescent="0.25">
      <c r="P3037" s="27">
        <v>3.2548184716220556E-2</v>
      </c>
      <c r="Q3037" s="28">
        <f t="shared" si="51"/>
        <v>3.5548184716220559E-2</v>
      </c>
      <c r="R3037" s="33">
        <v>0.16282860775771735</v>
      </c>
      <c r="S3037" s="34">
        <v>4.9509999999999998E-2</v>
      </c>
    </row>
    <row r="3038" spans="16:19" x14ac:dyDescent="0.25">
      <c r="P3038" s="27">
        <v>3.2548184716220556E-2</v>
      </c>
      <c r="Q3038" s="28">
        <f t="shared" si="51"/>
        <v>3.5548184716220559E-2</v>
      </c>
      <c r="R3038" s="33">
        <v>0.16282860775771735</v>
      </c>
      <c r="S3038" s="34">
        <v>5.0959999999999998E-2</v>
      </c>
    </row>
    <row r="3039" spans="16:19" x14ac:dyDescent="0.25">
      <c r="P3039" s="27">
        <v>3.2548184716220556E-2</v>
      </c>
      <c r="Q3039" s="28">
        <f t="shared" si="51"/>
        <v>3.5548184716220559E-2</v>
      </c>
      <c r="R3039" s="33">
        <v>0.16282860775771735</v>
      </c>
      <c r="S3039" s="34">
        <v>3.9990000000000005E-2</v>
      </c>
    </row>
    <row r="3040" spans="16:19" x14ac:dyDescent="0.25">
      <c r="P3040" s="27">
        <v>3.2548184716220556E-2</v>
      </c>
      <c r="Q3040" s="28">
        <f t="shared" si="51"/>
        <v>3.5548184716220559E-2</v>
      </c>
      <c r="R3040" s="33">
        <v>0.16282860775771735</v>
      </c>
      <c r="S3040" s="34">
        <v>4.1329999999999999E-2</v>
      </c>
    </row>
    <row r="3041" spans="16:19" x14ac:dyDescent="0.25">
      <c r="P3041" s="27">
        <v>3.2548184716220556E-2</v>
      </c>
      <c r="Q3041" s="28">
        <f t="shared" si="51"/>
        <v>3.5548184716220559E-2</v>
      </c>
      <c r="R3041" s="33">
        <v>0.16282860775771735</v>
      </c>
      <c r="S3041" s="34">
        <v>4.4700000000000004E-2</v>
      </c>
    </row>
    <row r="3042" spans="16:19" x14ac:dyDescent="0.25">
      <c r="P3042" s="27">
        <v>3.2548184716220556E-2</v>
      </c>
      <c r="Q3042" s="28">
        <f t="shared" si="51"/>
        <v>3.5548184716220559E-2</v>
      </c>
      <c r="R3042" s="33">
        <v>0.16282860775771735</v>
      </c>
      <c r="S3042" s="34">
        <v>5.117E-2</v>
      </c>
    </row>
    <row r="3043" spans="16:19" x14ac:dyDescent="0.25">
      <c r="P3043" s="27">
        <v>3.2548184716220556E-2</v>
      </c>
      <c r="Q3043" s="28">
        <f t="shared" si="51"/>
        <v>3.5548184716220559E-2</v>
      </c>
      <c r="R3043" s="33">
        <v>0.16282860775771735</v>
      </c>
      <c r="S3043" s="34">
        <v>5.0700000000000002E-2</v>
      </c>
    </row>
    <row r="3044" spans="16:19" x14ac:dyDescent="0.25">
      <c r="P3044" s="27">
        <v>3.2548184716220556E-2</v>
      </c>
      <c r="Q3044" s="28">
        <f t="shared" si="51"/>
        <v>3.5548184716220559E-2</v>
      </c>
      <c r="R3044" s="33">
        <v>0.16282860775771735</v>
      </c>
      <c r="S3044" s="34">
        <v>0.05</v>
      </c>
    </row>
    <row r="3045" spans="16:19" x14ac:dyDescent="0.25">
      <c r="P3045" s="27">
        <v>3.2548184716220556E-2</v>
      </c>
      <c r="Q3045" s="28">
        <f t="shared" si="51"/>
        <v>3.5548184716220559E-2</v>
      </c>
      <c r="R3045" s="33">
        <v>0.16282860775771735</v>
      </c>
      <c r="S3045" s="34">
        <v>5.0810000000000001E-2</v>
      </c>
    </row>
    <row r="3046" spans="16:19" x14ac:dyDescent="0.25">
      <c r="P3046" s="27">
        <v>3.2548184716220556E-2</v>
      </c>
      <c r="Q3046" s="28">
        <f t="shared" si="51"/>
        <v>3.5548184716220559E-2</v>
      </c>
      <c r="R3046" s="33">
        <v>0.16282860775771735</v>
      </c>
      <c r="S3046" s="34">
        <v>5.2990000000000002E-2</v>
      </c>
    </row>
    <row r="3047" spans="16:19" x14ac:dyDescent="0.25">
      <c r="P3047" s="27">
        <v>3.2548184716220556E-2</v>
      </c>
      <c r="Q3047" s="28">
        <f t="shared" si="51"/>
        <v>3.5548184716220559E-2</v>
      </c>
      <c r="R3047" s="31">
        <v>0.15939660775771733</v>
      </c>
      <c r="S3047" s="32">
        <v>7.9000000000000001E-2</v>
      </c>
    </row>
    <row r="3048" spans="16:19" x14ac:dyDescent="0.25">
      <c r="P3048" s="27">
        <v>3.2548184716220556E-2</v>
      </c>
      <c r="Q3048" s="28">
        <f t="shared" si="51"/>
        <v>3.5548184716220559E-2</v>
      </c>
      <c r="R3048" s="31">
        <v>0.15939660775771733</v>
      </c>
      <c r="S3048" s="32">
        <v>6.2140000000000001E-2</v>
      </c>
    </row>
    <row r="3049" spans="16:19" x14ac:dyDescent="0.25">
      <c r="P3049" s="27">
        <v>3.2548184716220556E-2</v>
      </c>
      <c r="Q3049" s="28">
        <f t="shared" si="51"/>
        <v>3.5548184716220559E-2</v>
      </c>
      <c r="R3049" s="31">
        <v>0.15939660775771733</v>
      </c>
      <c r="S3049" s="32">
        <v>4.9799999999999997E-2</v>
      </c>
    </row>
    <row r="3050" spans="16:19" x14ac:dyDescent="0.25">
      <c r="P3050" s="27">
        <v>3.2548184716220556E-2</v>
      </c>
      <c r="Q3050" s="28">
        <f t="shared" si="51"/>
        <v>3.5548184716220559E-2</v>
      </c>
      <c r="R3050" s="31">
        <v>0.15939660775771733</v>
      </c>
      <c r="S3050" s="32">
        <v>4.65E-2</v>
      </c>
    </row>
    <row r="3051" spans="16:19" x14ac:dyDescent="0.25">
      <c r="P3051" s="27">
        <v>3.2548184716220556E-2</v>
      </c>
      <c r="Q3051" s="28">
        <f t="shared" si="51"/>
        <v>3.5548184716220559E-2</v>
      </c>
      <c r="R3051" s="29">
        <v>0.15003660775771735</v>
      </c>
      <c r="S3051" s="30">
        <v>3.5159999999999997E-2</v>
      </c>
    </row>
    <row r="3052" spans="16:19" x14ac:dyDescent="0.25">
      <c r="P3052" s="27">
        <v>3.2548184716220556E-2</v>
      </c>
      <c r="Q3052" s="28">
        <f t="shared" si="51"/>
        <v>3.5548184716220559E-2</v>
      </c>
      <c r="R3052" s="29">
        <v>0.15003660775771735</v>
      </c>
      <c r="S3052" s="30">
        <v>3.6590000000000004E-2</v>
      </c>
    </row>
    <row r="3053" spans="16:19" x14ac:dyDescent="0.25">
      <c r="P3053" s="27">
        <v>3.2548184716220556E-2</v>
      </c>
      <c r="Q3053" s="28">
        <f t="shared" si="51"/>
        <v>3.5548184716220559E-2</v>
      </c>
      <c r="R3053" s="29">
        <v>0.15003660775771735</v>
      </c>
      <c r="S3053" s="30">
        <v>3.329E-2</v>
      </c>
    </row>
    <row r="3054" spans="16:19" x14ac:dyDescent="0.25">
      <c r="P3054" s="27">
        <v>3.2548184716220556E-2</v>
      </c>
      <c r="Q3054" s="28">
        <f t="shared" si="51"/>
        <v>3.5548184716220559E-2</v>
      </c>
      <c r="R3054" s="29">
        <v>0.15003660775771735</v>
      </c>
      <c r="S3054" s="30">
        <v>3.3299999999999996E-2</v>
      </c>
    </row>
    <row r="3055" spans="16:19" x14ac:dyDescent="0.25">
      <c r="P3055" s="27">
        <v>3.2548184716220556E-2</v>
      </c>
      <c r="Q3055" s="28">
        <f t="shared" si="51"/>
        <v>3.5548184716220559E-2</v>
      </c>
      <c r="R3055" s="29">
        <v>0.15003660775771735</v>
      </c>
      <c r="S3055" s="30">
        <v>3.5900000000000001E-2</v>
      </c>
    </row>
    <row r="3056" spans="16:19" x14ac:dyDescent="0.25">
      <c r="P3056" s="27">
        <v>3.2548184716220556E-2</v>
      </c>
      <c r="Q3056" s="28">
        <f t="shared" si="51"/>
        <v>3.5548184716220559E-2</v>
      </c>
      <c r="R3056" s="29">
        <v>0.15003660775771735</v>
      </c>
      <c r="S3056" s="30">
        <v>3.9299999999999995E-2</v>
      </c>
    </row>
    <row r="3057" spans="16:19" x14ac:dyDescent="0.25">
      <c r="P3057" s="27">
        <v>3.2548184716220556E-2</v>
      </c>
      <c r="Q3057" s="28">
        <f t="shared" si="51"/>
        <v>3.5548184716220559E-2</v>
      </c>
      <c r="R3057" s="29">
        <v>0.15003660775771735</v>
      </c>
      <c r="S3057" s="30">
        <v>4.249E-2</v>
      </c>
    </row>
    <row r="3058" spans="16:19" x14ac:dyDescent="0.25">
      <c r="P3058" s="27">
        <v>3.2548184716220556E-2</v>
      </c>
      <c r="Q3058" s="28">
        <f t="shared" si="51"/>
        <v>3.5548184716220559E-2</v>
      </c>
      <c r="R3058" s="29">
        <v>0.15003660775771735</v>
      </c>
      <c r="S3058" s="30">
        <v>4.9813115000000005E-2</v>
      </c>
    </row>
    <row r="3059" spans="16:19" x14ac:dyDescent="0.25">
      <c r="P3059" s="27">
        <v>3.2548184716220556E-2</v>
      </c>
      <c r="Q3059" s="28">
        <f t="shared" si="51"/>
        <v>3.5548184716220559E-2</v>
      </c>
      <c r="R3059" s="31">
        <v>0.15939660775771733</v>
      </c>
      <c r="S3059" s="32">
        <v>5.6878643999999999E-2</v>
      </c>
    </row>
    <row r="3060" spans="16:19" x14ac:dyDescent="0.25">
      <c r="P3060" s="27">
        <v>3.2548184716220556E-2</v>
      </c>
      <c r="Q3060" s="28">
        <f t="shared" si="51"/>
        <v>3.5548184716220559E-2</v>
      </c>
      <c r="R3060" s="33">
        <v>0.16282860775771735</v>
      </c>
      <c r="S3060" s="34">
        <v>5.0500000000000003E-2</v>
      </c>
    </row>
    <row r="3061" spans="16:19" x14ac:dyDescent="0.25">
      <c r="P3061" s="27">
        <v>3.2548184716220556E-2</v>
      </c>
      <c r="Q3061" s="28">
        <f t="shared" si="51"/>
        <v>3.5548184716220559E-2</v>
      </c>
      <c r="R3061" s="33">
        <v>0.16282860775771735</v>
      </c>
      <c r="S3061" s="34">
        <v>4.6429999999999999E-2</v>
      </c>
    </row>
    <row r="3062" spans="16:19" x14ac:dyDescent="0.25">
      <c r="P3062" s="27">
        <v>3.2548184716220556E-2</v>
      </c>
      <c r="Q3062" s="28">
        <f t="shared" si="51"/>
        <v>3.5548184716220559E-2</v>
      </c>
      <c r="R3062" s="33">
        <v>0.16282860775771735</v>
      </c>
      <c r="S3062" s="34">
        <v>4.3443876999999999E-2</v>
      </c>
    </row>
    <row r="3063" spans="16:19" x14ac:dyDescent="0.25">
      <c r="P3063" s="27">
        <v>3.2548184716220556E-2</v>
      </c>
      <c r="Q3063" s="28">
        <f t="shared" si="51"/>
        <v>3.5548184716220559E-2</v>
      </c>
      <c r="R3063" s="33">
        <v>0.16282860775771735</v>
      </c>
      <c r="S3063" s="34">
        <v>3.3100000000000004E-2</v>
      </c>
    </row>
    <row r="3064" spans="16:19" x14ac:dyDescent="0.25">
      <c r="P3064" s="27">
        <v>3.2548184716220556E-2</v>
      </c>
      <c r="Q3064" s="28">
        <f t="shared" si="51"/>
        <v>3.5548184716220559E-2</v>
      </c>
      <c r="R3064" s="33">
        <v>0.16282860775771735</v>
      </c>
      <c r="S3064" s="34">
        <v>3.4759999999999999E-2</v>
      </c>
    </row>
    <row r="3065" spans="16:19" x14ac:dyDescent="0.25">
      <c r="P3065" s="27">
        <v>3.2548184716220556E-2</v>
      </c>
      <c r="Q3065" s="28">
        <f t="shared" si="51"/>
        <v>3.5548184716220559E-2</v>
      </c>
      <c r="R3065" s="33">
        <v>0.16282860775771735</v>
      </c>
      <c r="S3065" s="34">
        <v>0.04</v>
      </c>
    </row>
    <row r="3066" spans="16:19" x14ac:dyDescent="0.25">
      <c r="P3066" s="27">
        <v>3.2548184716220556E-2</v>
      </c>
      <c r="Q3066" s="28">
        <f t="shared" si="51"/>
        <v>3.5548184716220559E-2</v>
      </c>
      <c r="R3066" s="33">
        <v>0.16282860775771735</v>
      </c>
      <c r="S3066" s="34">
        <v>4.3999999999999997E-2</v>
      </c>
    </row>
    <row r="3067" spans="16:19" x14ac:dyDescent="0.25">
      <c r="P3067" s="27">
        <v>3.2548184716220556E-2</v>
      </c>
      <c r="Q3067" s="28">
        <f t="shared" si="51"/>
        <v>3.5548184716220559E-2</v>
      </c>
      <c r="R3067" s="33">
        <v>0.16282860775771735</v>
      </c>
      <c r="S3067" s="34">
        <v>4.249E-2</v>
      </c>
    </row>
    <row r="3068" spans="16:19" x14ac:dyDescent="0.25">
      <c r="P3068" s="27">
        <v>3.2548184716220556E-2</v>
      </c>
      <c r="Q3068" s="28">
        <f t="shared" si="51"/>
        <v>3.5548184716220559E-2</v>
      </c>
      <c r="R3068" s="33">
        <v>0.16282860775771735</v>
      </c>
      <c r="S3068" s="34">
        <v>4.2999999999999997E-2</v>
      </c>
    </row>
    <row r="3069" spans="16:19" x14ac:dyDescent="0.25">
      <c r="P3069" s="27">
        <v>3.2548184716220556E-2</v>
      </c>
      <c r="Q3069" s="28">
        <f t="shared" si="51"/>
        <v>3.5548184716220559E-2</v>
      </c>
      <c r="R3069" s="33">
        <v>0.16282860775771735</v>
      </c>
      <c r="S3069" s="34">
        <v>4.8000000000000001E-2</v>
      </c>
    </row>
    <row r="3070" spans="16:19" x14ac:dyDescent="0.25">
      <c r="P3070" s="27">
        <v>3.2548184716220556E-2</v>
      </c>
      <c r="Q3070" s="28">
        <f t="shared" si="51"/>
        <v>3.5548184716220559E-2</v>
      </c>
      <c r="R3070" s="33">
        <v>0.16282860775771735</v>
      </c>
      <c r="S3070" s="34">
        <v>5.2990000000000002E-2</v>
      </c>
    </row>
    <row r="3071" spans="16:19" x14ac:dyDescent="0.25">
      <c r="P3071" s="27">
        <v>3.2548184716220556E-2</v>
      </c>
      <c r="Q3071" s="28">
        <f t="shared" si="51"/>
        <v>3.5548184716220559E-2</v>
      </c>
      <c r="R3071" s="31">
        <v>0.15939660775771733</v>
      </c>
      <c r="S3071" s="32">
        <v>7.9989999999999992E-2</v>
      </c>
    </row>
    <row r="3072" spans="16:19" x14ac:dyDescent="0.25">
      <c r="P3072" s="27">
        <v>3.2548184716220556E-2</v>
      </c>
      <c r="Q3072" s="28">
        <f t="shared" si="51"/>
        <v>3.5548184716220559E-2</v>
      </c>
      <c r="R3072" s="31">
        <v>0.15939660775771733</v>
      </c>
      <c r="S3072" s="32">
        <v>6.3530000000000003E-2</v>
      </c>
    </row>
    <row r="3073" spans="16:19" x14ac:dyDescent="0.25">
      <c r="P3073" s="27">
        <v>3.2548184716220556E-2</v>
      </c>
      <c r="Q3073" s="28">
        <f t="shared" si="51"/>
        <v>3.5548184716220559E-2</v>
      </c>
      <c r="R3073" s="31">
        <v>0.15939660775771733</v>
      </c>
      <c r="S3073" s="32">
        <v>4.999E-2</v>
      </c>
    </row>
    <row r="3074" spans="16:19" x14ac:dyDescent="0.25">
      <c r="P3074" s="27">
        <v>3.2548184716220556E-2</v>
      </c>
      <c r="Q3074" s="28">
        <f t="shared" si="51"/>
        <v>3.5548184716220559E-2</v>
      </c>
      <c r="R3074" s="31">
        <v>0.15939660775771733</v>
      </c>
      <c r="S3074" s="32">
        <v>4.4999999999999998E-2</v>
      </c>
    </row>
    <row r="3075" spans="16:19" x14ac:dyDescent="0.25">
      <c r="P3075" s="27">
        <v>3.2548184716220556E-2</v>
      </c>
      <c r="Q3075" s="28">
        <f t="shared" si="51"/>
        <v>3.5548184716220559E-2</v>
      </c>
      <c r="R3075" s="29">
        <v>0.15003660775771735</v>
      </c>
      <c r="S3075" s="30">
        <v>4.3490000000000001E-2</v>
      </c>
    </row>
    <row r="3076" spans="16:19" x14ac:dyDescent="0.25">
      <c r="P3076" s="27">
        <v>3.2548184716220556E-2</v>
      </c>
      <c r="Q3076" s="28">
        <f t="shared" si="51"/>
        <v>3.5548184716220559E-2</v>
      </c>
      <c r="R3076" s="29">
        <v>0.15003660775771735</v>
      </c>
      <c r="S3076" s="30">
        <v>4.5999999999999999E-2</v>
      </c>
    </row>
    <row r="3077" spans="16:19" x14ac:dyDescent="0.25">
      <c r="P3077" s="27">
        <v>3.2548184716220556E-2</v>
      </c>
      <c r="Q3077" s="28">
        <f t="shared" ref="Q3077:Q3140" si="52">P3077+0.003</f>
        <v>3.5548184716220559E-2</v>
      </c>
      <c r="R3077" s="29">
        <v>0.15003660775771735</v>
      </c>
      <c r="S3077" s="30">
        <v>4.0379999999999999E-2</v>
      </c>
    </row>
    <row r="3078" spans="16:19" x14ac:dyDescent="0.25">
      <c r="P3078" s="27">
        <v>3.2548184716220556E-2</v>
      </c>
      <c r="Q3078" s="28">
        <f t="shared" si="52"/>
        <v>3.5548184716220559E-2</v>
      </c>
      <c r="R3078" s="29">
        <v>0.15003660775771735</v>
      </c>
      <c r="S3078" s="30">
        <v>3.798E-2</v>
      </c>
    </row>
    <row r="3079" spans="16:19" x14ac:dyDescent="0.25">
      <c r="P3079" s="27">
        <v>3.2548184716220556E-2</v>
      </c>
      <c r="Q3079" s="28">
        <f t="shared" si="52"/>
        <v>3.5548184716220559E-2</v>
      </c>
      <c r="R3079" s="29">
        <v>0.15003660775771735</v>
      </c>
      <c r="S3079" s="30">
        <v>3.8469999999999997E-2</v>
      </c>
    </row>
    <row r="3080" spans="16:19" x14ac:dyDescent="0.25">
      <c r="P3080" s="27">
        <v>3.2548184716220556E-2</v>
      </c>
      <c r="Q3080" s="28">
        <f t="shared" si="52"/>
        <v>3.5548184716220559E-2</v>
      </c>
      <c r="R3080" s="29">
        <v>0.15003660775771735</v>
      </c>
      <c r="S3080" s="30">
        <v>4.3490000000000001E-2</v>
      </c>
    </row>
    <row r="3081" spans="16:19" x14ac:dyDescent="0.25">
      <c r="P3081" s="27">
        <v>3.2548184716220556E-2</v>
      </c>
      <c r="Q3081" s="28">
        <f t="shared" si="52"/>
        <v>3.5548184716220559E-2</v>
      </c>
      <c r="R3081" s="29">
        <v>0.15003660775771735</v>
      </c>
      <c r="S3081" s="30">
        <v>4.5999999999999999E-2</v>
      </c>
    </row>
    <row r="3082" spans="16:19" x14ac:dyDescent="0.25">
      <c r="P3082" s="27">
        <v>3.2548184716220556E-2</v>
      </c>
      <c r="Q3082" s="28">
        <f t="shared" si="52"/>
        <v>3.5548184716220559E-2</v>
      </c>
      <c r="R3082" s="29">
        <v>0.15003660775771735</v>
      </c>
      <c r="S3082" s="30">
        <v>5.135E-2</v>
      </c>
    </row>
    <row r="3083" spans="16:19" x14ac:dyDescent="0.25">
      <c r="P3083" s="27">
        <v>3.2548184716220556E-2</v>
      </c>
      <c r="Q3083" s="28">
        <f t="shared" si="52"/>
        <v>3.5548184716220559E-2</v>
      </c>
      <c r="R3083" s="31">
        <v>0.15939660775771733</v>
      </c>
      <c r="S3083" s="32">
        <v>6.8250000000000005E-2</v>
      </c>
    </row>
    <row r="3084" spans="16:19" x14ac:dyDescent="0.25">
      <c r="P3084" s="27">
        <v>3.2548184716220556E-2</v>
      </c>
      <c r="Q3084" s="28">
        <f t="shared" si="52"/>
        <v>3.5548184716220559E-2</v>
      </c>
      <c r="R3084" s="33">
        <v>0.16282860775771735</v>
      </c>
      <c r="S3084" s="34">
        <v>5.2340000000000005E-2</v>
      </c>
    </row>
    <row r="3085" spans="16:19" x14ac:dyDescent="0.25">
      <c r="P3085" s="27">
        <v>3.2548184716220556E-2</v>
      </c>
      <c r="Q3085" s="28">
        <f t="shared" si="52"/>
        <v>3.5548184716220559E-2</v>
      </c>
      <c r="R3085" s="33">
        <v>0.16282860775771735</v>
      </c>
      <c r="S3085" s="34">
        <v>0.05</v>
      </c>
    </row>
    <row r="3086" spans="16:19" x14ac:dyDescent="0.25">
      <c r="P3086" s="27">
        <v>3.2548184716220556E-2</v>
      </c>
      <c r="Q3086" s="28">
        <f t="shared" si="52"/>
        <v>3.5548184716220559E-2</v>
      </c>
      <c r="R3086" s="33">
        <v>0.16282860775771735</v>
      </c>
      <c r="S3086" s="34">
        <v>4.6380000000000005E-2</v>
      </c>
    </row>
    <row r="3087" spans="16:19" x14ac:dyDescent="0.25">
      <c r="P3087" s="27">
        <v>3.2548184716220556E-2</v>
      </c>
      <c r="Q3087" s="28">
        <f t="shared" si="52"/>
        <v>3.5548184716220559E-2</v>
      </c>
      <c r="R3087" s="33">
        <v>0.16282860775771735</v>
      </c>
      <c r="S3087" s="34">
        <v>3.4000000000000002E-2</v>
      </c>
    </row>
    <row r="3088" spans="16:19" x14ac:dyDescent="0.25">
      <c r="P3088" s="27">
        <v>3.2548184716220556E-2</v>
      </c>
      <c r="Q3088" s="28">
        <f t="shared" si="52"/>
        <v>3.5548184716220559E-2</v>
      </c>
      <c r="R3088" s="33">
        <v>0.16282860775771735</v>
      </c>
      <c r="S3088" s="34">
        <v>3.6469999999999995E-2</v>
      </c>
    </row>
    <row r="3089" spans="16:19" x14ac:dyDescent="0.25">
      <c r="P3089" s="27">
        <v>3.2548184716220556E-2</v>
      </c>
      <c r="Q3089" s="28">
        <f t="shared" si="52"/>
        <v>3.5548184716220559E-2</v>
      </c>
      <c r="R3089" s="33">
        <v>0.16282860775771735</v>
      </c>
      <c r="S3089" s="34">
        <v>4.2700000000000002E-2</v>
      </c>
    </row>
    <row r="3090" spans="16:19" x14ac:dyDescent="0.25">
      <c r="P3090" s="27">
        <v>3.2548184716220556E-2</v>
      </c>
      <c r="Q3090" s="28">
        <f t="shared" si="52"/>
        <v>3.5548184716220559E-2</v>
      </c>
      <c r="R3090" s="33">
        <v>0.16282860775771735</v>
      </c>
      <c r="S3090" s="34">
        <v>4.6359999999999998E-2</v>
      </c>
    </row>
    <row r="3091" spans="16:19" x14ac:dyDescent="0.25">
      <c r="P3091" s="27">
        <v>3.2548184716220556E-2</v>
      </c>
      <c r="Q3091" s="28">
        <f t="shared" si="52"/>
        <v>3.5548184716220559E-2</v>
      </c>
      <c r="R3091" s="33">
        <v>0.16282860775771735</v>
      </c>
      <c r="S3091" s="34">
        <v>4.6359999999999998E-2</v>
      </c>
    </row>
    <row r="3092" spans="16:19" x14ac:dyDescent="0.25">
      <c r="P3092" s="27">
        <v>3.2548184716220556E-2</v>
      </c>
      <c r="Q3092" s="28">
        <f t="shared" si="52"/>
        <v>3.5548184716220559E-2</v>
      </c>
      <c r="R3092" s="33">
        <v>0.16282860775771735</v>
      </c>
      <c r="S3092" s="34">
        <v>4.8384096999999994E-2</v>
      </c>
    </row>
    <row r="3093" spans="16:19" x14ac:dyDescent="0.25">
      <c r="P3093" s="27">
        <v>3.2548184716220556E-2</v>
      </c>
      <c r="Q3093" s="28">
        <f t="shared" si="52"/>
        <v>3.5548184716220559E-2</v>
      </c>
      <c r="R3093" s="33">
        <v>0.16282860775771735</v>
      </c>
      <c r="S3093" s="34">
        <v>5.04E-2</v>
      </c>
    </row>
    <row r="3094" spans="16:19" x14ac:dyDescent="0.25">
      <c r="P3094" s="27">
        <v>3.2548184716220556E-2</v>
      </c>
      <c r="Q3094" s="28">
        <f t="shared" si="52"/>
        <v>3.5548184716220559E-2</v>
      </c>
      <c r="R3094" s="33">
        <v>0.16282860775771735</v>
      </c>
      <c r="S3094" s="34">
        <v>5.5619999999999996E-2</v>
      </c>
    </row>
    <row r="3095" spans="16:19" x14ac:dyDescent="0.25">
      <c r="P3095" s="27">
        <v>3.2548184716220556E-2</v>
      </c>
      <c r="Q3095" s="28">
        <f t="shared" si="52"/>
        <v>3.5548184716220559E-2</v>
      </c>
      <c r="R3095" s="31">
        <v>0.15939660775771733</v>
      </c>
      <c r="S3095" s="32">
        <v>8.2220000000000001E-2</v>
      </c>
    </row>
    <row r="3096" spans="16:19" x14ac:dyDescent="0.25">
      <c r="P3096" s="27">
        <v>3.2548184716220556E-2</v>
      </c>
      <c r="Q3096" s="28">
        <f t="shared" si="52"/>
        <v>3.5548184716220559E-2</v>
      </c>
      <c r="R3096" s="31">
        <v>0.15939660775771733</v>
      </c>
      <c r="S3096" s="32">
        <v>7.0139999999999994E-2</v>
      </c>
    </row>
    <row r="3097" spans="16:19" x14ac:dyDescent="0.25">
      <c r="P3097" s="27">
        <v>3.2548184716220556E-2</v>
      </c>
      <c r="Q3097" s="28">
        <f t="shared" si="52"/>
        <v>3.5548184716220559E-2</v>
      </c>
      <c r="R3097" s="31">
        <v>0.15939660775771733</v>
      </c>
      <c r="S3097" s="32">
        <v>5.0970000000000001E-2</v>
      </c>
    </row>
    <row r="3098" spans="16:19" x14ac:dyDescent="0.25">
      <c r="P3098" s="27">
        <v>3.2548184716220556E-2</v>
      </c>
      <c r="Q3098" s="28">
        <f t="shared" si="52"/>
        <v>3.5548184716220559E-2</v>
      </c>
      <c r="R3098" s="31">
        <v>0.15939660775771733</v>
      </c>
      <c r="S3098" s="32">
        <v>4.6399999999999997E-2</v>
      </c>
    </row>
    <row r="3099" spans="16:19" x14ac:dyDescent="0.25">
      <c r="P3099" s="27">
        <v>3.2548184716220556E-2</v>
      </c>
      <c r="Q3099" s="28">
        <f t="shared" si="52"/>
        <v>3.5548184716220559E-2</v>
      </c>
      <c r="R3099" s="29">
        <v>0.15003660775771735</v>
      </c>
      <c r="S3099" s="30">
        <v>0.05</v>
      </c>
    </row>
    <row r="3100" spans="16:19" x14ac:dyDescent="0.25">
      <c r="P3100" s="27">
        <v>3.2548184716220556E-2</v>
      </c>
      <c r="Q3100" s="28">
        <f t="shared" si="52"/>
        <v>3.5548184716220559E-2</v>
      </c>
      <c r="R3100" s="29">
        <v>0.15003660775771735</v>
      </c>
      <c r="S3100" s="30">
        <v>0.05</v>
      </c>
    </row>
    <row r="3101" spans="16:19" x14ac:dyDescent="0.25">
      <c r="P3101" s="27">
        <v>3.2548184716220556E-2</v>
      </c>
      <c r="Q3101" s="28">
        <f t="shared" si="52"/>
        <v>3.5548184716220559E-2</v>
      </c>
      <c r="R3101" s="29">
        <v>0.15003660775771735</v>
      </c>
      <c r="S3101" s="30">
        <v>4.7820000000000001E-2</v>
      </c>
    </row>
    <row r="3102" spans="16:19" x14ac:dyDescent="0.25">
      <c r="P3102" s="27">
        <v>3.2548184716220556E-2</v>
      </c>
      <c r="Q3102" s="28">
        <f t="shared" si="52"/>
        <v>3.5548184716220559E-2</v>
      </c>
      <c r="R3102" s="29">
        <v>0.15003660775771735</v>
      </c>
      <c r="S3102" s="30">
        <v>4.5609999999999998E-2</v>
      </c>
    </row>
    <row r="3103" spans="16:19" x14ac:dyDescent="0.25">
      <c r="P3103" s="27">
        <v>3.2548184716220556E-2</v>
      </c>
      <c r="Q3103" s="28">
        <f t="shared" si="52"/>
        <v>3.5548184716220559E-2</v>
      </c>
      <c r="R3103" s="29">
        <v>0.15003660775771735</v>
      </c>
      <c r="S3103" s="30">
        <v>4.4999999999999998E-2</v>
      </c>
    </row>
    <row r="3104" spans="16:19" x14ac:dyDescent="0.25">
      <c r="P3104" s="27">
        <v>3.2548184716220556E-2</v>
      </c>
      <c r="Q3104" s="28">
        <f t="shared" si="52"/>
        <v>3.5548184716220559E-2</v>
      </c>
      <c r="R3104" s="29">
        <v>0.15003660775771735</v>
      </c>
      <c r="S3104" s="30">
        <v>4.4999999999999998E-2</v>
      </c>
    </row>
    <row r="3105" spans="16:19" x14ac:dyDescent="0.25">
      <c r="P3105" s="27">
        <v>3.2548184716220556E-2</v>
      </c>
      <c r="Q3105" s="28">
        <f t="shared" si="52"/>
        <v>3.5548184716220559E-2</v>
      </c>
      <c r="R3105" s="29">
        <v>0.15003660775771735</v>
      </c>
      <c r="S3105" s="30">
        <v>4.41E-2</v>
      </c>
    </row>
    <row r="3106" spans="16:19" x14ac:dyDescent="0.25">
      <c r="P3106" s="27">
        <v>3.2548184716220556E-2</v>
      </c>
      <c r="Q3106" s="28">
        <f t="shared" si="52"/>
        <v>3.5548184716220559E-2</v>
      </c>
      <c r="R3106" s="29">
        <v>0.15003660775771735</v>
      </c>
      <c r="S3106" s="30">
        <v>4.7820000000000001E-2</v>
      </c>
    </row>
    <row r="3107" spans="16:19" x14ac:dyDescent="0.25">
      <c r="P3107" s="27">
        <v>3.2548184716220556E-2</v>
      </c>
      <c r="Q3107" s="28">
        <f t="shared" si="52"/>
        <v>3.5548184716220559E-2</v>
      </c>
      <c r="R3107" s="31">
        <v>0.15939660775771733</v>
      </c>
      <c r="S3107" s="32">
        <v>5.1999999999999998E-2</v>
      </c>
    </row>
    <row r="3108" spans="16:19" x14ac:dyDescent="0.25">
      <c r="P3108" s="27">
        <v>3.2548184716220556E-2</v>
      </c>
      <c r="Q3108" s="28">
        <f t="shared" si="52"/>
        <v>3.5548184716220559E-2</v>
      </c>
      <c r="R3108" s="33">
        <v>0.16282860775771735</v>
      </c>
      <c r="S3108" s="34">
        <v>4.8469999999999999E-2</v>
      </c>
    </row>
    <row r="3109" spans="16:19" x14ac:dyDescent="0.25">
      <c r="P3109" s="27">
        <v>3.2548184716220556E-2</v>
      </c>
      <c r="Q3109" s="28">
        <f t="shared" si="52"/>
        <v>3.5548184716220559E-2</v>
      </c>
      <c r="R3109" s="33">
        <v>0.16282860775771735</v>
      </c>
      <c r="S3109" s="34">
        <v>3.9279300999999996E-2</v>
      </c>
    </row>
    <row r="3110" spans="16:19" x14ac:dyDescent="0.25">
      <c r="P3110" s="27">
        <v>3.2548184716220556E-2</v>
      </c>
      <c r="Q3110" s="28">
        <f t="shared" si="52"/>
        <v>3.5548184716220559E-2</v>
      </c>
      <c r="R3110" s="33">
        <v>0.16282860775771735</v>
      </c>
      <c r="S3110" s="34">
        <v>3.6450000000000003E-2</v>
      </c>
    </row>
    <row r="3111" spans="16:19" x14ac:dyDescent="0.25">
      <c r="P3111" s="27">
        <v>3.2548184716220556E-2</v>
      </c>
      <c r="Q3111" s="28">
        <f t="shared" si="52"/>
        <v>3.5548184716220559E-2</v>
      </c>
      <c r="R3111" s="33">
        <v>0.16282860775771735</v>
      </c>
      <c r="S3111" s="34">
        <v>2.9069999999999999E-2</v>
      </c>
    </row>
    <row r="3112" spans="16:19" x14ac:dyDescent="0.25">
      <c r="P3112" s="27">
        <v>3.2548184716220556E-2</v>
      </c>
      <c r="Q3112" s="28">
        <f t="shared" si="52"/>
        <v>3.5548184716220559E-2</v>
      </c>
      <c r="R3112" s="33">
        <v>0.16282860775771735</v>
      </c>
      <c r="S3112" s="34">
        <v>2.3170000000000003E-2</v>
      </c>
    </row>
    <row r="3113" spans="16:19" x14ac:dyDescent="0.25">
      <c r="P3113" s="27">
        <v>3.2548184716220556E-2</v>
      </c>
      <c r="Q3113" s="28">
        <f t="shared" si="52"/>
        <v>3.5548184716220559E-2</v>
      </c>
      <c r="R3113" s="33">
        <v>0.16282860775771735</v>
      </c>
      <c r="S3113" s="34">
        <v>2.2499999999999999E-2</v>
      </c>
    </row>
    <row r="3114" spans="16:19" x14ac:dyDescent="0.25">
      <c r="P3114" s="27">
        <v>3.2548184716220556E-2</v>
      </c>
      <c r="Q3114" s="28">
        <f t="shared" si="52"/>
        <v>3.5548184716220559E-2</v>
      </c>
      <c r="R3114" s="33">
        <v>0.16282860775771735</v>
      </c>
      <c r="S3114" s="34">
        <v>2.7149999999999997E-2</v>
      </c>
    </row>
    <row r="3115" spans="16:19" x14ac:dyDescent="0.25">
      <c r="P3115" s="27">
        <v>3.2548184716220556E-2</v>
      </c>
      <c r="Q3115" s="28">
        <f t="shared" si="52"/>
        <v>3.5548184716220559E-2</v>
      </c>
      <c r="R3115" s="33">
        <v>0.16282860775771735</v>
      </c>
      <c r="S3115" s="34">
        <v>3.3764999000000004E-2</v>
      </c>
    </row>
    <row r="3116" spans="16:19" x14ac:dyDescent="0.25">
      <c r="P3116" s="27">
        <v>3.2548184716220556E-2</v>
      </c>
      <c r="Q3116" s="28">
        <f t="shared" si="52"/>
        <v>3.5548184716220559E-2</v>
      </c>
      <c r="R3116" s="33">
        <v>0.16282860775771735</v>
      </c>
      <c r="S3116" s="34">
        <v>4.4719999999999996E-2</v>
      </c>
    </row>
    <row r="3117" spans="16:19" x14ac:dyDescent="0.25">
      <c r="P3117" s="27">
        <v>3.2548184716220556E-2</v>
      </c>
      <c r="Q3117" s="28">
        <f t="shared" si="52"/>
        <v>3.5548184716220559E-2</v>
      </c>
      <c r="R3117" s="33">
        <v>0.16282860775771735</v>
      </c>
      <c r="S3117" s="34">
        <v>4.9489999999999999E-2</v>
      </c>
    </row>
    <row r="3118" spans="16:19" x14ac:dyDescent="0.25">
      <c r="P3118" s="27">
        <v>3.2548184716220556E-2</v>
      </c>
      <c r="Q3118" s="28">
        <f t="shared" si="52"/>
        <v>3.5548184716220559E-2</v>
      </c>
      <c r="R3118" s="33">
        <v>0.16282860775771735</v>
      </c>
      <c r="S3118" s="34">
        <v>6.9000000000000006E-2</v>
      </c>
    </row>
    <row r="3119" spans="16:19" x14ac:dyDescent="0.25">
      <c r="P3119" s="27">
        <v>3.2548184716220556E-2</v>
      </c>
      <c r="Q3119" s="28">
        <f t="shared" si="52"/>
        <v>3.5548184716220559E-2</v>
      </c>
      <c r="R3119" s="31">
        <v>0.15939660775771733</v>
      </c>
      <c r="S3119" s="32">
        <v>8.7999999999999995E-2</v>
      </c>
    </row>
    <row r="3120" spans="16:19" x14ac:dyDescent="0.25">
      <c r="P3120" s="27">
        <v>3.2548184716220556E-2</v>
      </c>
      <c r="Q3120" s="28">
        <f t="shared" si="52"/>
        <v>3.5548184716220559E-2</v>
      </c>
      <c r="R3120" s="31">
        <v>0.15939660775771733</v>
      </c>
      <c r="S3120" s="32">
        <v>7.6249999999999998E-2</v>
      </c>
    </row>
    <row r="3121" spans="16:19" x14ac:dyDescent="0.25">
      <c r="P3121" s="27">
        <v>3.2548184716220556E-2</v>
      </c>
      <c r="Q3121" s="28">
        <f t="shared" si="52"/>
        <v>3.5548184716220559E-2</v>
      </c>
      <c r="R3121" s="31">
        <v>0.15939660775771733</v>
      </c>
      <c r="S3121" s="32">
        <v>5.3329999999999995E-2</v>
      </c>
    </row>
    <row r="3122" spans="16:19" x14ac:dyDescent="0.25">
      <c r="P3122" s="27">
        <v>3.2548184716220556E-2</v>
      </c>
      <c r="Q3122" s="28">
        <f t="shared" si="52"/>
        <v>3.5548184716220559E-2</v>
      </c>
      <c r="R3122" s="31">
        <v>0.15939660775771733</v>
      </c>
      <c r="S3122" s="32">
        <v>5.04E-2</v>
      </c>
    </row>
    <row r="3123" spans="16:19" x14ac:dyDescent="0.25">
      <c r="P3123" s="27">
        <v>3.2548184716220556E-2</v>
      </c>
      <c r="Q3123" s="28">
        <f t="shared" si="52"/>
        <v>3.5548184716220559E-2</v>
      </c>
      <c r="R3123" s="29">
        <v>0.15003660775771735</v>
      </c>
      <c r="S3123" s="30">
        <v>4.4010000000000001E-2</v>
      </c>
    </row>
    <row r="3124" spans="16:19" x14ac:dyDescent="0.25">
      <c r="P3124" s="27">
        <v>3.2548184716220556E-2</v>
      </c>
      <c r="Q3124" s="28">
        <f t="shared" si="52"/>
        <v>3.5548184716220559E-2</v>
      </c>
      <c r="R3124" s="29">
        <v>0.15003660775771735</v>
      </c>
      <c r="S3124" s="30">
        <v>3.925E-2</v>
      </c>
    </row>
    <row r="3125" spans="16:19" x14ac:dyDescent="0.25">
      <c r="P3125" s="27">
        <v>3.2548184716220556E-2</v>
      </c>
      <c r="Q3125" s="28">
        <f t="shared" si="52"/>
        <v>3.5548184716220559E-2</v>
      </c>
      <c r="R3125" s="29">
        <v>0.15003660775771735</v>
      </c>
      <c r="S3125" s="30">
        <v>3.7644195000000005E-2</v>
      </c>
    </row>
    <row r="3126" spans="16:19" x14ac:dyDescent="0.25">
      <c r="P3126" s="27">
        <v>3.2548184716220556E-2</v>
      </c>
      <c r="Q3126" s="28">
        <f t="shared" si="52"/>
        <v>3.5548184716220559E-2</v>
      </c>
      <c r="R3126" s="29">
        <v>0.15003660775771735</v>
      </c>
      <c r="S3126" s="30">
        <v>3.2729999999999995E-2</v>
      </c>
    </row>
    <row r="3127" spans="16:19" x14ac:dyDescent="0.25">
      <c r="P3127" s="27">
        <v>3.2548184716220556E-2</v>
      </c>
      <c r="Q3127" s="28">
        <f t="shared" si="52"/>
        <v>3.5548184716220559E-2</v>
      </c>
      <c r="R3127" s="29">
        <v>0.15003660775771735</v>
      </c>
      <c r="S3127" s="30">
        <v>3.1E-2</v>
      </c>
    </row>
    <row r="3128" spans="16:19" x14ac:dyDescent="0.25">
      <c r="P3128" s="27">
        <v>3.2548184716220556E-2</v>
      </c>
      <c r="Q3128" s="28">
        <f t="shared" si="52"/>
        <v>3.5548184716220559E-2</v>
      </c>
      <c r="R3128" s="29">
        <v>0.15003660775771735</v>
      </c>
      <c r="S3128" s="30">
        <v>0.03</v>
      </c>
    </row>
    <row r="3129" spans="16:19" x14ac:dyDescent="0.25">
      <c r="P3129" s="27">
        <v>3.2548184716220556E-2</v>
      </c>
      <c r="Q3129" s="28">
        <f t="shared" si="52"/>
        <v>3.5548184716220559E-2</v>
      </c>
      <c r="R3129" s="29">
        <v>0.15003660775771735</v>
      </c>
      <c r="S3129" s="30">
        <v>1.2061783999999999E-2</v>
      </c>
    </row>
    <row r="3130" spans="16:19" x14ac:dyDescent="0.25">
      <c r="P3130" s="27">
        <v>3.2548184716220556E-2</v>
      </c>
      <c r="Q3130" s="28">
        <f t="shared" si="52"/>
        <v>3.5548184716220559E-2</v>
      </c>
      <c r="R3130" s="29">
        <v>0.15003660775771735</v>
      </c>
      <c r="S3130" s="30">
        <v>0.01</v>
      </c>
    </row>
    <row r="3131" spans="16:19" x14ac:dyDescent="0.25">
      <c r="P3131" s="27">
        <v>3.2548184716220556E-2</v>
      </c>
      <c r="Q3131" s="28">
        <f t="shared" si="52"/>
        <v>3.5548184716220559E-2</v>
      </c>
      <c r="R3131" s="31">
        <v>0.15939660775771733</v>
      </c>
      <c r="S3131" s="32">
        <v>2.9000000000000001E-2</v>
      </c>
    </row>
    <row r="3132" spans="16:19" x14ac:dyDescent="0.25">
      <c r="P3132" s="27">
        <v>3.2548184716220556E-2</v>
      </c>
      <c r="Q3132" s="28">
        <f t="shared" si="52"/>
        <v>3.5548184716220559E-2</v>
      </c>
      <c r="R3132" s="33">
        <v>0.16282860775771735</v>
      </c>
      <c r="S3132" s="34">
        <v>2.4606801999999997E-2</v>
      </c>
    </row>
    <row r="3133" spans="16:19" x14ac:dyDescent="0.25">
      <c r="P3133" s="27">
        <v>3.2548184716220556E-2</v>
      </c>
      <c r="Q3133" s="28">
        <f t="shared" si="52"/>
        <v>3.5548184716220559E-2</v>
      </c>
      <c r="R3133" s="33">
        <v>0.16282860775771735</v>
      </c>
      <c r="S3133" s="34">
        <v>1.474E-2</v>
      </c>
    </row>
    <row r="3134" spans="16:19" x14ac:dyDescent="0.25">
      <c r="P3134" s="27">
        <v>3.2548184716220556E-2</v>
      </c>
      <c r="Q3134" s="28">
        <f t="shared" si="52"/>
        <v>3.5548184716220559E-2</v>
      </c>
      <c r="R3134" s="33">
        <v>0.16282860775771735</v>
      </c>
      <c r="S3134" s="34">
        <v>1.8333511E-2</v>
      </c>
    </row>
    <row r="3135" spans="16:19" x14ac:dyDescent="0.25">
      <c r="P3135" s="27">
        <v>3.2548184716220556E-2</v>
      </c>
      <c r="Q3135" s="28">
        <f t="shared" si="52"/>
        <v>3.5548184716220559E-2</v>
      </c>
      <c r="R3135" s="33">
        <v>0.16282860775771735</v>
      </c>
      <c r="S3135" s="34">
        <v>0.01</v>
      </c>
    </row>
    <row r="3136" spans="16:19" x14ac:dyDescent="0.25">
      <c r="P3136" s="27">
        <v>3.2548184716220556E-2</v>
      </c>
      <c r="Q3136" s="28">
        <f t="shared" si="52"/>
        <v>3.5548184716220559E-2</v>
      </c>
      <c r="R3136" s="33">
        <v>0.16282860775771735</v>
      </c>
      <c r="S3136" s="34">
        <v>4.2199999999999998E-3</v>
      </c>
    </row>
    <row r="3137" spans="16:19" x14ac:dyDescent="0.25">
      <c r="P3137" s="27">
        <v>3.2548184716220556E-2</v>
      </c>
      <c r="Q3137" s="28">
        <f t="shared" si="52"/>
        <v>3.5548184716220559E-2</v>
      </c>
      <c r="R3137" s="33">
        <v>0.16282860775771735</v>
      </c>
      <c r="S3137" s="34">
        <v>4.8899999999999994E-3</v>
      </c>
    </row>
    <row r="3138" spans="16:19" x14ac:dyDescent="0.25">
      <c r="P3138" s="27">
        <v>3.2548184716220556E-2</v>
      </c>
      <c r="Q3138" s="28">
        <f t="shared" si="52"/>
        <v>3.5548184716220559E-2</v>
      </c>
      <c r="R3138" s="33">
        <v>0.16282860775771735</v>
      </c>
      <c r="S3138" s="34">
        <v>7.2199999999999999E-3</v>
      </c>
    </row>
    <row r="3139" spans="16:19" x14ac:dyDescent="0.25">
      <c r="P3139" s="27">
        <v>3.2548184716220556E-2</v>
      </c>
      <c r="Q3139" s="28">
        <f t="shared" si="52"/>
        <v>3.5548184716220559E-2</v>
      </c>
      <c r="R3139" s="33">
        <v>0.16282860775771735</v>
      </c>
      <c r="S3139" s="34">
        <v>1.123E-2</v>
      </c>
    </row>
    <row r="3140" spans="16:19" x14ac:dyDescent="0.25">
      <c r="P3140" s="27">
        <v>3.2548184716220556E-2</v>
      </c>
      <c r="Q3140" s="28">
        <f t="shared" si="52"/>
        <v>3.5548184716220559E-2</v>
      </c>
      <c r="R3140" s="33">
        <v>0.16282860775771735</v>
      </c>
      <c r="S3140" s="34">
        <v>1.1298704999999999E-2</v>
      </c>
    </row>
    <row r="3141" spans="16:19" x14ac:dyDescent="0.25">
      <c r="P3141" s="27">
        <v>3.2548184716220556E-2</v>
      </c>
      <c r="Q3141" s="28">
        <f t="shared" ref="Q3141:Q3204" si="53">P3141+0.003</f>
        <v>3.5548184716220559E-2</v>
      </c>
      <c r="R3141" s="33">
        <v>0.16282860775771735</v>
      </c>
      <c r="S3141" s="34">
        <v>3.5000000000000003E-2</v>
      </c>
    </row>
    <row r="3142" spans="16:19" x14ac:dyDescent="0.25">
      <c r="P3142" s="27">
        <v>3.2548184716220556E-2</v>
      </c>
      <c r="Q3142" s="28">
        <f t="shared" si="53"/>
        <v>3.5548184716220559E-2</v>
      </c>
      <c r="R3142" s="33">
        <v>0.16282860775771735</v>
      </c>
      <c r="S3142" s="34">
        <v>4.5399999999999996E-2</v>
      </c>
    </row>
    <row r="3143" spans="16:19" x14ac:dyDescent="0.25">
      <c r="P3143" s="27">
        <v>3.2548184716220556E-2</v>
      </c>
      <c r="Q3143" s="28">
        <f t="shared" si="53"/>
        <v>3.5548184716220559E-2</v>
      </c>
      <c r="R3143" s="31">
        <v>0.15939660775771733</v>
      </c>
      <c r="S3143" s="32">
        <v>5.6904625E-2</v>
      </c>
    </row>
    <row r="3144" spans="16:19" x14ac:dyDescent="0.25">
      <c r="P3144" s="27">
        <v>3.2548184716220556E-2</v>
      </c>
      <c r="Q3144" s="28">
        <f t="shared" si="53"/>
        <v>3.5548184716220559E-2</v>
      </c>
      <c r="R3144" s="31">
        <v>0.15939660775771733</v>
      </c>
      <c r="S3144" s="32">
        <v>5.3990000000000003E-2</v>
      </c>
    </row>
    <row r="3145" spans="16:19" x14ac:dyDescent="0.25">
      <c r="P3145" s="27">
        <v>3.2548184716220556E-2</v>
      </c>
      <c r="Q3145" s="28">
        <f t="shared" si="53"/>
        <v>3.5548184716220559E-2</v>
      </c>
      <c r="R3145" s="31">
        <v>0.15939660775771733</v>
      </c>
      <c r="S3145" s="32">
        <v>4.7810000000000005E-2</v>
      </c>
    </row>
    <row r="3146" spans="16:19" x14ac:dyDescent="0.25">
      <c r="P3146" s="27">
        <v>3.2548184716220556E-2</v>
      </c>
      <c r="Q3146" s="28">
        <f t="shared" si="53"/>
        <v>3.5548184716220559E-2</v>
      </c>
      <c r="R3146" s="31">
        <v>0.15939660775771733</v>
      </c>
      <c r="S3146" s="32">
        <v>3.841E-2</v>
      </c>
    </row>
    <row r="3147" spans="16:19" x14ac:dyDescent="0.25">
      <c r="P3147" s="27">
        <v>3.2548184716220556E-2</v>
      </c>
      <c r="Q3147" s="28">
        <f t="shared" si="53"/>
        <v>3.5548184716220559E-2</v>
      </c>
      <c r="R3147" s="29">
        <v>0.15003660775771735</v>
      </c>
      <c r="S3147" s="30">
        <v>3.0679999999999999E-2</v>
      </c>
    </row>
    <row r="3148" spans="16:19" x14ac:dyDescent="0.25">
      <c r="P3148" s="27">
        <v>3.2548184716220556E-2</v>
      </c>
      <c r="Q3148" s="28">
        <f t="shared" si="53"/>
        <v>3.5548184716220559E-2</v>
      </c>
      <c r="R3148" s="29">
        <v>0.15003660775771735</v>
      </c>
      <c r="S3148" s="30">
        <v>2.7E-2</v>
      </c>
    </row>
    <row r="3149" spans="16:19" x14ac:dyDescent="0.25">
      <c r="P3149" s="27">
        <v>3.2548184716220556E-2</v>
      </c>
      <c r="Q3149" s="28">
        <f t="shared" si="53"/>
        <v>3.5548184716220559E-2</v>
      </c>
      <c r="R3149" s="29">
        <v>0.15003660775771735</v>
      </c>
      <c r="S3149" s="30">
        <v>2.5010000000000001E-2</v>
      </c>
    </row>
    <row r="3150" spans="16:19" x14ac:dyDescent="0.25">
      <c r="P3150" s="27">
        <v>3.2548184716220556E-2</v>
      </c>
      <c r="Q3150" s="28">
        <f t="shared" si="53"/>
        <v>3.5548184716220559E-2</v>
      </c>
      <c r="R3150" s="29">
        <v>0.15003660775771735</v>
      </c>
      <c r="S3150" s="30">
        <v>1.7641096999999998E-2</v>
      </c>
    </row>
    <row r="3151" spans="16:19" x14ac:dyDescent="0.25">
      <c r="P3151" s="27">
        <v>3.2548184716220556E-2</v>
      </c>
      <c r="Q3151" s="28">
        <f t="shared" si="53"/>
        <v>3.5548184716220559E-2</v>
      </c>
      <c r="R3151" s="29">
        <v>0.15003660775771735</v>
      </c>
      <c r="S3151" s="30">
        <v>0.02</v>
      </c>
    </row>
    <row r="3152" spans="16:19" x14ac:dyDescent="0.25">
      <c r="P3152" s="27">
        <v>3.2548184716220556E-2</v>
      </c>
      <c r="Q3152" s="28">
        <f t="shared" si="53"/>
        <v>3.5548184716220559E-2</v>
      </c>
      <c r="R3152" s="29">
        <v>0.15003660775771735</v>
      </c>
      <c r="S3152" s="30">
        <v>0.03</v>
      </c>
    </row>
    <row r="3153" spans="16:19" x14ac:dyDescent="0.25">
      <c r="P3153" s="27">
        <v>3.2548184716220556E-2</v>
      </c>
      <c r="Q3153" s="28">
        <f t="shared" si="53"/>
        <v>3.5548184716220559E-2</v>
      </c>
      <c r="R3153" s="29">
        <v>0.15003660775771735</v>
      </c>
      <c r="S3153" s="30">
        <v>3.95E-2</v>
      </c>
    </row>
    <row r="3154" spans="16:19" x14ac:dyDescent="0.25">
      <c r="P3154" s="27">
        <v>3.2548184716220556E-2</v>
      </c>
      <c r="Q3154" s="28">
        <f t="shared" si="53"/>
        <v>3.5548184716220559E-2</v>
      </c>
      <c r="R3154" s="29">
        <v>0.15003660775771735</v>
      </c>
      <c r="S3154" s="30">
        <v>5.6280000000000004E-2</v>
      </c>
    </row>
    <row r="3155" spans="16:19" x14ac:dyDescent="0.25">
      <c r="P3155" s="27">
        <v>3.2548184716220556E-2</v>
      </c>
      <c r="Q3155" s="28">
        <f t="shared" si="53"/>
        <v>3.5548184716220559E-2</v>
      </c>
      <c r="R3155" s="31">
        <v>0.15939999999999999</v>
      </c>
      <c r="S3155" s="32">
        <v>7.6999999999999999E-2</v>
      </c>
    </row>
    <row r="3156" spans="16:19" x14ac:dyDescent="0.25">
      <c r="P3156" s="27">
        <v>3.2548184716220556E-2</v>
      </c>
      <c r="Q3156" s="28">
        <f t="shared" si="53"/>
        <v>3.5548184716220559E-2</v>
      </c>
      <c r="R3156" s="31">
        <v>0.15939999999999999</v>
      </c>
      <c r="S3156" s="32">
        <v>5.4590000000000007E-2</v>
      </c>
    </row>
    <row r="3157" spans="16:19" x14ac:dyDescent="0.25">
      <c r="P3157" s="27">
        <v>3.2548184716220556E-2</v>
      </c>
      <c r="Q3157" s="28">
        <f t="shared" si="53"/>
        <v>3.5548184716220559E-2</v>
      </c>
      <c r="R3157" s="31">
        <v>0.15939999999999999</v>
      </c>
      <c r="S3157" s="32">
        <v>4.7619999999999996E-2</v>
      </c>
    </row>
    <row r="3158" spans="16:19" x14ac:dyDescent="0.25">
      <c r="P3158" s="27">
        <v>3.2548184716220556E-2</v>
      </c>
      <c r="Q3158" s="28">
        <f t="shared" si="53"/>
        <v>3.5548184716220559E-2</v>
      </c>
      <c r="R3158" s="31">
        <v>0.15939999999999999</v>
      </c>
      <c r="S3158" s="32">
        <v>4.7649999999999998E-2</v>
      </c>
    </row>
    <row r="3159" spans="16:19" x14ac:dyDescent="0.25">
      <c r="P3159" s="27">
        <v>3.2548184716220556E-2</v>
      </c>
      <c r="Q3159" s="28">
        <f t="shared" si="53"/>
        <v>3.5548184716220559E-2</v>
      </c>
      <c r="R3159" s="31">
        <v>0.15939999999999999</v>
      </c>
      <c r="S3159" s="32">
        <v>4.3499999999999997E-2</v>
      </c>
    </row>
    <row r="3160" spans="16:19" x14ac:dyDescent="0.25">
      <c r="P3160" s="27">
        <v>3.2548184716220556E-2</v>
      </c>
      <c r="Q3160" s="28">
        <f t="shared" si="53"/>
        <v>3.5548184716220559E-2</v>
      </c>
      <c r="R3160" s="31">
        <v>0.15939999999999999</v>
      </c>
      <c r="S3160" s="32">
        <v>4.3900000000000002E-2</v>
      </c>
    </row>
    <row r="3161" spans="16:19" x14ac:dyDescent="0.25">
      <c r="P3161" s="27">
        <v>3.2548184716220556E-2</v>
      </c>
      <c r="Q3161" s="28">
        <f t="shared" si="53"/>
        <v>3.5548184716220559E-2</v>
      </c>
      <c r="R3161" s="31">
        <v>0.15939999999999999</v>
      </c>
      <c r="S3161" s="32">
        <v>4.7189999999999996E-2</v>
      </c>
    </row>
    <row r="3162" spans="16:19" x14ac:dyDescent="0.25">
      <c r="P3162" s="27">
        <v>3.2548184716220556E-2</v>
      </c>
      <c r="Q3162" s="28">
        <f t="shared" si="53"/>
        <v>3.5548184716220559E-2</v>
      </c>
      <c r="R3162" s="31">
        <v>0.15939999999999999</v>
      </c>
      <c r="S3162" s="32">
        <v>4.8939999999999997E-2</v>
      </c>
    </row>
    <row r="3163" spans="16:19" x14ac:dyDescent="0.25">
      <c r="P3163" s="27">
        <v>3.2548184716220556E-2</v>
      </c>
      <c r="Q3163" s="28">
        <f t="shared" si="53"/>
        <v>3.5548184716220559E-2</v>
      </c>
      <c r="R3163" s="31">
        <v>0.15939999999999999</v>
      </c>
      <c r="S3163" s="32">
        <v>0.05</v>
      </c>
    </row>
    <row r="3164" spans="16:19" x14ac:dyDescent="0.25">
      <c r="P3164" s="27">
        <v>3.2548184716220556E-2</v>
      </c>
      <c r="Q3164" s="28">
        <f t="shared" si="53"/>
        <v>3.5548184716220559E-2</v>
      </c>
      <c r="R3164" s="31">
        <v>0.15939999999999999</v>
      </c>
      <c r="S3164" s="32">
        <v>4.9070000000000003E-2</v>
      </c>
    </row>
    <row r="3165" spans="16:19" x14ac:dyDescent="0.25">
      <c r="P3165" s="27">
        <v>3.2548184716220556E-2</v>
      </c>
      <c r="Q3165" s="28">
        <f t="shared" si="53"/>
        <v>3.5548184716220559E-2</v>
      </c>
      <c r="R3165" s="31">
        <v>0.15939999999999999</v>
      </c>
      <c r="S3165" s="32">
        <v>4.981E-2</v>
      </c>
    </row>
    <row r="3166" spans="16:19" x14ac:dyDescent="0.25">
      <c r="P3166" s="27">
        <v>3.2548184716220556E-2</v>
      </c>
      <c r="Q3166" s="28">
        <f t="shared" si="53"/>
        <v>3.5548184716220559E-2</v>
      </c>
      <c r="R3166" s="31">
        <v>0.15939999999999999</v>
      </c>
      <c r="S3166" s="32">
        <v>5.4450000000000005E-2</v>
      </c>
    </row>
    <row r="3167" spans="16:19" x14ac:dyDescent="0.25">
      <c r="P3167" s="27">
        <v>3.2548184716220556E-2</v>
      </c>
      <c r="Q3167" s="28">
        <f t="shared" si="53"/>
        <v>3.5548184716220559E-2</v>
      </c>
      <c r="R3167" s="31">
        <v>0.15939999999999999</v>
      </c>
      <c r="S3167" s="32">
        <v>7.8719999999999998E-2</v>
      </c>
    </row>
    <row r="3168" spans="16:19" x14ac:dyDescent="0.25">
      <c r="P3168" s="27">
        <v>3.2548184716220556E-2</v>
      </c>
      <c r="Q3168" s="28">
        <f t="shared" si="53"/>
        <v>3.5548184716220559E-2</v>
      </c>
      <c r="R3168" s="31">
        <v>0.15939999999999999</v>
      </c>
      <c r="S3168" s="32">
        <v>6.5578914000000002E-2</v>
      </c>
    </row>
    <row r="3169" spans="16:19" x14ac:dyDescent="0.25">
      <c r="P3169" s="27">
        <v>3.2548184716220556E-2</v>
      </c>
      <c r="Q3169" s="28">
        <f t="shared" si="53"/>
        <v>3.5548184716220559E-2</v>
      </c>
      <c r="R3169" s="31">
        <v>0.15939999999999999</v>
      </c>
      <c r="S3169" s="32">
        <v>4.8159999999999994E-2</v>
      </c>
    </row>
    <row r="3170" spans="16:19" x14ac:dyDescent="0.25">
      <c r="P3170" s="27">
        <v>3.2548184716220556E-2</v>
      </c>
      <c r="Q3170" s="28">
        <f t="shared" si="53"/>
        <v>3.5548184716220559E-2</v>
      </c>
      <c r="R3170" s="31">
        <v>0.15939999999999999</v>
      </c>
      <c r="S3170" s="32">
        <v>4.2209999999999998E-2</v>
      </c>
    </row>
    <row r="3171" spans="16:19" x14ac:dyDescent="0.25">
      <c r="P3171" s="27">
        <v>3.2548184716220556E-2</v>
      </c>
      <c r="Q3171" s="28">
        <f t="shared" si="53"/>
        <v>3.5548184716220559E-2</v>
      </c>
      <c r="R3171" s="29">
        <v>0.15</v>
      </c>
      <c r="S3171" s="30">
        <v>3.6830000000000002E-2</v>
      </c>
    </row>
    <row r="3172" spans="16:19" x14ac:dyDescent="0.25">
      <c r="P3172" s="27">
        <v>3.2548184716220556E-2</v>
      </c>
      <c r="Q3172" s="28">
        <f t="shared" si="53"/>
        <v>3.5548184716220559E-2</v>
      </c>
      <c r="R3172" s="29">
        <v>0.15</v>
      </c>
      <c r="S3172" s="30">
        <v>3.7819999999999999E-2</v>
      </c>
    </row>
    <row r="3173" spans="16:19" x14ac:dyDescent="0.25">
      <c r="P3173" s="27">
        <v>3.2548184716220556E-2</v>
      </c>
      <c r="Q3173" s="28">
        <f t="shared" si="53"/>
        <v>3.5548184716220559E-2</v>
      </c>
      <c r="R3173" s="29">
        <v>0.15</v>
      </c>
      <c r="S3173" s="30">
        <v>3.5150000000000001E-2</v>
      </c>
    </row>
    <row r="3174" spans="16:19" x14ac:dyDescent="0.25">
      <c r="P3174" s="27">
        <v>3.2548184716220556E-2</v>
      </c>
      <c r="Q3174" s="28">
        <f t="shared" si="53"/>
        <v>3.5548184716220559E-2</v>
      </c>
      <c r="R3174" s="29">
        <v>0.15</v>
      </c>
      <c r="S3174" s="30">
        <v>3.0679999999999999E-2</v>
      </c>
    </row>
    <row r="3175" spans="16:19" x14ac:dyDescent="0.25">
      <c r="P3175" s="27">
        <v>3.2548184716220556E-2</v>
      </c>
      <c r="Q3175" s="28">
        <f t="shared" si="53"/>
        <v>3.5548184716220559E-2</v>
      </c>
      <c r="R3175" s="29">
        <v>0.15</v>
      </c>
      <c r="S3175" s="30">
        <v>3.0100000000000002E-2</v>
      </c>
    </row>
    <row r="3176" spans="16:19" x14ac:dyDescent="0.25">
      <c r="P3176" s="27">
        <v>3.2548184716220556E-2</v>
      </c>
      <c r="Q3176" s="28">
        <f t="shared" si="53"/>
        <v>3.5548184716220559E-2</v>
      </c>
      <c r="R3176" s="29">
        <v>0.15</v>
      </c>
      <c r="S3176" s="30">
        <v>3.3280000000000004E-2</v>
      </c>
    </row>
    <row r="3177" spans="16:19" x14ac:dyDescent="0.25">
      <c r="P3177" s="27">
        <v>3.2548184716220556E-2</v>
      </c>
      <c r="Q3177" s="28">
        <f t="shared" si="53"/>
        <v>3.5548184716220559E-2</v>
      </c>
      <c r="R3177" s="29">
        <v>0.15</v>
      </c>
      <c r="S3177" s="30">
        <v>3.9E-2</v>
      </c>
    </row>
    <row r="3178" spans="16:19" x14ac:dyDescent="0.25">
      <c r="P3178" s="27">
        <v>3.2548184716220556E-2</v>
      </c>
      <c r="Q3178" s="28">
        <f t="shared" si="53"/>
        <v>3.5548184716220559E-2</v>
      </c>
      <c r="R3178" s="29">
        <v>0.15</v>
      </c>
      <c r="S3178" s="30">
        <v>4.9210000000000004E-2</v>
      </c>
    </row>
    <row r="3179" spans="16:19" x14ac:dyDescent="0.25">
      <c r="P3179" s="27">
        <v>3.2548184716220556E-2</v>
      </c>
      <c r="Q3179" s="28">
        <f t="shared" si="53"/>
        <v>3.5548184716220559E-2</v>
      </c>
      <c r="R3179" s="29">
        <v>0.15</v>
      </c>
      <c r="S3179" s="30">
        <v>7.2420036999999993E-2</v>
      </c>
    </row>
    <row r="3180" spans="16:19" x14ac:dyDescent="0.25">
      <c r="P3180" s="27">
        <v>3.2548184716220556E-2</v>
      </c>
      <c r="Q3180" s="28">
        <f t="shared" si="53"/>
        <v>3.5548184716220559E-2</v>
      </c>
      <c r="R3180" s="29">
        <v>0.15</v>
      </c>
      <c r="S3180" s="30">
        <v>5.6280000000000004E-2</v>
      </c>
    </row>
    <row r="3181" spans="16:19" x14ac:dyDescent="0.25">
      <c r="P3181" s="27">
        <v>3.2548184716220556E-2</v>
      </c>
      <c r="Q3181" s="28">
        <f t="shared" si="53"/>
        <v>3.5548184716220559E-2</v>
      </c>
      <c r="R3181" s="29">
        <v>0.15</v>
      </c>
      <c r="S3181" s="30">
        <v>5.135E-2</v>
      </c>
    </row>
    <row r="3182" spans="16:19" x14ac:dyDescent="0.25">
      <c r="P3182" s="27">
        <v>3.2548184716220556E-2</v>
      </c>
      <c r="Q3182" s="28">
        <f t="shared" si="53"/>
        <v>3.5548184716220559E-2</v>
      </c>
      <c r="R3182" s="29">
        <v>0.15</v>
      </c>
      <c r="S3182" s="30">
        <v>5.076E-2</v>
      </c>
    </row>
    <row r="3183" spans="16:19" x14ac:dyDescent="0.25">
      <c r="P3183" s="27">
        <v>3.2548184716220556E-2</v>
      </c>
      <c r="Q3183" s="28">
        <f t="shared" si="53"/>
        <v>3.5548184716220559E-2</v>
      </c>
      <c r="R3183" s="29">
        <v>0.15</v>
      </c>
      <c r="S3183" s="30">
        <v>4.4999999999999998E-2</v>
      </c>
    </row>
    <row r="3184" spans="16:19" x14ac:dyDescent="0.25">
      <c r="P3184" s="27">
        <v>3.2548184716220556E-2</v>
      </c>
      <c r="Q3184" s="28">
        <f t="shared" si="53"/>
        <v>3.5548184716220559E-2</v>
      </c>
      <c r="R3184" s="29">
        <v>0.15</v>
      </c>
      <c r="S3184" s="30">
        <v>0.05</v>
      </c>
    </row>
    <row r="3185" spans="16:19" x14ac:dyDescent="0.25">
      <c r="P3185" s="27">
        <v>3.2548184716220556E-2</v>
      </c>
      <c r="Q3185" s="28">
        <f t="shared" si="53"/>
        <v>3.5548184716220559E-2</v>
      </c>
      <c r="R3185" s="29">
        <v>0.15</v>
      </c>
      <c r="S3185" s="30">
        <v>5.2510000000000001E-2</v>
      </c>
    </row>
    <row r="3186" spans="16:19" x14ac:dyDescent="0.25">
      <c r="P3186" s="27">
        <v>3.2548184716220556E-2</v>
      </c>
      <c r="Q3186" s="28">
        <f t="shared" si="53"/>
        <v>3.5548184716220559E-2</v>
      </c>
      <c r="R3186" s="29">
        <v>0.15</v>
      </c>
      <c r="S3186" s="30">
        <v>5.2510000000000001E-2</v>
      </c>
    </row>
    <row r="3187" spans="16:19" x14ac:dyDescent="0.25">
      <c r="P3187" s="27">
        <v>3.2548184716220556E-2</v>
      </c>
      <c r="Q3187" s="28">
        <f t="shared" si="53"/>
        <v>3.5548184716220559E-2</v>
      </c>
      <c r="R3187" s="29">
        <v>0.15</v>
      </c>
      <c r="S3187" s="30">
        <v>5.2270000000000004E-2</v>
      </c>
    </row>
    <row r="3188" spans="16:19" x14ac:dyDescent="0.25">
      <c r="P3188" s="27">
        <v>3.2548184716220556E-2</v>
      </c>
      <c r="Q3188" s="28">
        <f t="shared" si="53"/>
        <v>3.5548184716220559E-2</v>
      </c>
      <c r="R3188" s="29">
        <v>0.15</v>
      </c>
      <c r="S3188" s="30">
        <v>0.05</v>
      </c>
    </row>
    <row r="3189" spans="16:19" x14ac:dyDescent="0.25">
      <c r="P3189" s="27">
        <v>3.2548184716220556E-2</v>
      </c>
      <c r="Q3189" s="28">
        <f t="shared" si="53"/>
        <v>3.5548184716220559E-2</v>
      </c>
      <c r="R3189" s="29">
        <v>0.15</v>
      </c>
      <c r="S3189" s="30">
        <v>5.0439999999999999E-2</v>
      </c>
    </row>
    <row r="3190" spans="16:19" x14ac:dyDescent="0.25">
      <c r="P3190" s="27">
        <v>3.2548184716220556E-2</v>
      </c>
      <c r="Q3190" s="28">
        <f t="shared" si="53"/>
        <v>3.5548184716220559E-2</v>
      </c>
      <c r="R3190" s="29">
        <v>0.15</v>
      </c>
      <c r="S3190" s="30">
        <v>6.0499999999999998E-2</v>
      </c>
    </row>
    <row r="3191" spans="16:19" x14ac:dyDescent="0.25">
      <c r="P3191" s="27">
        <v>3.2548184716220556E-2</v>
      </c>
      <c r="Q3191" s="28">
        <f t="shared" si="53"/>
        <v>3.5548184716220559E-2</v>
      </c>
      <c r="R3191" s="29">
        <v>0.15</v>
      </c>
      <c r="S3191" s="30">
        <v>8.333119600000001E-2</v>
      </c>
    </row>
    <row r="3192" spans="16:19" x14ac:dyDescent="0.25">
      <c r="P3192" s="27">
        <v>3.2548184716220556E-2</v>
      </c>
      <c r="Q3192" s="28">
        <f t="shared" si="53"/>
        <v>3.5548184716220559E-2</v>
      </c>
      <c r="R3192" s="29">
        <v>0.15</v>
      </c>
      <c r="S3192" s="30">
        <v>6.9000000000000006E-2</v>
      </c>
    </row>
    <row r="3193" spans="16:19" x14ac:dyDescent="0.25">
      <c r="P3193" s="27">
        <v>3.2548184716220556E-2</v>
      </c>
      <c r="Q3193" s="28">
        <f t="shared" si="53"/>
        <v>3.5548184716220559E-2</v>
      </c>
      <c r="R3193" s="29">
        <v>0.15</v>
      </c>
      <c r="S3193" s="30">
        <v>4.7560000000000005E-2</v>
      </c>
    </row>
    <row r="3194" spans="16:19" x14ac:dyDescent="0.25">
      <c r="P3194" s="27">
        <v>3.2548184716220556E-2</v>
      </c>
      <c r="Q3194" s="28">
        <f t="shared" si="53"/>
        <v>3.5548184716220559E-2</v>
      </c>
      <c r="R3194" s="29">
        <v>0.15</v>
      </c>
      <c r="S3194" s="30">
        <v>4.249E-2</v>
      </c>
    </row>
    <row r="3195" spans="16:19" x14ac:dyDescent="0.25">
      <c r="P3195" s="27">
        <v>3.2548184716220556E-2</v>
      </c>
      <c r="Q3195" s="28">
        <f t="shared" si="53"/>
        <v>3.5548184716220559E-2</v>
      </c>
      <c r="R3195" s="29">
        <v>0.15</v>
      </c>
      <c r="S3195" s="30">
        <v>3.499E-2</v>
      </c>
    </row>
    <row r="3196" spans="16:19" x14ac:dyDescent="0.25">
      <c r="P3196" s="27">
        <v>3.2548184716220556E-2</v>
      </c>
      <c r="Q3196" s="28">
        <f t="shared" si="53"/>
        <v>3.5548184716220559E-2</v>
      </c>
      <c r="R3196" s="29">
        <v>0.15</v>
      </c>
      <c r="S3196" s="30">
        <v>3.0510000000000002E-2</v>
      </c>
    </row>
    <row r="3197" spans="16:19" x14ac:dyDescent="0.25">
      <c r="P3197" s="27">
        <v>3.2548184716220556E-2</v>
      </c>
      <c r="Q3197" s="28">
        <f t="shared" si="53"/>
        <v>3.5548184716220559E-2</v>
      </c>
      <c r="R3197" s="29">
        <v>0.15</v>
      </c>
      <c r="S3197" s="30">
        <v>2.75E-2</v>
      </c>
    </row>
    <row r="3198" spans="16:19" x14ac:dyDescent="0.25">
      <c r="P3198" s="27">
        <v>3.2548184716220556E-2</v>
      </c>
      <c r="Q3198" s="28">
        <f t="shared" si="53"/>
        <v>3.5548184716220559E-2</v>
      </c>
      <c r="R3198" s="29">
        <v>0.15</v>
      </c>
      <c r="S3198" s="30">
        <v>2.5149999999999999E-2</v>
      </c>
    </row>
    <row r="3199" spans="16:19" x14ac:dyDescent="0.25">
      <c r="P3199" s="27">
        <v>3.2548184716220556E-2</v>
      </c>
      <c r="Q3199" s="28">
        <f t="shared" si="53"/>
        <v>3.5548184716220559E-2</v>
      </c>
      <c r="R3199" s="29">
        <v>0.15</v>
      </c>
      <c r="S3199" s="30">
        <v>2.6329999999999999E-2</v>
      </c>
    </row>
    <row r="3200" spans="16:19" x14ac:dyDescent="0.25">
      <c r="P3200" s="27">
        <v>3.2548184716220556E-2</v>
      </c>
      <c r="Q3200" s="28">
        <f t="shared" si="53"/>
        <v>3.5548184716220559E-2</v>
      </c>
      <c r="R3200" s="29">
        <v>0.15</v>
      </c>
      <c r="S3200" s="30">
        <v>2.9960000000000001E-2</v>
      </c>
    </row>
    <row r="3201" spans="16:19" x14ac:dyDescent="0.25">
      <c r="P3201" s="27">
        <v>3.2548184716220556E-2</v>
      </c>
      <c r="Q3201" s="28">
        <f t="shared" si="53"/>
        <v>3.5548184716220559E-2</v>
      </c>
      <c r="R3201" s="29">
        <v>0.15</v>
      </c>
      <c r="S3201" s="30">
        <v>3.7899999999999996E-2</v>
      </c>
    </row>
    <row r="3202" spans="16:19" x14ac:dyDescent="0.25">
      <c r="P3202" s="27">
        <v>3.2548184716220556E-2</v>
      </c>
      <c r="Q3202" s="28">
        <f t="shared" si="53"/>
        <v>3.5548184716220559E-2</v>
      </c>
      <c r="R3202" s="29">
        <v>0.15</v>
      </c>
      <c r="S3202" s="30">
        <v>4.9950000000000001E-2</v>
      </c>
    </row>
    <row r="3203" spans="16:19" x14ac:dyDescent="0.25">
      <c r="P3203" s="27">
        <v>3.2548184716220556E-2</v>
      </c>
      <c r="Q3203" s="28">
        <f t="shared" si="53"/>
        <v>3.5548184716220559E-2</v>
      </c>
      <c r="R3203" s="31">
        <v>0.15939660775771733</v>
      </c>
      <c r="S3203" s="32">
        <v>7.8099999999999989E-2</v>
      </c>
    </row>
    <row r="3204" spans="16:19" x14ac:dyDescent="0.25">
      <c r="P3204" s="27">
        <v>3.2548184716220556E-2</v>
      </c>
      <c r="Q3204" s="28">
        <f t="shared" si="53"/>
        <v>3.5548184716220559E-2</v>
      </c>
      <c r="R3204" s="33">
        <v>0.16282860775771735</v>
      </c>
      <c r="S3204" s="34">
        <v>5.6280000000000004E-2</v>
      </c>
    </row>
    <row r="3205" spans="16:19" x14ac:dyDescent="0.25">
      <c r="P3205" s="27">
        <v>3.2548184716220556E-2</v>
      </c>
      <c r="Q3205" s="28">
        <f t="shared" ref="Q3205:Q3268" si="54">P3205+0.003</f>
        <v>3.5548184716220559E-2</v>
      </c>
      <c r="R3205" s="33">
        <v>0.16282860775771735</v>
      </c>
      <c r="S3205" s="34">
        <v>4.9540000000000001E-2</v>
      </c>
    </row>
    <row r="3206" spans="16:19" x14ac:dyDescent="0.25">
      <c r="P3206" s="27">
        <v>3.2548184716220556E-2</v>
      </c>
      <c r="Q3206" s="28">
        <f t="shared" si="54"/>
        <v>3.5548184716220559E-2</v>
      </c>
      <c r="R3206" s="33">
        <v>0.16282860775771735</v>
      </c>
      <c r="S3206" s="34">
        <v>4.7500000000000001E-2</v>
      </c>
    </row>
    <row r="3207" spans="16:19" x14ac:dyDescent="0.25">
      <c r="P3207" s="27">
        <v>3.2548184716220556E-2</v>
      </c>
      <c r="Q3207" s="28">
        <f t="shared" si="54"/>
        <v>3.5548184716220559E-2</v>
      </c>
      <c r="R3207" s="33">
        <v>0.16282860775771735</v>
      </c>
      <c r="S3207" s="34">
        <v>0.04</v>
      </c>
    </row>
    <row r="3208" spans="16:19" x14ac:dyDescent="0.25">
      <c r="P3208" s="27">
        <v>3.2548184716220556E-2</v>
      </c>
      <c r="Q3208" s="28">
        <f t="shared" si="54"/>
        <v>3.5548184716220559E-2</v>
      </c>
      <c r="R3208" s="33">
        <v>0.16282860775771735</v>
      </c>
      <c r="S3208" s="34">
        <v>4.4400000000000002E-2</v>
      </c>
    </row>
    <row r="3209" spans="16:19" x14ac:dyDescent="0.25">
      <c r="P3209" s="27">
        <v>3.2548184716220556E-2</v>
      </c>
      <c r="Q3209" s="28">
        <f t="shared" si="54"/>
        <v>3.5548184716220559E-2</v>
      </c>
      <c r="R3209" s="33">
        <v>0.16282860775771735</v>
      </c>
      <c r="S3209" s="34">
        <v>4.7450000000000006E-2</v>
      </c>
    </row>
    <row r="3210" spans="16:19" x14ac:dyDescent="0.25">
      <c r="P3210" s="27">
        <v>3.2548184716220556E-2</v>
      </c>
      <c r="Q3210" s="28">
        <f t="shared" si="54"/>
        <v>3.5548184716220559E-2</v>
      </c>
      <c r="R3210" s="33">
        <v>0.16282860775771735</v>
      </c>
      <c r="S3210" s="34">
        <v>4.9700000000000001E-2</v>
      </c>
    </row>
    <row r="3211" spans="16:19" x14ac:dyDescent="0.25">
      <c r="P3211" s="27">
        <v>3.2548184716220556E-2</v>
      </c>
      <c r="Q3211" s="28">
        <f t="shared" si="54"/>
        <v>3.5548184716220559E-2</v>
      </c>
      <c r="R3211" s="33">
        <v>0.16282860775771735</v>
      </c>
      <c r="S3211" s="34">
        <v>0.05</v>
      </c>
    </row>
    <row r="3212" spans="16:19" x14ac:dyDescent="0.25">
      <c r="P3212" s="27">
        <v>3.2548184716220556E-2</v>
      </c>
      <c r="Q3212" s="28">
        <f t="shared" si="54"/>
        <v>3.5548184716220559E-2</v>
      </c>
      <c r="R3212" s="33">
        <v>0.16282860775771735</v>
      </c>
      <c r="S3212" s="34">
        <v>4.7450000000000006E-2</v>
      </c>
    </row>
    <row r="3213" spans="16:19" x14ac:dyDescent="0.25">
      <c r="P3213" s="27">
        <v>3.2548184716220556E-2</v>
      </c>
      <c r="Q3213" s="28">
        <f t="shared" si="54"/>
        <v>3.5548184716220559E-2</v>
      </c>
      <c r="R3213" s="33">
        <v>0.16282860775771735</v>
      </c>
      <c r="S3213" s="34">
        <v>4.5450000000000004E-2</v>
      </c>
    </row>
    <row r="3214" spans="16:19" x14ac:dyDescent="0.25">
      <c r="P3214" s="27">
        <v>3.2548184716220556E-2</v>
      </c>
      <c r="Q3214" s="28">
        <f t="shared" si="54"/>
        <v>3.5548184716220559E-2</v>
      </c>
      <c r="R3214" s="33">
        <v>0.16282860775771735</v>
      </c>
      <c r="S3214" s="34">
        <v>5.0189999999999999E-2</v>
      </c>
    </row>
    <row r="3215" spans="16:19" x14ac:dyDescent="0.25">
      <c r="P3215" s="27">
        <v>3.2548184716220556E-2</v>
      </c>
      <c r="Q3215" s="28">
        <f t="shared" si="54"/>
        <v>3.5548184716220559E-2</v>
      </c>
      <c r="R3215" s="31">
        <v>0.15939660775771733</v>
      </c>
      <c r="S3215" s="32">
        <v>7.8259337999999998E-2</v>
      </c>
    </row>
    <row r="3216" spans="16:19" x14ac:dyDescent="0.25">
      <c r="P3216" s="27">
        <v>3.2548184716220556E-2</v>
      </c>
      <c r="Q3216" s="28">
        <f t="shared" si="54"/>
        <v>3.5548184716220559E-2</v>
      </c>
      <c r="R3216" s="31">
        <v>0.15939660775771733</v>
      </c>
      <c r="S3216" s="32">
        <v>6.6000000000000003E-2</v>
      </c>
    </row>
    <row r="3217" spans="16:19" x14ac:dyDescent="0.25">
      <c r="P3217" s="27">
        <v>3.2548184716220556E-2</v>
      </c>
      <c r="Q3217" s="28">
        <f t="shared" si="54"/>
        <v>3.5548184716220559E-2</v>
      </c>
      <c r="R3217" s="31">
        <v>0.15939660775771733</v>
      </c>
      <c r="S3217" s="32">
        <v>4.505E-2</v>
      </c>
    </row>
    <row r="3218" spans="16:19" x14ac:dyDescent="0.25">
      <c r="P3218" s="27">
        <v>3.2548184716220556E-2</v>
      </c>
      <c r="Q3218" s="28">
        <f t="shared" si="54"/>
        <v>3.5548184716220559E-2</v>
      </c>
      <c r="R3218" s="31">
        <v>0.15939660775771733</v>
      </c>
      <c r="S3218" s="32">
        <v>3.875E-2</v>
      </c>
    </row>
    <row r="3219" spans="16:19" x14ac:dyDescent="0.25">
      <c r="P3219" s="27">
        <v>3.2548184716220556E-2</v>
      </c>
      <c r="Q3219" s="28">
        <f t="shared" si="54"/>
        <v>3.5548184716220559E-2</v>
      </c>
      <c r="R3219" s="29">
        <v>0.15003660775771735</v>
      </c>
      <c r="S3219" s="30">
        <v>3.9560000000000005E-2</v>
      </c>
    </row>
    <row r="3220" spans="16:19" x14ac:dyDescent="0.25">
      <c r="P3220" s="27">
        <v>3.2548184716220556E-2</v>
      </c>
      <c r="Q3220" s="28">
        <f t="shared" si="54"/>
        <v>3.5548184716220559E-2</v>
      </c>
      <c r="R3220" s="29">
        <v>0.15003660775771735</v>
      </c>
      <c r="S3220" s="30">
        <v>3.8759008999999997E-2</v>
      </c>
    </row>
    <row r="3221" spans="16:19" x14ac:dyDescent="0.25">
      <c r="P3221" s="27">
        <v>3.2548184716220556E-2</v>
      </c>
      <c r="Q3221" s="28">
        <f t="shared" si="54"/>
        <v>3.5548184716220559E-2</v>
      </c>
      <c r="R3221" s="29">
        <v>0.15003660775771735</v>
      </c>
      <c r="S3221" s="30">
        <v>3.6830000000000002E-2</v>
      </c>
    </row>
    <row r="3222" spans="16:19" x14ac:dyDescent="0.25">
      <c r="P3222" s="27">
        <v>3.2548184716220556E-2</v>
      </c>
      <c r="Q3222" s="28">
        <f t="shared" si="54"/>
        <v>3.5548184716220559E-2</v>
      </c>
      <c r="R3222" s="29">
        <v>0.15003660775771735</v>
      </c>
      <c r="S3222" s="30">
        <v>3.7780000000000001E-2</v>
      </c>
    </row>
    <row r="3223" spans="16:19" x14ac:dyDescent="0.25">
      <c r="P3223" s="27">
        <v>3.2548184716220556E-2</v>
      </c>
      <c r="Q3223" s="28">
        <f t="shared" si="54"/>
        <v>3.5548184716220559E-2</v>
      </c>
      <c r="R3223" s="29">
        <v>0.15003660775771735</v>
      </c>
      <c r="S3223" s="30">
        <v>3.925E-2</v>
      </c>
    </row>
    <row r="3224" spans="16:19" x14ac:dyDescent="0.25">
      <c r="P3224" s="27">
        <v>3.2548184716220556E-2</v>
      </c>
      <c r="Q3224" s="28">
        <f t="shared" si="54"/>
        <v>3.5548184716220559E-2</v>
      </c>
      <c r="R3224" s="29">
        <v>0.15003660775771735</v>
      </c>
      <c r="S3224" s="30">
        <v>4.4450000000000003E-2</v>
      </c>
    </row>
    <row r="3225" spans="16:19" x14ac:dyDescent="0.25">
      <c r="P3225" s="27">
        <v>3.2548184716220556E-2</v>
      </c>
      <c r="Q3225" s="28">
        <f t="shared" si="54"/>
        <v>3.5548184716220559E-2</v>
      </c>
      <c r="R3225" s="29">
        <v>0.15003660775771735</v>
      </c>
      <c r="S3225" s="30">
        <v>4.5707318000000004E-2</v>
      </c>
    </row>
    <row r="3226" spans="16:19" x14ac:dyDescent="0.25">
      <c r="P3226" s="27">
        <v>3.2548184716220556E-2</v>
      </c>
      <c r="Q3226" s="28">
        <f t="shared" si="54"/>
        <v>3.5548184716220559E-2</v>
      </c>
      <c r="R3226" s="29">
        <v>0.15003660775771735</v>
      </c>
      <c r="S3226" s="30">
        <v>5.1979999999999998E-2</v>
      </c>
    </row>
    <row r="3227" spans="16:19" x14ac:dyDescent="0.25">
      <c r="P3227" s="27">
        <v>3.2548184716220556E-2</v>
      </c>
      <c r="Q3227" s="28">
        <f t="shared" si="54"/>
        <v>3.5548184716220559E-2</v>
      </c>
      <c r="R3227" s="31">
        <v>0.15939660775771733</v>
      </c>
      <c r="S3227" s="32">
        <v>7.4329999999999993E-2</v>
      </c>
    </row>
    <row r="3228" spans="16:19" x14ac:dyDescent="0.25">
      <c r="P3228" s="27">
        <v>3.2548184716220556E-2</v>
      </c>
      <c r="Q3228" s="28">
        <f t="shared" si="54"/>
        <v>3.5548184716220559E-2</v>
      </c>
      <c r="R3228" s="33">
        <v>0.16282860775771735</v>
      </c>
      <c r="S3228" s="34">
        <v>5.3999999999999999E-2</v>
      </c>
    </row>
    <row r="3229" spans="16:19" x14ac:dyDescent="0.25">
      <c r="P3229" s="27">
        <v>3.2548184716220556E-2</v>
      </c>
      <c r="Q3229" s="28">
        <f t="shared" si="54"/>
        <v>3.5548184716220559E-2</v>
      </c>
      <c r="R3229" s="33">
        <v>0.16282860775771735</v>
      </c>
      <c r="S3229" s="34">
        <v>4.9700000000000001E-2</v>
      </c>
    </row>
    <row r="3230" spans="16:19" x14ac:dyDescent="0.25">
      <c r="P3230" s="27">
        <v>3.2548184716220556E-2</v>
      </c>
      <c r="Q3230" s="28">
        <f t="shared" si="54"/>
        <v>3.5548184716220559E-2</v>
      </c>
      <c r="R3230" s="33">
        <v>0.16282860775771735</v>
      </c>
      <c r="S3230" s="34">
        <v>4.9079999999999999E-2</v>
      </c>
    </row>
    <row r="3231" spans="16:19" x14ac:dyDescent="0.25">
      <c r="P3231" s="27">
        <v>3.2548184716220556E-2</v>
      </c>
      <c r="Q3231" s="28">
        <f t="shared" si="54"/>
        <v>3.5548184716220559E-2</v>
      </c>
      <c r="R3231" s="33">
        <v>0.16282860775771735</v>
      </c>
      <c r="S3231" s="34">
        <v>4.4299999999999999E-2</v>
      </c>
    </row>
    <row r="3232" spans="16:19" x14ac:dyDescent="0.25">
      <c r="P3232" s="27">
        <v>3.2548184716220556E-2</v>
      </c>
      <c r="Q3232" s="28">
        <f t="shared" si="54"/>
        <v>3.5548184716220559E-2</v>
      </c>
      <c r="R3232" s="33">
        <v>0.16282860775771735</v>
      </c>
      <c r="S3232" s="34">
        <v>4.752E-2</v>
      </c>
    </row>
    <row r="3233" spans="16:19" x14ac:dyDescent="0.25">
      <c r="P3233" s="27">
        <v>3.2548184716220556E-2</v>
      </c>
      <c r="Q3233" s="28">
        <f t="shared" si="54"/>
        <v>3.5548184716220559E-2</v>
      </c>
      <c r="R3233" s="33">
        <v>0.16282860775771735</v>
      </c>
      <c r="S3233" s="34">
        <v>5.1540000000000002E-2</v>
      </c>
    </row>
    <row r="3234" spans="16:19" x14ac:dyDescent="0.25">
      <c r="P3234" s="27">
        <v>3.2548184716220556E-2</v>
      </c>
      <c r="Q3234" s="28">
        <f t="shared" si="54"/>
        <v>3.5548184716220559E-2</v>
      </c>
      <c r="R3234" s="33">
        <v>0.16282860775771735</v>
      </c>
      <c r="S3234" s="34">
        <v>5.1990000000000001E-2</v>
      </c>
    </row>
    <row r="3235" spans="16:19" x14ac:dyDescent="0.25">
      <c r="P3235" s="27">
        <v>3.2548184716220556E-2</v>
      </c>
      <c r="Q3235" s="28">
        <f t="shared" si="54"/>
        <v>3.5548184716220559E-2</v>
      </c>
      <c r="R3235" s="33">
        <v>0.16282860775771735</v>
      </c>
      <c r="S3235" s="34">
        <v>5.2150000000000002E-2</v>
      </c>
    </row>
    <row r="3236" spans="16:19" x14ac:dyDescent="0.25">
      <c r="P3236" s="27">
        <v>3.2548184716220556E-2</v>
      </c>
      <c r="Q3236" s="28">
        <f t="shared" si="54"/>
        <v>3.5548184716220559E-2</v>
      </c>
      <c r="R3236" s="33">
        <v>0.16282860775771735</v>
      </c>
      <c r="S3236" s="34">
        <v>4.9299999999999997E-2</v>
      </c>
    </row>
    <row r="3237" spans="16:19" x14ac:dyDescent="0.25">
      <c r="P3237" s="27">
        <v>3.2548184716220556E-2</v>
      </c>
      <c r="Q3237" s="28">
        <f t="shared" si="54"/>
        <v>3.5548184716220559E-2</v>
      </c>
      <c r="R3237" s="33">
        <v>0.16282860775771735</v>
      </c>
      <c r="S3237" s="34">
        <v>4.9500000000000002E-2</v>
      </c>
    </row>
    <row r="3238" spans="16:19" x14ac:dyDescent="0.25">
      <c r="P3238" s="27">
        <v>3.2548184716220556E-2</v>
      </c>
      <c r="Q3238" s="28">
        <f t="shared" si="54"/>
        <v>3.5548184716220559E-2</v>
      </c>
      <c r="R3238" s="33">
        <v>0.16282860775771735</v>
      </c>
      <c r="S3238" s="34">
        <v>5.3990000000000003E-2</v>
      </c>
    </row>
    <row r="3239" spans="16:19" x14ac:dyDescent="0.25">
      <c r="P3239" s="27">
        <v>3.2548184716220556E-2</v>
      </c>
      <c r="Q3239" s="28">
        <f t="shared" si="54"/>
        <v>3.5548184716220559E-2</v>
      </c>
      <c r="R3239" s="31">
        <v>0.15939660775771733</v>
      </c>
      <c r="S3239" s="32">
        <v>8.1051081999999997E-2</v>
      </c>
    </row>
    <row r="3240" spans="16:19" x14ac:dyDescent="0.25">
      <c r="P3240" s="27">
        <v>3.2548184716220556E-2</v>
      </c>
      <c r="Q3240" s="28">
        <f t="shared" si="54"/>
        <v>3.5548184716220559E-2</v>
      </c>
      <c r="R3240" s="31">
        <v>0.15939660775771733</v>
      </c>
      <c r="S3240" s="32">
        <v>6.8989999999999996E-2</v>
      </c>
    </row>
    <row r="3241" spans="16:19" x14ac:dyDescent="0.25">
      <c r="P3241" s="27">
        <v>3.2548184716220556E-2</v>
      </c>
      <c r="Q3241" s="28">
        <f t="shared" si="54"/>
        <v>3.5548184716220559E-2</v>
      </c>
      <c r="R3241" s="31">
        <v>0.15939660775771733</v>
      </c>
      <c r="S3241" s="32">
        <v>4.9739999999999999E-2</v>
      </c>
    </row>
    <row r="3242" spans="16:19" x14ac:dyDescent="0.25">
      <c r="P3242" s="27">
        <v>3.2548184716220556E-2</v>
      </c>
      <c r="Q3242" s="28">
        <f t="shared" si="54"/>
        <v>3.5548184716220559E-2</v>
      </c>
      <c r="R3242" s="31">
        <v>0.15939660775771733</v>
      </c>
      <c r="S3242" s="32">
        <v>5.049E-2</v>
      </c>
    </row>
    <row r="3243" spans="16:19" x14ac:dyDescent="0.25">
      <c r="P3243" s="27">
        <v>3.2548184716220556E-2</v>
      </c>
      <c r="Q3243" s="28">
        <f t="shared" si="54"/>
        <v>3.5548184716220559E-2</v>
      </c>
      <c r="R3243" s="29">
        <v>0.15003660775771735</v>
      </c>
      <c r="S3243" s="30">
        <v>4.555E-2</v>
      </c>
    </row>
    <row r="3244" spans="16:19" x14ac:dyDescent="0.25">
      <c r="P3244" s="27">
        <v>3.2548184716220556E-2</v>
      </c>
      <c r="Q3244" s="28">
        <f t="shared" si="54"/>
        <v>3.5548184716220559E-2</v>
      </c>
      <c r="R3244" s="29">
        <v>0.15003660775771735</v>
      </c>
      <c r="S3244" s="30">
        <v>4.4840000000000005E-2</v>
      </c>
    </row>
    <row r="3245" spans="16:19" x14ac:dyDescent="0.25">
      <c r="P3245" s="27">
        <v>3.2548184716220556E-2</v>
      </c>
      <c r="Q3245" s="28">
        <f t="shared" si="54"/>
        <v>3.5548184716220559E-2</v>
      </c>
      <c r="R3245" s="29">
        <v>0.15003660775771735</v>
      </c>
      <c r="S3245" s="30">
        <v>4.4450000000000003E-2</v>
      </c>
    </row>
    <row r="3246" spans="16:19" x14ac:dyDescent="0.25">
      <c r="P3246" s="27">
        <v>3.2548184716220556E-2</v>
      </c>
      <c r="Q3246" s="28">
        <f t="shared" si="54"/>
        <v>3.5548184716220559E-2</v>
      </c>
      <c r="R3246" s="29">
        <v>0.15003660775771735</v>
      </c>
      <c r="S3246" s="30">
        <v>4.4450000000000003E-2</v>
      </c>
    </row>
    <row r="3247" spans="16:19" x14ac:dyDescent="0.25">
      <c r="P3247" s="27">
        <v>3.2548184716220556E-2</v>
      </c>
      <c r="Q3247" s="28">
        <f t="shared" si="54"/>
        <v>3.5548184716220559E-2</v>
      </c>
      <c r="R3247" s="29">
        <v>0.15003660775771735</v>
      </c>
      <c r="S3247" s="30">
        <v>4.1000000000000002E-2</v>
      </c>
    </row>
    <row r="3248" spans="16:19" x14ac:dyDescent="0.25">
      <c r="P3248" s="27">
        <v>3.2548184716220556E-2</v>
      </c>
      <c r="Q3248" s="28">
        <f t="shared" si="54"/>
        <v>3.5548184716220559E-2</v>
      </c>
      <c r="R3248" s="29">
        <v>0.15003660775771735</v>
      </c>
      <c r="S3248" s="30">
        <v>0.04</v>
      </c>
    </row>
    <row r="3249" spans="16:19" x14ac:dyDescent="0.25">
      <c r="P3249" s="27">
        <v>3.2548184716220556E-2</v>
      </c>
      <c r="Q3249" s="28">
        <f t="shared" si="54"/>
        <v>3.5548184716220559E-2</v>
      </c>
      <c r="R3249" s="29">
        <v>0.15003660775771735</v>
      </c>
      <c r="S3249" s="30">
        <v>4.4450000000000003E-2</v>
      </c>
    </row>
    <row r="3250" spans="16:19" x14ac:dyDescent="0.25">
      <c r="P3250" s="27">
        <v>3.2548184716220556E-2</v>
      </c>
      <c r="Q3250" s="28">
        <f t="shared" si="54"/>
        <v>3.5548184716220559E-2</v>
      </c>
      <c r="R3250" s="29">
        <v>0.15003660775771735</v>
      </c>
      <c r="S3250" s="30">
        <v>5.178E-2</v>
      </c>
    </row>
    <row r="3251" spans="16:19" x14ac:dyDescent="0.25">
      <c r="P3251" s="27">
        <v>3.2548184716220556E-2</v>
      </c>
      <c r="Q3251" s="28">
        <f t="shared" si="54"/>
        <v>3.5548184716220559E-2</v>
      </c>
      <c r="R3251" s="31">
        <v>0.15939660775771733</v>
      </c>
      <c r="S3251" s="32">
        <v>7.4120000000000005E-2</v>
      </c>
    </row>
    <row r="3252" spans="16:19" x14ac:dyDescent="0.25">
      <c r="P3252" s="27">
        <v>3.2548184716220556E-2</v>
      </c>
      <c r="Q3252" s="28">
        <f t="shared" si="54"/>
        <v>3.5548184716220559E-2</v>
      </c>
      <c r="R3252" s="33">
        <v>0.16282860775771735</v>
      </c>
      <c r="S3252" s="34">
        <v>5.8000000000000003E-2</v>
      </c>
    </row>
    <row r="3253" spans="16:19" x14ac:dyDescent="0.25">
      <c r="P3253" s="27">
        <v>3.2548184716220556E-2</v>
      </c>
      <c r="Q3253" s="28">
        <f t="shared" si="54"/>
        <v>3.5548184716220559E-2</v>
      </c>
      <c r="R3253" s="33">
        <v>0.16282860775771735</v>
      </c>
      <c r="S3253" s="34">
        <v>5.1909999999999998E-2</v>
      </c>
    </row>
    <row r="3254" spans="16:19" x14ac:dyDescent="0.25">
      <c r="P3254" s="27">
        <v>3.2548184716220556E-2</v>
      </c>
      <c r="Q3254" s="28">
        <f t="shared" si="54"/>
        <v>3.5548184716220559E-2</v>
      </c>
      <c r="R3254" s="33">
        <v>0.16282860775771735</v>
      </c>
      <c r="S3254" s="34">
        <v>5.0939999999999999E-2</v>
      </c>
    </row>
    <row r="3255" spans="16:19" x14ac:dyDescent="0.25">
      <c r="P3255" s="27">
        <v>3.2548184716220556E-2</v>
      </c>
      <c r="Q3255" s="28">
        <f t="shared" si="54"/>
        <v>3.5548184716220559E-2</v>
      </c>
      <c r="R3255" s="33">
        <v>0.16282860775771735</v>
      </c>
      <c r="S3255" s="34">
        <v>4.4999999999999998E-2</v>
      </c>
    </row>
    <row r="3256" spans="16:19" x14ac:dyDescent="0.25">
      <c r="P3256" s="27">
        <v>3.2548184716220556E-2</v>
      </c>
      <c r="Q3256" s="28">
        <f t="shared" si="54"/>
        <v>3.5548184716220559E-2</v>
      </c>
      <c r="R3256" s="33">
        <v>0.16282860775771735</v>
      </c>
      <c r="S3256" s="34">
        <v>4.4899999999999995E-2</v>
      </c>
    </row>
    <row r="3257" spans="16:19" x14ac:dyDescent="0.25">
      <c r="P3257" s="27">
        <v>3.2548184716220556E-2</v>
      </c>
      <c r="Q3257" s="28">
        <f t="shared" si="54"/>
        <v>3.5548184716220559E-2</v>
      </c>
      <c r="R3257" s="33">
        <v>0.16282860775771735</v>
      </c>
      <c r="S3257" s="34">
        <v>4.7450000000000006E-2</v>
      </c>
    </row>
    <row r="3258" spans="16:19" x14ac:dyDescent="0.25">
      <c r="P3258" s="27">
        <v>3.2548184716220556E-2</v>
      </c>
      <c r="Q3258" s="28">
        <f t="shared" si="54"/>
        <v>3.5548184716220559E-2</v>
      </c>
      <c r="R3258" s="33">
        <v>0.16282860775771735</v>
      </c>
      <c r="S3258" s="34">
        <v>4.9239999999999999E-2</v>
      </c>
    </row>
    <row r="3259" spans="16:19" x14ac:dyDescent="0.25">
      <c r="P3259" s="27">
        <v>3.2548184716220556E-2</v>
      </c>
      <c r="Q3259" s="28">
        <f t="shared" si="54"/>
        <v>3.5548184716220559E-2</v>
      </c>
      <c r="R3259" s="33">
        <v>0.16282860775771735</v>
      </c>
      <c r="S3259" s="34">
        <v>5.0860000000000002E-2</v>
      </c>
    </row>
    <row r="3260" spans="16:19" x14ac:dyDescent="0.25">
      <c r="P3260" s="27">
        <v>3.2548184716220556E-2</v>
      </c>
      <c r="Q3260" s="28">
        <f t="shared" si="54"/>
        <v>3.5548184716220559E-2</v>
      </c>
      <c r="R3260" s="33">
        <v>0.16282860775771735</v>
      </c>
      <c r="S3260" s="34">
        <v>4.5539999999999997E-2</v>
      </c>
    </row>
    <row r="3261" spans="16:19" x14ac:dyDescent="0.25">
      <c r="P3261" s="27">
        <v>3.2548184716220556E-2</v>
      </c>
      <c r="Q3261" s="28">
        <f t="shared" si="54"/>
        <v>3.5548184716220559E-2</v>
      </c>
      <c r="R3261" s="33">
        <v>0.16282860775771735</v>
      </c>
      <c r="S3261" s="34">
        <v>4.5530000000000001E-2</v>
      </c>
    </row>
    <row r="3262" spans="16:19" x14ac:dyDescent="0.25">
      <c r="P3262" s="27">
        <v>3.2548184716220556E-2</v>
      </c>
      <c r="Q3262" s="28">
        <f t="shared" si="54"/>
        <v>3.5548184716220559E-2</v>
      </c>
      <c r="R3262" s="33">
        <v>0.16282860775771735</v>
      </c>
      <c r="S3262" s="34">
        <v>4.8509999999999998E-2</v>
      </c>
    </row>
    <row r="3263" spans="16:19" x14ac:dyDescent="0.25">
      <c r="P3263" s="27">
        <v>3.2548184716220556E-2</v>
      </c>
      <c r="Q3263" s="28">
        <f t="shared" si="54"/>
        <v>3.5548184716220559E-2</v>
      </c>
      <c r="R3263" s="31">
        <v>0.15939660775771733</v>
      </c>
      <c r="S3263" s="32">
        <v>7.0041566E-2</v>
      </c>
    </row>
    <row r="3264" spans="16:19" x14ac:dyDescent="0.25">
      <c r="P3264" s="27">
        <v>3.2548184716220556E-2</v>
      </c>
      <c r="Q3264" s="28">
        <f t="shared" si="54"/>
        <v>3.5548184716220559E-2</v>
      </c>
      <c r="R3264" s="31">
        <v>0.15939660775771733</v>
      </c>
      <c r="S3264" s="32">
        <v>5.7258043000000002E-2</v>
      </c>
    </row>
    <row r="3265" spans="16:19" x14ac:dyDescent="0.25">
      <c r="P3265" s="27">
        <v>3.2548184716220556E-2</v>
      </c>
      <c r="Q3265" s="28">
        <f t="shared" si="54"/>
        <v>3.5548184716220559E-2</v>
      </c>
      <c r="R3265" s="31">
        <v>0.15939660775771733</v>
      </c>
      <c r="S3265" s="32">
        <v>4.7009999999999996E-2</v>
      </c>
    </row>
    <row r="3266" spans="16:19" x14ac:dyDescent="0.25">
      <c r="P3266" s="27">
        <v>3.2548184716220556E-2</v>
      </c>
      <c r="Q3266" s="28">
        <f t="shared" si="54"/>
        <v>3.5548184716220559E-2</v>
      </c>
      <c r="R3266" s="31">
        <v>0.15939660775771733</v>
      </c>
      <c r="S3266" s="32">
        <v>4.8030000000000003E-2</v>
      </c>
    </row>
    <row r="3267" spans="16:19" x14ac:dyDescent="0.25">
      <c r="P3267" s="27">
        <v>3.2548184716220556E-2</v>
      </c>
      <c r="Q3267" s="28">
        <f t="shared" si="54"/>
        <v>3.5548184716220559E-2</v>
      </c>
      <c r="R3267" s="29">
        <v>0.15003660775771735</v>
      </c>
      <c r="S3267" s="30">
        <v>4.5999999999999999E-2</v>
      </c>
    </row>
    <row r="3268" spans="16:19" x14ac:dyDescent="0.25">
      <c r="P3268" s="27">
        <v>3.2548184716220556E-2</v>
      </c>
      <c r="Q3268" s="28">
        <f t="shared" si="54"/>
        <v>3.5548184716220559E-2</v>
      </c>
      <c r="R3268" s="29">
        <v>0.15003660775771735</v>
      </c>
      <c r="S3268" s="30">
        <v>4.4990000000000002E-2</v>
      </c>
    </row>
    <row r="3269" spans="16:19" x14ac:dyDescent="0.25">
      <c r="P3269" s="27">
        <v>3.2548184716220556E-2</v>
      </c>
      <c r="Q3269" s="28">
        <f t="shared" ref="Q3269:Q3332" si="55">P3269+0.003</f>
        <v>3.5548184716220559E-2</v>
      </c>
      <c r="R3269" s="29">
        <v>0.15003660775771735</v>
      </c>
      <c r="S3269" s="30">
        <v>4.4499999999999998E-2</v>
      </c>
    </row>
    <row r="3270" spans="16:19" x14ac:dyDescent="0.25">
      <c r="P3270" s="27">
        <v>3.2548184716220556E-2</v>
      </c>
      <c r="Q3270" s="28">
        <f t="shared" si="55"/>
        <v>3.5548184716220559E-2</v>
      </c>
      <c r="R3270" s="29">
        <v>0.15003660775771735</v>
      </c>
      <c r="S3270" s="30">
        <v>4.3696591E-2</v>
      </c>
    </row>
    <row r="3271" spans="16:19" x14ac:dyDescent="0.25">
      <c r="P3271" s="27">
        <v>3.2548184716220556E-2</v>
      </c>
      <c r="Q3271" s="28">
        <f t="shared" si="55"/>
        <v>3.5548184716220559E-2</v>
      </c>
      <c r="R3271" s="29">
        <v>0.15003660775771735</v>
      </c>
      <c r="S3271" s="30">
        <v>4.0351102E-2</v>
      </c>
    </row>
    <row r="3272" spans="16:19" x14ac:dyDescent="0.25">
      <c r="P3272" s="27">
        <v>3.2548184716220556E-2</v>
      </c>
      <c r="Q3272" s="28">
        <f t="shared" si="55"/>
        <v>3.5548184716220559E-2</v>
      </c>
      <c r="R3272" s="29">
        <v>0.15003660775771735</v>
      </c>
      <c r="S3272" s="30">
        <v>0.04</v>
      </c>
    </row>
    <row r="3273" spans="16:19" x14ac:dyDescent="0.25">
      <c r="P3273" s="27">
        <v>3.2548184716220556E-2</v>
      </c>
      <c r="Q3273" s="28">
        <f t="shared" si="55"/>
        <v>3.5548184716220559E-2</v>
      </c>
      <c r="R3273" s="29">
        <v>0.15003660775771735</v>
      </c>
      <c r="S3273" s="30">
        <v>4.2277503000000001E-2</v>
      </c>
    </row>
    <row r="3274" spans="16:19" x14ac:dyDescent="0.25">
      <c r="P3274" s="27">
        <v>3.2548184716220556E-2</v>
      </c>
      <c r="Q3274" s="28">
        <f t="shared" si="55"/>
        <v>3.5548184716220559E-2</v>
      </c>
      <c r="R3274" s="29">
        <v>0.15003660775771735</v>
      </c>
      <c r="S3274" s="30">
        <v>4.9669999999999999E-2</v>
      </c>
    </row>
    <row r="3275" spans="16:19" x14ac:dyDescent="0.25">
      <c r="P3275" s="27">
        <v>3.2548184716220556E-2</v>
      </c>
      <c r="Q3275" s="28">
        <f t="shared" si="55"/>
        <v>3.5548184716220559E-2</v>
      </c>
      <c r="R3275" s="31">
        <v>0.15939660775771733</v>
      </c>
      <c r="S3275" s="32">
        <v>5.2150000000000002E-2</v>
      </c>
    </row>
    <row r="3276" spans="16:19" x14ac:dyDescent="0.25">
      <c r="P3276" s="27">
        <v>3.2548184716220556E-2</v>
      </c>
      <c r="Q3276" s="28">
        <f t="shared" si="55"/>
        <v>3.5548184716220559E-2</v>
      </c>
      <c r="R3276" s="33">
        <v>0.16282860775771735</v>
      </c>
      <c r="S3276" s="34">
        <v>5.2170000000000001E-2</v>
      </c>
    </row>
    <row r="3277" spans="16:19" x14ac:dyDescent="0.25">
      <c r="P3277" s="27">
        <v>3.2548184716220556E-2</v>
      </c>
      <c r="Q3277" s="28">
        <f t="shared" si="55"/>
        <v>3.5548184716220559E-2</v>
      </c>
      <c r="R3277" s="33">
        <v>0.16282860775771735</v>
      </c>
      <c r="S3277" s="34">
        <v>4.8840000000000001E-2</v>
      </c>
    </row>
    <row r="3278" spans="16:19" x14ac:dyDescent="0.25">
      <c r="P3278" s="27">
        <v>3.2548184716220556E-2</v>
      </c>
      <c r="Q3278" s="28">
        <f t="shared" si="55"/>
        <v>3.5548184716220559E-2</v>
      </c>
      <c r="R3278" s="33">
        <v>0.16282860775771735</v>
      </c>
      <c r="S3278" s="34">
        <v>4.5079999999999995E-2</v>
      </c>
    </row>
    <row r="3279" spans="16:19" x14ac:dyDescent="0.25">
      <c r="P3279" s="27">
        <v>3.2548184716220556E-2</v>
      </c>
      <c r="Q3279" s="28">
        <f t="shared" si="55"/>
        <v>3.5548184716220559E-2</v>
      </c>
      <c r="R3279" s="33">
        <v>0.16282860775771735</v>
      </c>
      <c r="S3279" s="34">
        <v>3.5791601999999999E-2</v>
      </c>
    </row>
    <row r="3280" spans="16:19" x14ac:dyDescent="0.25">
      <c r="P3280" s="27">
        <v>3.2548184716220556E-2</v>
      </c>
      <c r="Q3280" s="28">
        <f t="shared" si="55"/>
        <v>3.5548184716220559E-2</v>
      </c>
      <c r="R3280" s="33">
        <v>0.16282860775771735</v>
      </c>
      <c r="S3280" s="34">
        <v>2.9489999999999999E-2</v>
      </c>
    </row>
    <row r="3281" spans="16:19" x14ac:dyDescent="0.25">
      <c r="P3281" s="27">
        <v>3.2548184716220556E-2</v>
      </c>
      <c r="Q3281" s="28">
        <f t="shared" si="55"/>
        <v>3.5548184716220559E-2</v>
      </c>
      <c r="R3281" s="33">
        <v>0.16282860775771735</v>
      </c>
      <c r="S3281" s="34">
        <v>2.8469999999999999E-2</v>
      </c>
    </row>
    <row r="3282" spans="16:19" x14ac:dyDescent="0.25">
      <c r="P3282" s="27">
        <v>3.2548184716220556E-2</v>
      </c>
      <c r="Q3282" s="28">
        <f t="shared" si="55"/>
        <v>3.5548184716220559E-2</v>
      </c>
      <c r="R3282" s="33">
        <v>0.16282860775771735</v>
      </c>
      <c r="S3282" s="34">
        <v>3.2460000000000003E-2</v>
      </c>
    </row>
    <row r="3283" spans="16:19" x14ac:dyDescent="0.25">
      <c r="P3283" s="27">
        <v>3.2548184716220556E-2</v>
      </c>
      <c r="Q3283" s="28">
        <f t="shared" si="55"/>
        <v>3.5548184716220559E-2</v>
      </c>
      <c r="R3283" s="33">
        <v>0.16282860775771735</v>
      </c>
      <c r="S3283" s="34">
        <v>3.9990000000000005E-2</v>
      </c>
    </row>
    <row r="3284" spans="16:19" x14ac:dyDescent="0.25">
      <c r="P3284" s="27">
        <v>3.2548184716220556E-2</v>
      </c>
      <c r="Q3284" s="28">
        <f t="shared" si="55"/>
        <v>3.5548184716220559E-2</v>
      </c>
      <c r="R3284" s="33">
        <v>0.16282860775771735</v>
      </c>
      <c r="S3284" s="34">
        <v>4.5109999999999997E-2</v>
      </c>
    </row>
    <row r="3285" spans="16:19" x14ac:dyDescent="0.25">
      <c r="P3285" s="27">
        <v>3.2548184716220556E-2</v>
      </c>
      <c r="Q3285" s="28">
        <f t="shared" si="55"/>
        <v>3.5548184716220559E-2</v>
      </c>
      <c r="R3285" s="33">
        <v>0.16282860775771735</v>
      </c>
      <c r="S3285" s="34">
        <v>4.8930000000000001E-2</v>
      </c>
    </row>
    <row r="3286" spans="16:19" x14ac:dyDescent="0.25">
      <c r="P3286" s="27">
        <v>3.2548184716220556E-2</v>
      </c>
      <c r="Q3286" s="28">
        <f t="shared" si="55"/>
        <v>3.5548184716220559E-2</v>
      </c>
      <c r="R3286" s="33">
        <v>0.16282860775771735</v>
      </c>
      <c r="S3286" s="34">
        <v>6.2754308000000009E-2</v>
      </c>
    </row>
    <row r="3287" spans="16:19" x14ac:dyDescent="0.25">
      <c r="P3287" s="27">
        <v>3.2548184716220556E-2</v>
      </c>
      <c r="Q3287" s="28">
        <f t="shared" si="55"/>
        <v>3.5548184716220559E-2</v>
      </c>
      <c r="R3287" s="31">
        <v>0.15939660775771733</v>
      </c>
      <c r="S3287" s="32">
        <v>8.2580000000000001E-2</v>
      </c>
    </row>
    <row r="3288" spans="16:19" x14ac:dyDescent="0.25">
      <c r="P3288" s="27">
        <v>3.2548184716220556E-2</v>
      </c>
      <c r="Q3288" s="28">
        <f t="shared" si="55"/>
        <v>3.5548184716220559E-2</v>
      </c>
      <c r="R3288" s="31">
        <v>0.15939660775771733</v>
      </c>
      <c r="S3288" s="32">
        <v>7.3999999999999996E-2</v>
      </c>
    </row>
    <row r="3289" spans="16:19" x14ac:dyDescent="0.25">
      <c r="P3289" s="27">
        <v>3.2548184716220556E-2</v>
      </c>
      <c r="Q3289" s="28">
        <f t="shared" si="55"/>
        <v>3.5548184716220559E-2</v>
      </c>
      <c r="R3289" s="31">
        <v>0.15939660775771733</v>
      </c>
      <c r="S3289" s="32">
        <v>5.1959999999999999E-2</v>
      </c>
    </row>
    <row r="3290" spans="16:19" x14ac:dyDescent="0.25">
      <c r="P3290" s="27">
        <v>3.2548184716220556E-2</v>
      </c>
      <c r="Q3290" s="28">
        <f t="shared" si="55"/>
        <v>3.5548184716220559E-2</v>
      </c>
      <c r="R3290" s="31">
        <v>0.15939660775771733</v>
      </c>
      <c r="S3290" s="32">
        <v>5.2150000000000002E-2</v>
      </c>
    </row>
    <row r="3291" spans="16:19" x14ac:dyDescent="0.25">
      <c r="P3291" s="27">
        <v>3.2548184716220556E-2</v>
      </c>
      <c r="Q3291" s="28">
        <f t="shared" si="55"/>
        <v>3.5548184716220559E-2</v>
      </c>
      <c r="R3291" s="29">
        <v>0.15003660775771735</v>
      </c>
      <c r="S3291" s="30">
        <v>5.2060000000000002E-2</v>
      </c>
    </row>
    <row r="3292" spans="16:19" x14ac:dyDescent="0.25">
      <c r="P3292" s="27">
        <v>3.2548184716220556E-2</v>
      </c>
      <c r="Q3292" s="28">
        <f t="shared" si="55"/>
        <v>3.5548184716220559E-2</v>
      </c>
      <c r="R3292" s="29">
        <v>0.15003660775771735</v>
      </c>
      <c r="S3292" s="30">
        <v>4.9059999999999999E-2</v>
      </c>
    </row>
    <row r="3293" spans="16:19" x14ac:dyDescent="0.25">
      <c r="P3293" s="27">
        <v>3.2548184716220556E-2</v>
      </c>
      <c r="Q3293" s="28">
        <f t="shared" si="55"/>
        <v>3.5548184716220559E-2</v>
      </c>
      <c r="R3293" s="29">
        <v>0.15003660775771735</v>
      </c>
      <c r="S3293" s="30">
        <v>4.5999999999999999E-2</v>
      </c>
    </row>
    <row r="3294" spans="16:19" x14ac:dyDescent="0.25">
      <c r="P3294" s="27">
        <v>3.2548184716220556E-2</v>
      </c>
      <c r="Q3294" s="28">
        <f t="shared" si="55"/>
        <v>3.5548184716220559E-2</v>
      </c>
      <c r="R3294" s="29">
        <v>0.15003660775771735</v>
      </c>
      <c r="S3294" s="30">
        <v>4.5100000000000001E-2</v>
      </c>
    </row>
    <row r="3295" spans="16:19" x14ac:dyDescent="0.25">
      <c r="P3295" s="27">
        <v>3.2548184716220556E-2</v>
      </c>
      <c r="Q3295" s="28">
        <f t="shared" si="55"/>
        <v>3.5548184716220559E-2</v>
      </c>
      <c r="R3295" s="29">
        <v>0.15003660775771735</v>
      </c>
      <c r="S3295" s="30">
        <v>4.5190000000000001E-2</v>
      </c>
    </row>
    <row r="3296" spans="16:19" x14ac:dyDescent="0.25">
      <c r="P3296" s="27">
        <v>3.2548184716220556E-2</v>
      </c>
      <c r="Q3296" s="28">
        <f t="shared" si="55"/>
        <v>3.5548184716220559E-2</v>
      </c>
      <c r="R3296" s="29">
        <v>0.15003660775771735</v>
      </c>
      <c r="S3296" s="30">
        <v>4.5219999999999996E-2</v>
      </c>
    </row>
    <row r="3297" spans="16:19" x14ac:dyDescent="0.25">
      <c r="P3297" s="27">
        <v>3.2548184716220556E-2</v>
      </c>
      <c r="Q3297" s="28">
        <f t="shared" si="55"/>
        <v>3.5548184716220559E-2</v>
      </c>
      <c r="R3297" s="29">
        <v>0.15003660775771735</v>
      </c>
      <c r="S3297" s="30">
        <v>3.8960000000000002E-2</v>
      </c>
    </row>
    <row r="3298" spans="16:19" x14ac:dyDescent="0.25">
      <c r="P3298" s="27">
        <v>3.2548184716220556E-2</v>
      </c>
      <c r="Q3298" s="28">
        <f t="shared" si="55"/>
        <v>3.5548184716220559E-2</v>
      </c>
      <c r="R3298" s="29">
        <v>0.15003660775771735</v>
      </c>
      <c r="S3298" s="30">
        <v>3.8929999999999999E-2</v>
      </c>
    </row>
    <row r="3299" spans="16:19" x14ac:dyDescent="0.25">
      <c r="P3299" s="27">
        <v>3.2548184716220556E-2</v>
      </c>
      <c r="Q3299" s="28">
        <f t="shared" si="55"/>
        <v>3.5548184716220559E-2</v>
      </c>
      <c r="R3299" s="31">
        <v>0.15939660775771733</v>
      </c>
      <c r="S3299" s="32">
        <v>4.1500000000000002E-2</v>
      </c>
    </row>
    <row r="3300" spans="16:19" x14ac:dyDescent="0.25">
      <c r="P3300" s="27">
        <v>3.2548184716220556E-2</v>
      </c>
      <c r="Q3300" s="28">
        <f t="shared" si="55"/>
        <v>3.5548184716220559E-2</v>
      </c>
      <c r="R3300" s="33">
        <v>0.16282860775771735</v>
      </c>
      <c r="S3300" s="34">
        <v>3.8929999999999999E-2</v>
      </c>
    </row>
    <row r="3301" spans="16:19" x14ac:dyDescent="0.25">
      <c r="P3301" s="27">
        <v>3.2548184716220556E-2</v>
      </c>
      <c r="Q3301" s="28">
        <f t="shared" si="55"/>
        <v>3.5548184716220559E-2</v>
      </c>
      <c r="R3301" s="33">
        <v>0.16282860775771735</v>
      </c>
      <c r="S3301" s="34">
        <v>3.006E-2</v>
      </c>
    </row>
    <row r="3302" spans="16:19" x14ac:dyDescent="0.25">
      <c r="P3302" s="27">
        <v>3.2548184716220556E-2</v>
      </c>
      <c r="Q3302" s="28">
        <f t="shared" si="55"/>
        <v>3.5548184716220559E-2</v>
      </c>
      <c r="R3302" s="33">
        <v>0.16282860775771735</v>
      </c>
      <c r="S3302" s="34">
        <v>0.03</v>
      </c>
    </row>
    <row r="3303" spans="16:19" x14ac:dyDescent="0.25">
      <c r="P3303" s="27">
        <v>3.2548184716220556E-2</v>
      </c>
      <c r="Q3303" s="28">
        <f t="shared" si="55"/>
        <v>3.5548184716220559E-2</v>
      </c>
      <c r="R3303" s="33">
        <v>0.16282860775771735</v>
      </c>
      <c r="S3303" s="34">
        <v>2.5000000000000001E-2</v>
      </c>
    </row>
    <row r="3304" spans="16:19" x14ac:dyDescent="0.25">
      <c r="P3304" s="27">
        <v>3.2548184716220556E-2</v>
      </c>
      <c r="Q3304" s="28">
        <f t="shared" si="55"/>
        <v>3.5548184716220559E-2</v>
      </c>
      <c r="R3304" s="33">
        <v>0.16282860775771735</v>
      </c>
      <c r="S3304" s="34">
        <v>1.95E-2</v>
      </c>
    </row>
    <row r="3305" spans="16:19" x14ac:dyDescent="0.25">
      <c r="P3305" s="27">
        <v>3.2548184716220556E-2</v>
      </c>
      <c r="Q3305" s="28">
        <f t="shared" si="55"/>
        <v>3.5548184716220559E-2</v>
      </c>
      <c r="R3305" s="33">
        <v>0.16282860775771735</v>
      </c>
      <c r="S3305" s="34">
        <v>1.7299999999999999E-2</v>
      </c>
    </row>
    <row r="3306" spans="16:19" x14ac:dyDescent="0.25">
      <c r="P3306" s="27">
        <v>3.2548184716220556E-2</v>
      </c>
      <c r="Q3306" s="28">
        <f t="shared" si="55"/>
        <v>3.5548184716220559E-2</v>
      </c>
      <c r="R3306" s="33">
        <v>0.16282860775771735</v>
      </c>
      <c r="S3306" s="34">
        <v>1.737E-2</v>
      </c>
    </row>
    <row r="3307" spans="16:19" x14ac:dyDescent="0.25">
      <c r="P3307" s="27">
        <v>3.2548184716220556E-2</v>
      </c>
      <c r="Q3307" s="28">
        <f t="shared" si="55"/>
        <v>3.5548184716220559E-2</v>
      </c>
      <c r="R3307" s="33">
        <v>0.16282860775771735</v>
      </c>
      <c r="S3307" s="34">
        <v>2.1999999999999999E-2</v>
      </c>
    </row>
    <row r="3308" spans="16:19" x14ac:dyDescent="0.25">
      <c r="P3308" s="27">
        <v>3.2548184716220556E-2</v>
      </c>
      <c r="Q3308" s="28">
        <f t="shared" si="55"/>
        <v>3.5548184716220559E-2</v>
      </c>
      <c r="R3308" s="33">
        <v>0.16282860775771735</v>
      </c>
      <c r="S3308" s="34">
        <v>2.8469999999999999E-2</v>
      </c>
    </row>
    <row r="3309" spans="16:19" x14ac:dyDescent="0.25">
      <c r="P3309" s="27">
        <v>3.2548184716220556E-2</v>
      </c>
      <c r="Q3309" s="28">
        <f t="shared" si="55"/>
        <v>3.5548184716220559E-2</v>
      </c>
      <c r="R3309" s="33">
        <v>0.16282860775771735</v>
      </c>
      <c r="S3309" s="34">
        <v>4.5100000000000001E-2</v>
      </c>
    </row>
    <row r="3310" spans="16:19" x14ac:dyDescent="0.25">
      <c r="P3310" s="27">
        <v>3.2548184716220556E-2</v>
      </c>
      <c r="Q3310" s="28">
        <f t="shared" si="55"/>
        <v>3.5548184716220559E-2</v>
      </c>
      <c r="R3310" s="33">
        <v>0.16282860775771735</v>
      </c>
      <c r="S3310" s="34">
        <v>5.321E-2</v>
      </c>
    </row>
    <row r="3311" spans="16:19" x14ac:dyDescent="0.25">
      <c r="P3311" s="27">
        <v>3.2548184716220556E-2</v>
      </c>
      <c r="Q3311" s="28">
        <f t="shared" si="55"/>
        <v>3.5548184716220559E-2</v>
      </c>
      <c r="R3311" s="31">
        <v>0.15939660775771733</v>
      </c>
      <c r="S3311" s="32">
        <v>7.979E-2</v>
      </c>
    </row>
    <row r="3312" spans="16:19" x14ac:dyDescent="0.25">
      <c r="P3312" s="27">
        <v>3.2548184716220556E-2</v>
      </c>
      <c r="Q3312" s="28">
        <f t="shared" si="55"/>
        <v>3.5548184716220559E-2</v>
      </c>
      <c r="R3312" s="31">
        <v>0.15939660775771733</v>
      </c>
      <c r="S3312" s="32">
        <v>7.2499999999999995E-2</v>
      </c>
    </row>
    <row r="3313" spans="16:19" x14ac:dyDescent="0.25">
      <c r="P3313" s="27">
        <v>3.2548184716220556E-2</v>
      </c>
      <c r="Q3313" s="28">
        <f t="shared" si="55"/>
        <v>3.5548184716220559E-2</v>
      </c>
      <c r="R3313" s="31">
        <v>0.15939660775771733</v>
      </c>
      <c r="S3313" s="32">
        <v>5.4590000000000007E-2</v>
      </c>
    </row>
    <row r="3314" spans="16:19" x14ac:dyDescent="0.25">
      <c r="P3314" s="27">
        <v>3.2548184716220556E-2</v>
      </c>
      <c r="Q3314" s="28">
        <f t="shared" si="55"/>
        <v>3.5548184716220559E-2</v>
      </c>
      <c r="R3314" s="31">
        <v>0.15939660775771733</v>
      </c>
      <c r="S3314" s="32">
        <v>5.2249999999999998E-2</v>
      </c>
    </row>
    <row r="3315" spans="16:19" x14ac:dyDescent="0.25">
      <c r="P3315" s="27">
        <v>3.2548184716220556E-2</v>
      </c>
      <c r="Q3315" s="28">
        <f t="shared" si="55"/>
        <v>3.5548184716220559E-2</v>
      </c>
      <c r="R3315" s="29">
        <v>0.15003660775771735</v>
      </c>
      <c r="S3315" s="30">
        <v>4.9799999999999997E-2</v>
      </c>
    </row>
    <row r="3316" spans="16:19" x14ac:dyDescent="0.25">
      <c r="P3316" s="27">
        <v>3.2548184716220556E-2</v>
      </c>
      <c r="Q3316" s="28">
        <f t="shared" si="55"/>
        <v>3.5548184716220559E-2</v>
      </c>
      <c r="R3316" s="29">
        <v>0.15003660775771735</v>
      </c>
      <c r="S3316" s="30">
        <v>4.802E-2</v>
      </c>
    </row>
    <row r="3317" spans="16:19" x14ac:dyDescent="0.25">
      <c r="P3317" s="27">
        <v>3.2548184716220556E-2</v>
      </c>
      <c r="Q3317" s="28">
        <f t="shared" si="55"/>
        <v>3.5548184716220559E-2</v>
      </c>
      <c r="R3317" s="29">
        <v>0.15003660775771735</v>
      </c>
      <c r="S3317" s="30">
        <v>4.7259999999999996E-2</v>
      </c>
    </row>
    <row r="3318" spans="16:19" x14ac:dyDescent="0.25">
      <c r="P3318" s="27">
        <v>3.2548184716220556E-2</v>
      </c>
      <c r="Q3318" s="28">
        <f t="shared" si="55"/>
        <v>3.5548184716220559E-2</v>
      </c>
      <c r="R3318" s="29">
        <v>0.15003660775771735</v>
      </c>
      <c r="S3318" s="30">
        <v>4.802E-2</v>
      </c>
    </row>
    <row r="3319" spans="16:19" x14ac:dyDescent="0.25">
      <c r="P3319" s="27">
        <v>3.2548184716220556E-2</v>
      </c>
      <c r="Q3319" s="28">
        <f t="shared" si="55"/>
        <v>3.5548184716220559E-2</v>
      </c>
      <c r="R3319" s="29">
        <v>0.15003660775771735</v>
      </c>
      <c r="S3319" s="30">
        <v>4.8930000000000001E-2</v>
      </c>
    </row>
    <row r="3320" spans="16:19" x14ac:dyDescent="0.25">
      <c r="P3320" s="27">
        <v>3.2548184716220556E-2</v>
      </c>
      <c r="Q3320" s="28">
        <f t="shared" si="55"/>
        <v>3.5548184716220559E-2</v>
      </c>
      <c r="R3320" s="29">
        <v>0.15003660775771735</v>
      </c>
      <c r="S3320" s="30">
        <v>5.0999999999999997E-2</v>
      </c>
    </row>
    <row r="3321" spans="16:19" x14ac:dyDescent="0.25">
      <c r="P3321" s="27">
        <v>3.2548184716220556E-2</v>
      </c>
      <c r="Q3321" s="28">
        <f t="shared" si="55"/>
        <v>3.5548184716220559E-2</v>
      </c>
      <c r="R3321" s="29">
        <v>0.15003660775771735</v>
      </c>
      <c r="S3321" s="30">
        <v>5.4990000000000004E-2</v>
      </c>
    </row>
    <row r="3322" spans="16:19" x14ac:dyDescent="0.25">
      <c r="P3322" s="27">
        <v>3.2548184716220556E-2</v>
      </c>
      <c r="Q3322" s="28">
        <f t="shared" si="55"/>
        <v>3.5548184716220559E-2</v>
      </c>
      <c r="R3322" s="29">
        <v>0.15003660775771735</v>
      </c>
      <c r="S3322" s="30">
        <v>7.0000000000000007E-2</v>
      </c>
    </row>
    <row r="3323" spans="16:19" x14ac:dyDescent="0.25">
      <c r="P3323" s="27">
        <v>3.2548184716220556E-2</v>
      </c>
      <c r="Q3323" s="28">
        <f t="shared" si="55"/>
        <v>3.5548184716220559E-2</v>
      </c>
      <c r="R3323" s="31">
        <v>0.15939999999999999</v>
      </c>
      <c r="S3323" s="32">
        <v>8.1450000000000009E-2</v>
      </c>
    </row>
    <row r="3324" spans="16:19" x14ac:dyDescent="0.25">
      <c r="P3324" s="27">
        <v>3.2548184716220556E-2</v>
      </c>
      <c r="Q3324" s="28">
        <f t="shared" si="55"/>
        <v>3.5548184716220559E-2</v>
      </c>
      <c r="R3324" s="31">
        <v>0.15939999999999999</v>
      </c>
      <c r="S3324" s="32">
        <v>6.4989999999999992E-2</v>
      </c>
    </row>
    <row r="3325" spans="16:19" x14ac:dyDescent="0.25">
      <c r="P3325" s="27">
        <v>3.2548184716220556E-2</v>
      </c>
      <c r="Q3325" s="28">
        <f t="shared" si="55"/>
        <v>3.5548184716220559E-2</v>
      </c>
      <c r="R3325" s="31">
        <v>0.15939999999999999</v>
      </c>
      <c r="S3325" s="32">
        <v>5.2330000000000002E-2</v>
      </c>
    </row>
    <row r="3326" spans="16:19" x14ac:dyDescent="0.25">
      <c r="P3326" s="27">
        <v>3.2548184716220556E-2</v>
      </c>
      <c r="Q3326" s="28">
        <f t="shared" si="55"/>
        <v>3.5548184716220559E-2</v>
      </c>
      <c r="R3326" s="31">
        <v>0.15939999999999999</v>
      </c>
      <c r="S3326" s="32">
        <v>5.1499999999999997E-2</v>
      </c>
    </row>
    <row r="3327" spans="16:19" x14ac:dyDescent="0.25">
      <c r="P3327" s="27">
        <v>3.2548184716220556E-2</v>
      </c>
      <c r="Q3327" s="28">
        <f t="shared" si="55"/>
        <v>3.5548184716220559E-2</v>
      </c>
      <c r="R3327" s="31">
        <v>0.15939999999999999</v>
      </c>
      <c r="S3327" s="32">
        <v>4.564E-2</v>
      </c>
    </row>
    <row r="3328" spans="16:19" x14ac:dyDescent="0.25">
      <c r="P3328" s="27">
        <v>3.2548184716220556E-2</v>
      </c>
      <c r="Q3328" s="28">
        <f t="shared" si="55"/>
        <v>3.5548184716220559E-2</v>
      </c>
      <c r="R3328" s="31">
        <v>0.15939999999999999</v>
      </c>
      <c r="S3328" s="32">
        <v>4.8000000000000001E-2</v>
      </c>
    </row>
    <row r="3329" spans="16:19" x14ac:dyDescent="0.25">
      <c r="P3329" s="27">
        <v>3.2548184716220556E-2</v>
      </c>
      <c r="Q3329" s="28">
        <f t="shared" si="55"/>
        <v>3.5548184716220559E-2</v>
      </c>
      <c r="R3329" s="31">
        <v>0.15939999999999999</v>
      </c>
      <c r="S3329" s="32">
        <v>5.2499999999999998E-2</v>
      </c>
    </row>
    <row r="3330" spans="16:19" x14ac:dyDescent="0.25">
      <c r="P3330" s="27">
        <v>3.2548184716220556E-2</v>
      </c>
      <c r="Q3330" s="28">
        <f t="shared" si="55"/>
        <v>3.5548184716220559E-2</v>
      </c>
      <c r="R3330" s="31">
        <v>0.15939999999999999</v>
      </c>
      <c r="S3330" s="32">
        <v>5.5E-2</v>
      </c>
    </row>
    <row r="3331" spans="16:19" x14ac:dyDescent="0.25">
      <c r="P3331" s="27">
        <v>3.2548184716220556E-2</v>
      </c>
      <c r="Q3331" s="28">
        <f t="shared" si="55"/>
        <v>3.5548184716220559E-2</v>
      </c>
      <c r="R3331" s="31">
        <v>0.15939999999999999</v>
      </c>
      <c r="S3331" s="32">
        <v>5.475E-2</v>
      </c>
    </row>
    <row r="3332" spans="16:19" x14ac:dyDescent="0.25">
      <c r="P3332" s="27">
        <v>3.2548184716220556E-2</v>
      </c>
      <c r="Q3332" s="28">
        <f t="shared" si="55"/>
        <v>3.5548184716220559E-2</v>
      </c>
      <c r="R3332" s="31">
        <v>0.15939999999999999</v>
      </c>
      <c r="S3332" s="32">
        <v>5.2060000000000002E-2</v>
      </c>
    </row>
    <row r="3333" spans="16:19" x14ac:dyDescent="0.25">
      <c r="P3333" s="27">
        <v>3.2548184716220556E-2</v>
      </c>
      <c r="Q3333" s="28">
        <f t="shared" ref="Q3333:Q3396" si="56">P3333+0.003</f>
        <v>3.5548184716220559E-2</v>
      </c>
      <c r="R3333" s="31">
        <v>0.15939999999999999</v>
      </c>
      <c r="S3333" s="32">
        <v>5.1580000000000001E-2</v>
      </c>
    </row>
    <row r="3334" spans="16:19" x14ac:dyDescent="0.25">
      <c r="P3334" s="27">
        <v>3.2548184716220556E-2</v>
      </c>
      <c r="Q3334" s="28">
        <f t="shared" si="56"/>
        <v>3.5548184716220559E-2</v>
      </c>
      <c r="R3334" s="31">
        <v>0.15939999999999999</v>
      </c>
      <c r="S3334" s="32">
        <v>5.2999999999999999E-2</v>
      </c>
    </row>
    <row r="3335" spans="16:19" x14ac:dyDescent="0.25">
      <c r="P3335" s="27">
        <v>3.2548184716220556E-2</v>
      </c>
      <c r="Q3335" s="28">
        <f t="shared" si="56"/>
        <v>3.5548184716220559E-2</v>
      </c>
      <c r="R3335" s="31">
        <v>0.15939999999999999</v>
      </c>
      <c r="S3335" s="32">
        <v>7.8620000000000009E-2</v>
      </c>
    </row>
    <row r="3336" spans="16:19" x14ac:dyDescent="0.25">
      <c r="P3336" s="27">
        <v>3.2548184716220556E-2</v>
      </c>
      <c r="Q3336" s="28">
        <f t="shared" si="56"/>
        <v>3.5548184716220559E-2</v>
      </c>
      <c r="R3336" s="31">
        <v>0.15939999999999999</v>
      </c>
      <c r="S3336" s="32">
        <v>7.0000000000000007E-2</v>
      </c>
    </row>
    <row r="3337" spans="16:19" x14ac:dyDescent="0.25">
      <c r="P3337" s="27">
        <v>3.2548184716220556E-2</v>
      </c>
      <c r="Q3337" s="28">
        <f t="shared" si="56"/>
        <v>3.5548184716220559E-2</v>
      </c>
      <c r="R3337" s="31">
        <v>0.15939999999999999</v>
      </c>
      <c r="S3337" s="32">
        <v>5.2990000000000002E-2</v>
      </c>
    </row>
    <row r="3338" spans="16:19" x14ac:dyDescent="0.25">
      <c r="P3338" s="27">
        <v>3.2548184716220556E-2</v>
      </c>
      <c r="Q3338" s="28">
        <f t="shared" si="56"/>
        <v>3.5548184716220559E-2</v>
      </c>
      <c r="R3338" s="31">
        <v>0.15939999999999999</v>
      </c>
      <c r="S3338" s="32">
        <v>5.2990000000000002E-2</v>
      </c>
    </row>
    <row r="3339" spans="16:19" x14ac:dyDescent="0.25">
      <c r="P3339" s="27">
        <v>3.2548184716220556E-2</v>
      </c>
      <c r="Q3339" s="28">
        <f t="shared" si="56"/>
        <v>3.5548184716220559E-2</v>
      </c>
      <c r="R3339" s="29">
        <v>0.15</v>
      </c>
      <c r="S3339" s="30">
        <v>4.7109999999999999E-2</v>
      </c>
    </row>
    <row r="3340" spans="16:19" x14ac:dyDescent="0.25">
      <c r="P3340" s="27">
        <v>3.2548184716220556E-2</v>
      </c>
      <c r="Q3340" s="28">
        <f t="shared" si="56"/>
        <v>3.5548184716220559E-2</v>
      </c>
      <c r="R3340" s="29">
        <v>0.15</v>
      </c>
      <c r="S3340" s="30">
        <v>4.7460000000000002E-2</v>
      </c>
    </row>
    <row r="3341" spans="16:19" x14ac:dyDescent="0.25">
      <c r="P3341" s="27">
        <v>3.2548184716220556E-2</v>
      </c>
      <c r="Q3341" s="28">
        <f t="shared" si="56"/>
        <v>3.5548184716220559E-2</v>
      </c>
      <c r="R3341" s="29">
        <v>0.15</v>
      </c>
      <c r="S3341" s="30">
        <v>4.6579999999999996E-2</v>
      </c>
    </row>
    <row r="3342" spans="16:19" x14ac:dyDescent="0.25">
      <c r="P3342" s="27">
        <v>3.2548184716220556E-2</v>
      </c>
      <c r="Q3342" s="28">
        <f t="shared" si="56"/>
        <v>3.5548184716220559E-2</v>
      </c>
      <c r="R3342" s="29">
        <v>0.15</v>
      </c>
      <c r="S3342" s="30">
        <v>4.7109999999999999E-2</v>
      </c>
    </row>
    <row r="3343" spans="16:19" x14ac:dyDescent="0.25">
      <c r="P3343" s="27">
        <v>3.2548184716220556E-2</v>
      </c>
      <c r="Q3343" s="28">
        <f t="shared" si="56"/>
        <v>3.5548184716220559E-2</v>
      </c>
      <c r="R3343" s="29">
        <v>0.15</v>
      </c>
      <c r="S3343" s="30">
        <v>4.7200000000000006E-2</v>
      </c>
    </row>
    <row r="3344" spans="16:19" x14ac:dyDescent="0.25">
      <c r="P3344" s="27">
        <v>3.2548184716220556E-2</v>
      </c>
      <c r="Q3344" s="28">
        <f t="shared" si="56"/>
        <v>3.5548184716220559E-2</v>
      </c>
      <c r="R3344" s="29">
        <v>0.15</v>
      </c>
      <c r="S3344" s="30">
        <v>4.8960000000000004E-2</v>
      </c>
    </row>
    <row r="3345" spans="16:19" x14ac:dyDescent="0.25">
      <c r="P3345" s="27">
        <v>3.2548184716220556E-2</v>
      </c>
      <c r="Q3345" s="28">
        <f t="shared" si="56"/>
        <v>3.5548184716220559E-2</v>
      </c>
      <c r="R3345" s="29">
        <v>0.15</v>
      </c>
      <c r="S3345" s="30">
        <v>4.8989999999999999E-2</v>
      </c>
    </row>
    <row r="3346" spans="16:19" x14ac:dyDescent="0.25">
      <c r="P3346" s="27">
        <v>3.2548184716220556E-2</v>
      </c>
      <c r="Q3346" s="28">
        <f t="shared" si="56"/>
        <v>3.5548184716220559E-2</v>
      </c>
      <c r="R3346" s="29">
        <v>0.15</v>
      </c>
      <c r="S3346" s="30">
        <v>5.305E-2</v>
      </c>
    </row>
    <row r="3347" spans="16:19" x14ac:dyDescent="0.25">
      <c r="P3347" s="27">
        <v>3.2548184716220556E-2</v>
      </c>
      <c r="Q3347" s="28">
        <f t="shared" si="56"/>
        <v>3.5548184716220559E-2</v>
      </c>
      <c r="R3347" s="29">
        <v>0.15</v>
      </c>
      <c r="S3347" s="30">
        <v>6.9000000000000006E-2</v>
      </c>
    </row>
    <row r="3348" spans="16:19" x14ac:dyDescent="0.25">
      <c r="P3348" s="27">
        <v>3.2548184716220556E-2</v>
      </c>
      <c r="Q3348" s="28">
        <f t="shared" si="56"/>
        <v>3.5548184716220559E-2</v>
      </c>
      <c r="R3348" s="29">
        <v>0.15</v>
      </c>
      <c r="S3348" s="30">
        <v>5.4299999999999994E-2</v>
      </c>
    </row>
    <row r="3349" spans="16:19" x14ac:dyDescent="0.25">
      <c r="P3349" s="27">
        <v>3.2548184716220556E-2</v>
      </c>
      <c r="Q3349" s="28">
        <f t="shared" si="56"/>
        <v>3.5548184716220559E-2</v>
      </c>
      <c r="R3349" s="29">
        <v>0.15</v>
      </c>
      <c r="S3349" s="30">
        <v>4.9000000000000002E-2</v>
      </c>
    </row>
    <row r="3350" spans="16:19" x14ac:dyDescent="0.25">
      <c r="P3350" s="27">
        <v>3.2548184716220556E-2</v>
      </c>
      <c r="Q3350" s="28">
        <f t="shared" si="56"/>
        <v>3.5548184716220559E-2</v>
      </c>
      <c r="R3350" s="29">
        <v>0.15</v>
      </c>
      <c r="S3350" s="30">
        <v>4.7E-2</v>
      </c>
    </row>
    <row r="3351" spans="16:19" x14ac:dyDescent="0.25">
      <c r="P3351" s="27">
        <v>3.2548184716220556E-2</v>
      </c>
      <c r="Q3351" s="28">
        <f t="shared" si="56"/>
        <v>3.5548184716220559E-2</v>
      </c>
      <c r="R3351" s="29">
        <v>0.15</v>
      </c>
      <c r="S3351" s="30">
        <v>4.1599999999999998E-2</v>
      </c>
    </row>
    <row r="3352" spans="16:19" x14ac:dyDescent="0.25">
      <c r="P3352" s="27">
        <v>3.2548184716220556E-2</v>
      </c>
      <c r="Q3352" s="28">
        <f t="shared" si="56"/>
        <v>3.5548184716220559E-2</v>
      </c>
      <c r="R3352" s="29">
        <v>0.15</v>
      </c>
      <c r="S3352" s="30">
        <v>4.2340000000000003E-2</v>
      </c>
    </row>
    <row r="3353" spans="16:19" x14ac:dyDescent="0.25">
      <c r="P3353" s="27">
        <v>3.2548184716220556E-2</v>
      </c>
      <c r="Q3353" s="28">
        <f t="shared" si="56"/>
        <v>3.5548184716220559E-2</v>
      </c>
      <c r="R3353" s="29">
        <v>0.15</v>
      </c>
      <c r="S3353" s="30">
        <v>4.419E-2</v>
      </c>
    </row>
    <row r="3354" spans="16:19" x14ac:dyDescent="0.25">
      <c r="P3354" s="27">
        <v>3.2548184716220556E-2</v>
      </c>
      <c r="Q3354" s="28">
        <f t="shared" si="56"/>
        <v>3.5548184716220559E-2</v>
      </c>
      <c r="R3354" s="29">
        <v>0.15</v>
      </c>
      <c r="S3354" s="30">
        <v>4.5240000000000002E-2</v>
      </c>
    </row>
    <row r="3355" spans="16:19" x14ac:dyDescent="0.25">
      <c r="P3355" s="27">
        <v>3.2548184716220556E-2</v>
      </c>
      <c r="Q3355" s="28">
        <f t="shared" si="56"/>
        <v>3.5548184716220559E-2</v>
      </c>
      <c r="R3355" s="29">
        <v>0.15</v>
      </c>
      <c r="S3355" s="30">
        <v>4.9000000000000002E-2</v>
      </c>
    </row>
    <row r="3356" spans="16:19" x14ac:dyDescent="0.25">
      <c r="P3356" s="27">
        <v>3.2548184716220556E-2</v>
      </c>
      <c r="Q3356" s="28">
        <f t="shared" si="56"/>
        <v>3.5548184716220559E-2</v>
      </c>
      <c r="R3356" s="29">
        <v>0.15</v>
      </c>
      <c r="S3356" s="30">
        <v>4.7109999999999999E-2</v>
      </c>
    </row>
    <row r="3357" spans="16:19" x14ac:dyDescent="0.25">
      <c r="P3357" s="27">
        <v>3.2548184716220556E-2</v>
      </c>
      <c r="Q3357" s="28">
        <f t="shared" si="56"/>
        <v>3.5548184716220559E-2</v>
      </c>
      <c r="R3357" s="29">
        <v>0.15</v>
      </c>
      <c r="S3357" s="30">
        <v>4.8461560000000001E-2</v>
      </c>
    </row>
    <row r="3358" spans="16:19" x14ac:dyDescent="0.25">
      <c r="P3358" s="27">
        <v>3.2548184716220556E-2</v>
      </c>
      <c r="Q3358" s="28">
        <f t="shared" si="56"/>
        <v>3.5548184716220559E-2</v>
      </c>
      <c r="R3358" s="29">
        <v>0.15</v>
      </c>
      <c r="S3358" s="30">
        <v>5.1670000000000001E-2</v>
      </c>
    </row>
    <row r="3359" spans="16:19" x14ac:dyDescent="0.25">
      <c r="P3359" s="27">
        <v>3.2548184716220556E-2</v>
      </c>
      <c r="Q3359" s="28">
        <f t="shared" si="56"/>
        <v>3.5548184716220559E-2</v>
      </c>
      <c r="R3359" s="29">
        <v>0.15</v>
      </c>
      <c r="S3359" s="30">
        <v>6.5000000000000002E-2</v>
      </c>
    </row>
    <row r="3360" spans="16:19" x14ac:dyDescent="0.25">
      <c r="P3360" s="27">
        <v>3.2548184716220556E-2</v>
      </c>
      <c r="Q3360" s="28">
        <f t="shared" si="56"/>
        <v>3.5548184716220559E-2</v>
      </c>
      <c r="R3360" s="29">
        <v>0.15</v>
      </c>
      <c r="S3360" s="30">
        <v>5.8650000000000001E-2</v>
      </c>
    </row>
    <row r="3361" spans="16:19" x14ac:dyDescent="0.25">
      <c r="P3361" s="27">
        <v>3.2548184716220556E-2</v>
      </c>
      <c r="Q3361" s="28">
        <f t="shared" si="56"/>
        <v>3.5548184716220559E-2</v>
      </c>
      <c r="R3361" s="29">
        <v>0.15</v>
      </c>
      <c r="S3361" s="30">
        <v>5.0169999999999999E-2</v>
      </c>
    </row>
    <row r="3362" spans="16:19" x14ac:dyDescent="0.25">
      <c r="P3362" s="27">
        <v>3.2548184716220556E-2</v>
      </c>
      <c r="Q3362" s="28">
        <f t="shared" si="56"/>
        <v>3.5548184716220559E-2</v>
      </c>
      <c r="R3362" s="29">
        <v>0.15</v>
      </c>
      <c r="S3362" s="30">
        <v>5.0729999999999997E-2</v>
      </c>
    </row>
    <row r="3363" spans="16:19" x14ac:dyDescent="0.25">
      <c r="P3363" s="27">
        <v>3.2548184716220556E-2</v>
      </c>
      <c r="Q3363" s="28">
        <f t="shared" si="56"/>
        <v>3.5548184716220559E-2</v>
      </c>
      <c r="R3363" s="29">
        <v>0.15</v>
      </c>
      <c r="S3363" s="30">
        <v>4.9399235E-2</v>
      </c>
    </row>
    <row r="3364" spans="16:19" x14ac:dyDescent="0.25">
      <c r="P3364" s="27">
        <v>3.2548184716220556E-2</v>
      </c>
      <c r="Q3364" s="28">
        <f t="shared" si="56"/>
        <v>3.5548184716220559E-2</v>
      </c>
      <c r="R3364" s="29">
        <v>0.15</v>
      </c>
      <c r="S3364" s="30">
        <v>4.8960000000000004E-2</v>
      </c>
    </row>
    <row r="3365" spans="16:19" x14ac:dyDescent="0.25">
      <c r="P3365" s="27">
        <v>3.2548184716220556E-2</v>
      </c>
      <c r="Q3365" s="28">
        <f t="shared" si="56"/>
        <v>3.5548184716220559E-2</v>
      </c>
      <c r="R3365" s="29">
        <v>0.15</v>
      </c>
      <c r="S3365" s="30">
        <v>4.8840000000000001E-2</v>
      </c>
    </row>
    <row r="3366" spans="16:19" x14ac:dyDescent="0.25">
      <c r="P3366" s="27">
        <v>3.2548184716220556E-2</v>
      </c>
      <c r="Q3366" s="28">
        <f t="shared" si="56"/>
        <v>3.5548184716220559E-2</v>
      </c>
      <c r="R3366" s="29">
        <v>0.15</v>
      </c>
      <c r="S3366" s="30">
        <v>4.8829999999999998E-2</v>
      </c>
    </row>
    <row r="3367" spans="16:19" x14ac:dyDescent="0.25">
      <c r="P3367" s="27">
        <v>3.2548184716220556E-2</v>
      </c>
      <c r="Q3367" s="28">
        <f t="shared" si="56"/>
        <v>3.5548184716220559E-2</v>
      </c>
      <c r="R3367" s="29">
        <v>0.15</v>
      </c>
      <c r="S3367" s="30">
        <v>4.8930000000000001E-2</v>
      </c>
    </row>
    <row r="3368" spans="16:19" x14ac:dyDescent="0.25">
      <c r="P3368" s="27">
        <v>3.2548184716220556E-2</v>
      </c>
      <c r="Q3368" s="28">
        <f t="shared" si="56"/>
        <v>3.5548184716220559E-2</v>
      </c>
      <c r="R3368" s="29">
        <v>0.15</v>
      </c>
      <c r="S3368" s="30">
        <v>4.9210000000000004E-2</v>
      </c>
    </row>
    <row r="3369" spans="16:19" x14ac:dyDescent="0.25">
      <c r="P3369" s="27">
        <v>3.2548184716220556E-2</v>
      </c>
      <c r="Q3369" s="28">
        <f t="shared" si="56"/>
        <v>3.5548184716220559E-2</v>
      </c>
      <c r="R3369" s="29">
        <v>0.15</v>
      </c>
      <c r="S3369" s="30">
        <v>4.8930000000000001E-2</v>
      </c>
    </row>
    <row r="3370" spans="16:19" x14ac:dyDescent="0.25">
      <c r="P3370" s="27">
        <v>3.2548184716220556E-2</v>
      </c>
      <c r="Q3370" s="28">
        <f t="shared" si="56"/>
        <v>3.5548184716220559E-2</v>
      </c>
      <c r="R3370" s="29">
        <v>0.15</v>
      </c>
      <c r="S3370" s="30">
        <v>5.0999999999999997E-2</v>
      </c>
    </row>
    <row r="3371" spans="16:19" x14ac:dyDescent="0.25">
      <c r="P3371" s="27">
        <v>3.2548184716220556E-2</v>
      </c>
      <c r="Q3371" s="28">
        <f t="shared" si="56"/>
        <v>3.5548184716220559E-2</v>
      </c>
      <c r="R3371" s="31">
        <v>0.15939660775771733</v>
      </c>
      <c r="S3371" s="32">
        <v>6.5000000000000002E-2</v>
      </c>
    </row>
    <row r="3372" spans="16:19" x14ac:dyDescent="0.25">
      <c r="P3372" s="27">
        <v>3.2548184716220556E-2</v>
      </c>
      <c r="Q3372" s="28">
        <f t="shared" si="56"/>
        <v>3.5548184716220559E-2</v>
      </c>
      <c r="R3372" s="33">
        <v>0.16282860775771735</v>
      </c>
      <c r="S3372" s="34">
        <v>5.2150000000000002E-2</v>
      </c>
    </row>
    <row r="3373" spans="16:19" x14ac:dyDescent="0.25">
      <c r="P3373" s="27">
        <v>3.2548184716220556E-2</v>
      </c>
      <c r="Q3373" s="28">
        <f t="shared" si="56"/>
        <v>3.5548184716220559E-2</v>
      </c>
      <c r="R3373" s="33">
        <v>0.16282860775771735</v>
      </c>
      <c r="S3373" s="34">
        <v>4.5630000000000004E-2</v>
      </c>
    </row>
    <row r="3374" spans="16:19" x14ac:dyDescent="0.25">
      <c r="P3374" s="27">
        <v>3.2548184716220556E-2</v>
      </c>
      <c r="Q3374" s="28">
        <f t="shared" si="56"/>
        <v>3.5548184716220559E-2</v>
      </c>
      <c r="R3374" s="33">
        <v>0.16282860775771735</v>
      </c>
      <c r="S3374" s="34">
        <v>4.4999999999999998E-2</v>
      </c>
    </row>
    <row r="3375" spans="16:19" x14ac:dyDescent="0.25">
      <c r="P3375" s="27">
        <v>3.2548184716220556E-2</v>
      </c>
      <c r="Q3375" s="28">
        <f t="shared" si="56"/>
        <v>3.5548184716220559E-2</v>
      </c>
      <c r="R3375" s="33">
        <v>0.16282860775771735</v>
      </c>
      <c r="S3375" s="34">
        <v>4.0100000000000004E-2</v>
      </c>
    </row>
    <row r="3376" spans="16:19" x14ac:dyDescent="0.25">
      <c r="P3376" s="27">
        <v>3.2548184716220556E-2</v>
      </c>
      <c r="Q3376" s="28">
        <f t="shared" si="56"/>
        <v>3.5548184716220559E-2</v>
      </c>
      <c r="R3376" s="33">
        <v>0.16282860775771735</v>
      </c>
      <c r="S3376" s="34">
        <v>3.8759999999999996E-2</v>
      </c>
    </row>
    <row r="3377" spans="16:19" x14ac:dyDescent="0.25">
      <c r="P3377" s="27">
        <v>3.2548184716220556E-2</v>
      </c>
      <c r="Q3377" s="28">
        <f t="shared" si="56"/>
        <v>3.5548184716220559E-2</v>
      </c>
      <c r="R3377" s="33">
        <v>0.16282860775771735</v>
      </c>
      <c r="S3377" s="34">
        <v>4.3990000000000001E-2</v>
      </c>
    </row>
    <row r="3378" spans="16:19" x14ac:dyDescent="0.25">
      <c r="P3378" s="27">
        <v>3.2548184716220556E-2</v>
      </c>
      <c r="Q3378" s="28">
        <f t="shared" si="56"/>
        <v>3.5548184716220559E-2</v>
      </c>
      <c r="R3378" s="33">
        <v>0.16282860775771735</v>
      </c>
      <c r="S3378" s="34">
        <v>4.7799999999999995E-2</v>
      </c>
    </row>
    <row r="3379" spans="16:19" x14ac:dyDescent="0.25">
      <c r="P3379" s="27">
        <v>3.2548184716220556E-2</v>
      </c>
      <c r="Q3379" s="28">
        <f t="shared" si="56"/>
        <v>3.5548184716220559E-2</v>
      </c>
      <c r="R3379" s="33">
        <v>0.16282860775771735</v>
      </c>
      <c r="S3379" s="34">
        <v>4.9500000000000002E-2</v>
      </c>
    </row>
    <row r="3380" spans="16:19" x14ac:dyDescent="0.25">
      <c r="P3380" s="27">
        <v>3.2548184716220556E-2</v>
      </c>
      <c r="Q3380" s="28">
        <f t="shared" si="56"/>
        <v>3.5548184716220559E-2</v>
      </c>
      <c r="R3380" s="33">
        <v>0.16282860775771735</v>
      </c>
      <c r="S3380" s="34">
        <v>4.8960000000000004E-2</v>
      </c>
    </row>
    <row r="3381" spans="16:19" x14ac:dyDescent="0.25">
      <c r="P3381" s="27">
        <v>3.2548184716220556E-2</v>
      </c>
      <c r="Q3381" s="28">
        <f t="shared" si="56"/>
        <v>3.5548184716220559E-2</v>
      </c>
      <c r="R3381" s="33">
        <v>0.16282860775771735</v>
      </c>
      <c r="S3381" s="34">
        <v>4.9500000000000002E-2</v>
      </c>
    </row>
    <row r="3382" spans="16:19" x14ac:dyDescent="0.25">
      <c r="P3382" s="27">
        <v>3.2548184716220556E-2</v>
      </c>
      <c r="Q3382" s="28">
        <f t="shared" si="56"/>
        <v>3.5548184716220559E-2</v>
      </c>
      <c r="R3382" s="33">
        <v>0.16282860775771735</v>
      </c>
      <c r="S3382" s="34">
        <v>5.2150000000000002E-2</v>
      </c>
    </row>
    <row r="3383" spans="16:19" x14ac:dyDescent="0.25">
      <c r="P3383" s="27">
        <v>3.2548184716220556E-2</v>
      </c>
      <c r="Q3383" s="28">
        <f t="shared" si="56"/>
        <v>3.5548184716220559E-2</v>
      </c>
      <c r="R3383" s="31">
        <v>0.15939660775771733</v>
      </c>
      <c r="S3383" s="32">
        <v>6.4012433999999993E-2</v>
      </c>
    </row>
    <row r="3384" spans="16:19" x14ac:dyDescent="0.25">
      <c r="P3384" s="27">
        <v>3.2548184716220556E-2</v>
      </c>
      <c r="Q3384" s="28">
        <f t="shared" si="56"/>
        <v>3.5548184716220559E-2</v>
      </c>
      <c r="R3384" s="31">
        <v>0.15939660775771733</v>
      </c>
      <c r="S3384" s="32">
        <v>6.2100000000000002E-2</v>
      </c>
    </row>
    <row r="3385" spans="16:19" x14ac:dyDescent="0.25">
      <c r="P3385" s="27">
        <v>3.2548184716220556E-2</v>
      </c>
      <c r="Q3385" s="28">
        <f t="shared" si="56"/>
        <v>3.5548184716220559E-2</v>
      </c>
      <c r="R3385" s="31">
        <v>0.15939660775771733</v>
      </c>
      <c r="S3385" s="32">
        <v>0.05</v>
      </c>
    </row>
    <row r="3386" spans="16:19" x14ac:dyDescent="0.25">
      <c r="P3386" s="27">
        <v>3.2548184716220556E-2</v>
      </c>
      <c r="Q3386" s="28">
        <f t="shared" si="56"/>
        <v>3.5548184716220559E-2</v>
      </c>
      <c r="R3386" s="31">
        <v>0.15939660775771733</v>
      </c>
      <c r="S3386" s="32">
        <v>0.05</v>
      </c>
    </row>
    <row r="3387" spans="16:19" x14ac:dyDescent="0.25">
      <c r="P3387" s="27">
        <v>3.2548184716220556E-2</v>
      </c>
      <c r="Q3387" s="28">
        <f t="shared" si="56"/>
        <v>3.5548184716220559E-2</v>
      </c>
      <c r="R3387" s="29">
        <v>0.15003660775771735</v>
      </c>
      <c r="S3387" s="30">
        <v>4.9315657999999998E-2</v>
      </c>
    </row>
    <row r="3388" spans="16:19" x14ac:dyDescent="0.25">
      <c r="P3388" s="27">
        <v>3.2548184716220556E-2</v>
      </c>
      <c r="Q3388" s="28">
        <f t="shared" si="56"/>
        <v>3.5548184716220559E-2</v>
      </c>
      <c r="R3388" s="29">
        <v>0.15003660775771735</v>
      </c>
      <c r="S3388" s="30">
        <v>4.8229999999999995E-2</v>
      </c>
    </row>
    <row r="3389" spans="16:19" x14ac:dyDescent="0.25">
      <c r="P3389" s="27">
        <v>3.2548184716220556E-2</v>
      </c>
      <c r="Q3389" s="28">
        <f t="shared" si="56"/>
        <v>3.5548184716220559E-2</v>
      </c>
      <c r="R3389" s="29">
        <v>0.15003660775771735</v>
      </c>
      <c r="S3389" s="30">
        <v>4.8009999999999997E-2</v>
      </c>
    </row>
    <row r="3390" spans="16:19" x14ac:dyDescent="0.25">
      <c r="P3390" s="27">
        <v>3.2548184716220556E-2</v>
      </c>
      <c r="Q3390" s="28">
        <f t="shared" si="56"/>
        <v>3.5548184716220559E-2</v>
      </c>
      <c r="R3390" s="29">
        <v>0.15003660775771735</v>
      </c>
      <c r="S3390" s="30">
        <v>4.8009999999999997E-2</v>
      </c>
    </row>
    <row r="3391" spans="16:19" x14ac:dyDescent="0.25">
      <c r="P3391" s="27">
        <v>3.2548184716220556E-2</v>
      </c>
      <c r="Q3391" s="28">
        <f t="shared" si="56"/>
        <v>3.5548184716220559E-2</v>
      </c>
      <c r="R3391" s="29">
        <v>0.15003660775771735</v>
      </c>
      <c r="S3391" s="30">
        <v>4.8009999999999997E-2</v>
      </c>
    </row>
    <row r="3392" spans="16:19" x14ac:dyDescent="0.25">
      <c r="P3392" s="27">
        <v>3.2548184716220556E-2</v>
      </c>
      <c r="Q3392" s="28">
        <f t="shared" si="56"/>
        <v>3.5548184716220559E-2</v>
      </c>
      <c r="R3392" s="29">
        <v>0.15003660775771735</v>
      </c>
      <c r="S3392" s="30">
        <v>4.8009999999999997E-2</v>
      </c>
    </row>
    <row r="3393" spans="16:19" x14ac:dyDescent="0.25">
      <c r="P3393" s="27">
        <v>3.2548184716220556E-2</v>
      </c>
      <c r="Q3393" s="28">
        <f t="shared" si="56"/>
        <v>3.5548184716220559E-2</v>
      </c>
      <c r="R3393" s="29">
        <v>0.15003660775771735</v>
      </c>
      <c r="S3393" s="30">
        <v>4.7990000000000005E-2</v>
      </c>
    </row>
    <row r="3394" spans="16:19" x14ac:dyDescent="0.25">
      <c r="P3394" s="27">
        <v>3.2548184716220556E-2</v>
      </c>
      <c r="Q3394" s="28">
        <f t="shared" si="56"/>
        <v>3.5548184716220559E-2</v>
      </c>
      <c r="R3394" s="29">
        <v>0.15003660775771735</v>
      </c>
      <c r="S3394" s="30">
        <v>4.9239999999999999E-2</v>
      </c>
    </row>
    <row r="3395" spans="16:19" x14ac:dyDescent="0.25">
      <c r="P3395" s="27">
        <v>3.2548184716220556E-2</v>
      </c>
      <c r="Q3395" s="28">
        <f t="shared" si="56"/>
        <v>3.5548184716220559E-2</v>
      </c>
      <c r="R3395" s="31">
        <v>0.15939660775771733</v>
      </c>
      <c r="S3395" s="32">
        <v>6.5250000000000002E-2</v>
      </c>
    </row>
    <row r="3396" spans="16:19" x14ac:dyDescent="0.25">
      <c r="P3396" s="27">
        <v>3.2548184716220556E-2</v>
      </c>
      <c r="Q3396" s="28">
        <f t="shared" si="56"/>
        <v>3.5548184716220559E-2</v>
      </c>
      <c r="R3396" s="33">
        <v>0.16282860775771735</v>
      </c>
      <c r="S3396" s="34">
        <v>5.2150000000000002E-2</v>
      </c>
    </row>
    <row r="3397" spans="16:19" x14ac:dyDescent="0.25">
      <c r="P3397" s="27">
        <v>3.2548184716220556E-2</v>
      </c>
      <c r="Q3397" s="28">
        <f t="shared" ref="Q3397:Q3460" si="57">P3397+0.003</f>
        <v>3.5548184716220559E-2</v>
      </c>
      <c r="R3397" s="33">
        <v>0.16282860775771735</v>
      </c>
      <c r="S3397" s="34">
        <v>4.8000000000000001E-2</v>
      </c>
    </row>
    <row r="3398" spans="16:19" x14ac:dyDescent="0.25">
      <c r="P3398" s="27">
        <v>3.2548184716220556E-2</v>
      </c>
      <c r="Q3398" s="28">
        <f t="shared" si="57"/>
        <v>3.5548184716220559E-2</v>
      </c>
      <c r="R3398" s="33">
        <v>0.16282860775771735</v>
      </c>
      <c r="S3398" s="34">
        <v>4.5219999999999996E-2</v>
      </c>
    </row>
    <row r="3399" spans="16:19" x14ac:dyDescent="0.25">
      <c r="P3399" s="27">
        <v>3.2548184716220556E-2</v>
      </c>
      <c r="Q3399" s="28">
        <f t="shared" si="57"/>
        <v>3.5548184716220559E-2</v>
      </c>
      <c r="R3399" s="33">
        <v>0.16282860775771735</v>
      </c>
      <c r="S3399" s="34">
        <v>0.04</v>
      </c>
    </row>
    <row r="3400" spans="16:19" x14ac:dyDescent="0.25">
      <c r="P3400" s="27">
        <v>3.2548184716220556E-2</v>
      </c>
      <c r="Q3400" s="28">
        <f t="shared" si="57"/>
        <v>3.5548184716220559E-2</v>
      </c>
      <c r="R3400" s="33">
        <v>0.16282860775771735</v>
      </c>
      <c r="S3400" s="34">
        <v>3.95E-2</v>
      </c>
    </row>
    <row r="3401" spans="16:19" x14ac:dyDescent="0.25">
      <c r="P3401" s="27">
        <v>3.2548184716220556E-2</v>
      </c>
      <c r="Q3401" s="28">
        <f t="shared" si="57"/>
        <v>3.5548184716220559E-2</v>
      </c>
      <c r="R3401" s="33">
        <v>0.16282860775771735</v>
      </c>
      <c r="S3401" s="34">
        <v>4.3869999999999999E-2</v>
      </c>
    </row>
    <row r="3402" spans="16:19" x14ac:dyDescent="0.25">
      <c r="P3402" s="27">
        <v>3.2548184716220556E-2</v>
      </c>
      <c r="Q3402" s="28">
        <f t="shared" si="57"/>
        <v>3.5548184716220559E-2</v>
      </c>
      <c r="R3402" s="33">
        <v>0.16282860775771735</v>
      </c>
      <c r="S3402" s="34">
        <v>4.7570000000000001E-2</v>
      </c>
    </row>
    <row r="3403" spans="16:19" x14ac:dyDescent="0.25">
      <c r="P3403" s="27">
        <v>3.2548184716220556E-2</v>
      </c>
      <c r="Q3403" s="28">
        <f t="shared" si="57"/>
        <v>3.5548184716220559E-2</v>
      </c>
      <c r="R3403" s="33">
        <v>0.16282860775771735</v>
      </c>
      <c r="S3403" s="34">
        <v>4.854E-2</v>
      </c>
    </row>
    <row r="3404" spans="16:19" x14ac:dyDescent="0.25">
      <c r="P3404" s="27">
        <v>3.2548184716220556E-2</v>
      </c>
      <c r="Q3404" s="28">
        <f t="shared" si="57"/>
        <v>3.5548184716220559E-2</v>
      </c>
      <c r="R3404" s="33">
        <v>0.16282860775771735</v>
      </c>
      <c r="S3404" s="34">
        <v>4.845E-2</v>
      </c>
    </row>
    <row r="3405" spans="16:19" x14ac:dyDescent="0.25">
      <c r="P3405" s="27">
        <v>3.2548184716220556E-2</v>
      </c>
      <c r="Q3405" s="28">
        <f t="shared" si="57"/>
        <v>3.5548184716220559E-2</v>
      </c>
      <c r="R3405" s="33">
        <v>0.16282860775771735</v>
      </c>
      <c r="S3405" s="34">
        <v>4.863E-2</v>
      </c>
    </row>
    <row r="3406" spans="16:19" x14ac:dyDescent="0.25">
      <c r="P3406" s="27">
        <v>3.2548184716220556E-2</v>
      </c>
      <c r="Q3406" s="28">
        <f t="shared" si="57"/>
        <v>3.5548184716220559E-2</v>
      </c>
      <c r="R3406" s="33">
        <v>0.16282860775771735</v>
      </c>
      <c r="S3406" s="34">
        <v>0.05</v>
      </c>
    </row>
    <row r="3407" spans="16:19" x14ac:dyDescent="0.25">
      <c r="P3407" s="27">
        <v>3.2548184716220556E-2</v>
      </c>
      <c r="Q3407" s="28">
        <f t="shared" si="57"/>
        <v>3.5548184716220559E-2</v>
      </c>
      <c r="R3407" s="31">
        <v>0.15939660775771733</v>
      </c>
      <c r="S3407" s="32">
        <v>5.4299999999999994E-2</v>
      </c>
    </row>
    <row r="3408" spans="16:19" x14ac:dyDescent="0.25">
      <c r="P3408" s="27">
        <v>3.2548184716220556E-2</v>
      </c>
      <c r="Q3408" s="28">
        <f t="shared" si="57"/>
        <v>3.5548184716220559E-2</v>
      </c>
      <c r="R3408" s="31">
        <v>0.15939660775771733</v>
      </c>
      <c r="S3408" s="32">
        <v>6.2E-2</v>
      </c>
    </row>
    <row r="3409" spans="16:19" x14ac:dyDescent="0.25">
      <c r="P3409" s="27">
        <v>3.2548184716220556E-2</v>
      </c>
      <c r="Q3409" s="28">
        <f t="shared" si="57"/>
        <v>3.5548184716220559E-2</v>
      </c>
      <c r="R3409" s="31">
        <v>0.15939660775771733</v>
      </c>
      <c r="S3409" s="32">
        <v>4.8000000000000001E-2</v>
      </c>
    </row>
    <row r="3410" spans="16:19" x14ac:dyDescent="0.25">
      <c r="P3410" s="27">
        <v>3.2548184716220556E-2</v>
      </c>
      <c r="Q3410" s="28">
        <f t="shared" si="57"/>
        <v>3.5548184716220559E-2</v>
      </c>
      <c r="R3410" s="31">
        <v>0.15939660775771733</v>
      </c>
      <c r="S3410" s="32">
        <v>4.6490000000000004E-2</v>
      </c>
    </row>
    <row r="3411" spans="16:19" x14ac:dyDescent="0.25">
      <c r="P3411" s="27">
        <v>3.2548184716220556E-2</v>
      </c>
      <c r="Q3411" s="28">
        <f t="shared" si="57"/>
        <v>3.5548184716220559E-2</v>
      </c>
      <c r="R3411" s="29">
        <v>0.15003660775771735</v>
      </c>
      <c r="S3411" s="30">
        <v>4.3999999999999997E-2</v>
      </c>
    </row>
    <row r="3412" spans="16:19" x14ac:dyDescent="0.25">
      <c r="P3412" s="27">
        <v>3.2548184716220556E-2</v>
      </c>
      <c r="Q3412" s="28">
        <f t="shared" si="57"/>
        <v>3.5548184716220559E-2</v>
      </c>
      <c r="R3412" s="29">
        <v>0.15003660775771735</v>
      </c>
      <c r="S3412" s="30">
        <v>4.3990000000000001E-2</v>
      </c>
    </row>
    <row r="3413" spans="16:19" x14ac:dyDescent="0.25">
      <c r="P3413" s="27">
        <v>3.2548184716220556E-2</v>
      </c>
      <c r="Q3413" s="28">
        <f t="shared" si="57"/>
        <v>3.5548184716220559E-2</v>
      </c>
      <c r="R3413" s="29">
        <v>0.15003660775771735</v>
      </c>
      <c r="S3413" s="30">
        <v>4.3189999999999999E-2</v>
      </c>
    </row>
    <row r="3414" spans="16:19" x14ac:dyDescent="0.25">
      <c r="P3414" s="27">
        <v>3.2548184716220556E-2</v>
      </c>
      <c r="Q3414" s="28">
        <f t="shared" si="57"/>
        <v>3.5548184716220559E-2</v>
      </c>
      <c r="R3414" s="29">
        <v>0.15003660775771735</v>
      </c>
      <c r="S3414" s="30">
        <v>4.3189999999999999E-2</v>
      </c>
    </row>
    <row r="3415" spans="16:19" x14ac:dyDescent="0.25">
      <c r="P3415" s="27">
        <v>3.2548184716220556E-2</v>
      </c>
      <c r="Q3415" s="28">
        <f t="shared" si="57"/>
        <v>3.5548184716220559E-2</v>
      </c>
      <c r="R3415" s="29">
        <v>0.15003660775771735</v>
      </c>
      <c r="S3415" s="30">
        <v>4.299E-2</v>
      </c>
    </row>
    <row r="3416" spans="16:19" x14ac:dyDescent="0.25">
      <c r="P3416" s="27">
        <v>3.2548184716220556E-2</v>
      </c>
      <c r="Q3416" s="28">
        <f t="shared" si="57"/>
        <v>3.5548184716220559E-2</v>
      </c>
      <c r="R3416" s="29">
        <v>0.15003660775771735</v>
      </c>
      <c r="S3416" s="30">
        <v>4.299E-2</v>
      </c>
    </row>
    <row r="3417" spans="16:19" x14ac:dyDescent="0.25">
      <c r="P3417" s="27">
        <v>3.2548184716220556E-2</v>
      </c>
      <c r="Q3417" s="28">
        <f t="shared" si="57"/>
        <v>3.5548184716220559E-2</v>
      </c>
      <c r="R3417" s="29">
        <v>0.15003660775771735</v>
      </c>
      <c r="S3417" s="30">
        <v>4.5010000000000001E-2</v>
      </c>
    </row>
    <row r="3418" spans="16:19" x14ac:dyDescent="0.25">
      <c r="P3418" s="27">
        <v>3.2548184716220556E-2</v>
      </c>
      <c r="Q3418" s="28">
        <f t="shared" si="57"/>
        <v>3.5548184716220559E-2</v>
      </c>
      <c r="R3418" s="29">
        <v>0.15003660775771735</v>
      </c>
      <c r="S3418" s="30">
        <v>4.8960000000000004E-2</v>
      </c>
    </row>
    <row r="3419" spans="16:19" x14ac:dyDescent="0.25">
      <c r="P3419" s="27">
        <v>3.2548184716220556E-2</v>
      </c>
      <c r="Q3419" s="28">
        <f t="shared" si="57"/>
        <v>3.5548184716220559E-2</v>
      </c>
      <c r="R3419" s="31">
        <v>0.15939660775771733</v>
      </c>
      <c r="S3419" s="32">
        <v>6.8309999999999996E-2</v>
      </c>
    </row>
    <row r="3420" spans="16:19" x14ac:dyDescent="0.25">
      <c r="P3420" s="27">
        <v>3.2548184716220556E-2</v>
      </c>
      <c r="Q3420" s="28">
        <f t="shared" si="57"/>
        <v>3.5548184716220559E-2</v>
      </c>
      <c r="R3420" s="33">
        <v>0.16282860775771735</v>
      </c>
      <c r="S3420" s="34">
        <v>5.815E-2</v>
      </c>
    </row>
    <row r="3421" spans="16:19" x14ac:dyDescent="0.25">
      <c r="P3421" s="27">
        <v>3.2548184716220556E-2</v>
      </c>
      <c r="Q3421" s="28">
        <f t="shared" si="57"/>
        <v>3.5548184716220559E-2</v>
      </c>
      <c r="R3421" s="33">
        <v>0.16282860775771735</v>
      </c>
      <c r="S3421" s="34">
        <v>5.2469999999999996E-2</v>
      </c>
    </row>
    <row r="3422" spans="16:19" x14ac:dyDescent="0.25">
      <c r="P3422" s="27">
        <v>3.2548184716220556E-2</v>
      </c>
      <c r="Q3422" s="28">
        <f t="shared" si="57"/>
        <v>3.5548184716220559E-2</v>
      </c>
      <c r="R3422" s="33">
        <v>0.16282860775771735</v>
      </c>
      <c r="S3422" s="34">
        <v>5.3219999999999996E-2</v>
      </c>
    </row>
    <row r="3423" spans="16:19" x14ac:dyDescent="0.25">
      <c r="P3423" s="27">
        <v>3.2548184716220556E-2</v>
      </c>
      <c r="Q3423" s="28">
        <f t="shared" si="57"/>
        <v>3.5548184716220559E-2</v>
      </c>
      <c r="R3423" s="33">
        <v>0.16282860775771735</v>
      </c>
      <c r="S3423" s="34">
        <v>5.0299999999999997E-2</v>
      </c>
    </row>
    <row r="3424" spans="16:19" x14ac:dyDescent="0.25">
      <c r="P3424" s="27">
        <v>3.2548184716220556E-2</v>
      </c>
      <c r="Q3424" s="28">
        <f t="shared" si="57"/>
        <v>3.5548184716220559E-2</v>
      </c>
      <c r="R3424" s="33">
        <v>0.16282860775771735</v>
      </c>
      <c r="S3424" s="34">
        <v>4.9280000000000004E-2</v>
      </c>
    </row>
    <row r="3425" spans="16:19" x14ac:dyDescent="0.25">
      <c r="P3425" s="27">
        <v>3.2548184716220556E-2</v>
      </c>
      <c r="Q3425" s="28">
        <f t="shared" si="57"/>
        <v>3.5548184716220559E-2</v>
      </c>
      <c r="R3425" s="33">
        <v>0.16282860775771735</v>
      </c>
      <c r="S3425" s="34">
        <v>5.0638353999999997E-2</v>
      </c>
    </row>
    <row r="3426" spans="16:19" x14ac:dyDescent="0.25">
      <c r="P3426" s="27">
        <v>3.2548184716220556E-2</v>
      </c>
      <c r="Q3426" s="28">
        <f t="shared" si="57"/>
        <v>3.5548184716220559E-2</v>
      </c>
      <c r="R3426" s="33">
        <v>0.16282860775771735</v>
      </c>
      <c r="S3426" s="34">
        <v>5.200519E-2</v>
      </c>
    </row>
    <row r="3427" spans="16:19" x14ac:dyDescent="0.25">
      <c r="P3427" s="27">
        <v>3.2548184716220556E-2</v>
      </c>
      <c r="Q3427" s="28">
        <f t="shared" si="57"/>
        <v>3.5548184716220559E-2</v>
      </c>
      <c r="R3427" s="33">
        <v>0.16282860775771735</v>
      </c>
      <c r="S3427" s="34">
        <v>5.049E-2</v>
      </c>
    </row>
    <row r="3428" spans="16:19" x14ac:dyDescent="0.25">
      <c r="P3428" s="27">
        <v>3.2548184716220556E-2</v>
      </c>
      <c r="Q3428" s="28">
        <f t="shared" si="57"/>
        <v>3.5548184716220559E-2</v>
      </c>
      <c r="R3428" s="33">
        <v>0.16282860775771735</v>
      </c>
      <c r="S3428" s="34">
        <v>4.999E-2</v>
      </c>
    </row>
    <row r="3429" spans="16:19" x14ac:dyDescent="0.25">
      <c r="P3429" s="27">
        <v>3.2548184716220556E-2</v>
      </c>
      <c r="Q3429" s="28">
        <f t="shared" si="57"/>
        <v>3.5548184716220559E-2</v>
      </c>
      <c r="R3429" s="33">
        <v>0.16282860775771735</v>
      </c>
      <c r="S3429" s="34">
        <v>4.9000000000000002E-2</v>
      </c>
    </row>
    <row r="3430" spans="16:19" x14ac:dyDescent="0.25">
      <c r="P3430" s="27">
        <v>3.2548184716220556E-2</v>
      </c>
      <c r="Q3430" s="28">
        <f t="shared" si="57"/>
        <v>3.5548184716220559E-2</v>
      </c>
      <c r="R3430" s="33">
        <v>0.16282860775771735</v>
      </c>
      <c r="S3430" s="34">
        <v>4.9070000000000003E-2</v>
      </c>
    </row>
    <row r="3431" spans="16:19" x14ac:dyDescent="0.25">
      <c r="P3431" s="27">
        <v>3.2548184716220556E-2</v>
      </c>
      <c r="Q3431" s="28">
        <f t="shared" si="57"/>
        <v>3.5548184716220559E-2</v>
      </c>
      <c r="R3431" s="31">
        <v>0.15939660775771733</v>
      </c>
      <c r="S3431" s="32">
        <v>5.323E-2</v>
      </c>
    </row>
    <row r="3432" spans="16:19" x14ac:dyDescent="0.25">
      <c r="P3432" s="27">
        <v>3.2548184716220556E-2</v>
      </c>
      <c r="Q3432" s="28">
        <f t="shared" si="57"/>
        <v>3.5548184716220559E-2</v>
      </c>
      <c r="R3432" s="31">
        <v>0.15939660775771733</v>
      </c>
      <c r="S3432" s="32">
        <v>5.323E-2</v>
      </c>
    </row>
    <row r="3433" spans="16:19" x14ac:dyDescent="0.25">
      <c r="P3433" s="27">
        <v>3.2548184716220556E-2</v>
      </c>
      <c r="Q3433" s="28">
        <f t="shared" si="57"/>
        <v>3.5548184716220559E-2</v>
      </c>
      <c r="R3433" s="31">
        <v>0.15939660775771733</v>
      </c>
      <c r="S3433" s="32">
        <v>4.4450000000000003E-2</v>
      </c>
    </row>
    <row r="3434" spans="16:19" x14ac:dyDescent="0.25">
      <c r="P3434" s="27">
        <v>3.2548184716220556E-2</v>
      </c>
      <c r="Q3434" s="28">
        <f t="shared" si="57"/>
        <v>3.5548184716220559E-2</v>
      </c>
      <c r="R3434" s="31">
        <v>0.15939660775771733</v>
      </c>
      <c r="S3434" s="32">
        <v>4.4680085000000001E-2</v>
      </c>
    </row>
    <row r="3435" spans="16:19" x14ac:dyDescent="0.25">
      <c r="P3435" s="27">
        <v>3.2548184716220556E-2</v>
      </c>
      <c r="Q3435" s="28">
        <f t="shared" si="57"/>
        <v>3.5548184716220559E-2</v>
      </c>
      <c r="R3435" s="29">
        <v>0.15003660775771735</v>
      </c>
      <c r="S3435" s="30">
        <v>4.0989999999999999E-2</v>
      </c>
    </row>
    <row r="3436" spans="16:19" x14ac:dyDescent="0.25">
      <c r="P3436" s="27">
        <v>3.2548184716220556E-2</v>
      </c>
      <c r="Q3436" s="28">
        <f t="shared" si="57"/>
        <v>3.5548184716220559E-2</v>
      </c>
      <c r="R3436" s="29">
        <v>0.15003660775771735</v>
      </c>
      <c r="S3436" s="30">
        <v>4.3549999999999998E-2</v>
      </c>
    </row>
    <row r="3437" spans="16:19" x14ac:dyDescent="0.25">
      <c r="P3437" s="27">
        <v>3.2548184716220556E-2</v>
      </c>
      <c r="Q3437" s="28">
        <f t="shared" si="57"/>
        <v>3.5548184716220559E-2</v>
      </c>
      <c r="R3437" s="29">
        <v>0.15003660775771735</v>
      </c>
      <c r="S3437" s="30">
        <v>4.4090000000000004E-2</v>
      </c>
    </row>
    <row r="3438" spans="16:19" x14ac:dyDescent="0.25">
      <c r="P3438" s="27">
        <v>3.2548184716220556E-2</v>
      </c>
      <c r="Q3438" s="28">
        <f t="shared" si="57"/>
        <v>3.5548184716220559E-2</v>
      </c>
      <c r="R3438" s="29">
        <v>0.15003660775771735</v>
      </c>
      <c r="S3438" s="30">
        <v>4.299E-2</v>
      </c>
    </row>
    <row r="3439" spans="16:19" x14ac:dyDescent="0.25">
      <c r="P3439" s="27">
        <v>3.2548184716220556E-2</v>
      </c>
      <c r="Q3439" s="28">
        <f t="shared" si="57"/>
        <v>3.5548184716220559E-2</v>
      </c>
      <c r="R3439" s="29">
        <v>0.15003660775771735</v>
      </c>
      <c r="S3439" s="30">
        <v>4.2714866000000004E-2</v>
      </c>
    </row>
    <row r="3440" spans="16:19" x14ac:dyDescent="0.25">
      <c r="P3440" s="27">
        <v>3.2548184716220556E-2</v>
      </c>
      <c r="Q3440" s="28">
        <f t="shared" si="57"/>
        <v>3.5548184716220559E-2</v>
      </c>
      <c r="R3440" s="29">
        <v>0.15003660775771735</v>
      </c>
      <c r="S3440" s="30">
        <v>4.1394646E-2</v>
      </c>
    </row>
    <row r="3441" spans="16:19" x14ac:dyDescent="0.25">
      <c r="P3441" s="27">
        <v>3.2548184716220556E-2</v>
      </c>
      <c r="Q3441" s="28">
        <f t="shared" si="57"/>
        <v>3.5548184716220559E-2</v>
      </c>
      <c r="R3441" s="29">
        <v>0.15003660775771735</v>
      </c>
      <c r="S3441" s="30">
        <v>4.3549999999999998E-2</v>
      </c>
    </row>
    <row r="3442" spans="16:19" x14ac:dyDescent="0.25">
      <c r="P3442" s="27">
        <v>3.2548184716220556E-2</v>
      </c>
      <c r="Q3442" s="28">
        <f t="shared" si="57"/>
        <v>3.5548184716220559E-2</v>
      </c>
      <c r="R3442" s="29">
        <v>0.15003660775771735</v>
      </c>
      <c r="S3442" s="30">
        <v>4.5100000000000001E-2</v>
      </c>
    </row>
    <row r="3443" spans="16:19" x14ac:dyDescent="0.25">
      <c r="P3443" s="27">
        <v>3.2548184716220556E-2</v>
      </c>
      <c r="Q3443" s="28">
        <f t="shared" si="57"/>
        <v>3.5548184716220559E-2</v>
      </c>
      <c r="R3443" s="31">
        <v>0.15939660775771733</v>
      </c>
      <c r="S3443" s="32">
        <v>4.9159999999999995E-2</v>
      </c>
    </row>
    <row r="3444" spans="16:19" x14ac:dyDescent="0.25">
      <c r="P3444" s="27">
        <v>3.2548184716220556E-2</v>
      </c>
      <c r="Q3444" s="28">
        <f t="shared" si="57"/>
        <v>3.5548184716220559E-2</v>
      </c>
      <c r="R3444" s="33">
        <v>0.16282860775771735</v>
      </c>
      <c r="S3444" s="34">
        <v>4.5469999999999997E-2</v>
      </c>
    </row>
    <row r="3445" spans="16:19" x14ac:dyDescent="0.25">
      <c r="P3445" s="27">
        <v>3.2548184716220556E-2</v>
      </c>
      <c r="Q3445" s="28">
        <f t="shared" si="57"/>
        <v>3.5548184716220559E-2</v>
      </c>
      <c r="R3445" s="33">
        <v>0.16282860775771735</v>
      </c>
      <c r="S3445" s="34">
        <v>0.04</v>
      </c>
    </row>
    <row r="3446" spans="16:19" x14ac:dyDescent="0.25">
      <c r="P3446" s="27">
        <v>3.2548184716220556E-2</v>
      </c>
      <c r="Q3446" s="28">
        <f t="shared" si="57"/>
        <v>3.5548184716220559E-2</v>
      </c>
      <c r="R3446" s="33">
        <v>0.16282860775771735</v>
      </c>
      <c r="S3446" s="34">
        <v>3.397E-2</v>
      </c>
    </row>
    <row r="3447" spans="16:19" x14ac:dyDescent="0.25">
      <c r="P3447" s="27">
        <v>3.2548184716220556E-2</v>
      </c>
      <c r="Q3447" s="28">
        <f t="shared" si="57"/>
        <v>3.5548184716220559E-2</v>
      </c>
      <c r="R3447" s="33">
        <v>0.16282860775771735</v>
      </c>
      <c r="S3447" s="34">
        <v>0.03</v>
      </c>
    </row>
    <row r="3448" spans="16:19" x14ac:dyDescent="0.25">
      <c r="P3448" s="27">
        <v>3.2548184716220556E-2</v>
      </c>
      <c r="Q3448" s="28">
        <f t="shared" si="57"/>
        <v>3.5548184716220559E-2</v>
      </c>
      <c r="R3448" s="33">
        <v>0.16282860775771735</v>
      </c>
      <c r="S3448" s="34">
        <v>2.588E-2</v>
      </c>
    </row>
    <row r="3449" spans="16:19" x14ac:dyDescent="0.25">
      <c r="P3449" s="27">
        <v>3.2548184716220556E-2</v>
      </c>
      <c r="Q3449" s="28">
        <f t="shared" si="57"/>
        <v>3.5548184716220559E-2</v>
      </c>
      <c r="R3449" s="33">
        <v>0.16282860775771735</v>
      </c>
      <c r="S3449" s="34">
        <v>2.53E-2</v>
      </c>
    </row>
    <row r="3450" spans="16:19" x14ac:dyDescent="0.25">
      <c r="P3450" s="27">
        <v>3.2548184716220556E-2</v>
      </c>
      <c r="Q3450" s="28">
        <f t="shared" si="57"/>
        <v>3.5548184716220559E-2</v>
      </c>
      <c r="R3450" s="33">
        <v>0.16282860775771735</v>
      </c>
      <c r="S3450" s="34">
        <v>2.7149999999999997E-2</v>
      </c>
    </row>
    <row r="3451" spans="16:19" x14ac:dyDescent="0.25">
      <c r="P3451" s="27">
        <v>3.2548184716220556E-2</v>
      </c>
      <c r="Q3451" s="28">
        <f t="shared" si="57"/>
        <v>3.5548184716220559E-2</v>
      </c>
      <c r="R3451" s="33">
        <v>0.16282860775771735</v>
      </c>
      <c r="S3451" s="34">
        <v>3.397E-2</v>
      </c>
    </row>
    <row r="3452" spans="16:19" x14ac:dyDescent="0.25">
      <c r="P3452" s="27">
        <v>3.2548184716220556E-2</v>
      </c>
      <c r="Q3452" s="28">
        <f t="shared" si="57"/>
        <v>3.5548184716220559E-2</v>
      </c>
      <c r="R3452" s="33">
        <v>0.16282860775771735</v>
      </c>
      <c r="S3452" s="34">
        <v>4.3220000000000001E-2</v>
      </c>
    </row>
    <row r="3453" spans="16:19" x14ac:dyDescent="0.25">
      <c r="P3453" s="27">
        <v>3.2548184716220556E-2</v>
      </c>
      <c r="Q3453" s="28">
        <f t="shared" si="57"/>
        <v>3.5548184716220559E-2</v>
      </c>
      <c r="R3453" s="33">
        <v>0.16282860775771735</v>
      </c>
      <c r="S3453" s="34">
        <v>4.8500000000000001E-2</v>
      </c>
    </row>
    <row r="3454" spans="16:19" x14ac:dyDescent="0.25">
      <c r="P3454" s="27">
        <v>3.2548184716220556E-2</v>
      </c>
      <c r="Q3454" s="28">
        <f t="shared" si="57"/>
        <v>3.5548184716220559E-2</v>
      </c>
      <c r="R3454" s="33">
        <v>0.16282860775771735</v>
      </c>
      <c r="S3454" s="34">
        <v>5.6119999999999996E-2</v>
      </c>
    </row>
    <row r="3455" spans="16:19" x14ac:dyDescent="0.25">
      <c r="P3455" s="27">
        <v>3.2548184716220556E-2</v>
      </c>
      <c r="Q3455" s="28">
        <f t="shared" si="57"/>
        <v>3.5548184716220559E-2</v>
      </c>
      <c r="R3455" s="31">
        <v>0.15939660775771733</v>
      </c>
      <c r="S3455" s="32">
        <v>7.6060000000000003E-2</v>
      </c>
    </row>
    <row r="3456" spans="16:19" x14ac:dyDescent="0.25">
      <c r="P3456" s="27">
        <v>3.2548184716220556E-2</v>
      </c>
      <c r="Q3456" s="28">
        <f t="shared" si="57"/>
        <v>3.5548184716220559E-2</v>
      </c>
      <c r="R3456" s="31">
        <v>0.15939660775771733</v>
      </c>
      <c r="S3456" s="32">
        <v>7.2989999999999999E-2</v>
      </c>
    </row>
    <row r="3457" spans="16:19" x14ac:dyDescent="0.25">
      <c r="P3457" s="27">
        <v>3.2548184716220556E-2</v>
      </c>
      <c r="Q3457" s="28">
        <f t="shared" si="57"/>
        <v>3.5548184716220559E-2</v>
      </c>
      <c r="R3457" s="31">
        <v>0.15939660775771733</v>
      </c>
      <c r="S3457" s="32">
        <v>5.2364480999999997E-2</v>
      </c>
    </row>
    <row r="3458" spans="16:19" x14ac:dyDescent="0.25">
      <c r="P3458" s="27">
        <v>3.2548184716220556E-2</v>
      </c>
      <c r="Q3458" s="28">
        <f t="shared" si="57"/>
        <v>3.5548184716220559E-2</v>
      </c>
      <c r="R3458" s="31">
        <v>0.15939660775771733</v>
      </c>
      <c r="S3458" s="32">
        <v>5.0009999999999999E-2</v>
      </c>
    </row>
    <row r="3459" spans="16:19" x14ac:dyDescent="0.25">
      <c r="P3459" s="27">
        <v>3.2548184716220556E-2</v>
      </c>
      <c r="Q3459" s="28">
        <f t="shared" si="57"/>
        <v>3.5548184716220559E-2</v>
      </c>
      <c r="R3459" s="29">
        <v>0.15003660775771735</v>
      </c>
      <c r="S3459" s="30">
        <v>4.3970000000000002E-2</v>
      </c>
    </row>
    <row r="3460" spans="16:19" x14ac:dyDescent="0.25">
      <c r="P3460" s="27">
        <v>3.2548184716220556E-2</v>
      </c>
      <c r="Q3460" s="28">
        <f t="shared" si="57"/>
        <v>3.5548184716220559E-2</v>
      </c>
      <c r="R3460" s="29">
        <v>0.15003660775771735</v>
      </c>
      <c r="S3460" s="30">
        <v>4.2999999999999997E-2</v>
      </c>
    </row>
    <row r="3461" spans="16:19" x14ac:dyDescent="0.25">
      <c r="P3461" s="27">
        <v>3.2548184716220556E-2</v>
      </c>
      <c r="Q3461" s="28">
        <f t="shared" ref="Q3461:Q3524" si="58">P3461+0.003</f>
        <v>3.5548184716220559E-2</v>
      </c>
      <c r="R3461" s="29">
        <v>0.15003660775771735</v>
      </c>
      <c r="S3461" s="30">
        <v>4.1000000000000002E-2</v>
      </c>
    </row>
    <row r="3462" spans="16:19" x14ac:dyDescent="0.25">
      <c r="P3462" s="27">
        <v>3.2548184716220556E-2</v>
      </c>
      <c r="Q3462" s="28">
        <f t="shared" si="58"/>
        <v>3.5548184716220559E-2</v>
      </c>
      <c r="R3462" s="29">
        <v>0.15003660775771735</v>
      </c>
      <c r="S3462" s="30">
        <v>4.1000000000000002E-2</v>
      </c>
    </row>
    <row r="3463" spans="16:19" x14ac:dyDescent="0.25">
      <c r="P3463" s="27">
        <v>3.2548184716220556E-2</v>
      </c>
      <c r="Q3463" s="28">
        <f t="shared" si="58"/>
        <v>3.5548184716220559E-2</v>
      </c>
      <c r="R3463" s="29">
        <v>0.15003660775771735</v>
      </c>
      <c r="S3463" s="30">
        <v>0.04</v>
      </c>
    </row>
    <row r="3464" spans="16:19" x14ac:dyDescent="0.25">
      <c r="P3464" s="27">
        <v>3.2548184716220556E-2</v>
      </c>
      <c r="Q3464" s="28">
        <f t="shared" si="58"/>
        <v>3.5548184716220559E-2</v>
      </c>
      <c r="R3464" s="29">
        <v>0.15003660775771735</v>
      </c>
      <c r="S3464" s="30">
        <v>0.04</v>
      </c>
    </row>
    <row r="3465" spans="16:19" x14ac:dyDescent="0.25">
      <c r="P3465" s="27">
        <v>3.2548184716220556E-2</v>
      </c>
      <c r="Q3465" s="28">
        <f t="shared" si="58"/>
        <v>3.5548184716220559E-2</v>
      </c>
      <c r="R3465" s="29">
        <v>0.15003660775771735</v>
      </c>
      <c r="S3465" s="30">
        <v>3.2759999999999997E-2</v>
      </c>
    </row>
    <row r="3466" spans="16:19" x14ac:dyDescent="0.25">
      <c r="P3466" s="27">
        <v>3.2548184716220556E-2</v>
      </c>
      <c r="Q3466" s="28">
        <f t="shared" si="58"/>
        <v>3.5548184716220559E-2</v>
      </c>
      <c r="R3466" s="29">
        <v>0.15003660775771735</v>
      </c>
      <c r="S3466" s="30">
        <v>3.4950000000000002E-2</v>
      </c>
    </row>
    <row r="3467" spans="16:19" x14ac:dyDescent="0.25">
      <c r="P3467" s="27">
        <v>3.2548184716220556E-2</v>
      </c>
      <c r="Q3467" s="28">
        <f t="shared" si="58"/>
        <v>3.5548184716220559E-2</v>
      </c>
      <c r="R3467" s="31">
        <v>0.15939660775771733</v>
      </c>
      <c r="S3467" s="32">
        <v>3.5999999999999997E-2</v>
      </c>
    </row>
    <row r="3468" spans="16:19" x14ac:dyDescent="0.25">
      <c r="P3468" s="27">
        <v>3.2548184716220556E-2</v>
      </c>
      <c r="Q3468" s="28">
        <f t="shared" si="58"/>
        <v>3.5548184716220559E-2</v>
      </c>
      <c r="R3468" s="33">
        <v>0.16282860775771735</v>
      </c>
      <c r="S3468" s="34">
        <v>3.0210000000000001E-2</v>
      </c>
    </row>
    <row r="3469" spans="16:19" x14ac:dyDescent="0.25">
      <c r="P3469" s="27">
        <v>3.2548184716220556E-2</v>
      </c>
      <c r="Q3469" s="28">
        <f t="shared" si="58"/>
        <v>3.5548184716220559E-2</v>
      </c>
      <c r="R3469" s="33">
        <v>0.16282860775771735</v>
      </c>
      <c r="S3469" s="34">
        <v>2.5100000000000001E-2</v>
      </c>
    </row>
    <row r="3470" spans="16:19" x14ac:dyDescent="0.25">
      <c r="P3470" s="27">
        <v>3.2548184716220556E-2</v>
      </c>
      <c r="Q3470" s="28">
        <f t="shared" si="58"/>
        <v>3.5548184716220559E-2</v>
      </c>
      <c r="R3470" s="33">
        <v>0.16282860775771735</v>
      </c>
      <c r="S3470" s="34">
        <v>0.02</v>
      </c>
    </row>
    <row r="3471" spans="16:19" x14ac:dyDescent="0.25">
      <c r="P3471" s="27">
        <v>3.2548184716220556E-2</v>
      </c>
      <c r="Q3471" s="28">
        <f t="shared" si="58"/>
        <v>3.5548184716220559E-2</v>
      </c>
      <c r="R3471" s="33">
        <v>0.16282860775771735</v>
      </c>
      <c r="S3471" s="34">
        <v>1.4800000000000001E-2</v>
      </c>
    </row>
    <row r="3472" spans="16:19" x14ac:dyDescent="0.25">
      <c r="P3472" s="27">
        <v>3.2548184716220556E-2</v>
      </c>
      <c r="Q3472" s="28">
        <f t="shared" si="58"/>
        <v>3.5548184716220559E-2</v>
      </c>
      <c r="R3472" s="33">
        <v>0.16282860775771735</v>
      </c>
      <c r="S3472" s="34">
        <v>0.01</v>
      </c>
    </row>
    <row r="3473" spans="16:19" x14ac:dyDescent="0.25">
      <c r="P3473" s="27">
        <v>3.2548184716220556E-2</v>
      </c>
      <c r="Q3473" s="28">
        <f t="shared" si="58"/>
        <v>3.5548184716220559E-2</v>
      </c>
      <c r="R3473" s="33">
        <v>0.16282860775771735</v>
      </c>
      <c r="S3473" s="34">
        <v>0.01</v>
      </c>
    </row>
    <row r="3474" spans="16:19" x14ac:dyDescent="0.25">
      <c r="P3474" s="27">
        <v>3.2548184716220556E-2</v>
      </c>
      <c r="Q3474" s="28">
        <f t="shared" si="58"/>
        <v>3.5548184716220559E-2</v>
      </c>
      <c r="R3474" s="33">
        <v>0.16282860775771735</v>
      </c>
      <c r="S3474" s="34">
        <v>1.2E-2</v>
      </c>
    </row>
    <row r="3475" spans="16:19" x14ac:dyDescent="0.25">
      <c r="P3475" s="27">
        <v>3.2548184716220556E-2</v>
      </c>
      <c r="Q3475" s="28">
        <f t="shared" si="58"/>
        <v>3.5548184716220559E-2</v>
      </c>
      <c r="R3475" s="33">
        <v>0.16282860775771735</v>
      </c>
      <c r="S3475" s="34">
        <v>1.9230000000000001E-2</v>
      </c>
    </row>
    <row r="3476" spans="16:19" x14ac:dyDescent="0.25">
      <c r="P3476" s="27">
        <v>3.2548184716220556E-2</v>
      </c>
      <c r="Q3476" s="28">
        <f t="shared" si="58"/>
        <v>3.5548184716220559E-2</v>
      </c>
      <c r="R3476" s="33">
        <v>0.16282860775771735</v>
      </c>
      <c r="S3476" s="34">
        <v>2.862E-2</v>
      </c>
    </row>
    <row r="3477" spans="16:19" x14ac:dyDescent="0.25">
      <c r="P3477" s="27">
        <v>3.2548184716220556E-2</v>
      </c>
      <c r="Q3477" s="28">
        <f t="shared" si="58"/>
        <v>3.5548184716220559E-2</v>
      </c>
      <c r="R3477" s="33">
        <v>0.16282860775771735</v>
      </c>
      <c r="S3477" s="34">
        <v>4.4069999999999998E-2</v>
      </c>
    </row>
    <row r="3478" spans="16:19" x14ac:dyDescent="0.25">
      <c r="P3478" s="27">
        <v>3.2548184716220556E-2</v>
      </c>
      <c r="Q3478" s="28">
        <f t="shared" si="58"/>
        <v>3.5548184716220559E-2</v>
      </c>
      <c r="R3478" s="33">
        <v>0.16282860775771735</v>
      </c>
      <c r="S3478" s="34">
        <v>4.9750000000000003E-2</v>
      </c>
    </row>
    <row r="3479" spans="16:19" x14ac:dyDescent="0.25">
      <c r="P3479" s="27">
        <v>3.2548184716220556E-2</v>
      </c>
      <c r="Q3479" s="28">
        <f t="shared" si="58"/>
        <v>3.5548184716220559E-2</v>
      </c>
      <c r="R3479" s="31">
        <v>0.15939660775771733</v>
      </c>
      <c r="S3479" s="32">
        <v>7.0108932999999998E-2</v>
      </c>
    </row>
    <row r="3480" spans="16:19" x14ac:dyDescent="0.25">
      <c r="P3480" s="27">
        <v>3.2548184716220556E-2</v>
      </c>
      <c r="Q3480" s="28">
        <f t="shared" si="58"/>
        <v>3.5548184716220559E-2</v>
      </c>
      <c r="R3480" s="31">
        <v>0.15939660775771733</v>
      </c>
      <c r="S3480" s="32">
        <v>7.0930000000000007E-2</v>
      </c>
    </row>
    <row r="3481" spans="16:19" x14ac:dyDescent="0.25">
      <c r="P3481" s="27">
        <v>3.2548184716220556E-2</v>
      </c>
      <c r="Q3481" s="28">
        <f t="shared" si="58"/>
        <v>3.5548184716220559E-2</v>
      </c>
      <c r="R3481" s="31">
        <v>0.15939660775771733</v>
      </c>
      <c r="S3481" s="32">
        <v>5.1950000000000003E-2</v>
      </c>
    </row>
    <row r="3482" spans="16:19" x14ac:dyDescent="0.25">
      <c r="P3482" s="27">
        <v>3.2548184716220556E-2</v>
      </c>
      <c r="Q3482" s="28">
        <f t="shared" si="58"/>
        <v>3.5548184716220559E-2</v>
      </c>
      <c r="R3482" s="31">
        <v>0.15939660775771733</v>
      </c>
      <c r="S3482" s="32">
        <v>4.8070000000000002E-2</v>
      </c>
    </row>
    <row r="3483" spans="16:19" x14ac:dyDescent="0.25">
      <c r="P3483" s="27">
        <v>3.2548184716220556E-2</v>
      </c>
      <c r="Q3483" s="28">
        <f t="shared" si="58"/>
        <v>3.5548184716220559E-2</v>
      </c>
      <c r="R3483" s="29">
        <v>0.15003660775771735</v>
      </c>
      <c r="S3483" s="30">
        <v>0.04</v>
      </c>
    </row>
    <row r="3484" spans="16:19" x14ac:dyDescent="0.25">
      <c r="P3484" s="27">
        <v>3.2548184716220556E-2</v>
      </c>
      <c r="Q3484" s="28">
        <f t="shared" si="58"/>
        <v>3.5548184716220559E-2</v>
      </c>
      <c r="R3484" s="29">
        <v>0.15003660775771735</v>
      </c>
      <c r="S3484" s="30">
        <v>3.9780000000000003E-2</v>
      </c>
    </row>
    <row r="3485" spans="16:19" x14ac:dyDescent="0.25">
      <c r="P3485" s="27">
        <v>3.2548184716220556E-2</v>
      </c>
      <c r="Q3485" s="28">
        <f t="shared" si="58"/>
        <v>3.5548184716220559E-2</v>
      </c>
      <c r="R3485" s="29">
        <v>0.15003660775771735</v>
      </c>
      <c r="S3485" s="30">
        <v>3.8580611000000001E-2</v>
      </c>
    </row>
    <row r="3486" spans="16:19" x14ac:dyDescent="0.25">
      <c r="P3486" s="27">
        <v>3.2548184716220556E-2</v>
      </c>
      <c r="Q3486" s="28">
        <f t="shared" si="58"/>
        <v>3.5548184716220559E-2</v>
      </c>
      <c r="R3486" s="29">
        <v>0.15003660775771735</v>
      </c>
      <c r="S3486" s="30">
        <v>3.5000000000000003E-2</v>
      </c>
    </row>
    <row r="3487" spans="16:19" x14ac:dyDescent="0.25">
      <c r="P3487" s="27">
        <v>3.2548184716220556E-2</v>
      </c>
      <c r="Q3487" s="28">
        <f t="shared" si="58"/>
        <v>3.5548184716220559E-2</v>
      </c>
      <c r="R3487" s="29">
        <v>0.15003660775771735</v>
      </c>
      <c r="S3487" s="30">
        <v>3.7990000000000003E-2</v>
      </c>
    </row>
    <row r="3488" spans="16:19" x14ac:dyDescent="0.25">
      <c r="P3488" s="27">
        <v>3.2548184716220556E-2</v>
      </c>
      <c r="Q3488" s="28">
        <f t="shared" si="58"/>
        <v>3.5548184716220559E-2</v>
      </c>
      <c r="R3488" s="29">
        <v>0.15003660775771735</v>
      </c>
      <c r="S3488" s="30">
        <v>4.3490000000000001E-2</v>
      </c>
    </row>
    <row r="3489" spans="16:19" x14ac:dyDescent="0.25">
      <c r="P3489" s="27">
        <v>3.2548184716220556E-2</v>
      </c>
      <c r="Q3489" s="28">
        <f t="shared" si="58"/>
        <v>3.5548184716220559E-2</v>
      </c>
      <c r="R3489" s="29">
        <v>0.15003660775771735</v>
      </c>
      <c r="S3489" s="30">
        <v>4.7E-2</v>
      </c>
    </row>
    <row r="3490" spans="16:19" x14ac:dyDescent="0.25">
      <c r="P3490" s="27">
        <v>3.2548184716220556E-2</v>
      </c>
      <c r="Q3490" s="28">
        <f t="shared" si="58"/>
        <v>3.5548184716220559E-2</v>
      </c>
      <c r="R3490" s="29">
        <v>0.15003660775771735</v>
      </c>
      <c r="S3490" s="30">
        <v>5.6430000000000001E-2</v>
      </c>
    </row>
    <row r="3491" spans="16:19" x14ac:dyDescent="0.25">
      <c r="P3491" s="27">
        <v>3.2548184716220556E-2</v>
      </c>
      <c r="Q3491" s="28">
        <f t="shared" si="58"/>
        <v>3.5548184716220559E-2</v>
      </c>
      <c r="R3491" s="31">
        <v>0.15939999999999999</v>
      </c>
      <c r="S3491" s="32">
        <v>7.8238189999999999E-2</v>
      </c>
    </row>
    <row r="3492" spans="16:19" x14ac:dyDescent="0.25">
      <c r="P3492" s="27">
        <v>3.2548184716220556E-2</v>
      </c>
      <c r="Q3492" s="28">
        <f t="shared" si="58"/>
        <v>3.5548184716220559E-2</v>
      </c>
      <c r="R3492" s="31">
        <v>0.15939999999999999</v>
      </c>
      <c r="S3492" s="32">
        <v>5.6000000000000001E-2</v>
      </c>
    </row>
    <row r="3493" spans="16:19" x14ac:dyDescent="0.25">
      <c r="P3493" s="27">
        <v>3.2548184716220556E-2</v>
      </c>
      <c r="Q3493" s="28">
        <f t="shared" si="58"/>
        <v>3.5548184716220559E-2</v>
      </c>
      <c r="R3493" s="31">
        <v>0.15939999999999999</v>
      </c>
      <c r="S3493" s="32">
        <v>4.8710000000000003E-2</v>
      </c>
    </row>
    <row r="3494" spans="16:19" x14ac:dyDescent="0.25">
      <c r="P3494" s="27">
        <v>3.2548184716220556E-2</v>
      </c>
      <c r="Q3494" s="28">
        <f t="shared" si="58"/>
        <v>3.5548184716220559E-2</v>
      </c>
      <c r="R3494" s="31">
        <v>0.15939999999999999</v>
      </c>
      <c r="S3494" s="32">
        <v>4.7E-2</v>
      </c>
    </row>
    <row r="3495" spans="16:19" x14ac:dyDescent="0.25">
      <c r="P3495" s="27">
        <v>3.2548184716220556E-2</v>
      </c>
      <c r="Q3495" s="28">
        <f t="shared" si="58"/>
        <v>3.5548184716220559E-2</v>
      </c>
      <c r="R3495" s="31">
        <v>0.15939999999999999</v>
      </c>
      <c r="S3495" s="32">
        <v>4.2880000000000001E-2</v>
      </c>
    </row>
    <row r="3496" spans="16:19" x14ac:dyDescent="0.25">
      <c r="P3496" s="27">
        <v>3.2548184716220556E-2</v>
      </c>
      <c r="Q3496" s="28">
        <f t="shared" si="58"/>
        <v>3.5548184716220559E-2</v>
      </c>
      <c r="R3496" s="31">
        <v>0.15939999999999999</v>
      </c>
      <c r="S3496" s="32">
        <v>4.3999999999999997E-2</v>
      </c>
    </row>
    <row r="3497" spans="16:19" x14ac:dyDescent="0.25">
      <c r="P3497" s="27">
        <v>3.2548184716220556E-2</v>
      </c>
      <c r="Q3497" s="28">
        <f t="shared" si="58"/>
        <v>3.5548184716220559E-2</v>
      </c>
      <c r="R3497" s="31">
        <v>0.15939999999999999</v>
      </c>
      <c r="S3497" s="32">
        <v>4.4729999999999999E-2</v>
      </c>
    </row>
    <row r="3498" spans="16:19" x14ac:dyDescent="0.25">
      <c r="P3498" s="27">
        <v>3.2548184716220556E-2</v>
      </c>
      <c r="Q3498" s="28">
        <f t="shared" si="58"/>
        <v>3.5548184716220559E-2</v>
      </c>
      <c r="R3498" s="31">
        <v>0.15939999999999999</v>
      </c>
      <c r="S3498" s="32">
        <v>4.564E-2</v>
      </c>
    </row>
    <row r="3499" spans="16:19" x14ac:dyDescent="0.25">
      <c r="P3499" s="27">
        <v>3.2548184716220556E-2</v>
      </c>
      <c r="Q3499" s="28">
        <f t="shared" si="58"/>
        <v>3.5548184716220559E-2</v>
      </c>
      <c r="R3499" s="31">
        <v>0.15939999999999999</v>
      </c>
      <c r="S3499" s="32">
        <v>4.6979999999999994E-2</v>
      </c>
    </row>
    <row r="3500" spans="16:19" x14ac:dyDescent="0.25">
      <c r="P3500" s="27">
        <v>3.2548184716220556E-2</v>
      </c>
      <c r="Q3500" s="28">
        <f t="shared" si="58"/>
        <v>3.5548184716220559E-2</v>
      </c>
      <c r="R3500" s="31">
        <v>0.15939999999999999</v>
      </c>
      <c r="S3500" s="32">
        <v>4.7E-2</v>
      </c>
    </row>
    <row r="3501" spans="16:19" x14ac:dyDescent="0.25">
      <c r="P3501" s="27">
        <v>3.2548184716220556E-2</v>
      </c>
      <c r="Q3501" s="28">
        <f t="shared" si="58"/>
        <v>3.5548184716220559E-2</v>
      </c>
      <c r="R3501" s="31">
        <v>0.15939999999999999</v>
      </c>
      <c r="S3501" s="32">
        <v>4.7E-2</v>
      </c>
    </row>
    <row r="3502" spans="16:19" x14ac:dyDescent="0.25">
      <c r="P3502" s="27">
        <v>3.2548184716220556E-2</v>
      </c>
      <c r="Q3502" s="28">
        <f t="shared" si="58"/>
        <v>3.5548184716220559E-2</v>
      </c>
      <c r="R3502" s="31">
        <v>0.15939999999999999</v>
      </c>
      <c r="S3502" s="32">
        <v>4.999E-2</v>
      </c>
    </row>
    <row r="3503" spans="16:19" x14ac:dyDescent="0.25">
      <c r="P3503" s="27">
        <v>3.2548184716220556E-2</v>
      </c>
      <c r="Q3503" s="28">
        <f t="shared" si="58"/>
        <v>3.5548184716220559E-2</v>
      </c>
      <c r="R3503" s="31">
        <v>0.15939999999999999</v>
      </c>
      <c r="S3503" s="32">
        <v>5.3020000000000005E-2</v>
      </c>
    </row>
    <row r="3504" spans="16:19" x14ac:dyDescent="0.25">
      <c r="P3504" s="27">
        <v>3.2548184716220556E-2</v>
      </c>
      <c r="Q3504" s="28">
        <f t="shared" si="58"/>
        <v>3.5548184716220559E-2</v>
      </c>
      <c r="R3504" s="31">
        <v>0.15939999999999999</v>
      </c>
      <c r="S3504" s="32">
        <v>5.4280000000000002E-2</v>
      </c>
    </row>
    <row r="3505" spans="16:19" x14ac:dyDescent="0.25">
      <c r="P3505" s="27">
        <v>3.2548184716220556E-2</v>
      </c>
      <c r="Q3505" s="28">
        <f t="shared" si="58"/>
        <v>3.5548184716220559E-2</v>
      </c>
      <c r="R3505" s="31">
        <v>0.15939999999999999</v>
      </c>
      <c r="S3505" s="32">
        <v>4.5990000000000003E-2</v>
      </c>
    </row>
    <row r="3506" spans="16:19" x14ac:dyDescent="0.25">
      <c r="P3506" s="27">
        <v>3.2548184716220556E-2</v>
      </c>
      <c r="Q3506" s="28">
        <f t="shared" si="58"/>
        <v>3.5548184716220559E-2</v>
      </c>
      <c r="R3506" s="31">
        <v>0.15939999999999999</v>
      </c>
      <c r="S3506" s="32">
        <v>4.249E-2</v>
      </c>
    </row>
    <row r="3507" spans="16:19" x14ac:dyDescent="0.25">
      <c r="P3507" s="27">
        <v>3.2548184716220556E-2</v>
      </c>
      <c r="Q3507" s="28">
        <f t="shared" si="58"/>
        <v>3.5548184716220559E-2</v>
      </c>
      <c r="R3507" s="29">
        <v>0.15</v>
      </c>
      <c r="S3507" s="30">
        <v>3.4000000000000002E-2</v>
      </c>
    </row>
    <row r="3508" spans="16:19" x14ac:dyDescent="0.25">
      <c r="P3508" s="27">
        <v>3.2548184716220556E-2</v>
      </c>
      <c r="Q3508" s="28">
        <f t="shared" si="58"/>
        <v>3.5548184716220559E-2</v>
      </c>
      <c r="R3508" s="29">
        <v>0.15</v>
      </c>
      <c r="S3508" s="30">
        <v>3.0210000000000001E-2</v>
      </c>
    </row>
    <row r="3509" spans="16:19" x14ac:dyDescent="0.25">
      <c r="P3509" s="27">
        <v>3.2548184716220556E-2</v>
      </c>
      <c r="Q3509" s="28">
        <f t="shared" si="58"/>
        <v>3.5548184716220559E-2</v>
      </c>
      <c r="R3509" s="29">
        <v>0.15</v>
      </c>
      <c r="S3509" s="30">
        <v>2.862E-2</v>
      </c>
    </row>
    <row r="3510" spans="16:19" x14ac:dyDescent="0.25">
      <c r="P3510" s="27">
        <v>3.2548184716220556E-2</v>
      </c>
      <c r="Q3510" s="28">
        <f t="shared" si="58"/>
        <v>3.5548184716220559E-2</v>
      </c>
      <c r="R3510" s="29">
        <v>0.15</v>
      </c>
      <c r="S3510" s="30">
        <v>2.4550905000000001E-2</v>
      </c>
    </row>
    <row r="3511" spans="16:19" x14ac:dyDescent="0.25">
      <c r="P3511" s="27">
        <v>3.2548184716220556E-2</v>
      </c>
      <c r="Q3511" s="28">
        <f t="shared" si="58"/>
        <v>3.5548184716220559E-2</v>
      </c>
      <c r="R3511" s="29">
        <v>0.15</v>
      </c>
      <c r="S3511" s="30">
        <v>2.503E-2</v>
      </c>
    </row>
    <row r="3512" spans="16:19" x14ac:dyDescent="0.25">
      <c r="P3512" s="27">
        <v>3.2548184716220556E-2</v>
      </c>
      <c r="Q3512" s="28">
        <f t="shared" si="58"/>
        <v>3.5548184716220559E-2</v>
      </c>
      <c r="R3512" s="29">
        <v>0.15</v>
      </c>
      <c r="S3512" s="30">
        <v>2.9430000000000001E-2</v>
      </c>
    </row>
    <row r="3513" spans="16:19" x14ac:dyDescent="0.25">
      <c r="P3513" s="27">
        <v>3.2548184716220556E-2</v>
      </c>
      <c r="Q3513" s="28">
        <f t="shared" si="58"/>
        <v>3.5548184716220559E-2</v>
      </c>
      <c r="R3513" s="29">
        <v>0.15</v>
      </c>
      <c r="S3513" s="30">
        <v>3.7170000000000002E-2</v>
      </c>
    </row>
    <row r="3514" spans="16:19" x14ac:dyDescent="0.25">
      <c r="P3514" s="27">
        <v>3.2548184716220556E-2</v>
      </c>
      <c r="Q3514" s="28">
        <f t="shared" si="58"/>
        <v>3.5548184716220559E-2</v>
      </c>
      <c r="R3514" s="29">
        <v>0.15</v>
      </c>
      <c r="S3514" s="30">
        <v>4.5010000000000001E-2</v>
      </c>
    </row>
    <row r="3515" spans="16:19" x14ac:dyDescent="0.25">
      <c r="P3515" s="27">
        <v>3.2548184716220556E-2</v>
      </c>
      <c r="Q3515" s="28">
        <f t="shared" si="58"/>
        <v>3.5548184716220559E-2</v>
      </c>
      <c r="R3515" s="29">
        <v>0.15</v>
      </c>
      <c r="S3515" s="30">
        <v>5.3079999999999995E-2</v>
      </c>
    </row>
    <row r="3516" spans="16:19" x14ac:dyDescent="0.25">
      <c r="P3516" s="27">
        <v>3.2548184716220556E-2</v>
      </c>
      <c r="Q3516" s="28">
        <f t="shared" si="58"/>
        <v>3.5548184716220559E-2</v>
      </c>
      <c r="R3516" s="29">
        <v>0.15</v>
      </c>
      <c r="S3516" s="30">
        <v>4.87E-2</v>
      </c>
    </row>
    <row r="3517" spans="16:19" x14ac:dyDescent="0.25">
      <c r="P3517" s="27">
        <v>3.2548184716220556E-2</v>
      </c>
      <c r="Q3517" s="28">
        <f t="shared" si="58"/>
        <v>3.5548184716220559E-2</v>
      </c>
      <c r="R3517" s="29">
        <v>0.15</v>
      </c>
      <c r="S3517" s="30">
        <v>4.496E-2</v>
      </c>
    </row>
    <row r="3518" spans="16:19" x14ac:dyDescent="0.25">
      <c r="P3518" s="27">
        <v>3.2548184716220556E-2</v>
      </c>
      <c r="Q3518" s="28">
        <f t="shared" si="58"/>
        <v>3.5548184716220559E-2</v>
      </c>
      <c r="R3518" s="29">
        <v>0.15</v>
      </c>
      <c r="S3518" s="30">
        <v>4.5439999999999994E-2</v>
      </c>
    </row>
    <row r="3519" spans="16:19" x14ac:dyDescent="0.25">
      <c r="P3519" s="27">
        <v>3.2548184716220556E-2</v>
      </c>
      <c r="Q3519" s="28">
        <f t="shared" si="58"/>
        <v>3.5548184716220559E-2</v>
      </c>
      <c r="R3519" s="29">
        <v>0.15</v>
      </c>
      <c r="S3519" s="30">
        <v>4.2999999999999997E-2</v>
      </c>
    </row>
    <row r="3520" spans="16:19" x14ac:dyDescent="0.25">
      <c r="P3520" s="27">
        <v>3.2548184716220556E-2</v>
      </c>
      <c r="Q3520" s="28">
        <f t="shared" si="58"/>
        <v>3.5548184716220559E-2</v>
      </c>
      <c r="R3520" s="29">
        <v>0.15</v>
      </c>
      <c r="S3520" s="30">
        <v>4.2599999999999999E-2</v>
      </c>
    </row>
    <row r="3521" spans="16:19" x14ac:dyDescent="0.25">
      <c r="P3521" s="27">
        <v>3.2548184716220556E-2</v>
      </c>
      <c r="Q3521" s="28">
        <f t="shared" si="58"/>
        <v>3.5548184716220559E-2</v>
      </c>
      <c r="R3521" s="29">
        <v>0.15</v>
      </c>
      <c r="S3521" s="30">
        <v>4.3999999999999997E-2</v>
      </c>
    </row>
    <row r="3522" spans="16:19" x14ac:dyDescent="0.25">
      <c r="P3522" s="27">
        <v>3.2548184716220556E-2</v>
      </c>
      <c r="Q3522" s="28">
        <f t="shared" si="58"/>
        <v>3.5548184716220559E-2</v>
      </c>
      <c r="R3522" s="29">
        <v>0.15</v>
      </c>
      <c r="S3522" s="30">
        <v>4.5030000000000001E-2</v>
      </c>
    </row>
    <row r="3523" spans="16:19" x14ac:dyDescent="0.25">
      <c r="P3523" s="27">
        <v>3.2548184716220556E-2</v>
      </c>
      <c r="Q3523" s="28">
        <f t="shared" si="58"/>
        <v>3.5548184716220559E-2</v>
      </c>
      <c r="R3523" s="29">
        <v>0.15</v>
      </c>
      <c r="S3523" s="30">
        <v>4.41E-2</v>
      </c>
    </row>
    <row r="3524" spans="16:19" x14ac:dyDescent="0.25">
      <c r="P3524" s="27">
        <v>3.2548184716220556E-2</v>
      </c>
      <c r="Q3524" s="28">
        <f t="shared" si="58"/>
        <v>3.5548184716220559E-2</v>
      </c>
      <c r="R3524" s="29">
        <v>0.15</v>
      </c>
      <c r="S3524" s="30">
        <v>0.04</v>
      </c>
    </row>
    <row r="3525" spans="16:19" x14ac:dyDescent="0.25">
      <c r="P3525" s="27">
        <v>3.2548184716220556E-2</v>
      </c>
      <c r="Q3525" s="28">
        <f t="shared" ref="Q3525:Q3588" si="59">P3525+0.003</f>
        <v>3.5548184716220559E-2</v>
      </c>
      <c r="R3525" s="29">
        <v>0.15</v>
      </c>
      <c r="S3525" s="30">
        <v>4.2999999999999997E-2</v>
      </c>
    </row>
    <row r="3526" spans="16:19" x14ac:dyDescent="0.25">
      <c r="P3526" s="27">
        <v>3.2548184716220556E-2</v>
      </c>
      <c r="Q3526" s="28">
        <f t="shared" si="59"/>
        <v>3.5548184716220559E-2</v>
      </c>
      <c r="R3526" s="29">
        <v>0.15</v>
      </c>
      <c r="S3526" s="30">
        <v>4.4670000000000001E-2</v>
      </c>
    </row>
    <row r="3527" spans="16:19" x14ac:dyDescent="0.25">
      <c r="P3527" s="27">
        <v>3.2548184716220556E-2</v>
      </c>
      <c r="Q3527" s="28">
        <f t="shared" si="59"/>
        <v>3.5548184716220559E-2</v>
      </c>
      <c r="R3527" s="29">
        <v>0.15</v>
      </c>
      <c r="S3527" s="30">
        <v>5.0159999999999996E-2</v>
      </c>
    </row>
    <row r="3528" spans="16:19" x14ac:dyDescent="0.25">
      <c r="P3528" s="27">
        <v>3.2548184716220556E-2</v>
      </c>
      <c r="Q3528" s="28">
        <f t="shared" si="59"/>
        <v>3.5548184716220559E-2</v>
      </c>
      <c r="R3528" s="29">
        <v>0.15</v>
      </c>
      <c r="S3528" s="30">
        <v>4.999E-2</v>
      </c>
    </row>
    <row r="3529" spans="16:19" x14ac:dyDescent="0.25">
      <c r="P3529" s="27">
        <v>3.2548184716220556E-2</v>
      </c>
      <c r="Q3529" s="28">
        <f t="shared" si="59"/>
        <v>3.5548184716220559E-2</v>
      </c>
      <c r="R3529" s="29">
        <v>0.15</v>
      </c>
      <c r="S3529" s="30">
        <v>4.1000000000000002E-2</v>
      </c>
    </row>
    <row r="3530" spans="16:19" x14ac:dyDescent="0.25">
      <c r="P3530" s="27">
        <v>3.2548184716220556E-2</v>
      </c>
      <c r="Q3530" s="28">
        <f t="shared" si="59"/>
        <v>3.5548184716220559E-2</v>
      </c>
      <c r="R3530" s="29">
        <v>0.15</v>
      </c>
      <c r="S3530" s="30">
        <v>3.5749999999999997E-2</v>
      </c>
    </row>
    <row r="3531" spans="16:19" x14ac:dyDescent="0.25">
      <c r="P3531" s="27">
        <v>3.2548184716220556E-2</v>
      </c>
      <c r="Q3531" s="28">
        <f t="shared" si="59"/>
        <v>3.5548184716220559E-2</v>
      </c>
      <c r="R3531" s="29">
        <v>0.15</v>
      </c>
      <c r="S3531" s="30">
        <v>4.1000000000000002E-2</v>
      </c>
    </row>
    <row r="3532" spans="16:19" x14ac:dyDescent="0.25">
      <c r="P3532" s="27">
        <v>3.2548184716220556E-2</v>
      </c>
      <c r="Q3532" s="28">
        <f t="shared" si="59"/>
        <v>3.5548184716220559E-2</v>
      </c>
      <c r="R3532" s="29">
        <v>0.15</v>
      </c>
      <c r="S3532" s="30">
        <v>3.4090000000000002E-2</v>
      </c>
    </row>
    <row r="3533" spans="16:19" x14ac:dyDescent="0.25">
      <c r="P3533" s="27">
        <v>3.2548184716220556E-2</v>
      </c>
      <c r="Q3533" s="28">
        <f t="shared" si="59"/>
        <v>3.5548184716220559E-2</v>
      </c>
      <c r="R3533" s="29">
        <v>0.15</v>
      </c>
      <c r="S3533" s="30">
        <v>3.422E-2</v>
      </c>
    </row>
    <row r="3534" spans="16:19" x14ac:dyDescent="0.25">
      <c r="P3534" s="27">
        <v>3.2548184716220556E-2</v>
      </c>
      <c r="Q3534" s="28">
        <f t="shared" si="59"/>
        <v>3.5548184716220559E-2</v>
      </c>
      <c r="R3534" s="29">
        <v>0.15</v>
      </c>
      <c r="S3534" s="30">
        <v>3.0010000000000002E-2</v>
      </c>
    </row>
    <row r="3535" spans="16:19" x14ac:dyDescent="0.25">
      <c r="P3535" s="27">
        <v>3.2548184716220556E-2</v>
      </c>
      <c r="Q3535" s="28">
        <f t="shared" si="59"/>
        <v>3.5548184716220559E-2</v>
      </c>
      <c r="R3535" s="29">
        <v>0.15</v>
      </c>
      <c r="S3535" s="30">
        <v>3.0210000000000001E-2</v>
      </c>
    </row>
    <row r="3536" spans="16:19" x14ac:dyDescent="0.25">
      <c r="P3536" s="27">
        <v>3.2548184716220556E-2</v>
      </c>
      <c r="Q3536" s="28">
        <f t="shared" si="59"/>
        <v>3.5548184716220559E-2</v>
      </c>
      <c r="R3536" s="29">
        <v>0.15</v>
      </c>
      <c r="S3536" s="30">
        <v>3.4090000000000002E-2</v>
      </c>
    </row>
    <row r="3537" spans="16:19" x14ac:dyDescent="0.25">
      <c r="P3537" s="27">
        <v>3.2548184716220556E-2</v>
      </c>
      <c r="Q3537" s="28">
        <f t="shared" si="59"/>
        <v>3.5548184716220559E-2</v>
      </c>
      <c r="R3537" s="29">
        <v>0.15</v>
      </c>
      <c r="S3537" s="30">
        <v>4.0353081999999998E-2</v>
      </c>
    </row>
    <row r="3538" spans="16:19" x14ac:dyDescent="0.25">
      <c r="P3538" s="27">
        <v>3.2548184716220556E-2</v>
      </c>
      <c r="Q3538" s="28">
        <f t="shared" si="59"/>
        <v>3.5548184716220559E-2</v>
      </c>
      <c r="R3538" s="29">
        <v>0.15</v>
      </c>
      <c r="S3538" s="30">
        <v>4.4999999999999998E-2</v>
      </c>
    </row>
    <row r="3539" spans="16:19" x14ac:dyDescent="0.25">
      <c r="P3539" s="27">
        <v>3.2548184716220556E-2</v>
      </c>
      <c r="Q3539" s="28">
        <f t="shared" si="59"/>
        <v>3.5548184716220559E-2</v>
      </c>
      <c r="R3539" s="31">
        <v>0.15939660775771733</v>
      </c>
      <c r="S3539" s="32">
        <v>5.3340000000000005E-2</v>
      </c>
    </row>
    <row r="3540" spans="16:19" x14ac:dyDescent="0.25">
      <c r="P3540" s="27">
        <v>3.2548184716220556E-2</v>
      </c>
      <c r="Q3540" s="28">
        <f t="shared" si="59"/>
        <v>3.5548184716220559E-2</v>
      </c>
      <c r="R3540" s="33">
        <v>0.16282860775771735</v>
      </c>
      <c r="S3540" s="34">
        <v>5.1470000000000002E-2</v>
      </c>
    </row>
    <row r="3541" spans="16:19" x14ac:dyDescent="0.25">
      <c r="P3541" s="27">
        <v>3.2548184716220556E-2</v>
      </c>
      <c r="Q3541" s="28">
        <f t="shared" si="59"/>
        <v>3.5548184716220559E-2</v>
      </c>
      <c r="R3541" s="33">
        <v>0.16282860775771735</v>
      </c>
      <c r="S3541" s="34">
        <v>4.9799999999999997E-2</v>
      </c>
    </row>
    <row r="3542" spans="16:19" x14ac:dyDescent="0.25">
      <c r="P3542" s="27">
        <v>3.2548184716220556E-2</v>
      </c>
      <c r="Q3542" s="28">
        <f t="shared" si="59"/>
        <v>3.5548184716220559E-2</v>
      </c>
      <c r="R3542" s="33">
        <v>0.16282860775771735</v>
      </c>
      <c r="S3542" s="34">
        <v>4.999E-2</v>
      </c>
    </row>
    <row r="3543" spans="16:19" x14ac:dyDescent="0.25">
      <c r="P3543" s="27">
        <v>3.2548184716220556E-2</v>
      </c>
      <c r="Q3543" s="28">
        <f t="shared" si="59"/>
        <v>3.5548184716220559E-2</v>
      </c>
      <c r="R3543" s="33">
        <v>0.16282860775771735</v>
      </c>
      <c r="S3543" s="34">
        <v>4.7149999999999997E-2</v>
      </c>
    </row>
    <row r="3544" spans="16:19" x14ac:dyDescent="0.25">
      <c r="P3544" s="27">
        <v>3.2548184716220556E-2</v>
      </c>
      <c r="Q3544" s="28">
        <f t="shared" si="59"/>
        <v>3.5548184716220559E-2</v>
      </c>
      <c r="R3544" s="33">
        <v>0.16282860775771735</v>
      </c>
      <c r="S3544" s="34">
        <v>4.6650939000000002E-2</v>
      </c>
    </row>
    <row r="3545" spans="16:19" x14ac:dyDescent="0.25">
      <c r="P3545" s="27">
        <v>3.2548184716220556E-2</v>
      </c>
      <c r="Q3545" s="28">
        <f t="shared" si="59"/>
        <v>3.5548184716220559E-2</v>
      </c>
      <c r="R3545" s="33">
        <v>0.16282860775771735</v>
      </c>
      <c r="S3545" s="34">
        <v>4.9750000000000003E-2</v>
      </c>
    </row>
    <row r="3546" spans="16:19" x14ac:dyDescent="0.25">
      <c r="P3546" s="27">
        <v>3.2548184716220556E-2</v>
      </c>
      <c r="Q3546" s="28">
        <f t="shared" si="59"/>
        <v>3.5548184716220559E-2</v>
      </c>
      <c r="R3546" s="33">
        <v>0.16282860775771735</v>
      </c>
      <c r="S3546" s="34">
        <v>5.0029999999999998E-2</v>
      </c>
    </row>
    <row r="3547" spans="16:19" x14ac:dyDescent="0.25">
      <c r="P3547" s="27">
        <v>3.2548184716220556E-2</v>
      </c>
      <c r="Q3547" s="28">
        <f t="shared" si="59"/>
        <v>3.5548184716220559E-2</v>
      </c>
      <c r="R3547" s="33">
        <v>0.16282860775771735</v>
      </c>
      <c r="S3547" s="34">
        <v>5.0531474999999999E-2</v>
      </c>
    </row>
    <row r="3548" spans="16:19" x14ac:dyDescent="0.25">
      <c r="P3548" s="27">
        <v>3.2548184716220556E-2</v>
      </c>
      <c r="Q3548" s="28">
        <f t="shared" si="59"/>
        <v>3.5548184716220559E-2</v>
      </c>
      <c r="R3548" s="33">
        <v>0.16282860775771735</v>
      </c>
      <c r="S3548" s="34">
        <v>0.05</v>
      </c>
    </row>
    <row r="3549" spans="16:19" x14ac:dyDescent="0.25">
      <c r="P3549" s="27">
        <v>3.2548184716220556E-2</v>
      </c>
      <c r="Q3549" s="28">
        <f t="shared" si="59"/>
        <v>3.5548184716220559E-2</v>
      </c>
      <c r="R3549" s="33">
        <v>0.16282860775771735</v>
      </c>
      <c r="S3549" s="34">
        <v>5.1040000000000002E-2</v>
      </c>
    </row>
    <row r="3550" spans="16:19" x14ac:dyDescent="0.25">
      <c r="P3550" s="27">
        <v>3.2548184716220556E-2</v>
      </c>
      <c r="Q3550" s="28">
        <f t="shared" si="59"/>
        <v>3.5548184716220559E-2</v>
      </c>
      <c r="R3550" s="33">
        <v>0.16282860775771735</v>
      </c>
      <c r="S3550" s="34">
        <v>5.3490000000000003E-2</v>
      </c>
    </row>
    <row r="3551" spans="16:19" x14ac:dyDescent="0.25">
      <c r="P3551" s="27">
        <v>3.2548184716220556E-2</v>
      </c>
      <c r="Q3551" s="28">
        <f t="shared" si="59"/>
        <v>3.5548184716220559E-2</v>
      </c>
      <c r="R3551" s="31">
        <v>0.15939660775771733</v>
      </c>
      <c r="S3551" s="32">
        <v>0.06</v>
      </c>
    </row>
    <row r="3552" spans="16:19" x14ac:dyDescent="0.25">
      <c r="P3552" s="27">
        <v>3.2548184716220556E-2</v>
      </c>
      <c r="Q3552" s="28">
        <f t="shared" si="59"/>
        <v>3.5548184716220559E-2</v>
      </c>
      <c r="R3552" s="31">
        <v>0.15939660775771733</v>
      </c>
      <c r="S3552" s="32">
        <v>6.1289999999999997E-2</v>
      </c>
    </row>
    <row r="3553" spans="16:19" x14ac:dyDescent="0.25">
      <c r="P3553" s="27">
        <v>3.2548184716220556E-2</v>
      </c>
      <c r="Q3553" s="28">
        <f t="shared" si="59"/>
        <v>3.5548184716220559E-2</v>
      </c>
      <c r="R3553" s="31">
        <v>0.15939660775771733</v>
      </c>
      <c r="S3553" s="32">
        <v>4.9239999999999999E-2</v>
      </c>
    </row>
    <row r="3554" spans="16:19" x14ac:dyDescent="0.25">
      <c r="P3554" s="27">
        <v>3.2548184716220556E-2</v>
      </c>
      <c r="Q3554" s="28">
        <f t="shared" si="59"/>
        <v>3.5548184716220559E-2</v>
      </c>
      <c r="R3554" s="31">
        <v>0.15939660775771733</v>
      </c>
      <c r="S3554" s="32">
        <v>4.6490000000000004E-2</v>
      </c>
    </row>
    <row r="3555" spans="16:19" x14ac:dyDescent="0.25">
      <c r="P3555" s="27">
        <v>3.2548184716220556E-2</v>
      </c>
      <c r="Q3555" s="28">
        <f t="shared" si="59"/>
        <v>3.5548184716220559E-2</v>
      </c>
      <c r="R3555" s="29">
        <v>0.15003660775771735</v>
      </c>
      <c r="S3555" s="30">
        <v>4.8039999999999999E-2</v>
      </c>
    </row>
    <row r="3556" spans="16:19" x14ac:dyDescent="0.25">
      <c r="P3556" s="27">
        <v>3.2548184716220556E-2</v>
      </c>
      <c r="Q3556" s="28">
        <f t="shared" si="59"/>
        <v>3.5548184716220559E-2</v>
      </c>
      <c r="R3556" s="29">
        <v>0.15003660775771735</v>
      </c>
      <c r="S3556" s="30">
        <v>4.4999999999999998E-2</v>
      </c>
    </row>
    <row r="3557" spans="16:19" x14ac:dyDescent="0.25">
      <c r="P3557" s="27">
        <v>3.2548184716220556E-2</v>
      </c>
      <c r="Q3557" s="28">
        <f t="shared" si="59"/>
        <v>3.5548184716220559E-2</v>
      </c>
      <c r="R3557" s="29">
        <v>0.15003660775771735</v>
      </c>
      <c r="S3557" s="30">
        <v>4.4999999999999998E-2</v>
      </c>
    </row>
    <row r="3558" spans="16:19" x14ac:dyDescent="0.25">
      <c r="P3558" s="27">
        <v>3.2548184716220556E-2</v>
      </c>
      <c r="Q3558" s="28">
        <f t="shared" si="59"/>
        <v>3.5548184716220559E-2</v>
      </c>
      <c r="R3558" s="29">
        <v>0.15003660775771735</v>
      </c>
      <c r="S3558" s="30">
        <v>4.4359999999999997E-2</v>
      </c>
    </row>
    <row r="3559" spans="16:19" x14ac:dyDescent="0.25">
      <c r="P3559" s="27">
        <v>3.2548184716220556E-2</v>
      </c>
      <c r="Q3559" s="28">
        <f t="shared" si="59"/>
        <v>3.5548184716220559E-2</v>
      </c>
      <c r="R3559" s="29">
        <v>0.15003660775771735</v>
      </c>
      <c r="S3559" s="30">
        <v>4.4049999999999999E-2</v>
      </c>
    </row>
    <row r="3560" spans="16:19" x14ac:dyDescent="0.25">
      <c r="P3560" s="27">
        <v>3.2548184716220556E-2</v>
      </c>
      <c r="Q3560" s="28">
        <f t="shared" si="59"/>
        <v>3.5548184716220559E-2</v>
      </c>
      <c r="R3560" s="29">
        <v>0.15003660775771735</v>
      </c>
      <c r="S3560" s="30">
        <v>4.4999999999999998E-2</v>
      </c>
    </row>
    <row r="3561" spans="16:19" x14ac:dyDescent="0.25">
      <c r="P3561" s="27">
        <v>3.2548184716220556E-2</v>
      </c>
      <c r="Q3561" s="28">
        <f t="shared" si="59"/>
        <v>3.5548184716220559E-2</v>
      </c>
      <c r="R3561" s="29">
        <v>0.15003660775771735</v>
      </c>
      <c r="S3561" s="30">
        <v>4.5280000000000001E-2</v>
      </c>
    </row>
    <row r="3562" spans="16:19" x14ac:dyDescent="0.25">
      <c r="P3562" s="27">
        <v>3.2548184716220556E-2</v>
      </c>
      <c r="Q3562" s="28">
        <f t="shared" si="59"/>
        <v>3.5548184716220559E-2</v>
      </c>
      <c r="R3562" s="29">
        <v>0.15003660775771735</v>
      </c>
      <c r="S3562" s="30">
        <v>5.2399999999999995E-2</v>
      </c>
    </row>
    <row r="3563" spans="16:19" x14ac:dyDescent="0.25">
      <c r="P3563" s="27">
        <v>3.2548184716220556E-2</v>
      </c>
      <c r="Q3563" s="28">
        <f t="shared" si="59"/>
        <v>3.5548184716220559E-2</v>
      </c>
      <c r="R3563" s="31">
        <v>0.15939660775771733</v>
      </c>
      <c r="S3563" s="32">
        <v>7.3010000000000005E-2</v>
      </c>
    </row>
    <row r="3564" spans="16:19" x14ac:dyDescent="0.25">
      <c r="P3564" s="27">
        <v>3.2548184716220556E-2</v>
      </c>
      <c r="Q3564" s="28">
        <f t="shared" si="59"/>
        <v>3.5548184716220559E-2</v>
      </c>
      <c r="R3564" s="33">
        <v>0.16282860775771735</v>
      </c>
      <c r="S3564" s="34">
        <v>6.9000000000000006E-2</v>
      </c>
    </row>
    <row r="3565" spans="16:19" x14ac:dyDescent="0.25">
      <c r="P3565" s="27">
        <v>3.2548184716220556E-2</v>
      </c>
      <c r="Q3565" s="28">
        <f t="shared" si="59"/>
        <v>3.5548184716220559E-2</v>
      </c>
      <c r="R3565" s="33">
        <v>0.16282860775771735</v>
      </c>
      <c r="S3565" s="34">
        <v>5.5E-2</v>
      </c>
    </row>
    <row r="3566" spans="16:19" x14ac:dyDescent="0.25">
      <c r="P3566" s="27">
        <v>3.2548184716220556E-2</v>
      </c>
      <c r="Q3566" s="28">
        <f t="shared" si="59"/>
        <v>3.5548184716220559E-2</v>
      </c>
      <c r="R3566" s="33">
        <v>0.16282860775771735</v>
      </c>
      <c r="S3566" s="34">
        <v>5.4990000000000004E-2</v>
      </c>
    </row>
    <row r="3567" spans="16:19" x14ac:dyDescent="0.25">
      <c r="P3567" s="27">
        <v>3.2548184716220556E-2</v>
      </c>
      <c r="Q3567" s="28">
        <f t="shared" si="59"/>
        <v>3.5548184716220559E-2</v>
      </c>
      <c r="R3567" s="33">
        <v>0.16282860775771735</v>
      </c>
      <c r="S3567" s="34">
        <v>5.0560000000000001E-2</v>
      </c>
    </row>
    <row r="3568" spans="16:19" x14ac:dyDescent="0.25">
      <c r="P3568" s="27">
        <v>3.2548184716220556E-2</v>
      </c>
      <c r="Q3568" s="28">
        <f t="shared" si="59"/>
        <v>3.5548184716220559E-2</v>
      </c>
      <c r="R3568" s="33">
        <v>0.16282860775771735</v>
      </c>
      <c r="S3568" s="34">
        <v>5.0020000000000002E-2</v>
      </c>
    </row>
    <row r="3569" spans="16:19" x14ac:dyDescent="0.25">
      <c r="P3569" s="27">
        <v>3.2548184716220556E-2</v>
      </c>
      <c r="Q3569" s="28">
        <f t="shared" si="59"/>
        <v>3.5548184716220559E-2</v>
      </c>
      <c r="R3569" s="33">
        <v>0.16282860775771735</v>
      </c>
      <c r="S3569" s="34">
        <v>5.2020000000000004E-2</v>
      </c>
    </row>
    <row r="3570" spans="16:19" x14ac:dyDescent="0.25">
      <c r="P3570" s="27">
        <v>3.2548184716220556E-2</v>
      </c>
      <c r="Q3570" s="28">
        <f t="shared" si="59"/>
        <v>3.5548184716220559E-2</v>
      </c>
      <c r="R3570" s="33">
        <v>0.16282860775771735</v>
      </c>
      <c r="S3570" s="34">
        <v>5.4990000000000004E-2</v>
      </c>
    </row>
    <row r="3571" spans="16:19" x14ac:dyDescent="0.25">
      <c r="P3571" s="27">
        <v>3.2548184716220556E-2</v>
      </c>
      <c r="Q3571" s="28">
        <f t="shared" si="59"/>
        <v>3.5548184716220559E-2</v>
      </c>
      <c r="R3571" s="33">
        <v>0.16282860775771735</v>
      </c>
      <c r="S3571" s="34">
        <v>5.5E-2</v>
      </c>
    </row>
    <row r="3572" spans="16:19" x14ac:dyDescent="0.25">
      <c r="P3572" s="27">
        <v>3.2548184716220556E-2</v>
      </c>
      <c r="Q3572" s="28">
        <f t="shared" si="59"/>
        <v>3.5548184716220559E-2</v>
      </c>
      <c r="R3572" s="33">
        <v>0.16282860775771735</v>
      </c>
      <c r="S3572" s="34">
        <v>5.1529999999999999E-2</v>
      </c>
    </row>
    <row r="3573" spans="16:19" x14ac:dyDescent="0.25">
      <c r="P3573" s="27">
        <v>3.2548184716220556E-2</v>
      </c>
      <c r="Q3573" s="28">
        <f t="shared" si="59"/>
        <v>3.5548184716220559E-2</v>
      </c>
      <c r="R3573" s="33">
        <v>0.16282860775771735</v>
      </c>
      <c r="S3573" s="34">
        <v>5.2569999999999999E-2</v>
      </c>
    </row>
    <row r="3574" spans="16:19" x14ac:dyDescent="0.25">
      <c r="P3574" s="27">
        <v>3.2548184716220556E-2</v>
      </c>
      <c r="Q3574" s="28">
        <f t="shared" si="59"/>
        <v>3.5548184716220559E-2</v>
      </c>
      <c r="R3574" s="33">
        <v>0.16282860775771735</v>
      </c>
      <c r="S3574" s="34">
        <v>5.3450000000000004E-2</v>
      </c>
    </row>
    <row r="3575" spans="16:19" x14ac:dyDescent="0.25">
      <c r="P3575" s="27">
        <v>3.2548184716220556E-2</v>
      </c>
      <c r="Q3575" s="28">
        <f t="shared" si="59"/>
        <v>3.5548184716220559E-2</v>
      </c>
      <c r="R3575" s="31">
        <v>0.15939660775771733</v>
      </c>
      <c r="S3575" s="32">
        <v>5.6624339999999995E-2</v>
      </c>
    </row>
    <row r="3576" spans="16:19" x14ac:dyDescent="0.25">
      <c r="P3576" s="27">
        <v>3.2548184716220556E-2</v>
      </c>
      <c r="Q3576" s="28">
        <f t="shared" si="59"/>
        <v>3.5548184716220559E-2</v>
      </c>
      <c r="R3576" s="31">
        <v>0.15939660775771733</v>
      </c>
      <c r="S3576" s="32">
        <v>5.7000000000000002E-2</v>
      </c>
    </row>
    <row r="3577" spans="16:19" x14ac:dyDescent="0.25">
      <c r="P3577" s="27">
        <v>3.2548184716220556E-2</v>
      </c>
      <c r="Q3577" s="28">
        <f t="shared" si="59"/>
        <v>3.5548184716220559E-2</v>
      </c>
      <c r="R3577" s="31">
        <v>0.15939660775771733</v>
      </c>
      <c r="S3577" s="32">
        <v>4.9000000000000002E-2</v>
      </c>
    </row>
    <row r="3578" spans="16:19" x14ac:dyDescent="0.25">
      <c r="P3578" s="27">
        <v>3.2548184716220556E-2</v>
      </c>
      <c r="Q3578" s="28">
        <f t="shared" si="59"/>
        <v>3.5548184716220559E-2</v>
      </c>
      <c r="R3578" s="31">
        <v>0.15939660775771733</v>
      </c>
      <c r="S3578" s="32">
        <v>4.5340000000000005E-2</v>
      </c>
    </row>
    <row r="3579" spans="16:19" x14ac:dyDescent="0.25">
      <c r="P3579" s="27">
        <v>3.2548184716220556E-2</v>
      </c>
      <c r="Q3579" s="28">
        <f t="shared" si="59"/>
        <v>3.5548184716220559E-2</v>
      </c>
      <c r="R3579" s="29">
        <v>0.15003660775771735</v>
      </c>
      <c r="S3579" s="30">
        <v>4.3740172000000001E-2</v>
      </c>
    </row>
    <row r="3580" spans="16:19" x14ac:dyDescent="0.25">
      <c r="P3580" s="27">
        <v>3.2548184716220556E-2</v>
      </c>
      <c r="Q3580" s="28">
        <f t="shared" si="59"/>
        <v>3.5548184716220559E-2</v>
      </c>
      <c r="R3580" s="29">
        <v>0.15003660775771735</v>
      </c>
      <c r="S3580" s="30">
        <v>4.2000000000000003E-2</v>
      </c>
    </row>
    <row r="3581" spans="16:19" x14ac:dyDescent="0.25">
      <c r="P3581" s="27">
        <v>3.2548184716220556E-2</v>
      </c>
      <c r="Q3581" s="28">
        <f t="shared" si="59"/>
        <v>3.5548184716220559E-2</v>
      </c>
      <c r="R3581" s="29">
        <v>0.15003660775771735</v>
      </c>
      <c r="S3581" s="30">
        <v>4.1579999999999999E-2</v>
      </c>
    </row>
    <row r="3582" spans="16:19" x14ac:dyDescent="0.25">
      <c r="P3582" s="27">
        <v>3.2548184716220556E-2</v>
      </c>
      <c r="Q3582" s="28">
        <f t="shared" si="59"/>
        <v>3.5548184716220559E-2</v>
      </c>
      <c r="R3582" s="29">
        <v>0.15003660775771735</v>
      </c>
      <c r="S3582" s="30">
        <v>3.4360000000000002E-2</v>
      </c>
    </row>
    <row r="3583" spans="16:19" x14ac:dyDescent="0.25">
      <c r="P3583" s="27">
        <v>3.2548184716220556E-2</v>
      </c>
      <c r="Q3583" s="28">
        <f t="shared" si="59"/>
        <v>3.5548184716220559E-2</v>
      </c>
      <c r="R3583" s="29">
        <v>0.15003660775771735</v>
      </c>
      <c r="S3583" s="30">
        <v>3.5119999999999998E-2</v>
      </c>
    </row>
    <row r="3584" spans="16:19" x14ac:dyDescent="0.25">
      <c r="P3584" s="27">
        <v>3.2548184716220556E-2</v>
      </c>
      <c r="Q3584" s="28">
        <f t="shared" si="59"/>
        <v>3.5548184716220559E-2</v>
      </c>
      <c r="R3584" s="29">
        <v>0.15003660775771735</v>
      </c>
      <c r="S3584" s="30">
        <v>3.7170000000000002E-2</v>
      </c>
    </row>
    <row r="3585" spans="16:19" x14ac:dyDescent="0.25">
      <c r="P3585" s="27">
        <v>3.2548184716220556E-2</v>
      </c>
      <c r="Q3585" s="28">
        <f t="shared" si="59"/>
        <v>3.5548184716220559E-2</v>
      </c>
      <c r="R3585" s="29">
        <v>0.15003660775771735</v>
      </c>
      <c r="S3585" s="30">
        <v>4.199E-2</v>
      </c>
    </row>
    <row r="3586" spans="16:19" x14ac:dyDescent="0.25">
      <c r="P3586" s="27">
        <v>3.2548184716220556E-2</v>
      </c>
      <c r="Q3586" s="28">
        <f t="shared" si="59"/>
        <v>3.5548184716220559E-2</v>
      </c>
      <c r="R3586" s="29">
        <v>0.15003660775771735</v>
      </c>
      <c r="S3586" s="30">
        <v>4.4200000000000003E-2</v>
      </c>
    </row>
    <row r="3587" spans="16:19" x14ac:dyDescent="0.25">
      <c r="P3587" s="27">
        <v>3.2548184716220556E-2</v>
      </c>
      <c r="Q3587" s="28">
        <f t="shared" si="59"/>
        <v>3.5548184716220559E-2</v>
      </c>
      <c r="R3587" s="31">
        <v>0.15939660775771733</v>
      </c>
      <c r="S3587" s="32">
        <v>5.2429999999999997E-2</v>
      </c>
    </row>
    <row r="3588" spans="16:19" x14ac:dyDescent="0.25">
      <c r="P3588" s="27">
        <v>3.2548184716220556E-2</v>
      </c>
      <c r="Q3588" s="28">
        <f t="shared" si="59"/>
        <v>3.5548184716220559E-2</v>
      </c>
      <c r="R3588" s="33">
        <v>0.16282860775771735</v>
      </c>
      <c r="S3588" s="34">
        <v>5.0369999999999998E-2</v>
      </c>
    </row>
    <row r="3589" spans="16:19" x14ac:dyDescent="0.25">
      <c r="P3589" s="27">
        <v>3.2548184716220556E-2</v>
      </c>
      <c r="Q3589" s="28">
        <f t="shared" ref="Q3589:Q3652" si="60">P3589+0.003</f>
        <v>3.5548184716220559E-2</v>
      </c>
      <c r="R3589" s="33">
        <v>0.16282860775771735</v>
      </c>
      <c r="S3589" s="34">
        <v>4.7750000000000001E-2</v>
      </c>
    </row>
    <row r="3590" spans="16:19" x14ac:dyDescent="0.25">
      <c r="P3590" s="27">
        <v>3.2548184716220556E-2</v>
      </c>
      <c r="Q3590" s="28">
        <f t="shared" si="60"/>
        <v>3.5548184716220559E-2</v>
      </c>
      <c r="R3590" s="33">
        <v>0.16282860775771735</v>
      </c>
      <c r="S3590" s="34">
        <v>4.7149999999999997E-2</v>
      </c>
    </row>
    <row r="3591" spans="16:19" x14ac:dyDescent="0.25">
      <c r="P3591" s="27">
        <v>3.2548184716220556E-2</v>
      </c>
      <c r="Q3591" s="28">
        <f t="shared" si="60"/>
        <v>3.5548184716220559E-2</v>
      </c>
      <c r="R3591" s="33">
        <v>0.16282860775771735</v>
      </c>
      <c r="S3591" s="34">
        <v>4.249E-2</v>
      </c>
    </row>
    <row r="3592" spans="16:19" x14ac:dyDescent="0.25">
      <c r="P3592" s="27">
        <v>3.2548184716220556E-2</v>
      </c>
      <c r="Q3592" s="28">
        <f t="shared" si="60"/>
        <v>3.5548184716220559E-2</v>
      </c>
      <c r="R3592" s="33">
        <v>0.16282860775771735</v>
      </c>
      <c r="S3592" s="34">
        <v>4.1000000000000002E-2</v>
      </c>
    </row>
    <row r="3593" spans="16:19" x14ac:dyDescent="0.25">
      <c r="P3593" s="27">
        <v>3.2548184716220556E-2</v>
      </c>
      <c r="Q3593" s="28">
        <f t="shared" si="60"/>
        <v>3.5548184716220559E-2</v>
      </c>
      <c r="R3593" s="33">
        <v>0.16282860775771735</v>
      </c>
      <c r="S3593" s="34">
        <v>4.6369999999999995E-2</v>
      </c>
    </row>
    <row r="3594" spans="16:19" x14ac:dyDescent="0.25">
      <c r="P3594" s="27">
        <v>3.2548184716220556E-2</v>
      </c>
      <c r="Q3594" s="28">
        <f t="shared" si="60"/>
        <v>3.5548184716220559E-2</v>
      </c>
      <c r="R3594" s="33">
        <v>0.16282860775771735</v>
      </c>
      <c r="S3594" s="34">
        <v>4.8030000000000003E-2</v>
      </c>
    </row>
    <row r="3595" spans="16:19" x14ac:dyDescent="0.25">
      <c r="P3595" s="27">
        <v>3.2548184716220556E-2</v>
      </c>
      <c r="Q3595" s="28">
        <f t="shared" si="60"/>
        <v>3.5548184716220559E-2</v>
      </c>
      <c r="R3595" s="33">
        <v>0.16282860775771735</v>
      </c>
      <c r="S3595" s="34">
        <v>4.8960000000000004E-2</v>
      </c>
    </row>
    <row r="3596" spans="16:19" x14ac:dyDescent="0.25">
      <c r="P3596" s="27">
        <v>3.2548184716220556E-2</v>
      </c>
      <c r="Q3596" s="28">
        <f t="shared" si="60"/>
        <v>3.5548184716220559E-2</v>
      </c>
      <c r="R3596" s="33">
        <v>0.16282860775771735</v>
      </c>
      <c r="S3596" s="34">
        <v>4.8039999999999999E-2</v>
      </c>
    </row>
    <row r="3597" spans="16:19" x14ac:dyDescent="0.25">
      <c r="P3597" s="27">
        <v>3.2548184716220556E-2</v>
      </c>
      <c r="Q3597" s="28">
        <f t="shared" si="60"/>
        <v>3.5548184716220559E-2</v>
      </c>
      <c r="R3597" s="33">
        <v>0.16282860775771735</v>
      </c>
      <c r="S3597" s="34">
        <v>5.1220000000000002E-2</v>
      </c>
    </row>
    <row r="3598" spans="16:19" x14ac:dyDescent="0.25">
      <c r="P3598" s="27">
        <v>3.2548184716220556E-2</v>
      </c>
      <c r="Q3598" s="28">
        <f t="shared" si="60"/>
        <v>3.5548184716220559E-2</v>
      </c>
      <c r="R3598" s="33">
        <v>0.16282860775771735</v>
      </c>
      <c r="S3598" s="34">
        <v>5.2450000000000004E-2</v>
      </c>
    </row>
    <row r="3599" spans="16:19" x14ac:dyDescent="0.25">
      <c r="P3599" s="27">
        <v>3.2548184716220556E-2</v>
      </c>
      <c r="Q3599" s="28">
        <f t="shared" si="60"/>
        <v>3.5548184716220559E-2</v>
      </c>
      <c r="R3599" s="31">
        <v>0.15939660775771733</v>
      </c>
      <c r="S3599" s="32">
        <v>5.5119999999999995E-2</v>
      </c>
    </row>
    <row r="3600" spans="16:19" x14ac:dyDescent="0.25">
      <c r="P3600" s="27">
        <v>3.2548184716220556E-2</v>
      </c>
      <c r="Q3600" s="28">
        <f t="shared" si="60"/>
        <v>3.5548184716220559E-2</v>
      </c>
      <c r="R3600" s="31">
        <v>0.15939660775771733</v>
      </c>
      <c r="S3600" s="32">
        <v>5.4990000000000004E-2</v>
      </c>
    </row>
    <row r="3601" spans="16:19" x14ac:dyDescent="0.25">
      <c r="P3601" s="27">
        <v>3.2548184716220556E-2</v>
      </c>
      <c r="Q3601" s="28">
        <f t="shared" si="60"/>
        <v>3.5548184716220559E-2</v>
      </c>
      <c r="R3601" s="31">
        <v>0.15939660775771733</v>
      </c>
      <c r="S3601" s="32">
        <v>4.6890000000000001E-2</v>
      </c>
    </row>
    <row r="3602" spans="16:19" x14ac:dyDescent="0.25">
      <c r="P3602" s="27">
        <v>3.2548184716220556E-2</v>
      </c>
      <c r="Q3602" s="28">
        <f t="shared" si="60"/>
        <v>3.5548184716220559E-2</v>
      </c>
      <c r="R3602" s="31">
        <v>0.15939660775771733</v>
      </c>
      <c r="S3602" s="32">
        <v>4.3970000000000002E-2</v>
      </c>
    </row>
    <row r="3603" spans="16:19" x14ac:dyDescent="0.25">
      <c r="P3603" s="27">
        <v>3.2548184716220556E-2</v>
      </c>
      <c r="Q3603" s="28">
        <f t="shared" si="60"/>
        <v>3.5548184716220559E-2</v>
      </c>
      <c r="R3603" s="29">
        <v>0.15003660775771735</v>
      </c>
      <c r="S3603" s="30">
        <v>3.9359999999999999E-2</v>
      </c>
    </row>
    <row r="3604" spans="16:19" x14ac:dyDescent="0.25">
      <c r="P3604" s="27">
        <v>3.2548184716220556E-2</v>
      </c>
      <c r="Q3604" s="28">
        <f t="shared" si="60"/>
        <v>3.5548184716220559E-2</v>
      </c>
      <c r="R3604" s="29">
        <v>0.15003660775771735</v>
      </c>
      <c r="S3604" s="30">
        <v>3.9359999999999999E-2</v>
      </c>
    </row>
    <row r="3605" spans="16:19" x14ac:dyDescent="0.25">
      <c r="P3605" s="27">
        <v>3.2548184716220556E-2</v>
      </c>
      <c r="Q3605" s="28">
        <f t="shared" si="60"/>
        <v>3.5548184716220559E-2</v>
      </c>
      <c r="R3605" s="29">
        <v>0.15003660775771735</v>
      </c>
      <c r="S3605" s="30">
        <v>3.483E-2</v>
      </c>
    </row>
    <row r="3606" spans="16:19" x14ac:dyDescent="0.25">
      <c r="P3606" s="27">
        <v>3.2548184716220556E-2</v>
      </c>
      <c r="Q3606" s="28">
        <f t="shared" si="60"/>
        <v>3.5548184716220559E-2</v>
      </c>
      <c r="R3606" s="29">
        <v>0.15003660775771735</v>
      </c>
      <c r="S3606" s="30">
        <v>3.338E-2</v>
      </c>
    </row>
    <row r="3607" spans="16:19" x14ac:dyDescent="0.25">
      <c r="P3607" s="27">
        <v>3.2548184716220556E-2</v>
      </c>
      <c r="Q3607" s="28">
        <f t="shared" si="60"/>
        <v>3.5548184716220559E-2</v>
      </c>
      <c r="R3607" s="29">
        <v>0.15003660775771735</v>
      </c>
      <c r="S3607" s="30">
        <v>3.236E-2</v>
      </c>
    </row>
    <row r="3608" spans="16:19" x14ac:dyDescent="0.25">
      <c r="P3608" s="27">
        <v>3.2548184716220556E-2</v>
      </c>
      <c r="Q3608" s="28">
        <f t="shared" si="60"/>
        <v>3.5548184716220559E-2</v>
      </c>
      <c r="R3608" s="29">
        <v>0.15003660775771735</v>
      </c>
      <c r="S3608" s="30">
        <v>3.1280000000000002E-2</v>
      </c>
    </row>
    <row r="3609" spans="16:19" x14ac:dyDescent="0.25">
      <c r="P3609" s="27">
        <v>3.2548184716220556E-2</v>
      </c>
      <c r="Q3609" s="28">
        <f t="shared" si="60"/>
        <v>3.5548184716220559E-2</v>
      </c>
      <c r="R3609" s="29">
        <v>0.15003660775771735</v>
      </c>
      <c r="S3609" s="30">
        <v>3.211E-2</v>
      </c>
    </row>
    <row r="3610" spans="16:19" x14ac:dyDescent="0.25">
      <c r="P3610" s="27">
        <v>3.2548184716220556E-2</v>
      </c>
      <c r="Q3610" s="28">
        <f t="shared" si="60"/>
        <v>3.5548184716220559E-2</v>
      </c>
      <c r="R3610" s="29">
        <v>0.15003660775771735</v>
      </c>
      <c r="S3610" s="30">
        <v>3.8490000000000003E-2</v>
      </c>
    </row>
    <row r="3611" spans="16:19" x14ac:dyDescent="0.25">
      <c r="P3611" s="27">
        <v>3.2548184716220556E-2</v>
      </c>
      <c r="Q3611" s="28">
        <f t="shared" si="60"/>
        <v>3.5548184716220559E-2</v>
      </c>
      <c r="R3611" s="31">
        <v>0.15939660775771733</v>
      </c>
      <c r="S3611" s="32">
        <v>4.641E-2</v>
      </c>
    </row>
    <row r="3612" spans="16:19" x14ac:dyDescent="0.25">
      <c r="P3612" s="27">
        <v>3.2548184716220556E-2</v>
      </c>
      <c r="Q3612" s="28">
        <f t="shared" si="60"/>
        <v>3.5548184716220559E-2</v>
      </c>
      <c r="R3612" s="33">
        <v>0.16282860775771735</v>
      </c>
      <c r="S3612" s="34">
        <v>4.4999999999999998E-2</v>
      </c>
    </row>
    <row r="3613" spans="16:19" x14ac:dyDescent="0.25">
      <c r="P3613" s="27">
        <v>3.2548184716220556E-2</v>
      </c>
      <c r="Q3613" s="28">
        <f t="shared" si="60"/>
        <v>3.5548184716220559E-2</v>
      </c>
      <c r="R3613" s="33">
        <v>0.16282860775771735</v>
      </c>
      <c r="S3613" s="34">
        <v>4.2000000000000003E-2</v>
      </c>
    </row>
    <row r="3614" spans="16:19" x14ac:dyDescent="0.25">
      <c r="P3614" s="27">
        <v>3.2548184716220556E-2</v>
      </c>
      <c r="Q3614" s="28">
        <f t="shared" si="60"/>
        <v>3.5548184716220559E-2</v>
      </c>
      <c r="R3614" s="33">
        <v>0.16282860775771735</v>
      </c>
      <c r="S3614" s="34">
        <v>3.5000000000000003E-2</v>
      </c>
    </row>
    <row r="3615" spans="16:19" x14ac:dyDescent="0.25">
      <c r="P3615" s="27">
        <v>3.2548184716220556E-2</v>
      </c>
      <c r="Q3615" s="28">
        <f t="shared" si="60"/>
        <v>3.5548184716220559E-2</v>
      </c>
      <c r="R3615" s="33">
        <v>0.16282860775771735</v>
      </c>
      <c r="S3615" s="34">
        <v>3.0519999999999999E-2</v>
      </c>
    </row>
    <row r="3616" spans="16:19" x14ac:dyDescent="0.25">
      <c r="P3616" s="27">
        <v>3.2548184716220556E-2</v>
      </c>
      <c r="Q3616" s="28">
        <f t="shared" si="60"/>
        <v>3.5548184716220559E-2</v>
      </c>
      <c r="R3616" s="33">
        <v>0.16282860775771735</v>
      </c>
      <c r="S3616" s="34">
        <v>2.6539999999999998E-2</v>
      </c>
    </row>
    <row r="3617" spans="16:19" x14ac:dyDescent="0.25">
      <c r="P3617" s="27">
        <v>3.2548184716220556E-2</v>
      </c>
      <c r="Q3617" s="28">
        <f t="shared" si="60"/>
        <v>3.5548184716220559E-2</v>
      </c>
      <c r="R3617" s="33">
        <v>0.16282860775771735</v>
      </c>
      <c r="S3617" s="34">
        <v>2.5219999999999999E-2</v>
      </c>
    </row>
    <row r="3618" spans="16:19" x14ac:dyDescent="0.25">
      <c r="P3618" s="27">
        <v>3.2548184716220556E-2</v>
      </c>
      <c r="Q3618" s="28">
        <f t="shared" si="60"/>
        <v>3.5548184716220559E-2</v>
      </c>
      <c r="R3618" s="33">
        <v>0.16282860775771735</v>
      </c>
      <c r="S3618" s="34">
        <v>2.6239999999999999E-2</v>
      </c>
    </row>
    <row r="3619" spans="16:19" x14ac:dyDescent="0.25">
      <c r="P3619" s="27">
        <v>3.2548184716220556E-2</v>
      </c>
      <c r="Q3619" s="28">
        <f t="shared" si="60"/>
        <v>3.5548184716220559E-2</v>
      </c>
      <c r="R3619" s="33">
        <v>0.16282860775771735</v>
      </c>
      <c r="S3619" s="34">
        <v>2.759E-2</v>
      </c>
    </row>
    <row r="3620" spans="16:19" x14ac:dyDescent="0.25">
      <c r="P3620" s="27">
        <v>3.2548184716220556E-2</v>
      </c>
      <c r="Q3620" s="28">
        <f t="shared" si="60"/>
        <v>3.5548184716220559E-2</v>
      </c>
      <c r="R3620" s="33">
        <v>0.16282860775771735</v>
      </c>
      <c r="S3620" s="34">
        <v>3.4360000000000002E-2</v>
      </c>
    </row>
    <row r="3621" spans="16:19" x14ac:dyDescent="0.25">
      <c r="P3621" s="27">
        <v>3.2548184716220556E-2</v>
      </c>
      <c r="Q3621" s="28">
        <f t="shared" si="60"/>
        <v>3.5548184716220559E-2</v>
      </c>
      <c r="R3621" s="33">
        <v>0.16282860775771735</v>
      </c>
      <c r="S3621" s="34">
        <v>4.2000000000000003E-2</v>
      </c>
    </row>
    <row r="3622" spans="16:19" x14ac:dyDescent="0.25">
      <c r="P3622" s="27">
        <v>3.2548184716220556E-2</v>
      </c>
      <c r="Q3622" s="28">
        <f t="shared" si="60"/>
        <v>3.5548184716220559E-2</v>
      </c>
      <c r="R3622" s="33">
        <v>0.16282860775771735</v>
      </c>
      <c r="S3622" s="34">
        <v>0.05</v>
      </c>
    </row>
    <row r="3623" spans="16:19" x14ac:dyDescent="0.25">
      <c r="P3623" s="27">
        <v>3.2548184716220556E-2</v>
      </c>
      <c r="Q3623" s="28">
        <f t="shared" si="60"/>
        <v>3.5548184716220559E-2</v>
      </c>
      <c r="R3623" s="31">
        <v>0.15939660775771733</v>
      </c>
      <c r="S3623" s="32">
        <v>6.4989999999999992E-2</v>
      </c>
    </row>
    <row r="3624" spans="16:19" x14ac:dyDescent="0.25">
      <c r="P3624" s="27">
        <v>3.2548184716220556E-2</v>
      </c>
      <c r="Q3624" s="28">
        <f t="shared" si="60"/>
        <v>3.5548184716220559E-2</v>
      </c>
      <c r="R3624" s="31">
        <v>0.15939660775771733</v>
      </c>
      <c r="S3624" s="32">
        <v>6.6000000000000003E-2</v>
      </c>
    </row>
    <row r="3625" spans="16:19" x14ac:dyDescent="0.25">
      <c r="P3625" s="27">
        <v>3.2548184716220556E-2</v>
      </c>
      <c r="Q3625" s="28">
        <f t="shared" si="60"/>
        <v>3.5548184716220559E-2</v>
      </c>
      <c r="R3625" s="31">
        <v>0.15939660775771733</v>
      </c>
      <c r="S3625" s="32">
        <v>4.9105223000000003E-2</v>
      </c>
    </row>
    <row r="3626" spans="16:19" x14ac:dyDescent="0.25">
      <c r="P3626" s="27">
        <v>3.2548184716220556E-2</v>
      </c>
      <c r="Q3626" s="28">
        <f t="shared" si="60"/>
        <v>3.5548184716220559E-2</v>
      </c>
      <c r="R3626" s="31">
        <v>0.15939660775771733</v>
      </c>
      <c r="S3626" s="32">
        <v>4.4560000000000002E-2</v>
      </c>
    </row>
    <row r="3627" spans="16:19" x14ac:dyDescent="0.25">
      <c r="P3627" s="27">
        <v>3.2548184716220556E-2</v>
      </c>
      <c r="Q3627" s="28">
        <f t="shared" si="60"/>
        <v>3.5548184716220559E-2</v>
      </c>
      <c r="R3627" s="29">
        <v>0.15003660775771735</v>
      </c>
      <c r="S3627" s="30">
        <v>0.05</v>
      </c>
    </row>
    <row r="3628" spans="16:19" x14ac:dyDescent="0.25">
      <c r="P3628" s="27">
        <v>3.2548184716220556E-2</v>
      </c>
      <c r="Q3628" s="28">
        <f t="shared" si="60"/>
        <v>3.5548184716220559E-2</v>
      </c>
      <c r="R3628" s="29">
        <v>0.15003660775771735</v>
      </c>
      <c r="S3628" s="30">
        <v>4.4359999999999997E-2</v>
      </c>
    </row>
    <row r="3629" spans="16:19" x14ac:dyDescent="0.25">
      <c r="P3629" s="27">
        <v>3.2548184716220556E-2</v>
      </c>
      <c r="Q3629" s="28">
        <f t="shared" si="60"/>
        <v>3.5548184716220559E-2</v>
      </c>
      <c r="R3629" s="29">
        <v>0.15003660775771735</v>
      </c>
      <c r="S3629" s="30">
        <v>3.9337248999999998E-2</v>
      </c>
    </row>
    <row r="3630" spans="16:19" x14ac:dyDescent="0.25">
      <c r="P3630" s="27">
        <v>3.2548184716220556E-2</v>
      </c>
      <c r="Q3630" s="28">
        <f t="shared" si="60"/>
        <v>3.5548184716220559E-2</v>
      </c>
      <c r="R3630" s="29">
        <v>0.15003660775771735</v>
      </c>
      <c r="S3630" s="30">
        <v>3.619E-2</v>
      </c>
    </row>
    <row r="3631" spans="16:19" x14ac:dyDescent="0.25">
      <c r="P3631" s="27">
        <v>3.2548184716220556E-2</v>
      </c>
      <c r="Q3631" s="28">
        <f t="shared" si="60"/>
        <v>3.5548184716220559E-2</v>
      </c>
      <c r="R3631" s="29">
        <v>0.15003660775771735</v>
      </c>
      <c r="S3631" s="30">
        <v>3.5000000000000003E-2</v>
      </c>
    </row>
    <row r="3632" spans="16:19" x14ac:dyDescent="0.25">
      <c r="P3632" s="27">
        <v>3.2548184716220556E-2</v>
      </c>
      <c r="Q3632" s="28">
        <f t="shared" si="60"/>
        <v>3.5548184716220559E-2</v>
      </c>
      <c r="R3632" s="29">
        <v>0.15003660775771735</v>
      </c>
      <c r="S3632" s="30">
        <v>3.4000000000000002E-2</v>
      </c>
    </row>
    <row r="3633" spans="16:19" x14ac:dyDescent="0.25">
      <c r="P3633" s="27">
        <v>3.2548184716220556E-2</v>
      </c>
      <c r="Q3633" s="28">
        <f t="shared" si="60"/>
        <v>3.5548184716220559E-2</v>
      </c>
      <c r="R3633" s="29">
        <v>0.15003660775771735</v>
      </c>
      <c r="S3633" s="30">
        <v>3.0159999999999999E-2</v>
      </c>
    </row>
    <row r="3634" spans="16:19" x14ac:dyDescent="0.25">
      <c r="P3634" s="27">
        <v>3.2548184716220556E-2</v>
      </c>
      <c r="Q3634" s="28">
        <f t="shared" si="60"/>
        <v>3.5548184716220559E-2</v>
      </c>
      <c r="R3634" s="29">
        <v>0.15003660775771735</v>
      </c>
      <c r="S3634" s="30">
        <v>2.8579999999999998E-2</v>
      </c>
    </row>
    <row r="3635" spans="16:19" x14ac:dyDescent="0.25">
      <c r="P3635" s="27">
        <v>3.2548184716220556E-2</v>
      </c>
      <c r="Q3635" s="28">
        <f t="shared" si="60"/>
        <v>3.5548184716220559E-2</v>
      </c>
      <c r="R3635" s="31">
        <v>0.15939660775771733</v>
      </c>
      <c r="S3635" s="32">
        <v>3.0159999999999999E-2</v>
      </c>
    </row>
    <row r="3636" spans="16:19" x14ac:dyDescent="0.25">
      <c r="P3636" s="27">
        <v>3.2548184716220556E-2</v>
      </c>
      <c r="Q3636" s="28">
        <f t="shared" si="60"/>
        <v>3.5548184716220559E-2</v>
      </c>
      <c r="R3636" s="33">
        <v>0.16282860775771735</v>
      </c>
      <c r="S3636" s="34">
        <v>2.8579999999999998E-2</v>
      </c>
    </row>
    <row r="3637" spans="16:19" x14ac:dyDescent="0.25">
      <c r="P3637" s="27">
        <v>3.2548184716220556E-2</v>
      </c>
      <c r="Q3637" s="28">
        <f t="shared" si="60"/>
        <v>3.5548184716220559E-2</v>
      </c>
      <c r="R3637" s="33">
        <v>0.16282860775771735</v>
      </c>
      <c r="S3637" s="34">
        <v>2.8206154000000001E-2</v>
      </c>
    </row>
    <row r="3638" spans="16:19" x14ac:dyDescent="0.25">
      <c r="P3638" s="27">
        <v>3.2548184716220556E-2</v>
      </c>
      <c r="Q3638" s="28">
        <f t="shared" si="60"/>
        <v>3.5548184716220559E-2</v>
      </c>
      <c r="R3638" s="33">
        <v>0.16282860775771735</v>
      </c>
      <c r="S3638" s="34">
        <v>2.3260000000000003E-2</v>
      </c>
    </row>
    <row r="3639" spans="16:19" x14ac:dyDescent="0.25">
      <c r="P3639" s="27">
        <v>3.2548184716220556E-2</v>
      </c>
      <c r="Q3639" s="28">
        <f t="shared" si="60"/>
        <v>3.5548184716220559E-2</v>
      </c>
      <c r="R3639" s="33">
        <v>0.16282860775771735</v>
      </c>
      <c r="S3639" s="34">
        <v>1.9649999999999997E-2</v>
      </c>
    </row>
    <row r="3640" spans="16:19" x14ac:dyDescent="0.25">
      <c r="P3640" s="27">
        <v>3.2548184716220556E-2</v>
      </c>
      <c r="Q3640" s="28">
        <f t="shared" si="60"/>
        <v>3.5548184716220559E-2</v>
      </c>
      <c r="R3640" s="33">
        <v>0.16282860775771735</v>
      </c>
      <c r="S3640" s="34">
        <v>1.4999999999999999E-2</v>
      </c>
    </row>
    <row r="3641" spans="16:19" x14ac:dyDescent="0.25">
      <c r="P3641" s="27">
        <v>3.2548184716220556E-2</v>
      </c>
      <c r="Q3641" s="28">
        <f t="shared" si="60"/>
        <v>3.5548184716220559E-2</v>
      </c>
      <c r="R3641" s="33">
        <v>0.16282860775771735</v>
      </c>
      <c r="S3641" s="34">
        <v>1.426E-2</v>
      </c>
    </row>
    <row r="3642" spans="16:19" x14ac:dyDescent="0.25">
      <c r="P3642" s="27">
        <v>3.2548184716220556E-2</v>
      </c>
      <c r="Q3642" s="28">
        <f t="shared" si="60"/>
        <v>3.5548184716220559E-2</v>
      </c>
      <c r="R3642" s="33">
        <v>0.16282860775771735</v>
      </c>
      <c r="S3642" s="34">
        <v>1.465E-2</v>
      </c>
    </row>
    <row r="3643" spans="16:19" x14ac:dyDescent="0.25">
      <c r="P3643" s="27">
        <v>3.2548184716220556E-2</v>
      </c>
      <c r="Q3643" s="28">
        <f t="shared" si="60"/>
        <v>3.5548184716220559E-2</v>
      </c>
      <c r="R3643" s="33">
        <v>0.16282860775771735</v>
      </c>
      <c r="S3643" s="34">
        <v>1.873E-2</v>
      </c>
    </row>
    <row r="3644" spans="16:19" x14ac:dyDescent="0.25">
      <c r="P3644" s="27">
        <v>3.2548184716220556E-2</v>
      </c>
      <c r="Q3644" s="28">
        <f t="shared" si="60"/>
        <v>3.5548184716220559E-2</v>
      </c>
      <c r="R3644" s="33">
        <v>0.16282860775771735</v>
      </c>
      <c r="S3644" s="34">
        <v>2.6873557999999999E-2</v>
      </c>
    </row>
    <row r="3645" spans="16:19" x14ac:dyDescent="0.25">
      <c r="P3645" s="27">
        <v>3.2548184716220556E-2</v>
      </c>
      <c r="Q3645" s="28">
        <f t="shared" si="60"/>
        <v>3.5548184716220559E-2</v>
      </c>
      <c r="R3645" s="33">
        <v>0.16282860775771735</v>
      </c>
      <c r="S3645" s="34">
        <v>3.5104908999999997E-2</v>
      </c>
    </row>
    <row r="3646" spans="16:19" x14ac:dyDescent="0.25">
      <c r="P3646" s="27">
        <v>3.2548184716220556E-2</v>
      </c>
      <c r="Q3646" s="28">
        <f t="shared" si="60"/>
        <v>3.5548184716220559E-2</v>
      </c>
      <c r="R3646" s="33">
        <v>0.16282860775771735</v>
      </c>
      <c r="S3646" s="34">
        <v>4.3999999999999997E-2</v>
      </c>
    </row>
    <row r="3647" spans="16:19" x14ac:dyDescent="0.25">
      <c r="P3647" s="27">
        <v>3.2548184716220556E-2</v>
      </c>
      <c r="Q3647" s="28">
        <f t="shared" si="60"/>
        <v>3.5548184716220559E-2</v>
      </c>
      <c r="R3647" s="31">
        <v>0.15939660775771733</v>
      </c>
      <c r="S3647" s="32">
        <v>5.6000000000000001E-2</v>
      </c>
    </row>
    <row r="3648" spans="16:19" x14ac:dyDescent="0.25">
      <c r="P3648" s="27">
        <v>3.2548184716220556E-2</v>
      </c>
      <c r="Q3648" s="28">
        <f t="shared" si="60"/>
        <v>3.5548184716220559E-2</v>
      </c>
      <c r="R3648" s="31">
        <v>0.15939660775771733</v>
      </c>
      <c r="S3648" s="32">
        <v>6.5799999999999997E-2</v>
      </c>
    </row>
    <row r="3649" spans="16:19" x14ac:dyDescent="0.25">
      <c r="P3649" s="27">
        <v>3.2548184716220556E-2</v>
      </c>
      <c r="Q3649" s="28">
        <f t="shared" si="60"/>
        <v>3.5548184716220559E-2</v>
      </c>
      <c r="R3649" s="31">
        <v>0.15939660775771733</v>
      </c>
      <c r="S3649" s="32">
        <v>4.999E-2</v>
      </c>
    </row>
    <row r="3650" spans="16:19" x14ac:dyDescent="0.25">
      <c r="P3650" s="27">
        <v>3.2548184716220556E-2</v>
      </c>
      <c r="Q3650" s="28">
        <f t="shared" si="60"/>
        <v>3.5548184716220559E-2</v>
      </c>
      <c r="R3650" s="31">
        <v>0.15939660775771733</v>
      </c>
      <c r="S3650" s="32">
        <v>4.4409999999999998E-2</v>
      </c>
    </row>
    <row r="3651" spans="16:19" x14ac:dyDescent="0.25">
      <c r="P3651" s="27">
        <v>3.2548184716220556E-2</v>
      </c>
      <c r="Q3651" s="28">
        <f t="shared" si="60"/>
        <v>3.5548184716220559E-2</v>
      </c>
      <c r="R3651" s="29">
        <v>0.15003660775771735</v>
      </c>
      <c r="S3651" s="30">
        <v>4.7149999999999997E-2</v>
      </c>
    </row>
    <row r="3652" spans="16:19" x14ac:dyDescent="0.25">
      <c r="P3652" s="27">
        <v>3.2548184716220556E-2</v>
      </c>
      <c r="Q3652" s="28">
        <f t="shared" si="60"/>
        <v>3.5548184716220559E-2</v>
      </c>
      <c r="R3652" s="29">
        <v>0.15003660775771735</v>
      </c>
      <c r="S3652" s="30">
        <v>4.0189999999999997E-2</v>
      </c>
    </row>
    <row r="3653" spans="16:19" x14ac:dyDescent="0.25">
      <c r="P3653" s="27">
        <v>3.2548184716220556E-2</v>
      </c>
      <c r="Q3653" s="28">
        <f t="shared" ref="Q3653:Q3716" si="61">P3653+0.003</f>
        <v>3.5548184716220559E-2</v>
      </c>
      <c r="R3653" s="29">
        <v>0.15003660775771735</v>
      </c>
      <c r="S3653" s="30">
        <v>3.9189999999999996E-2</v>
      </c>
    </row>
    <row r="3654" spans="16:19" x14ac:dyDescent="0.25">
      <c r="P3654" s="27">
        <v>3.2548184716220556E-2</v>
      </c>
      <c r="Q3654" s="28">
        <f t="shared" si="61"/>
        <v>3.5548184716220559E-2</v>
      </c>
      <c r="R3654" s="29">
        <v>0.15003660775771735</v>
      </c>
      <c r="S3654" s="30">
        <v>3.5470000000000002E-2</v>
      </c>
    </row>
    <row r="3655" spans="16:19" x14ac:dyDescent="0.25">
      <c r="P3655" s="27">
        <v>3.2548184716220556E-2</v>
      </c>
      <c r="Q3655" s="28">
        <f t="shared" si="61"/>
        <v>3.5548184716220559E-2</v>
      </c>
      <c r="R3655" s="29">
        <v>0.15003660775771735</v>
      </c>
      <c r="S3655" s="30">
        <v>3.4380000000000001E-2</v>
      </c>
    </row>
    <row r="3656" spans="16:19" x14ac:dyDescent="0.25">
      <c r="P3656" s="27">
        <v>3.2548184716220556E-2</v>
      </c>
      <c r="Q3656" s="28">
        <f t="shared" si="61"/>
        <v>3.5548184716220559E-2</v>
      </c>
      <c r="R3656" s="29">
        <v>0.15003660775771735</v>
      </c>
      <c r="S3656" s="30">
        <v>3.211E-2</v>
      </c>
    </row>
    <row r="3657" spans="16:19" x14ac:dyDescent="0.25">
      <c r="P3657" s="27">
        <v>3.2548184716220556E-2</v>
      </c>
      <c r="Q3657" s="28">
        <f t="shared" si="61"/>
        <v>3.5548184716220559E-2</v>
      </c>
      <c r="R3657" s="29">
        <v>0.15003660775771735</v>
      </c>
      <c r="S3657" s="30">
        <v>3.4000000000000002E-2</v>
      </c>
    </row>
    <row r="3658" spans="16:19" x14ac:dyDescent="0.25">
      <c r="P3658" s="27">
        <v>3.2548184716220556E-2</v>
      </c>
      <c r="Q3658" s="28">
        <f t="shared" si="61"/>
        <v>3.5548184716220559E-2</v>
      </c>
      <c r="R3658" s="29">
        <v>0.15003660775771735</v>
      </c>
      <c r="S3658" s="30">
        <v>4.0590000000000001E-2</v>
      </c>
    </row>
    <row r="3659" spans="16:19" x14ac:dyDescent="0.25">
      <c r="P3659" s="27">
        <v>3.2548184716220556E-2</v>
      </c>
      <c r="Q3659" s="28">
        <f t="shared" si="61"/>
        <v>3.5548184716220559E-2</v>
      </c>
      <c r="R3659" s="29">
        <v>0.15003660775771735</v>
      </c>
      <c r="S3659" s="30">
        <v>4.206E-2</v>
      </c>
    </row>
    <row r="3660" spans="16:19" x14ac:dyDescent="0.25">
      <c r="P3660" s="27">
        <v>3.2548184716220556E-2</v>
      </c>
      <c r="Q3660" s="28">
        <f t="shared" si="61"/>
        <v>3.5548184716220559E-2</v>
      </c>
      <c r="R3660" s="29">
        <v>0.15003660775771735</v>
      </c>
      <c r="S3660" s="30">
        <v>4.0579999999999998E-2</v>
      </c>
    </row>
    <row r="3661" spans="16:19" x14ac:dyDescent="0.25">
      <c r="P3661" s="27">
        <v>3.2548184716220556E-2</v>
      </c>
      <c r="Q3661" s="28">
        <f t="shared" si="61"/>
        <v>3.5548184716220559E-2</v>
      </c>
      <c r="R3661" s="29">
        <v>0.15003660775771735</v>
      </c>
      <c r="S3661" s="30">
        <v>4.1090000000000002E-2</v>
      </c>
    </row>
    <row r="3662" spans="16:19" x14ac:dyDescent="0.25">
      <c r="P3662" s="27">
        <v>3.2548184716220556E-2</v>
      </c>
      <c r="Q3662" s="28">
        <f t="shared" si="61"/>
        <v>3.5548184716220559E-2</v>
      </c>
      <c r="R3662" s="29">
        <v>0.15003660775771735</v>
      </c>
      <c r="S3662" s="30">
        <v>4.2000000000000003E-2</v>
      </c>
    </row>
    <row r="3663" spans="16:19" x14ac:dyDescent="0.25">
      <c r="P3663" s="27">
        <v>3.2548184716220556E-2</v>
      </c>
      <c r="Q3663" s="28">
        <f t="shared" si="61"/>
        <v>3.5548184716220559E-2</v>
      </c>
      <c r="R3663" s="29">
        <v>0.15003660775771735</v>
      </c>
      <c r="S3663" s="30">
        <v>4.0750000000000001E-2</v>
      </c>
    </row>
    <row r="3664" spans="16:19" x14ac:dyDescent="0.25">
      <c r="P3664" s="27">
        <v>3.2548184716220556E-2</v>
      </c>
      <c r="Q3664" s="28">
        <f t="shared" si="61"/>
        <v>3.5548184716220559E-2</v>
      </c>
      <c r="R3664" s="29">
        <v>0.15003660775771735</v>
      </c>
      <c r="S3664" s="30">
        <v>3.9490000000000004E-2</v>
      </c>
    </row>
    <row r="3665" spans="16:19" x14ac:dyDescent="0.25">
      <c r="P3665" s="27">
        <v>3.2548184716220556E-2</v>
      </c>
      <c r="Q3665" s="28">
        <f t="shared" si="61"/>
        <v>3.5548184716220559E-2</v>
      </c>
      <c r="R3665" s="29">
        <v>0.15003660775771735</v>
      </c>
      <c r="S3665" s="30">
        <v>3.9030000000000002E-2</v>
      </c>
    </row>
    <row r="3666" spans="16:19" x14ac:dyDescent="0.25">
      <c r="P3666" s="27">
        <v>3.2548184716220556E-2</v>
      </c>
      <c r="Q3666" s="28">
        <f t="shared" si="61"/>
        <v>3.5548184716220559E-2</v>
      </c>
      <c r="R3666" s="29">
        <v>0.15003660775771735</v>
      </c>
      <c r="S3666" s="30">
        <v>3.6999999999999998E-2</v>
      </c>
    </row>
    <row r="3667" spans="16:19" x14ac:dyDescent="0.25">
      <c r="P3667" s="27">
        <v>3.2548184716220556E-2</v>
      </c>
      <c r="Q3667" s="28">
        <f t="shared" si="61"/>
        <v>3.5548184716220559E-2</v>
      </c>
      <c r="R3667" s="29">
        <v>0.15003660775771735</v>
      </c>
      <c r="S3667" s="30">
        <v>3.533E-2</v>
      </c>
    </row>
    <row r="3668" spans="16:19" x14ac:dyDescent="0.25">
      <c r="P3668" s="27">
        <v>3.2548184716220556E-2</v>
      </c>
      <c r="Q3668" s="28">
        <f t="shared" si="61"/>
        <v>3.5548184716220559E-2</v>
      </c>
      <c r="R3668" s="29">
        <v>0.15003660775771735</v>
      </c>
      <c r="S3668" s="30">
        <v>3.773E-2</v>
      </c>
    </row>
    <row r="3669" spans="16:19" x14ac:dyDescent="0.25">
      <c r="P3669" s="27">
        <v>3.2548184716220556E-2</v>
      </c>
      <c r="Q3669" s="28">
        <f t="shared" si="61"/>
        <v>3.5548184716220559E-2</v>
      </c>
      <c r="R3669" s="29">
        <v>0.15003660775771735</v>
      </c>
      <c r="S3669" s="30">
        <v>4.1309999999999999E-2</v>
      </c>
    </row>
    <row r="3670" spans="16:19" x14ac:dyDescent="0.25">
      <c r="P3670" s="27">
        <v>3.2548184716220556E-2</v>
      </c>
      <c r="Q3670" s="28">
        <f t="shared" si="61"/>
        <v>3.5548184716220559E-2</v>
      </c>
      <c r="R3670" s="29">
        <v>0.15003660775771735</v>
      </c>
      <c r="S3670" s="30">
        <v>4.5880000000000004E-2</v>
      </c>
    </row>
    <row r="3671" spans="16:19" x14ac:dyDescent="0.25">
      <c r="P3671" s="27">
        <v>3.2548184716220556E-2</v>
      </c>
      <c r="Q3671" s="28">
        <f t="shared" si="61"/>
        <v>3.5548184716220559E-2</v>
      </c>
      <c r="R3671" s="29">
        <v>0.15003660775771735</v>
      </c>
      <c r="S3671" s="30">
        <v>5.1659999999999998E-2</v>
      </c>
    </row>
    <row r="3672" spans="16:19" x14ac:dyDescent="0.25">
      <c r="P3672" s="27">
        <v>3.2548184716220556E-2</v>
      </c>
      <c r="Q3672" s="28">
        <f t="shared" si="61"/>
        <v>3.5548184716220559E-2</v>
      </c>
      <c r="R3672" s="29">
        <v>0.15003660775771735</v>
      </c>
      <c r="S3672" s="30">
        <v>5.8209999999999998E-2</v>
      </c>
    </row>
    <row r="3673" spans="16:19" x14ac:dyDescent="0.25">
      <c r="P3673" s="27">
        <v>3.2548184716220556E-2</v>
      </c>
      <c r="Q3673" s="28">
        <f t="shared" si="61"/>
        <v>3.5548184716220559E-2</v>
      </c>
      <c r="R3673" s="29">
        <v>0.15003660775771735</v>
      </c>
      <c r="S3673" s="30">
        <v>4.8829999999999998E-2</v>
      </c>
    </row>
    <row r="3674" spans="16:19" x14ac:dyDescent="0.25">
      <c r="P3674" s="27">
        <v>3.2548184716220556E-2</v>
      </c>
      <c r="Q3674" s="28">
        <f t="shared" si="61"/>
        <v>3.5548184716220559E-2</v>
      </c>
      <c r="R3674" s="29">
        <v>0.15003660775771735</v>
      </c>
      <c r="S3674" s="30">
        <v>4.2020000000000002E-2</v>
      </c>
    </row>
    <row r="3675" spans="16:19" x14ac:dyDescent="0.25">
      <c r="P3675" s="27">
        <v>3.2548184716220556E-2</v>
      </c>
      <c r="Q3675" s="28">
        <f t="shared" si="61"/>
        <v>3.5548184716220559E-2</v>
      </c>
      <c r="R3675" s="29">
        <v>0.15003660775771735</v>
      </c>
      <c r="S3675" s="30">
        <v>4.6950000000000006E-2</v>
      </c>
    </row>
    <row r="3676" spans="16:19" x14ac:dyDescent="0.25">
      <c r="P3676" s="27">
        <v>3.2548184716220556E-2</v>
      </c>
      <c r="Q3676" s="28">
        <f t="shared" si="61"/>
        <v>3.5548184716220559E-2</v>
      </c>
      <c r="R3676" s="29">
        <v>0.15003660775771735</v>
      </c>
      <c r="S3676" s="30">
        <v>4.3490000000000001E-2</v>
      </c>
    </row>
    <row r="3677" spans="16:19" x14ac:dyDescent="0.25">
      <c r="P3677" s="27">
        <v>3.2548184716220556E-2</v>
      </c>
      <c r="Q3677" s="28">
        <f t="shared" si="61"/>
        <v>3.5548184716220559E-2</v>
      </c>
      <c r="R3677" s="29">
        <v>0.15003660775771735</v>
      </c>
      <c r="S3677" s="30">
        <v>4.299E-2</v>
      </c>
    </row>
    <row r="3678" spans="16:19" x14ac:dyDescent="0.25">
      <c r="P3678" s="27">
        <v>3.2548184716220556E-2</v>
      </c>
      <c r="Q3678" s="28">
        <f t="shared" si="61"/>
        <v>3.5548184716220559E-2</v>
      </c>
      <c r="R3678" s="29">
        <v>0.15003660775771735</v>
      </c>
      <c r="S3678" s="30">
        <v>3.9750000000000001E-2</v>
      </c>
    </row>
    <row r="3679" spans="16:19" x14ac:dyDescent="0.25">
      <c r="P3679" s="27">
        <v>3.2548184716220556E-2</v>
      </c>
      <c r="Q3679" s="28">
        <f t="shared" si="61"/>
        <v>3.5548184716220559E-2</v>
      </c>
      <c r="R3679" s="29">
        <v>0.15003660775771735</v>
      </c>
      <c r="S3679" s="30">
        <v>4.2750000000000003E-2</v>
      </c>
    </row>
    <row r="3680" spans="16:19" x14ac:dyDescent="0.25">
      <c r="P3680" s="27">
        <v>3.2548184716220556E-2</v>
      </c>
      <c r="Q3680" s="28">
        <f t="shared" si="61"/>
        <v>3.5548184716220559E-2</v>
      </c>
      <c r="R3680" s="29">
        <v>0.15003660775771735</v>
      </c>
      <c r="S3680" s="30">
        <v>4.3310000000000001E-2</v>
      </c>
    </row>
    <row r="3681" spans="16:19" x14ac:dyDescent="0.25">
      <c r="P3681" s="27">
        <v>3.2548184716220556E-2</v>
      </c>
      <c r="Q3681" s="28">
        <f t="shared" si="61"/>
        <v>3.5548184716220559E-2</v>
      </c>
      <c r="R3681" s="29">
        <v>0.15003660775771735</v>
      </c>
      <c r="S3681" s="30">
        <v>4.5990000000000003E-2</v>
      </c>
    </row>
    <row r="3682" spans="16:19" x14ac:dyDescent="0.25">
      <c r="P3682" s="27">
        <v>3.2548184716220556E-2</v>
      </c>
      <c r="Q3682" s="28">
        <f t="shared" si="61"/>
        <v>3.5548184716220559E-2</v>
      </c>
      <c r="R3682" s="29">
        <v>0.15003660775771735</v>
      </c>
      <c r="S3682" s="30">
        <v>5.0450000000000002E-2</v>
      </c>
    </row>
    <row r="3683" spans="16:19" x14ac:dyDescent="0.25">
      <c r="P3683" s="27">
        <v>3.2548184716220556E-2</v>
      </c>
      <c r="Q3683" s="28">
        <f t="shared" si="61"/>
        <v>3.5548184716220559E-2</v>
      </c>
      <c r="R3683" s="29">
        <v>0.15003660775771735</v>
      </c>
      <c r="S3683" s="30">
        <v>5.3159999999999999E-2</v>
      </c>
    </row>
    <row r="3684" spans="16:19" x14ac:dyDescent="0.25">
      <c r="P3684" s="27">
        <v>3.2548184716220556E-2</v>
      </c>
      <c r="Q3684" s="28">
        <f t="shared" si="61"/>
        <v>3.5548184716220559E-2</v>
      </c>
      <c r="R3684" s="29">
        <v>0.15003660775771735</v>
      </c>
      <c r="S3684" s="30">
        <v>4.9810385999999998E-2</v>
      </c>
    </row>
    <row r="3685" spans="16:19" x14ac:dyDescent="0.25">
      <c r="P3685" s="27">
        <v>3.2548184716220556E-2</v>
      </c>
      <c r="Q3685" s="28">
        <f t="shared" si="61"/>
        <v>3.5548184716220559E-2</v>
      </c>
      <c r="R3685" s="29">
        <v>0.15003660775771735</v>
      </c>
      <c r="S3685" s="30">
        <v>4.7380000000000005E-2</v>
      </c>
    </row>
    <row r="3686" spans="16:19" x14ac:dyDescent="0.25">
      <c r="P3686" s="27">
        <v>3.2548184716220556E-2</v>
      </c>
      <c r="Q3686" s="28">
        <f t="shared" si="61"/>
        <v>3.5548184716220559E-2</v>
      </c>
      <c r="R3686" s="29">
        <v>0.15003660775771735</v>
      </c>
      <c r="S3686" s="30">
        <v>4.6549999999999994E-2</v>
      </c>
    </row>
    <row r="3687" spans="16:19" x14ac:dyDescent="0.25">
      <c r="P3687" s="27">
        <v>3.2548184716220556E-2</v>
      </c>
      <c r="Q3687" s="28">
        <f t="shared" si="61"/>
        <v>3.5548184716220559E-2</v>
      </c>
      <c r="R3687" s="29">
        <v>0.15003660775771735</v>
      </c>
      <c r="S3687" s="30">
        <v>4.3529999999999999E-2</v>
      </c>
    </row>
    <row r="3688" spans="16:19" x14ac:dyDescent="0.25">
      <c r="P3688" s="27">
        <v>3.2548184716220556E-2</v>
      </c>
      <c r="Q3688" s="28">
        <f t="shared" si="61"/>
        <v>3.5548184716220559E-2</v>
      </c>
      <c r="R3688" s="29">
        <v>0.15003660775771735</v>
      </c>
      <c r="S3688" s="30">
        <v>4.3470000000000002E-2</v>
      </c>
    </row>
    <row r="3689" spans="16:19" x14ac:dyDescent="0.25">
      <c r="P3689" s="27">
        <v>3.2548184716220556E-2</v>
      </c>
      <c r="Q3689" s="28">
        <f t="shared" si="61"/>
        <v>3.5548184716220559E-2</v>
      </c>
      <c r="R3689" s="29">
        <v>0.15003660775771735</v>
      </c>
      <c r="S3689" s="30">
        <v>4.5240000000000002E-2</v>
      </c>
    </row>
    <row r="3690" spans="16:19" x14ac:dyDescent="0.25">
      <c r="P3690" s="27">
        <v>3.2548184716220556E-2</v>
      </c>
      <c r="Q3690" s="28">
        <f t="shared" si="61"/>
        <v>3.5548184716220559E-2</v>
      </c>
      <c r="R3690" s="29">
        <v>0.15003660775771735</v>
      </c>
      <c r="S3690" s="30">
        <v>4.8320000000000002E-2</v>
      </c>
    </row>
    <row r="3691" spans="16:19" x14ac:dyDescent="0.25">
      <c r="P3691" s="27">
        <v>3.2548184716220556E-2</v>
      </c>
      <c r="Q3691" s="28">
        <f t="shared" si="61"/>
        <v>3.5548184716220559E-2</v>
      </c>
      <c r="R3691" s="29">
        <v>0.15003660775771735</v>
      </c>
      <c r="S3691" s="30">
        <v>4.632E-2</v>
      </c>
    </row>
    <row r="3692" spans="16:19" x14ac:dyDescent="0.25">
      <c r="P3692" s="27">
        <v>3.2548184716220556E-2</v>
      </c>
      <c r="Q3692" s="28">
        <f t="shared" si="61"/>
        <v>3.5548184716220559E-2</v>
      </c>
      <c r="R3692" s="29">
        <v>0.15003660775771735</v>
      </c>
      <c r="S3692" s="30">
        <v>4.5370000000000001E-2</v>
      </c>
    </row>
    <row r="3693" spans="16:19" x14ac:dyDescent="0.25">
      <c r="P3693" s="27">
        <v>3.2548184716220556E-2</v>
      </c>
      <c r="Q3693" s="28">
        <f t="shared" si="61"/>
        <v>3.5548184716220559E-2</v>
      </c>
      <c r="R3693" s="29">
        <v>0.15003660775771735</v>
      </c>
      <c r="S3693" s="30">
        <v>4.8640000000000003E-2</v>
      </c>
    </row>
    <row r="3694" spans="16:19" x14ac:dyDescent="0.25">
      <c r="P3694" s="27">
        <v>3.2548184716220556E-2</v>
      </c>
      <c r="Q3694" s="28">
        <f t="shared" si="61"/>
        <v>3.5548184716220559E-2</v>
      </c>
      <c r="R3694" s="29">
        <v>0.15003660775771735</v>
      </c>
      <c r="S3694" s="30">
        <v>0.05</v>
      </c>
    </row>
    <row r="3695" spans="16:19" x14ac:dyDescent="0.25">
      <c r="P3695" s="27">
        <v>3.2548184716220556E-2</v>
      </c>
      <c r="Q3695" s="28">
        <f t="shared" si="61"/>
        <v>3.5548184716220559E-2</v>
      </c>
      <c r="R3695" s="29">
        <v>0.15003660775771735</v>
      </c>
      <c r="S3695" s="30">
        <v>5.1990000000000001E-2</v>
      </c>
    </row>
    <row r="3696" spans="16:19" x14ac:dyDescent="0.25">
      <c r="P3696" s="27">
        <v>3.2548184716220556E-2</v>
      </c>
      <c r="Q3696" s="28">
        <f t="shared" si="61"/>
        <v>3.5548184716220559E-2</v>
      </c>
      <c r="R3696" s="29">
        <v>0.15003660775771735</v>
      </c>
      <c r="S3696" s="30">
        <v>5.2990000000000002E-2</v>
      </c>
    </row>
    <row r="3697" spans="16:19" x14ac:dyDescent="0.25">
      <c r="P3697" s="27">
        <v>3.2548184716220556E-2</v>
      </c>
      <c r="Q3697" s="28">
        <f t="shared" si="61"/>
        <v>3.5548184716220559E-2</v>
      </c>
      <c r="R3697" s="29">
        <v>0.15003660775771735</v>
      </c>
      <c r="S3697" s="30">
        <v>4.845E-2</v>
      </c>
    </row>
    <row r="3698" spans="16:19" x14ac:dyDescent="0.25">
      <c r="P3698" s="27">
        <v>3.2548184716220556E-2</v>
      </c>
      <c r="Q3698" s="28">
        <f t="shared" si="61"/>
        <v>3.5548184716220559E-2</v>
      </c>
      <c r="R3698" s="29">
        <v>0.15003660775771735</v>
      </c>
      <c r="S3698" s="30">
        <v>4.3900000000000002E-2</v>
      </c>
    </row>
    <row r="3699" spans="16:19" x14ac:dyDescent="0.25">
      <c r="P3699" s="27">
        <v>3.2548184716220556E-2</v>
      </c>
      <c r="Q3699" s="28">
        <f t="shared" si="61"/>
        <v>3.5548184716220559E-2</v>
      </c>
      <c r="R3699" s="29">
        <v>0.15003660775771735</v>
      </c>
      <c r="S3699" s="30">
        <v>4.3119999999999999E-2</v>
      </c>
    </row>
    <row r="3700" spans="16:19" x14ac:dyDescent="0.25">
      <c r="P3700" s="27">
        <v>3.2548184716220556E-2</v>
      </c>
      <c r="Q3700" s="28">
        <f t="shared" si="61"/>
        <v>3.5548184716220559E-2</v>
      </c>
      <c r="R3700" s="29">
        <v>0.15003660775771735</v>
      </c>
      <c r="S3700" s="30">
        <v>4.3119999999999999E-2</v>
      </c>
    </row>
    <row r="3701" spans="16:19" x14ac:dyDescent="0.25">
      <c r="P3701" s="27">
        <v>3.2548184716220556E-2</v>
      </c>
      <c r="Q3701" s="28">
        <f t="shared" si="61"/>
        <v>3.5548184716220559E-2</v>
      </c>
      <c r="R3701" s="29">
        <v>0.15003660775771735</v>
      </c>
      <c r="S3701" s="30">
        <v>4.249E-2</v>
      </c>
    </row>
    <row r="3702" spans="16:19" x14ac:dyDescent="0.25">
      <c r="P3702" s="27">
        <v>3.2548184716220556E-2</v>
      </c>
      <c r="Q3702" s="28">
        <f t="shared" si="61"/>
        <v>3.5548184716220559E-2</v>
      </c>
      <c r="R3702" s="29">
        <v>0.15003660775771735</v>
      </c>
      <c r="S3702" s="30">
        <v>4.1489999999999999E-2</v>
      </c>
    </row>
    <row r="3703" spans="16:19" x14ac:dyDescent="0.25">
      <c r="P3703" s="27">
        <v>3.2548184716220556E-2</v>
      </c>
      <c r="Q3703" s="28">
        <f t="shared" si="61"/>
        <v>3.5548184716220559E-2</v>
      </c>
      <c r="R3703" s="29">
        <v>0.15003660775771735</v>
      </c>
      <c r="S3703" s="30">
        <v>4.249E-2</v>
      </c>
    </row>
    <row r="3704" spans="16:19" x14ac:dyDescent="0.25">
      <c r="P3704" s="27">
        <v>3.2548184716220556E-2</v>
      </c>
      <c r="Q3704" s="28">
        <f t="shared" si="61"/>
        <v>3.5548184716220559E-2</v>
      </c>
      <c r="R3704" s="29">
        <v>0.15003660775771735</v>
      </c>
      <c r="S3704" s="30">
        <v>4.335E-2</v>
      </c>
    </row>
    <row r="3705" spans="16:19" x14ac:dyDescent="0.25">
      <c r="P3705" s="27">
        <v>3.2548184716220556E-2</v>
      </c>
      <c r="Q3705" s="28">
        <f t="shared" si="61"/>
        <v>3.5548184716220559E-2</v>
      </c>
      <c r="R3705" s="29">
        <v>0.15003660775771735</v>
      </c>
      <c r="S3705" s="30">
        <v>4.4299999999999999E-2</v>
      </c>
    </row>
    <row r="3706" spans="16:19" x14ac:dyDescent="0.25">
      <c r="P3706" s="27">
        <v>3.2548184716220556E-2</v>
      </c>
      <c r="Q3706" s="28">
        <f t="shared" si="61"/>
        <v>3.5548184716220559E-2</v>
      </c>
      <c r="R3706" s="29">
        <v>0.15003660775771735</v>
      </c>
      <c r="S3706" s="30">
        <v>5.0450000000000002E-2</v>
      </c>
    </row>
    <row r="3707" spans="16:19" x14ac:dyDescent="0.25">
      <c r="P3707" s="27">
        <v>3.2548184716220556E-2</v>
      </c>
      <c r="Q3707" s="28">
        <f t="shared" si="61"/>
        <v>3.5548184716220559E-2</v>
      </c>
      <c r="R3707" s="31">
        <v>0.15939660775771733</v>
      </c>
      <c r="S3707" s="32">
        <v>5.3159999999999999E-2</v>
      </c>
    </row>
    <row r="3708" spans="16:19" x14ac:dyDescent="0.25">
      <c r="P3708" s="27">
        <v>3.2548184716220556E-2</v>
      </c>
      <c r="Q3708" s="28">
        <f t="shared" si="61"/>
        <v>3.5548184716220559E-2</v>
      </c>
      <c r="R3708" s="33">
        <v>0.16282860775771735</v>
      </c>
      <c r="S3708" s="34">
        <v>5.2859999999999997E-2</v>
      </c>
    </row>
    <row r="3709" spans="16:19" x14ac:dyDescent="0.25">
      <c r="P3709" s="27">
        <v>3.2548184716220556E-2</v>
      </c>
      <c r="Q3709" s="28">
        <f t="shared" si="61"/>
        <v>3.5548184716220559E-2</v>
      </c>
      <c r="R3709" s="33">
        <v>0.16282860775771735</v>
      </c>
      <c r="S3709" s="34">
        <v>4.8490000000000005E-2</v>
      </c>
    </row>
    <row r="3710" spans="16:19" x14ac:dyDescent="0.25">
      <c r="P3710" s="27">
        <v>3.2548184716220556E-2</v>
      </c>
      <c r="Q3710" s="28">
        <f t="shared" si="61"/>
        <v>3.5548184716220559E-2</v>
      </c>
      <c r="R3710" s="33">
        <v>0.16282860775771735</v>
      </c>
      <c r="S3710" s="34">
        <v>4.9509999999999998E-2</v>
      </c>
    </row>
    <row r="3711" spans="16:19" x14ac:dyDescent="0.25">
      <c r="P3711" s="27">
        <v>3.2548184716220556E-2</v>
      </c>
      <c r="Q3711" s="28">
        <f t="shared" si="61"/>
        <v>3.5548184716220559E-2</v>
      </c>
      <c r="R3711" s="33">
        <v>0.16282860775771735</v>
      </c>
      <c r="S3711" s="34">
        <v>4.4999999999999998E-2</v>
      </c>
    </row>
    <row r="3712" spans="16:19" x14ac:dyDescent="0.25">
      <c r="P3712" s="27">
        <v>3.2548184716220556E-2</v>
      </c>
      <c r="Q3712" s="28">
        <f t="shared" si="61"/>
        <v>3.5548184716220559E-2</v>
      </c>
      <c r="R3712" s="33">
        <v>0.16282860775771735</v>
      </c>
      <c r="S3712" s="34">
        <v>4.4170000000000001E-2</v>
      </c>
    </row>
    <row r="3713" spans="16:19" x14ac:dyDescent="0.25">
      <c r="P3713" s="27">
        <v>3.2548184716220556E-2</v>
      </c>
      <c r="Q3713" s="28">
        <f t="shared" si="61"/>
        <v>3.5548184716220559E-2</v>
      </c>
      <c r="R3713" s="33">
        <v>0.16282860775771735</v>
      </c>
      <c r="S3713" s="34">
        <v>4.9020000000000001E-2</v>
      </c>
    </row>
    <row r="3714" spans="16:19" x14ac:dyDescent="0.25">
      <c r="P3714" s="27">
        <v>3.2548184716220556E-2</v>
      </c>
      <c r="Q3714" s="28">
        <f t="shared" si="61"/>
        <v>3.5548184716220559E-2</v>
      </c>
      <c r="R3714" s="33">
        <v>0.16282860775771735</v>
      </c>
      <c r="S3714" s="34">
        <v>4.9460000000000004E-2</v>
      </c>
    </row>
    <row r="3715" spans="16:19" x14ac:dyDescent="0.25">
      <c r="P3715" s="27">
        <v>3.2548184716220556E-2</v>
      </c>
      <c r="Q3715" s="28">
        <f t="shared" si="61"/>
        <v>3.5548184716220559E-2</v>
      </c>
      <c r="R3715" s="33">
        <v>0.16282860775771735</v>
      </c>
      <c r="S3715" s="34">
        <v>4.8549999999999996E-2</v>
      </c>
    </row>
    <row r="3716" spans="16:19" x14ac:dyDescent="0.25">
      <c r="P3716" s="27">
        <v>3.2548184716220556E-2</v>
      </c>
      <c r="Q3716" s="28">
        <f t="shared" si="61"/>
        <v>3.5548184716220559E-2</v>
      </c>
      <c r="R3716" s="33">
        <v>0.16282860775771735</v>
      </c>
      <c r="S3716" s="34">
        <v>4.8000000000000001E-2</v>
      </c>
    </row>
    <row r="3717" spans="16:19" x14ac:dyDescent="0.25">
      <c r="P3717" s="27">
        <v>3.2548184716220556E-2</v>
      </c>
      <c r="Q3717" s="28">
        <f t="shared" ref="Q3717:Q3780" si="62">P3717+0.003</f>
        <v>3.5548184716220559E-2</v>
      </c>
      <c r="R3717" s="33">
        <v>0.16282860775771735</v>
      </c>
      <c r="S3717" s="34">
        <v>4.9640000000000004E-2</v>
      </c>
    </row>
    <row r="3718" spans="16:19" x14ac:dyDescent="0.25">
      <c r="P3718" s="27">
        <v>3.2548184716220556E-2</v>
      </c>
      <c r="Q3718" s="28">
        <f t="shared" si="62"/>
        <v>3.5548184716220559E-2</v>
      </c>
      <c r="R3718" s="33">
        <v>0.16282860775771735</v>
      </c>
      <c r="S3718" s="34">
        <v>4.999E-2</v>
      </c>
    </row>
    <row r="3719" spans="16:19" x14ac:dyDescent="0.25">
      <c r="P3719" s="27">
        <v>3.2548184716220556E-2</v>
      </c>
      <c r="Q3719" s="28">
        <f t="shared" si="62"/>
        <v>3.5548184716220559E-2</v>
      </c>
      <c r="R3719" s="31">
        <v>0.15939660775771733</v>
      </c>
      <c r="S3719" s="32">
        <v>5.0009999999999999E-2</v>
      </c>
    </row>
    <row r="3720" spans="16:19" x14ac:dyDescent="0.25">
      <c r="P3720" s="27">
        <v>3.2548184716220556E-2</v>
      </c>
      <c r="Q3720" s="28">
        <f t="shared" si="62"/>
        <v>3.5548184716220559E-2</v>
      </c>
      <c r="R3720" s="31">
        <v>0.15939660775771733</v>
      </c>
      <c r="S3720" s="32">
        <v>5.1827325E-2</v>
      </c>
    </row>
    <row r="3721" spans="16:19" x14ac:dyDescent="0.25">
      <c r="P3721" s="27">
        <v>3.2548184716220556E-2</v>
      </c>
      <c r="Q3721" s="28">
        <f t="shared" si="62"/>
        <v>3.5548184716220559E-2</v>
      </c>
      <c r="R3721" s="31">
        <v>0.15939660775771733</v>
      </c>
      <c r="S3721" s="32">
        <v>4.7369999999999995E-2</v>
      </c>
    </row>
    <row r="3722" spans="16:19" x14ac:dyDescent="0.25">
      <c r="P3722" s="27">
        <v>3.2548184716220556E-2</v>
      </c>
      <c r="Q3722" s="28">
        <f t="shared" si="62"/>
        <v>3.5548184716220559E-2</v>
      </c>
      <c r="R3722" s="31">
        <v>0.15939660775771733</v>
      </c>
      <c r="S3722" s="32">
        <v>4.3408724000000003E-2</v>
      </c>
    </row>
    <row r="3723" spans="16:19" x14ac:dyDescent="0.25">
      <c r="P3723" s="27">
        <v>3.2548184716220556E-2</v>
      </c>
      <c r="Q3723" s="28">
        <f t="shared" si="62"/>
        <v>3.5548184716220559E-2</v>
      </c>
      <c r="R3723" s="29">
        <v>0.15003660775771735</v>
      </c>
      <c r="S3723" s="30">
        <v>4.299E-2</v>
      </c>
    </row>
    <row r="3724" spans="16:19" x14ac:dyDescent="0.25">
      <c r="P3724" s="27">
        <v>3.2548184716220556E-2</v>
      </c>
      <c r="Q3724" s="28">
        <f t="shared" si="62"/>
        <v>3.5548184716220559E-2</v>
      </c>
      <c r="R3724" s="29">
        <v>0.15003660775771735</v>
      </c>
      <c r="S3724" s="30">
        <v>4.199E-2</v>
      </c>
    </row>
    <row r="3725" spans="16:19" x14ac:dyDescent="0.25">
      <c r="P3725" s="27">
        <v>3.2548184716220556E-2</v>
      </c>
      <c r="Q3725" s="28">
        <f t="shared" si="62"/>
        <v>3.5548184716220559E-2</v>
      </c>
      <c r="R3725" s="29">
        <v>0.15003660775771735</v>
      </c>
      <c r="S3725" s="30">
        <v>3.9426327999999997E-2</v>
      </c>
    </row>
    <row r="3726" spans="16:19" x14ac:dyDescent="0.25">
      <c r="P3726" s="27">
        <v>3.2548184716220556E-2</v>
      </c>
      <c r="Q3726" s="28">
        <f t="shared" si="62"/>
        <v>3.5548184716220559E-2</v>
      </c>
      <c r="R3726" s="29">
        <v>0.15003660775771735</v>
      </c>
      <c r="S3726" s="30">
        <v>3.7252331E-2</v>
      </c>
    </row>
    <row r="3727" spans="16:19" x14ac:dyDescent="0.25">
      <c r="P3727" s="27">
        <v>3.2548184716220556E-2</v>
      </c>
      <c r="Q3727" s="28">
        <f t="shared" si="62"/>
        <v>3.5548184716220559E-2</v>
      </c>
      <c r="R3727" s="29">
        <v>0.15003660775771735</v>
      </c>
      <c r="S3727" s="30">
        <v>4.0750000000000001E-2</v>
      </c>
    </row>
    <row r="3728" spans="16:19" x14ac:dyDescent="0.25">
      <c r="P3728" s="27">
        <v>3.2548184716220556E-2</v>
      </c>
      <c r="Q3728" s="28">
        <f t="shared" si="62"/>
        <v>3.5548184716220559E-2</v>
      </c>
      <c r="R3728" s="29">
        <v>0.15003660775771735</v>
      </c>
      <c r="S3728" s="30">
        <v>4.249E-2</v>
      </c>
    </row>
    <row r="3729" spans="16:19" x14ac:dyDescent="0.25">
      <c r="P3729" s="27">
        <v>3.2548184716220556E-2</v>
      </c>
      <c r="Q3729" s="28">
        <f t="shared" si="62"/>
        <v>3.5548184716220559E-2</v>
      </c>
      <c r="R3729" s="29">
        <v>0.15003660775771735</v>
      </c>
      <c r="S3729" s="30">
        <v>4.4288925999999999E-2</v>
      </c>
    </row>
    <row r="3730" spans="16:19" x14ac:dyDescent="0.25">
      <c r="P3730" s="27">
        <v>3.2548184716220556E-2</v>
      </c>
      <c r="Q3730" s="28">
        <f t="shared" si="62"/>
        <v>3.5548184716220559E-2</v>
      </c>
      <c r="R3730" s="29">
        <v>0.15003660775771735</v>
      </c>
      <c r="S3730" s="30">
        <v>4.6920000000000003E-2</v>
      </c>
    </row>
    <row r="3731" spans="16:19" x14ac:dyDescent="0.25">
      <c r="P3731" s="27">
        <v>3.2548184716220556E-2</v>
      </c>
      <c r="Q3731" s="28">
        <f t="shared" si="62"/>
        <v>3.5548184716220559E-2</v>
      </c>
      <c r="R3731" s="31">
        <v>0.15939660775771733</v>
      </c>
      <c r="S3731" s="32">
        <v>5.0639999999999998E-2</v>
      </c>
    </row>
    <row r="3732" spans="16:19" x14ac:dyDescent="0.25">
      <c r="P3732" s="27">
        <v>3.2548184716220556E-2</v>
      </c>
      <c r="Q3732" s="28">
        <f t="shared" si="62"/>
        <v>3.5548184716220559E-2</v>
      </c>
      <c r="R3732" s="33">
        <v>0.16282860775771735</v>
      </c>
      <c r="S3732" s="34">
        <v>0.05</v>
      </c>
    </row>
    <row r="3733" spans="16:19" x14ac:dyDescent="0.25">
      <c r="P3733" s="27">
        <v>3.2548184716220556E-2</v>
      </c>
      <c r="Q3733" s="28">
        <f t="shared" si="62"/>
        <v>3.5548184716220559E-2</v>
      </c>
      <c r="R3733" s="33">
        <v>0.16282860775771735</v>
      </c>
      <c r="S3733" s="34">
        <v>4.5079999999999995E-2</v>
      </c>
    </row>
    <row r="3734" spans="16:19" x14ac:dyDescent="0.25">
      <c r="P3734" s="27">
        <v>3.2548184716220556E-2</v>
      </c>
      <c r="Q3734" s="28">
        <f t="shared" si="62"/>
        <v>3.5548184716220559E-2</v>
      </c>
      <c r="R3734" s="33">
        <v>0.16282860775771735</v>
      </c>
      <c r="S3734" s="34">
        <v>4.4200000000000003E-2</v>
      </c>
    </row>
    <row r="3735" spans="16:19" x14ac:dyDescent="0.25">
      <c r="P3735" s="27">
        <v>3.2548184716220556E-2</v>
      </c>
      <c r="Q3735" s="28">
        <f t="shared" si="62"/>
        <v>3.5548184716220559E-2</v>
      </c>
      <c r="R3735" s="33">
        <v>0.16282860775771735</v>
      </c>
      <c r="S3735" s="34">
        <v>4.0299999999999996E-2</v>
      </c>
    </row>
    <row r="3736" spans="16:19" x14ac:dyDescent="0.25">
      <c r="P3736" s="27">
        <v>3.2548184716220556E-2</v>
      </c>
      <c r="Q3736" s="28">
        <f t="shared" si="62"/>
        <v>3.5548184716220559E-2</v>
      </c>
      <c r="R3736" s="33">
        <v>0.16282860775771735</v>
      </c>
      <c r="S3736" s="34">
        <v>3.8826965999999997E-2</v>
      </c>
    </row>
    <row r="3737" spans="16:19" x14ac:dyDescent="0.25">
      <c r="P3737" s="27">
        <v>3.2548184716220556E-2</v>
      </c>
      <c r="Q3737" s="28">
        <f t="shared" si="62"/>
        <v>3.5548184716220559E-2</v>
      </c>
      <c r="R3737" s="33">
        <v>0.16282860775771735</v>
      </c>
      <c r="S3737" s="34">
        <v>4.2500000000000003E-2</v>
      </c>
    </row>
    <row r="3738" spans="16:19" x14ac:dyDescent="0.25">
      <c r="P3738" s="27">
        <v>3.2548184716220556E-2</v>
      </c>
      <c r="Q3738" s="28">
        <f t="shared" si="62"/>
        <v>3.5548184716220559E-2</v>
      </c>
      <c r="R3738" s="33">
        <v>0.16282860775771735</v>
      </c>
      <c r="S3738" s="34">
        <v>4.4080000000000001E-2</v>
      </c>
    </row>
    <row r="3739" spans="16:19" x14ac:dyDescent="0.25">
      <c r="P3739" s="27">
        <v>3.2548184716220556E-2</v>
      </c>
      <c r="Q3739" s="28">
        <f t="shared" si="62"/>
        <v>3.5548184716220559E-2</v>
      </c>
      <c r="R3739" s="33">
        <v>0.16282860775771735</v>
      </c>
      <c r="S3739" s="34">
        <v>4.4768348000000006E-2</v>
      </c>
    </row>
    <row r="3740" spans="16:19" x14ac:dyDescent="0.25">
      <c r="P3740" s="27">
        <v>3.2548184716220556E-2</v>
      </c>
      <c r="Q3740" s="28">
        <f t="shared" si="62"/>
        <v>3.5548184716220559E-2</v>
      </c>
      <c r="R3740" s="33">
        <v>0.16282860775771735</v>
      </c>
      <c r="S3740" s="34">
        <v>4.4999999999999998E-2</v>
      </c>
    </row>
    <row r="3741" spans="16:19" x14ac:dyDescent="0.25">
      <c r="P3741" s="27">
        <v>3.2548184716220556E-2</v>
      </c>
      <c r="Q3741" s="28">
        <f t="shared" si="62"/>
        <v>3.5548184716220559E-2</v>
      </c>
      <c r="R3741" s="33">
        <v>0.16282860775771735</v>
      </c>
      <c r="S3741" s="34">
        <v>4.8000000000000001E-2</v>
      </c>
    </row>
    <row r="3742" spans="16:19" x14ac:dyDescent="0.25">
      <c r="P3742" s="27">
        <v>3.2548184716220556E-2</v>
      </c>
      <c r="Q3742" s="28">
        <f t="shared" si="62"/>
        <v>3.5548184716220559E-2</v>
      </c>
      <c r="R3742" s="33">
        <v>0.16282860775771735</v>
      </c>
      <c r="S3742" s="34">
        <v>4.7871008999999999E-2</v>
      </c>
    </row>
    <row r="3743" spans="16:19" x14ac:dyDescent="0.25">
      <c r="P3743" s="27">
        <v>3.2548184716220556E-2</v>
      </c>
      <c r="Q3743" s="28">
        <f t="shared" si="62"/>
        <v>3.5548184716220559E-2</v>
      </c>
      <c r="R3743" s="31">
        <v>0.15939660775771733</v>
      </c>
      <c r="S3743" s="32">
        <v>4.9032680999999995E-2</v>
      </c>
    </row>
    <row r="3744" spans="16:19" x14ac:dyDescent="0.25">
      <c r="P3744" s="27">
        <v>3.2548184716220556E-2</v>
      </c>
      <c r="Q3744" s="28">
        <f t="shared" si="62"/>
        <v>3.5548184716220559E-2</v>
      </c>
      <c r="R3744" s="31">
        <v>0.15939660775771733</v>
      </c>
      <c r="S3744" s="32">
        <v>0.05</v>
      </c>
    </row>
    <row r="3745" spans="16:19" x14ac:dyDescent="0.25">
      <c r="P3745" s="27">
        <v>3.2548184716220556E-2</v>
      </c>
      <c r="Q3745" s="28">
        <f t="shared" si="62"/>
        <v>3.5548184716220559E-2</v>
      </c>
      <c r="R3745" s="31">
        <v>0.15939660775771733</v>
      </c>
      <c r="S3745" s="32">
        <v>4.6289999999999998E-2</v>
      </c>
    </row>
    <row r="3746" spans="16:19" x14ac:dyDescent="0.25">
      <c r="P3746" s="27">
        <v>3.2548184716220556E-2</v>
      </c>
      <c r="Q3746" s="28">
        <f t="shared" si="62"/>
        <v>3.5548184716220559E-2</v>
      </c>
      <c r="R3746" s="31">
        <v>0.15939660775771733</v>
      </c>
      <c r="S3746" s="32">
        <v>4.351E-2</v>
      </c>
    </row>
    <row r="3747" spans="16:19" x14ac:dyDescent="0.25">
      <c r="P3747" s="27">
        <v>3.2548184716220556E-2</v>
      </c>
      <c r="Q3747" s="28">
        <f t="shared" si="62"/>
        <v>3.5548184716220559E-2</v>
      </c>
      <c r="R3747" s="29">
        <v>0.15003660775771735</v>
      </c>
      <c r="S3747" s="30">
        <v>4.4999999999999998E-2</v>
      </c>
    </row>
    <row r="3748" spans="16:19" x14ac:dyDescent="0.25">
      <c r="P3748" s="27">
        <v>3.2548184716220556E-2</v>
      </c>
      <c r="Q3748" s="28">
        <f t="shared" si="62"/>
        <v>3.5548184716220559E-2</v>
      </c>
      <c r="R3748" s="29">
        <v>0.15003660775771735</v>
      </c>
      <c r="S3748" s="30">
        <v>4.4249999999999998E-2</v>
      </c>
    </row>
    <row r="3749" spans="16:19" x14ac:dyDescent="0.25">
      <c r="P3749" s="27">
        <v>3.2548184716220556E-2</v>
      </c>
      <c r="Q3749" s="28">
        <f t="shared" si="62"/>
        <v>3.5548184716220559E-2</v>
      </c>
      <c r="R3749" s="29">
        <v>0.15003660775771735</v>
      </c>
      <c r="S3749" s="30">
        <v>4.299E-2</v>
      </c>
    </row>
    <row r="3750" spans="16:19" x14ac:dyDescent="0.25">
      <c r="P3750" s="27">
        <v>3.2548184716220556E-2</v>
      </c>
      <c r="Q3750" s="28">
        <f t="shared" si="62"/>
        <v>3.5548184716220559E-2</v>
      </c>
      <c r="R3750" s="29">
        <v>0.15003660775771735</v>
      </c>
      <c r="S3750" s="30">
        <v>4.3150000000000001E-2</v>
      </c>
    </row>
    <row r="3751" spans="16:19" x14ac:dyDescent="0.25">
      <c r="P3751" s="27">
        <v>3.2548184716220556E-2</v>
      </c>
      <c r="Q3751" s="28">
        <f t="shared" si="62"/>
        <v>3.5548184716220559E-2</v>
      </c>
      <c r="R3751" s="29">
        <v>0.15003660775771735</v>
      </c>
      <c r="S3751" s="30">
        <v>4.4749999999999998E-2</v>
      </c>
    </row>
    <row r="3752" spans="16:19" x14ac:dyDescent="0.25">
      <c r="P3752" s="27">
        <v>3.2548184716220556E-2</v>
      </c>
      <c r="Q3752" s="28">
        <f t="shared" si="62"/>
        <v>3.5548184716220559E-2</v>
      </c>
      <c r="R3752" s="29">
        <v>0.15003660775771735</v>
      </c>
      <c r="S3752" s="30">
        <v>4.4749999999999998E-2</v>
      </c>
    </row>
    <row r="3753" spans="16:19" x14ac:dyDescent="0.25">
      <c r="P3753" s="27">
        <v>3.2548184716220556E-2</v>
      </c>
      <c r="Q3753" s="28">
        <f t="shared" si="62"/>
        <v>3.5548184716220559E-2</v>
      </c>
      <c r="R3753" s="29">
        <v>0.15003660775771735</v>
      </c>
      <c r="S3753" s="30">
        <v>4.6149999999999997E-2</v>
      </c>
    </row>
    <row r="3754" spans="16:19" x14ac:dyDescent="0.25">
      <c r="P3754" s="27">
        <v>3.2548184716220556E-2</v>
      </c>
      <c r="Q3754" s="28">
        <f t="shared" si="62"/>
        <v>3.5548184716220559E-2</v>
      </c>
      <c r="R3754" s="29">
        <v>0.15003660775771735</v>
      </c>
      <c r="S3754" s="30">
        <v>4.938E-2</v>
      </c>
    </row>
    <row r="3755" spans="16:19" x14ac:dyDescent="0.25">
      <c r="P3755" s="27">
        <v>3.2548184716220556E-2</v>
      </c>
      <c r="Q3755" s="28">
        <f t="shared" si="62"/>
        <v>3.5548184716220559E-2</v>
      </c>
      <c r="R3755" s="31">
        <v>0.15939660775771733</v>
      </c>
      <c r="S3755" s="32">
        <v>5.1639999999999998E-2</v>
      </c>
    </row>
    <row r="3756" spans="16:19" x14ac:dyDescent="0.25">
      <c r="P3756" s="27">
        <v>3.2548184716220556E-2</v>
      </c>
      <c r="Q3756" s="28">
        <f t="shared" si="62"/>
        <v>3.5548184716220559E-2</v>
      </c>
      <c r="R3756" s="33">
        <v>0.16282860775771735</v>
      </c>
      <c r="S3756" s="34">
        <v>5.049E-2</v>
      </c>
    </row>
    <row r="3757" spans="16:19" x14ac:dyDescent="0.25">
      <c r="P3757" s="27">
        <v>3.2548184716220556E-2</v>
      </c>
      <c r="Q3757" s="28">
        <f t="shared" si="62"/>
        <v>3.5548184716220559E-2</v>
      </c>
      <c r="R3757" s="33">
        <v>0.16282860775771735</v>
      </c>
      <c r="S3757" s="34">
        <v>4.5659999999999999E-2</v>
      </c>
    </row>
    <row r="3758" spans="16:19" x14ac:dyDescent="0.25">
      <c r="P3758" s="27">
        <v>3.2548184716220556E-2</v>
      </c>
      <c r="Q3758" s="28">
        <f t="shared" si="62"/>
        <v>3.5548184716220559E-2</v>
      </c>
      <c r="R3758" s="33">
        <v>0.16282860775771735</v>
      </c>
      <c r="S3758" s="34">
        <v>4.3630000000000002E-2</v>
      </c>
    </row>
    <row r="3759" spans="16:19" x14ac:dyDescent="0.25">
      <c r="P3759" s="27">
        <v>3.2548184716220556E-2</v>
      </c>
      <c r="Q3759" s="28">
        <f t="shared" si="62"/>
        <v>3.5548184716220559E-2</v>
      </c>
      <c r="R3759" s="33">
        <v>0.16282860775771735</v>
      </c>
      <c r="S3759" s="34">
        <v>3.8283293000000003E-2</v>
      </c>
    </row>
    <row r="3760" spans="16:19" x14ac:dyDescent="0.25">
      <c r="P3760" s="27">
        <v>3.2548184716220556E-2</v>
      </c>
      <c r="Q3760" s="28">
        <f t="shared" si="62"/>
        <v>3.5548184716220559E-2</v>
      </c>
      <c r="R3760" s="33">
        <v>0.16282860775771735</v>
      </c>
      <c r="S3760" s="34">
        <v>3.6020000000000003E-2</v>
      </c>
    </row>
    <row r="3761" spans="16:19" x14ac:dyDescent="0.25">
      <c r="P3761" s="27">
        <v>3.2548184716220556E-2</v>
      </c>
      <c r="Q3761" s="28">
        <f t="shared" si="62"/>
        <v>3.5548184716220559E-2</v>
      </c>
      <c r="R3761" s="33">
        <v>0.16282860775771735</v>
      </c>
      <c r="S3761" s="34">
        <v>4.2000000000000003E-2</v>
      </c>
    </row>
    <row r="3762" spans="16:19" x14ac:dyDescent="0.25">
      <c r="P3762" s="27">
        <v>3.2548184716220556E-2</v>
      </c>
      <c r="Q3762" s="28">
        <f t="shared" si="62"/>
        <v>3.5548184716220559E-2</v>
      </c>
      <c r="R3762" s="33">
        <v>0.16282860775771735</v>
      </c>
      <c r="S3762" s="34">
        <v>4.437E-2</v>
      </c>
    </row>
    <row r="3763" spans="16:19" x14ac:dyDescent="0.25">
      <c r="P3763" s="27">
        <v>3.2548184716220556E-2</v>
      </c>
      <c r="Q3763" s="28">
        <f t="shared" si="62"/>
        <v>3.5548184716220559E-2</v>
      </c>
      <c r="R3763" s="33">
        <v>0.16282860775771735</v>
      </c>
      <c r="S3763" s="34">
        <v>4.4999999999999998E-2</v>
      </c>
    </row>
    <row r="3764" spans="16:19" x14ac:dyDescent="0.25">
      <c r="P3764" s="27">
        <v>3.2548184716220556E-2</v>
      </c>
      <c r="Q3764" s="28">
        <f t="shared" si="62"/>
        <v>3.5548184716220559E-2</v>
      </c>
      <c r="R3764" s="33">
        <v>0.16282860775771735</v>
      </c>
      <c r="S3764" s="34">
        <v>4.4999999999999998E-2</v>
      </c>
    </row>
    <row r="3765" spans="16:19" x14ac:dyDescent="0.25">
      <c r="P3765" s="27">
        <v>3.2548184716220556E-2</v>
      </c>
      <c r="Q3765" s="28">
        <f t="shared" si="62"/>
        <v>3.5548184716220559E-2</v>
      </c>
      <c r="R3765" s="33">
        <v>0.16282860775771735</v>
      </c>
      <c r="S3765" s="34">
        <v>4.9299999999999997E-2</v>
      </c>
    </row>
    <row r="3766" spans="16:19" x14ac:dyDescent="0.25">
      <c r="P3766" s="27">
        <v>3.2548184716220556E-2</v>
      </c>
      <c r="Q3766" s="28">
        <f t="shared" si="62"/>
        <v>3.5548184716220559E-2</v>
      </c>
      <c r="R3766" s="33">
        <v>0.16282860775771735</v>
      </c>
      <c r="S3766" s="34">
        <v>4.999E-2</v>
      </c>
    </row>
    <row r="3767" spans="16:19" x14ac:dyDescent="0.25">
      <c r="P3767" s="27">
        <v>3.2548184716220556E-2</v>
      </c>
      <c r="Q3767" s="28">
        <f t="shared" si="62"/>
        <v>3.5548184716220559E-2</v>
      </c>
      <c r="R3767" s="31">
        <v>0.15939660775771733</v>
      </c>
      <c r="S3767" s="32">
        <v>5.1380000000000002E-2</v>
      </c>
    </row>
    <row r="3768" spans="16:19" x14ac:dyDescent="0.25">
      <c r="P3768" s="27">
        <v>3.2548184716220556E-2</v>
      </c>
      <c r="Q3768" s="28">
        <f t="shared" si="62"/>
        <v>3.5548184716220559E-2</v>
      </c>
      <c r="R3768" s="31">
        <v>0.15939660775771733</v>
      </c>
      <c r="S3768" s="32">
        <v>5.3460000000000001E-2</v>
      </c>
    </row>
    <row r="3769" spans="16:19" x14ac:dyDescent="0.25">
      <c r="P3769" s="27">
        <v>3.2548184716220556E-2</v>
      </c>
      <c r="Q3769" s="28">
        <f t="shared" si="62"/>
        <v>3.5548184716220559E-2</v>
      </c>
      <c r="R3769" s="31">
        <v>0.15939660775771733</v>
      </c>
      <c r="S3769" s="32">
        <v>4.8759999999999998E-2</v>
      </c>
    </row>
    <row r="3770" spans="16:19" x14ac:dyDescent="0.25">
      <c r="P3770" s="27">
        <v>3.2548184716220556E-2</v>
      </c>
      <c r="Q3770" s="28">
        <f t="shared" si="62"/>
        <v>3.5548184716220559E-2</v>
      </c>
      <c r="R3770" s="31">
        <v>0.15939660775771733</v>
      </c>
      <c r="S3770" s="32">
        <v>4.5590000000000006E-2</v>
      </c>
    </row>
    <row r="3771" spans="16:19" x14ac:dyDescent="0.25">
      <c r="P3771" s="27">
        <v>3.2548184716220556E-2</v>
      </c>
      <c r="Q3771" s="28">
        <f t="shared" si="62"/>
        <v>3.5548184716220559E-2</v>
      </c>
      <c r="R3771" s="29">
        <v>0.15003660775771735</v>
      </c>
      <c r="S3771" s="30">
        <v>4.999E-2</v>
      </c>
    </row>
    <row r="3772" spans="16:19" x14ac:dyDescent="0.25">
      <c r="P3772" s="27">
        <v>3.2548184716220556E-2</v>
      </c>
      <c r="Q3772" s="28">
        <f t="shared" si="62"/>
        <v>3.5548184716220559E-2</v>
      </c>
      <c r="R3772" s="29">
        <v>0.15003660775771735</v>
      </c>
      <c r="S3772" s="30">
        <v>4.8039999999999999E-2</v>
      </c>
    </row>
    <row r="3773" spans="16:19" x14ac:dyDescent="0.25">
      <c r="P3773" s="27">
        <v>3.2548184716220556E-2</v>
      </c>
      <c r="Q3773" s="28">
        <f t="shared" si="62"/>
        <v>3.5548184716220559E-2</v>
      </c>
      <c r="R3773" s="29">
        <v>0.15003660775771735</v>
      </c>
      <c r="S3773" s="30">
        <v>4.4999999999999998E-2</v>
      </c>
    </row>
    <row r="3774" spans="16:19" x14ac:dyDescent="0.25">
      <c r="P3774" s="27">
        <v>3.2548184716220556E-2</v>
      </c>
      <c r="Q3774" s="28">
        <f t="shared" si="62"/>
        <v>3.5548184716220559E-2</v>
      </c>
      <c r="R3774" s="29">
        <v>0.15003660775771735</v>
      </c>
      <c r="S3774" s="30">
        <v>4.4170000000000001E-2</v>
      </c>
    </row>
    <row r="3775" spans="16:19" x14ac:dyDescent="0.25">
      <c r="P3775" s="27">
        <v>3.2548184716220556E-2</v>
      </c>
      <c r="Q3775" s="28">
        <f t="shared" si="62"/>
        <v>3.5548184716220559E-2</v>
      </c>
      <c r="R3775" s="29">
        <v>0.15003660775771735</v>
      </c>
      <c r="S3775" s="30">
        <v>4.4130000000000003E-2</v>
      </c>
    </row>
    <row r="3776" spans="16:19" x14ac:dyDescent="0.25">
      <c r="P3776" s="27">
        <v>3.2548184716220556E-2</v>
      </c>
      <c r="Q3776" s="28">
        <f t="shared" si="62"/>
        <v>3.5548184716220559E-2</v>
      </c>
      <c r="R3776" s="29">
        <v>0.15003660775771735</v>
      </c>
      <c r="S3776" s="30">
        <v>4.1950000000000001E-2</v>
      </c>
    </row>
    <row r="3777" spans="16:19" x14ac:dyDescent="0.25">
      <c r="P3777" s="27">
        <v>3.2548184716220556E-2</v>
      </c>
      <c r="Q3777" s="28">
        <f t="shared" si="62"/>
        <v>3.5548184716220559E-2</v>
      </c>
      <c r="R3777" s="29">
        <v>0.15003660775771735</v>
      </c>
      <c r="S3777" s="30">
        <v>4.2171056999999998E-2</v>
      </c>
    </row>
    <row r="3778" spans="16:19" x14ac:dyDescent="0.25">
      <c r="P3778" s="27">
        <v>3.2548184716220556E-2</v>
      </c>
      <c r="Q3778" s="28">
        <f t="shared" si="62"/>
        <v>3.5548184716220559E-2</v>
      </c>
      <c r="R3778" s="29">
        <v>0.15003660775771735</v>
      </c>
      <c r="S3778" s="30">
        <v>4.1950000000000001E-2</v>
      </c>
    </row>
    <row r="3779" spans="16:19" x14ac:dyDescent="0.25">
      <c r="P3779" s="27">
        <v>3.2548184716220556E-2</v>
      </c>
      <c r="Q3779" s="28">
        <f t="shared" si="62"/>
        <v>3.5548184716220559E-2</v>
      </c>
      <c r="R3779" s="31">
        <v>0.15939660775771733</v>
      </c>
      <c r="S3779" s="32">
        <v>4.4330000000000001E-2</v>
      </c>
    </row>
    <row r="3780" spans="16:19" x14ac:dyDescent="0.25">
      <c r="P3780" s="27">
        <v>3.2548184716220556E-2</v>
      </c>
      <c r="Q3780" s="28">
        <f t="shared" si="62"/>
        <v>3.5548184716220559E-2</v>
      </c>
      <c r="R3780" s="33">
        <v>0.16282860775771735</v>
      </c>
      <c r="S3780" s="34">
        <v>4.2360000000000002E-2</v>
      </c>
    </row>
    <row r="3781" spans="16:19" x14ac:dyDescent="0.25">
      <c r="P3781" s="27">
        <v>3.2548184716220556E-2</v>
      </c>
      <c r="Q3781" s="28">
        <f t="shared" ref="Q3781:Q3844" si="63">P3781+0.003</f>
        <v>3.5548184716220559E-2</v>
      </c>
      <c r="R3781" s="33">
        <v>0.16282860775771735</v>
      </c>
      <c r="S3781" s="34">
        <v>3.6490181999999996E-2</v>
      </c>
    </row>
    <row r="3782" spans="16:19" x14ac:dyDescent="0.25">
      <c r="P3782" s="27">
        <v>3.2548184716220556E-2</v>
      </c>
      <c r="Q3782" s="28">
        <f t="shared" si="63"/>
        <v>3.5548184716220559E-2</v>
      </c>
      <c r="R3782" s="33">
        <v>0.16282860775771735</v>
      </c>
      <c r="S3782" s="34">
        <v>3.0089999999999999E-2</v>
      </c>
    </row>
    <row r="3783" spans="16:19" x14ac:dyDescent="0.25">
      <c r="P3783" s="27">
        <v>3.2548184716220556E-2</v>
      </c>
      <c r="Q3783" s="28">
        <f t="shared" si="63"/>
        <v>3.5548184716220559E-2</v>
      </c>
      <c r="R3783" s="33">
        <v>0.16282860775771735</v>
      </c>
      <c r="S3783" s="34">
        <v>2.3E-2</v>
      </c>
    </row>
    <row r="3784" spans="16:19" x14ac:dyDescent="0.25">
      <c r="P3784" s="27">
        <v>3.2548184716220556E-2</v>
      </c>
      <c r="Q3784" s="28">
        <f t="shared" si="63"/>
        <v>3.5548184716220559E-2</v>
      </c>
      <c r="R3784" s="33">
        <v>0.16282860775771735</v>
      </c>
      <c r="S3784" s="34">
        <v>1.9170000000000003E-2</v>
      </c>
    </row>
    <row r="3785" spans="16:19" x14ac:dyDescent="0.25">
      <c r="P3785" s="27">
        <v>3.2548184716220556E-2</v>
      </c>
      <c r="Q3785" s="28">
        <f t="shared" si="63"/>
        <v>3.5548184716220559E-2</v>
      </c>
      <c r="R3785" s="33">
        <v>0.16282860775771735</v>
      </c>
      <c r="S3785" s="34">
        <v>1.7659999999999999E-2</v>
      </c>
    </row>
    <row r="3786" spans="16:19" x14ac:dyDescent="0.25">
      <c r="P3786" s="27">
        <v>3.2548184716220556E-2</v>
      </c>
      <c r="Q3786" s="28">
        <f t="shared" si="63"/>
        <v>3.5548184716220559E-2</v>
      </c>
      <c r="R3786" s="33">
        <v>0.16282860775771735</v>
      </c>
      <c r="S3786" s="34">
        <v>0.02</v>
      </c>
    </row>
    <row r="3787" spans="16:19" x14ac:dyDescent="0.25">
      <c r="P3787" s="27">
        <v>3.2548184716220556E-2</v>
      </c>
      <c r="Q3787" s="28">
        <f t="shared" si="63"/>
        <v>3.5548184716220559E-2</v>
      </c>
      <c r="R3787" s="33">
        <v>0.16282860775771735</v>
      </c>
      <c r="S3787" s="34">
        <v>2.5000000000000001E-2</v>
      </c>
    </row>
    <row r="3788" spans="16:19" x14ac:dyDescent="0.25">
      <c r="P3788" s="27">
        <v>3.2548184716220556E-2</v>
      </c>
      <c r="Q3788" s="28">
        <f t="shared" si="63"/>
        <v>3.5548184716220559E-2</v>
      </c>
      <c r="R3788" s="33">
        <v>0.16282860775771735</v>
      </c>
      <c r="S3788" s="34">
        <v>3.8130000000000004E-2</v>
      </c>
    </row>
    <row r="3789" spans="16:19" x14ac:dyDescent="0.25">
      <c r="P3789" s="27">
        <v>3.2548184716220556E-2</v>
      </c>
      <c r="Q3789" s="28">
        <f t="shared" si="63"/>
        <v>3.5548184716220559E-2</v>
      </c>
      <c r="R3789" s="33">
        <v>0.16282860775771735</v>
      </c>
      <c r="S3789" s="34">
        <v>4.3929999999999997E-2</v>
      </c>
    </row>
    <row r="3790" spans="16:19" x14ac:dyDescent="0.25">
      <c r="P3790" s="27">
        <v>3.2548184716220556E-2</v>
      </c>
      <c r="Q3790" s="28">
        <f t="shared" si="63"/>
        <v>3.5548184716220559E-2</v>
      </c>
      <c r="R3790" s="33">
        <v>0.16282860775771735</v>
      </c>
      <c r="S3790" s="34">
        <v>4.9739999999999999E-2</v>
      </c>
    </row>
    <row r="3791" spans="16:19" x14ac:dyDescent="0.25">
      <c r="P3791" s="27">
        <v>3.2548184716220556E-2</v>
      </c>
      <c r="Q3791" s="28">
        <f t="shared" si="63"/>
        <v>3.5548184716220559E-2</v>
      </c>
      <c r="R3791" s="31">
        <v>0.15939660775771733</v>
      </c>
      <c r="S3791" s="32">
        <v>5.6469999999999999E-2</v>
      </c>
    </row>
    <row r="3792" spans="16:19" x14ac:dyDescent="0.25">
      <c r="P3792" s="27">
        <v>3.2548184716220556E-2</v>
      </c>
      <c r="Q3792" s="28">
        <f t="shared" si="63"/>
        <v>3.5548184716220559E-2</v>
      </c>
      <c r="R3792" s="31">
        <v>0.15939660775771733</v>
      </c>
      <c r="S3792" s="32">
        <v>6.0579999999999995E-2</v>
      </c>
    </row>
    <row r="3793" spans="16:19" x14ac:dyDescent="0.25">
      <c r="P3793" s="27">
        <v>3.2548184716220556E-2</v>
      </c>
      <c r="Q3793" s="28">
        <f t="shared" si="63"/>
        <v>3.5548184716220559E-2</v>
      </c>
      <c r="R3793" s="31">
        <v>0.15939660775771733</v>
      </c>
      <c r="S3793" s="32">
        <v>4.999E-2</v>
      </c>
    </row>
    <row r="3794" spans="16:19" x14ac:dyDescent="0.25">
      <c r="P3794" s="27">
        <v>3.2548184716220556E-2</v>
      </c>
      <c r="Q3794" s="28">
        <f t="shared" si="63"/>
        <v>3.5548184716220559E-2</v>
      </c>
      <c r="R3794" s="31">
        <v>0.15939660775771733</v>
      </c>
      <c r="S3794" s="32">
        <v>4.4999999999999998E-2</v>
      </c>
    </row>
    <row r="3795" spans="16:19" x14ac:dyDescent="0.25">
      <c r="P3795" s="27">
        <v>3.2548184716220556E-2</v>
      </c>
      <c r="Q3795" s="28">
        <f t="shared" si="63"/>
        <v>3.5548184716220559E-2</v>
      </c>
      <c r="R3795" s="29">
        <v>0.15003660775771735</v>
      </c>
      <c r="S3795" s="30">
        <v>5.1150000000000001E-2</v>
      </c>
    </row>
    <row r="3796" spans="16:19" x14ac:dyDescent="0.25">
      <c r="P3796" s="27">
        <v>3.2548184716220556E-2</v>
      </c>
      <c r="Q3796" s="28">
        <f t="shared" si="63"/>
        <v>3.5548184716220559E-2</v>
      </c>
      <c r="R3796" s="29">
        <v>0.15003660775771735</v>
      </c>
      <c r="S3796" s="30">
        <v>4.5100000000000001E-2</v>
      </c>
    </row>
    <row r="3797" spans="16:19" x14ac:dyDescent="0.25">
      <c r="P3797" s="27">
        <v>3.2548184716220556E-2</v>
      </c>
      <c r="Q3797" s="28">
        <f t="shared" si="63"/>
        <v>3.5548184716220559E-2</v>
      </c>
      <c r="R3797" s="29">
        <v>0.15003660775771735</v>
      </c>
      <c r="S3797" s="30">
        <v>4.2360000000000002E-2</v>
      </c>
    </row>
    <row r="3798" spans="16:19" x14ac:dyDescent="0.25">
      <c r="P3798" s="27">
        <v>3.2548184716220556E-2</v>
      </c>
      <c r="Q3798" s="28">
        <f t="shared" si="63"/>
        <v>3.5548184716220559E-2</v>
      </c>
      <c r="R3798" s="29">
        <v>0.15003660775771735</v>
      </c>
      <c r="S3798" s="30">
        <v>4.1000000000000002E-2</v>
      </c>
    </row>
    <row r="3799" spans="16:19" x14ac:dyDescent="0.25">
      <c r="P3799" s="27">
        <v>3.2548184716220556E-2</v>
      </c>
      <c r="Q3799" s="28">
        <f t="shared" si="63"/>
        <v>3.5548184716220559E-2</v>
      </c>
      <c r="R3799" s="29">
        <v>0.15003660775771735</v>
      </c>
      <c r="S3799" s="30">
        <v>3.9490000000000004E-2</v>
      </c>
    </row>
    <row r="3800" spans="16:19" x14ac:dyDescent="0.25">
      <c r="P3800" s="27">
        <v>3.2548184716220556E-2</v>
      </c>
      <c r="Q3800" s="28">
        <f t="shared" si="63"/>
        <v>3.5548184716220559E-2</v>
      </c>
      <c r="R3800" s="29">
        <v>0.15003660775771735</v>
      </c>
      <c r="S3800" s="30">
        <v>3.4500000000000003E-2</v>
      </c>
    </row>
    <row r="3801" spans="16:19" x14ac:dyDescent="0.25">
      <c r="P3801" s="27">
        <v>3.2548184716220556E-2</v>
      </c>
      <c r="Q3801" s="28">
        <f t="shared" si="63"/>
        <v>3.5548184716220559E-2</v>
      </c>
      <c r="R3801" s="29">
        <v>0.15003660775771735</v>
      </c>
      <c r="S3801" s="30">
        <v>3.0089999999999999E-2</v>
      </c>
    </row>
    <row r="3802" spans="16:19" x14ac:dyDescent="0.25">
      <c r="P3802" s="27">
        <v>3.2548184716220556E-2</v>
      </c>
      <c r="Q3802" s="28">
        <f t="shared" si="63"/>
        <v>3.5548184716220559E-2</v>
      </c>
      <c r="R3802" s="29">
        <v>0.15003660775771735</v>
      </c>
      <c r="S3802" s="30">
        <v>3.0089999999999999E-2</v>
      </c>
    </row>
    <row r="3803" spans="16:19" x14ac:dyDescent="0.25">
      <c r="P3803" s="27">
        <v>3.2548184716220556E-2</v>
      </c>
      <c r="Q3803" s="28">
        <f t="shared" si="63"/>
        <v>3.5548184716220559E-2</v>
      </c>
      <c r="R3803" s="31">
        <v>0.15939660775771733</v>
      </c>
      <c r="S3803" s="32">
        <v>3.4639999999999997E-2</v>
      </c>
    </row>
    <row r="3804" spans="16:19" x14ac:dyDescent="0.25">
      <c r="P3804" s="27">
        <v>3.2548184716220556E-2</v>
      </c>
      <c r="Q3804" s="28">
        <f t="shared" si="63"/>
        <v>3.5548184716220559E-2</v>
      </c>
      <c r="R3804" s="33">
        <v>0.16282860775771735</v>
      </c>
      <c r="S3804" s="34">
        <v>3.4159999999999996E-2</v>
      </c>
    </row>
    <row r="3805" spans="16:19" x14ac:dyDescent="0.25">
      <c r="P3805" s="27">
        <v>3.2548184716220556E-2</v>
      </c>
      <c r="Q3805" s="28">
        <f t="shared" si="63"/>
        <v>3.5548184716220559E-2</v>
      </c>
      <c r="R3805" s="33">
        <v>0.16282860775771735</v>
      </c>
      <c r="S3805" s="34">
        <v>2.8510000000000001E-2</v>
      </c>
    </row>
    <row r="3806" spans="16:19" x14ac:dyDescent="0.25">
      <c r="P3806" s="27">
        <v>3.2548184716220556E-2</v>
      </c>
      <c r="Q3806" s="28">
        <f t="shared" si="63"/>
        <v>3.5548184716220559E-2</v>
      </c>
      <c r="R3806" s="33">
        <v>0.16282860775771735</v>
      </c>
      <c r="S3806" s="34">
        <v>2.5000000000000001E-2</v>
      </c>
    </row>
    <row r="3807" spans="16:19" x14ac:dyDescent="0.25">
      <c r="P3807" s="27">
        <v>3.2548184716220556E-2</v>
      </c>
      <c r="Q3807" s="28">
        <f t="shared" si="63"/>
        <v>3.5548184716220559E-2</v>
      </c>
      <c r="R3807" s="33">
        <v>0.16282860775771735</v>
      </c>
      <c r="S3807" s="34">
        <v>0.02</v>
      </c>
    </row>
    <row r="3808" spans="16:19" x14ac:dyDescent="0.25">
      <c r="P3808" s="27">
        <v>3.2548184716220556E-2</v>
      </c>
      <c r="Q3808" s="28">
        <f t="shared" si="63"/>
        <v>3.5548184716220559E-2</v>
      </c>
      <c r="R3808" s="33">
        <v>0.16282860775771735</v>
      </c>
      <c r="S3808" s="34">
        <v>1.4315004999999999E-2</v>
      </c>
    </row>
    <row r="3809" spans="16:19" x14ac:dyDescent="0.25">
      <c r="P3809" s="27">
        <v>3.2548184716220556E-2</v>
      </c>
      <c r="Q3809" s="28">
        <f t="shared" si="63"/>
        <v>3.5548184716220559E-2</v>
      </c>
      <c r="R3809" s="33">
        <v>0.16282860775771735</v>
      </c>
      <c r="S3809" s="34">
        <v>1.2539999999999999E-2</v>
      </c>
    </row>
    <row r="3810" spans="16:19" x14ac:dyDescent="0.25">
      <c r="P3810" s="27">
        <v>3.2548184716220556E-2</v>
      </c>
      <c r="Q3810" s="28">
        <f t="shared" si="63"/>
        <v>3.5548184716220559E-2</v>
      </c>
      <c r="R3810" s="33">
        <v>0.16282860775771735</v>
      </c>
      <c r="S3810" s="34">
        <v>1.43E-2</v>
      </c>
    </row>
    <row r="3811" spans="16:19" x14ac:dyDescent="0.25">
      <c r="P3811" s="27">
        <v>3.2548184716220556E-2</v>
      </c>
      <c r="Q3811" s="28">
        <f t="shared" si="63"/>
        <v>3.5548184716220559E-2</v>
      </c>
      <c r="R3811" s="33">
        <v>0.16282860775771735</v>
      </c>
      <c r="S3811" s="34">
        <v>2.3611738E-2</v>
      </c>
    </row>
    <row r="3812" spans="16:19" x14ac:dyDescent="0.25">
      <c r="P3812" s="27">
        <v>3.2548184716220556E-2</v>
      </c>
      <c r="Q3812" s="28">
        <f t="shared" si="63"/>
        <v>3.5548184716220559E-2</v>
      </c>
      <c r="R3812" s="33">
        <v>0.16282860775771735</v>
      </c>
      <c r="S3812" s="34">
        <v>2.8469999999999999E-2</v>
      </c>
    </row>
    <row r="3813" spans="16:19" x14ac:dyDescent="0.25">
      <c r="P3813" s="27">
        <v>3.2548184716220556E-2</v>
      </c>
      <c r="Q3813" s="28">
        <f t="shared" si="63"/>
        <v>3.5548184716220559E-2</v>
      </c>
      <c r="R3813" s="33">
        <v>0.16282860775771735</v>
      </c>
      <c r="S3813" s="34">
        <v>3.6999999999999998E-2</v>
      </c>
    </row>
    <row r="3814" spans="16:19" x14ac:dyDescent="0.25">
      <c r="P3814" s="27">
        <v>3.2548184716220556E-2</v>
      </c>
      <c r="Q3814" s="28">
        <f t="shared" si="63"/>
        <v>3.5548184716220559E-2</v>
      </c>
      <c r="R3814" s="33">
        <v>0.16282860775771735</v>
      </c>
      <c r="S3814" s="34">
        <v>4.2049999999999997E-2</v>
      </c>
    </row>
    <row r="3815" spans="16:19" x14ac:dyDescent="0.25">
      <c r="P3815" s="27">
        <v>3.2548184716220556E-2</v>
      </c>
      <c r="Q3815" s="28">
        <f t="shared" si="63"/>
        <v>3.5548184716220559E-2</v>
      </c>
      <c r="R3815" s="31">
        <v>0.15939660775771733</v>
      </c>
      <c r="S3815" s="32">
        <v>5.076E-2</v>
      </c>
    </row>
    <row r="3816" spans="16:19" x14ac:dyDescent="0.25">
      <c r="P3816" s="27">
        <v>3.2548184716220556E-2</v>
      </c>
      <c r="Q3816" s="28">
        <f t="shared" si="63"/>
        <v>3.5548184716220559E-2</v>
      </c>
      <c r="R3816" s="31">
        <v>0.15939660775771733</v>
      </c>
      <c r="S3816" s="32">
        <v>5.6000000000000001E-2</v>
      </c>
    </row>
    <row r="3817" spans="16:19" x14ac:dyDescent="0.25">
      <c r="P3817" s="27">
        <v>3.2548184716220556E-2</v>
      </c>
      <c r="Q3817" s="28">
        <f t="shared" si="63"/>
        <v>3.5548184716220559E-2</v>
      </c>
      <c r="R3817" s="31">
        <v>0.15939660775771733</v>
      </c>
      <c r="S3817" s="32">
        <v>4.8520000000000001E-2</v>
      </c>
    </row>
    <row r="3818" spans="16:19" x14ac:dyDescent="0.25">
      <c r="P3818" s="27">
        <v>3.2548184716220556E-2</v>
      </c>
      <c r="Q3818" s="28">
        <f t="shared" si="63"/>
        <v>3.5548184716220559E-2</v>
      </c>
      <c r="R3818" s="31">
        <v>0.15939660775771733</v>
      </c>
      <c r="S3818" s="32">
        <v>4.2360000000000002E-2</v>
      </c>
    </row>
    <row r="3819" spans="16:19" x14ac:dyDescent="0.25">
      <c r="P3819" s="27">
        <v>3.2548184716220556E-2</v>
      </c>
      <c r="Q3819" s="28">
        <f t="shared" si="63"/>
        <v>3.5548184716220559E-2</v>
      </c>
      <c r="R3819" s="29">
        <v>0.15003660775771735</v>
      </c>
      <c r="S3819" s="30">
        <v>4.113E-2</v>
      </c>
    </row>
    <row r="3820" spans="16:19" x14ac:dyDescent="0.25">
      <c r="P3820" s="27">
        <v>3.2548184716220556E-2</v>
      </c>
      <c r="Q3820" s="28">
        <f t="shared" si="63"/>
        <v>3.5548184716220559E-2</v>
      </c>
      <c r="R3820" s="29">
        <v>0.15003660775771735</v>
      </c>
      <c r="S3820" s="30">
        <v>3.8990000000000004E-2</v>
      </c>
    </row>
    <row r="3821" spans="16:19" x14ac:dyDescent="0.25">
      <c r="P3821" s="27">
        <v>3.2548184716220556E-2</v>
      </c>
      <c r="Q3821" s="28">
        <f t="shared" si="63"/>
        <v>3.5548184716220559E-2</v>
      </c>
      <c r="R3821" s="29">
        <v>0.15003660775771735</v>
      </c>
      <c r="S3821" s="30">
        <v>3.5959999999999999E-2</v>
      </c>
    </row>
    <row r="3822" spans="16:19" x14ac:dyDescent="0.25">
      <c r="P3822" s="27">
        <v>3.2548184716220556E-2</v>
      </c>
      <c r="Q3822" s="28">
        <f t="shared" si="63"/>
        <v>3.5548184716220559E-2</v>
      </c>
      <c r="R3822" s="29">
        <v>0.15003660775771735</v>
      </c>
      <c r="S3822" s="30">
        <v>3.4169999999999999E-2</v>
      </c>
    </row>
    <row r="3823" spans="16:19" x14ac:dyDescent="0.25">
      <c r="P3823" s="27">
        <v>3.2548184716220556E-2</v>
      </c>
      <c r="Q3823" s="28">
        <f t="shared" si="63"/>
        <v>3.5548184716220559E-2</v>
      </c>
      <c r="R3823" s="29">
        <v>0.15003660775771735</v>
      </c>
      <c r="S3823" s="30">
        <v>3.5000000000000003E-2</v>
      </c>
    </row>
    <row r="3824" spans="16:19" x14ac:dyDescent="0.25">
      <c r="P3824" s="27">
        <v>3.2548184716220556E-2</v>
      </c>
      <c r="Q3824" s="28">
        <f t="shared" si="63"/>
        <v>3.5548184716220559E-2</v>
      </c>
      <c r="R3824" s="29">
        <v>0.15003660775771735</v>
      </c>
      <c r="S3824" s="30">
        <v>3.8990000000000004E-2</v>
      </c>
    </row>
    <row r="3825" spans="16:19" x14ac:dyDescent="0.25">
      <c r="P3825" s="27">
        <v>3.2548184716220556E-2</v>
      </c>
      <c r="Q3825" s="28">
        <f t="shared" si="63"/>
        <v>3.5548184716220559E-2</v>
      </c>
      <c r="R3825" s="29">
        <v>0.15003660775771735</v>
      </c>
      <c r="S3825" s="30">
        <v>4.2999999999999997E-2</v>
      </c>
    </row>
    <row r="3826" spans="16:19" x14ac:dyDescent="0.25">
      <c r="P3826" s="27">
        <v>3.2548184716220556E-2</v>
      </c>
      <c r="Q3826" s="28">
        <f t="shared" si="63"/>
        <v>3.5548184716220559E-2</v>
      </c>
      <c r="R3826" s="29">
        <v>0.15003660775771735</v>
      </c>
      <c r="S3826" s="30">
        <v>4.8600000000000004E-2</v>
      </c>
    </row>
    <row r="3827" spans="16:19" x14ac:dyDescent="0.25">
      <c r="P3827" s="27">
        <v>3.2548184716220556E-2</v>
      </c>
      <c r="Q3827" s="28">
        <f t="shared" si="63"/>
        <v>3.5548184716220559E-2</v>
      </c>
      <c r="R3827" s="31">
        <v>0.15939999999999999</v>
      </c>
      <c r="S3827" s="32">
        <v>5.5E-2</v>
      </c>
    </row>
    <row r="3828" spans="16:19" x14ac:dyDescent="0.25">
      <c r="P3828" s="27">
        <v>3.2548184716220556E-2</v>
      </c>
      <c r="Q3828" s="28">
        <f t="shared" si="63"/>
        <v>3.5548184716220559E-2</v>
      </c>
      <c r="R3828" s="31">
        <v>0.15939999999999999</v>
      </c>
      <c r="S3828" s="32">
        <v>0.05</v>
      </c>
    </row>
    <row r="3829" spans="16:19" x14ac:dyDescent="0.25">
      <c r="P3829" s="27">
        <v>3.2548184716220556E-2</v>
      </c>
      <c r="Q3829" s="28">
        <f t="shared" si="63"/>
        <v>3.5548184716220559E-2</v>
      </c>
      <c r="R3829" s="31">
        <v>0.15939999999999999</v>
      </c>
      <c r="S3829" s="32">
        <v>4.7189999999999996E-2</v>
      </c>
    </row>
    <row r="3830" spans="16:19" x14ac:dyDescent="0.25">
      <c r="P3830" s="27">
        <v>3.2548184716220556E-2</v>
      </c>
      <c r="Q3830" s="28">
        <f t="shared" si="63"/>
        <v>3.5548184716220559E-2</v>
      </c>
      <c r="R3830" s="31">
        <v>0.15939999999999999</v>
      </c>
      <c r="S3830" s="32">
        <v>4.4109999999999996E-2</v>
      </c>
    </row>
    <row r="3831" spans="16:19" x14ac:dyDescent="0.25">
      <c r="P3831" s="27">
        <v>3.2548184716220556E-2</v>
      </c>
      <c r="Q3831" s="28">
        <f t="shared" si="63"/>
        <v>3.5548184716220559E-2</v>
      </c>
      <c r="R3831" s="31">
        <v>0.15939999999999999</v>
      </c>
      <c r="S3831" s="32">
        <v>3.5959999999999999E-2</v>
      </c>
    </row>
    <row r="3832" spans="16:19" x14ac:dyDescent="0.25">
      <c r="P3832" s="27">
        <v>3.2548184716220556E-2</v>
      </c>
      <c r="Q3832" s="28">
        <f t="shared" si="63"/>
        <v>3.5548184716220559E-2</v>
      </c>
      <c r="R3832" s="31">
        <v>0.15939999999999999</v>
      </c>
      <c r="S3832" s="32">
        <v>3.5287999E-2</v>
      </c>
    </row>
    <row r="3833" spans="16:19" x14ac:dyDescent="0.25">
      <c r="P3833" s="27">
        <v>3.2548184716220556E-2</v>
      </c>
      <c r="Q3833" s="28">
        <f t="shared" si="63"/>
        <v>3.5548184716220559E-2</v>
      </c>
      <c r="R3833" s="31">
        <v>0.15939999999999999</v>
      </c>
      <c r="S3833" s="32">
        <v>4.1009999999999998E-2</v>
      </c>
    </row>
    <row r="3834" spans="16:19" x14ac:dyDescent="0.25">
      <c r="P3834" s="27">
        <v>3.2548184716220556E-2</v>
      </c>
      <c r="Q3834" s="28">
        <f t="shared" si="63"/>
        <v>3.5548184716220559E-2</v>
      </c>
      <c r="R3834" s="31">
        <v>0.15939999999999999</v>
      </c>
      <c r="S3834" s="32">
        <v>4.5100000000000001E-2</v>
      </c>
    </row>
    <row r="3835" spans="16:19" x14ac:dyDescent="0.25">
      <c r="P3835" s="27">
        <v>3.2548184716220556E-2</v>
      </c>
      <c r="Q3835" s="28">
        <f t="shared" si="63"/>
        <v>3.5548184716220559E-2</v>
      </c>
      <c r="R3835" s="31">
        <v>0.15939999999999999</v>
      </c>
      <c r="S3835" s="32">
        <v>4.752E-2</v>
      </c>
    </row>
    <row r="3836" spans="16:19" x14ac:dyDescent="0.25">
      <c r="P3836" s="27">
        <v>3.2548184716220556E-2</v>
      </c>
      <c r="Q3836" s="28">
        <f t="shared" si="63"/>
        <v>3.5548184716220559E-2</v>
      </c>
      <c r="R3836" s="31">
        <v>0.15939999999999999</v>
      </c>
      <c r="S3836" s="32">
        <v>4.8600000000000004E-2</v>
      </c>
    </row>
    <row r="3837" spans="16:19" x14ac:dyDescent="0.25">
      <c r="P3837" s="27">
        <v>3.2548184716220556E-2</v>
      </c>
      <c r="Q3837" s="28">
        <f t="shared" si="63"/>
        <v>3.5548184716220559E-2</v>
      </c>
      <c r="R3837" s="31">
        <v>0.15939999999999999</v>
      </c>
      <c r="S3837" s="32">
        <v>5.0689999999999999E-2</v>
      </c>
    </row>
    <row r="3838" spans="16:19" x14ac:dyDescent="0.25">
      <c r="P3838" s="27">
        <v>3.2548184716220556E-2</v>
      </c>
      <c r="Q3838" s="28">
        <f t="shared" si="63"/>
        <v>3.5548184716220559E-2</v>
      </c>
      <c r="R3838" s="31">
        <v>0.15939999999999999</v>
      </c>
      <c r="S3838" s="32">
        <v>5.3030000000000001E-2</v>
      </c>
    </row>
    <row r="3839" spans="16:19" x14ac:dyDescent="0.25">
      <c r="P3839" s="27">
        <v>3.2548184716220556E-2</v>
      </c>
      <c r="Q3839" s="28">
        <f t="shared" si="63"/>
        <v>3.5548184716220559E-2</v>
      </c>
      <c r="R3839" s="31">
        <v>0.15939999999999999</v>
      </c>
      <c r="S3839" s="32">
        <v>5.6829999999999999E-2</v>
      </c>
    </row>
    <row r="3840" spans="16:19" x14ac:dyDescent="0.25">
      <c r="P3840" s="27">
        <v>3.2548184716220556E-2</v>
      </c>
      <c r="Q3840" s="28">
        <f t="shared" si="63"/>
        <v>3.5548184716220559E-2</v>
      </c>
      <c r="R3840" s="31">
        <v>0.15939999999999999</v>
      </c>
      <c r="S3840" s="32">
        <v>6.2399999999999997E-2</v>
      </c>
    </row>
    <row r="3841" spans="16:19" x14ac:dyDescent="0.25">
      <c r="P3841" s="27">
        <v>3.2548184716220556E-2</v>
      </c>
      <c r="Q3841" s="28">
        <f t="shared" si="63"/>
        <v>3.5548184716220559E-2</v>
      </c>
      <c r="R3841" s="31">
        <v>0.15939999999999999</v>
      </c>
      <c r="S3841" s="32">
        <v>5.0639999999999998E-2</v>
      </c>
    </row>
    <row r="3842" spans="16:19" x14ac:dyDescent="0.25">
      <c r="P3842" s="27">
        <v>3.2548184716220556E-2</v>
      </c>
      <c r="Q3842" s="28">
        <f t="shared" si="63"/>
        <v>3.5548184716220559E-2</v>
      </c>
      <c r="R3842" s="31">
        <v>0.15939999999999999</v>
      </c>
      <c r="S3842" s="32">
        <v>4.725E-2</v>
      </c>
    </row>
    <row r="3843" spans="16:19" x14ac:dyDescent="0.25">
      <c r="P3843" s="27">
        <v>3.2548184716220556E-2</v>
      </c>
      <c r="Q3843" s="28">
        <f t="shared" si="63"/>
        <v>3.5548184716220559E-2</v>
      </c>
      <c r="R3843" s="29">
        <v>0.15</v>
      </c>
      <c r="S3843" s="30">
        <v>4.5100000000000001E-2</v>
      </c>
    </row>
    <row r="3844" spans="16:19" x14ac:dyDescent="0.25">
      <c r="P3844" s="27">
        <v>3.2548184716220556E-2</v>
      </c>
      <c r="Q3844" s="28">
        <f t="shared" si="63"/>
        <v>3.5548184716220559E-2</v>
      </c>
      <c r="R3844" s="29">
        <v>0.15</v>
      </c>
      <c r="S3844" s="30">
        <v>4.1489999999999999E-2</v>
      </c>
    </row>
    <row r="3845" spans="16:19" x14ac:dyDescent="0.25">
      <c r="P3845" s="27">
        <v>3.2548184716220556E-2</v>
      </c>
      <c r="Q3845" s="28">
        <f t="shared" ref="Q3845:Q3908" si="64">P3845+0.003</f>
        <v>3.5548184716220559E-2</v>
      </c>
      <c r="R3845" s="29">
        <v>0.15</v>
      </c>
      <c r="S3845" s="30">
        <v>4.0487813999999997E-2</v>
      </c>
    </row>
    <row r="3846" spans="16:19" x14ac:dyDescent="0.25">
      <c r="P3846" s="27">
        <v>3.2548184716220556E-2</v>
      </c>
      <c r="Q3846" s="28">
        <f t="shared" si="64"/>
        <v>3.5548184716220559E-2</v>
      </c>
      <c r="R3846" s="29">
        <v>0.15</v>
      </c>
      <c r="S3846" s="30">
        <v>3.9979999999999995E-2</v>
      </c>
    </row>
    <row r="3847" spans="16:19" x14ac:dyDescent="0.25">
      <c r="P3847" s="27">
        <v>3.2548184716220556E-2</v>
      </c>
      <c r="Q3847" s="28">
        <f t="shared" si="64"/>
        <v>3.5548184716220559E-2</v>
      </c>
      <c r="R3847" s="29">
        <v>0.15</v>
      </c>
      <c r="S3847" s="30">
        <v>3.9990000000000005E-2</v>
      </c>
    </row>
    <row r="3848" spans="16:19" x14ac:dyDescent="0.25">
      <c r="P3848" s="27">
        <v>3.2548184716220556E-2</v>
      </c>
      <c r="Q3848" s="28">
        <f t="shared" si="64"/>
        <v>3.5548184716220559E-2</v>
      </c>
      <c r="R3848" s="29">
        <v>0.15</v>
      </c>
      <c r="S3848" s="30">
        <v>3.9990000000000005E-2</v>
      </c>
    </row>
    <row r="3849" spans="16:19" x14ac:dyDescent="0.25">
      <c r="P3849" s="27">
        <v>3.2548184716220556E-2</v>
      </c>
      <c r="Q3849" s="28">
        <f t="shared" si="64"/>
        <v>3.5548184716220559E-2</v>
      </c>
      <c r="R3849" s="29">
        <v>0.15</v>
      </c>
      <c r="S3849" s="30">
        <v>4.292E-2</v>
      </c>
    </row>
    <row r="3850" spans="16:19" x14ac:dyDescent="0.25">
      <c r="P3850" s="27">
        <v>3.2548184716220556E-2</v>
      </c>
      <c r="Q3850" s="28">
        <f t="shared" si="64"/>
        <v>3.5548184716220559E-2</v>
      </c>
      <c r="R3850" s="29">
        <v>0.15</v>
      </c>
      <c r="S3850" s="30">
        <v>4.7869999999999996E-2</v>
      </c>
    </row>
    <row r="3851" spans="16:19" x14ac:dyDescent="0.25">
      <c r="P3851" s="27">
        <v>3.2548184716220556E-2</v>
      </c>
      <c r="Q3851" s="28">
        <f t="shared" si="64"/>
        <v>3.5548184716220559E-2</v>
      </c>
      <c r="R3851" s="29">
        <v>0.15</v>
      </c>
      <c r="S3851" s="30">
        <v>5.79E-2</v>
      </c>
    </row>
    <row r="3852" spans="16:19" x14ac:dyDescent="0.25">
      <c r="P3852" s="27">
        <v>3.2548184716220556E-2</v>
      </c>
      <c r="Q3852" s="28">
        <f t="shared" si="64"/>
        <v>3.5548184716220559E-2</v>
      </c>
      <c r="R3852" s="29">
        <v>0.15</v>
      </c>
      <c r="S3852" s="30">
        <v>5.45E-2</v>
      </c>
    </row>
    <row r="3853" spans="16:19" x14ac:dyDescent="0.25">
      <c r="P3853" s="27">
        <v>3.2548184716220556E-2</v>
      </c>
      <c r="Q3853" s="28">
        <f t="shared" si="64"/>
        <v>3.5548184716220559E-2</v>
      </c>
      <c r="R3853" s="29">
        <v>0.15</v>
      </c>
      <c r="S3853" s="30">
        <v>0.05</v>
      </c>
    </row>
    <row r="3854" spans="16:19" x14ac:dyDescent="0.25">
      <c r="P3854" s="27">
        <v>3.2548184716220556E-2</v>
      </c>
      <c r="Q3854" s="28">
        <f t="shared" si="64"/>
        <v>3.5548184716220559E-2</v>
      </c>
      <c r="R3854" s="29">
        <v>0.15</v>
      </c>
      <c r="S3854" s="30">
        <v>4.99E-2</v>
      </c>
    </row>
    <row r="3855" spans="16:19" x14ac:dyDescent="0.25">
      <c r="P3855" s="27">
        <v>3.2548184716220556E-2</v>
      </c>
      <c r="Q3855" s="28">
        <f t="shared" si="64"/>
        <v>3.5548184716220559E-2</v>
      </c>
      <c r="R3855" s="29">
        <v>0.15</v>
      </c>
      <c r="S3855" s="30">
        <v>4.3679999999999997E-2</v>
      </c>
    </row>
    <row r="3856" spans="16:19" x14ac:dyDescent="0.25">
      <c r="P3856" s="27">
        <v>3.2548184716220556E-2</v>
      </c>
      <c r="Q3856" s="28">
        <f t="shared" si="64"/>
        <v>3.5548184716220559E-2</v>
      </c>
      <c r="R3856" s="29">
        <v>0.15</v>
      </c>
      <c r="S3856" s="30">
        <v>4.299E-2</v>
      </c>
    </row>
    <row r="3857" spans="16:19" x14ac:dyDescent="0.25">
      <c r="P3857" s="27">
        <v>3.2548184716220556E-2</v>
      </c>
      <c r="Q3857" s="28">
        <f t="shared" si="64"/>
        <v>3.5548184716220559E-2</v>
      </c>
      <c r="R3857" s="29">
        <v>0.15</v>
      </c>
      <c r="S3857" s="30">
        <v>4.8000000000000001E-2</v>
      </c>
    </row>
    <row r="3858" spans="16:19" x14ac:dyDescent="0.25">
      <c r="P3858" s="27">
        <v>3.2548184716220556E-2</v>
      </c>
      <c r="Q3858" s="28">
        <f t="shared" si="64"/>
        <v>3.5548184716220559E-2</v>
      </c>
      <c r="R3858" s="29">
        <v>0.15</v>
      </c>
      <c r="S3858" s="30">
        <v>5.0639999999999998E-2</v>
      </c>
    </row>
    <row r="3859" spans="16:19" x14ac:dyDescent="0.25">
      <c r="P3859" s="27">
        <v>3.2548184716220556E-2</v>
      </c>
      <c r="Q3859" s="28">
        <f t="shared" si="64"/>
        <v>3.5548184716220559E-2</v>
      </c>
      <c r="R3859" s="29">
        <v>0.15</v>
      </c>
      <c r="S3859" s="30">
        <v>4.999E-2</v>
      </c>
    </row>
    <row r="3860" spans="16:19" x14ac:dyDescent="0.25">
      <c r="P3860" s="27">
        <v>3.2548184716220556E-2</v>
      </c>
      <c r="Q3860" s="28">
        <f t="shared" si="64"/>
        <v>3.5548184716220559E-2</v>
      </c>
      <c r="R3860" s="29">
        <v>0.15</v>
      </c>
      <c r="S3860" s="30">
        <v>0.05</v>
      </c>
    </row>
    <row r="3861" spans="16:19" x14ac:dyDescent="0.25">
      <c r="P3861" s="27">
        <v>3.2548184716220556E-2</v>
      </c>
      <c r="Q3861" s="28">
        <f t="shared" si="64"/>
        <v>3.5548184716220559E-2</v>
      </c>
      <c r="R3861" s="29">
        <v>0.15</v>
      </c>
      <c r="S3861" s="30">
        <v>5.1549999999999999E-2</v>
      </c>
    </row>
    <row r="3862" spans="16:19" x14ac:dyDescent="0.25">
      <c r="P3862" s="27">
        <v>3.2548184716220556E-2</v>
      </c>
      <c r="Q3862" s="28">
        <f t="shared" si="64"/>
        <v>3.5548184716220559E-2</v>
      </c>
      <c r="R3862" s="29">
        <v>0.15</v>
      </c>
      <c r="S3862" s="30">
        <v>5.5E-2</v>
      </c>
    </row>
    <row r="3863" spans="16:19" x14ac:dyDescent="0.25">
      <c r="P3863" s="27">
        <v>3.2548184716220556E-2</v>
      </c>
      <c r="Q3863" s="28">
        <f t="shared" si="64"/>
        <v>3.5548184716220559E-2</v>
      </c>
      <c r="R3863" s="29">
        <v>0.15</v>
      </c>
      <c r="S3863" s="30">
        <v>5.6549999999999996E-2</v>
      </c>
    </row>
    <row r="3864" spans="16:19" x14ac:dyDescent="0.25">
      <c r="P3864" s="27">
        <v>3.2548184716220556E-2</v>
      </c>
      <c r="Q3864" s="28">
        <f t="shared" si="64"/>
        <v>3.5548184716220559E-2</v>
      </c>
      <c r="R3864" s="29">
        <v>0.15</v>
      </c>
      <c r="S3864" s="30">
        <v>6.087E-2</v>
      </c>
    </row>
    <row r="3865" spans="16:19" x14ac:dyDescent="0.25">
      <c r="P3865" s="27">
        <v>3.2548184716220556E-2</v>
      </c>
      <c r="Q3865" s="28">
        <f t="shared" si="64"/>
        <v>3.5548184716220559E-2</v>
      </c>
      <c r="R3865" s="29">
        <v>0.15</v>
      </c>
      <c r="S3865" s="30">
        <v>5.0742963000000002E-2</v>
      </c>
    </row>
    <row r="3866" spans="16:19" x14ac:dyDescent="0.25">
      <c r="P3866" s="27">
        <v>3.2548184716220556E-2</v>
      </c>
      <c r="Q3866" s="28">
        <f t="shared" si="64"/>
        <v>3.5548184716220559E-2</v>
      </c>
      <c r="R3866" s="29">
        <v>0.15</v>
      </c>
      <c r="S3866" s="30">
        <v>4.8250000000000001E-2</v>
      </c>
    </row>
    <row r="3867" spans="16:19" x14ac:dyDescent="0.25">
      <c r="P3867" s="27">
        <v>3.2548184716220556E-2</v>
      </c>
      <c r="Q3867" s="28">
        <f t="shared" si="64"/>
        <v>3.5548184716220559E-2</v>
      </c>
      <c r="R3867" s="29">
        <v>0.15</v>
      </c>
      <c r="S3867" s="30">
        <v>4.4549999999999999E-2</v>
      </c>
    </row>
    <row r="3868" spans="16:19" x14ac:dyDescent="0.25">
      <c r="P3868" s="27">
        <v>3.2548184716220556E-2</v>
      </c>
      <c r="Q3868" s="28">
        <f t="shared" si="64"/>
        <v>3.5548184716220559E-2</v>
      </c>
      <c r="R3868" s="29">
        <v>0.15</v>
      </c>
      <c r="S3868" s="30">
        <v>4.0169601999999999E-2</v>
      </c>
    </row>
    <row r="3869" spans="16:19" x14ac:dyDescent="0.25">
      <c r="P3869" s="27">
        <v>3.2548184716220556E-2</v>
      </c>
      <c r="Q3869" s="28">
        <f t="shared" si="64"/>
        <v>3.5548184716220559E-2</v>
      </c>
      <c r="R3869" s="29">
        <v>0.15</v>
      </c>
      <c r="S3869" s="30">
        <v>3.7049518999999996E-2</v>
      </c>
    </row>
    <row r="3870" spans="16:19" x14ac:dyDescent="0.25">
      <c r="P3870" s="27">
        <v>3.2548184716220556E-2</v>
      </c>
      <c r="Q3870" s="28">
        <f t="shared" si="64"/>
        <v>3.5548184716220559E-2</v>
      </c>
      <c r="R3870" s="29">
        <v>0.15</v>
      </c>
      <c r="S3870" s="30">
        <v>3.5000000000000003E-2</v>
      </c>
    </row>
    <row r="3871" spans="16:19" x14ac:dyDescent="0.25">
      <c r="P3871" s="27">
        <v>3.2548184716220556E-2</v>
      </c>
      <c r="Q3871" s="28">
        <f t="shared" si="64"/>
        <v>3.5548184716220559E-2</v>
      </c>
      <c r="R3871" s="29">
        <v>0.15</v>
      </c>
      <c r="S3871" s="30">
        <v>3.422E-2</v>
      </c>
    </row>
    <row r="3872" spans="16:19" x14ac:dyDescent="0.25">
      <c r="P3872" s="27">
        <v>3.2548184716220556E-2</v>
      </c>
      <c r="Q3872" s="28">
        <f t="shared" si="64"/>
        <v>3.5548184716220559E-2</v>
      </c>
      <c r="R3872" s="29">
        <v>0.15</v>
      </c>
      <c r="S3872" s="30">
        <v>3.4159999999999996E-2</v>
      </c>
    </row>
    <row r="3873" spans="16:19" x14ac:dyDescent="0.25">
      <c r="P3873" s="27">
        <v>3.2548184716220556E-2</v>
      </c>
      <c r="Q3873" s="28">
        <f t="shared" si="64"/>
        <v>3.5548184716220559E-2</v>
      </c>
      <c r="R3873" s="29">
        <v>0.15</v>
      </c>
      <c r="S3873" s="30">
        <v>4.1385115E-2</v>
      </c>
    </row>
    <row r="3874" spans="16:19" x14ac:dyDescent="0.25">
      <c r="P3874" s="27">
        <v>3.2548184716220556E-2</v>
      </c>
      <c r="Q3874" s="28">
        <f t="shared" si="64"/>
        <v>3.5548184716220559E-2</v>
      </c>
      <c r="R3874" s="29">
        <v>0.15</v>
      </c>
      <c r="S3874" s="30">
        <v>4.8129999999999999E-2</v>
      </c>
    </row>
    <row r="3875" spans="16:19" x14ac:dyDescent="0.25">
      <c r="P3875" s="27">
        <v>3.2548184716220556E-2</v>
      </c>
      <c r="Q3875" s="28">
        <f t="shared" si="64"/>
        <v>3.5548184716220559E-2</v>
      </c>
      <c r="R3875" s="31">
        <v>0.15939660775771733</v>
      </c>
      <c r="S3875" s="32">
        <v>6.3899999999999998E-2</v>
      </c>
    </row>
    <row r="3876" spans="16:19" x14ac:dyDescent="0.25">
      <c r="P3876" s="27">
        <v>3.2548184716220556E-2</v>
      </c>
      <c r="Q3876" s="28">
        <f t="shared" si="64"/>
        <v>3.5548184716220559E-2</v>
      </c>
      <c r="R3876" s="33">
        <v>0.16282860775771735</v>
      </c>
      <c r="S3876" s="34">
        <v>5.9799999999999999E-2</v>
      </c>
    </row>
    <row r="3877" spans="16:19" x14ac:dyDescent="0.25">
      <c r="P3877" s="27">
        <v>3.2548184716220556E-2</v>
      </c>
      <c r="Q3877" s="28">
        <f t="shared" si="64"/>
        <v>3.5548184716220559E-2</v>
      </c>
      <c r="R3877" s="33">
        <v>0.16282860775771735</v>
      </c>
      <c r="S3877" s="34">
        <v>5.4859999999999999E-2</v>
      </c>
    </row>
    <row r="3878" spans="16:19" x14ac:dyDescent="0.25">
      <c r="P3878" s="27">
        <v>3.2548184716220556E-2</v>
      </c>
      <c r="Q3878" s="28">
        <f t="shared" si="64"/>
        <v>3.5548184716220559E-2</v>
      </c>
      <c r="R3878" s="33">
        <v>0.16282860775771735</v>
      </c>
      <c r="S3878" s="34">
        <v>5.4380000000000005E-2</v>
      </c>
    </row>
    <row r="3879" spans="16:19" x14ac:dyDescent="0.25">
      <c r="P3879" s="27">
        <v>3.2548184716220556E-2</v>
      </c>
      <c r="Q3879" s="28">
        <f t="shared" si="64"/>
        <v>3.5548184716220559E-2</v>
      </c>
      <c r="R3879" s="33">
        <v>0.16282860775771735</v>
      </c>
      <c r="S3879" s="34">
        <v>4.7009999999999996E-2</v>
      </c>
    </row>
    <row r="3880" spans="16:19" x14ac:dyDescent="0.25">
      <c r="P3880" s="27">
        <v>3.2548184716220556E-2</v>
      </c>
      <c r="Q3880" s="28">
        <f t="shared" si="64"/>
        <v>3.5548184716220559E-2</v>
      </c>
      <c r="R3880" s="33">
        <v>0.16282860775771735</v>
      </c>
      <c r="S3880" s="34">
        <v>4.8000000000000001E-2</v>
      </c>
    </row>
    <row r="3881" spans="16:19" x14ac:dyDescent="0.25">
      <c r="P3881" s="27">
        <v>3.2548184716220556E-2</v>
      </c>
      <c r="Q3881" s="28">
        <f t="shared" si="64"/>
        <v>3.5548184716220559E-2</v>
      </c>
      <c r="R3881" s="33">
        <v>0.16282860775771735</v>
      </c>
      <c r="S3881" s="34">
        <v>5.5E-2</v>
      </c>
    </row>
    <row r="3882" spans="16:19" x14ac:dyDescent="0.25">
      <c r="P3882" s="27">
        <v>3.2548184716220556E-2</v>
      </c>
      <c r="Q3882" s="28">
        <f t="shared" si="64"/>
        <v>3.5548184716220559E-2</v>
      </c>
      <c r="R3882" s="33">
        <v>0.16282860775771735</v>
      </c>
      <c r="S3882" s="34">
        <v>5.8650000000000001E-2</v>
      </c>
    </row>
    <row r="3883" spans="16:19" x14ac:dyDescent="0.25">
      <c r="P3883" s="27">
        <v>3.2548184716220556E-2</v>
      </c>
      <c r="Q3883" s="28">
        <f t="shared" si="64"/>
        <v>3.5548184716220559E-2</v>
      </c>
      <c r="R3883" s="33">
        <v>0.16282860775771735</v>
      </c>
      <c r="S3883" s="34">
        <v>6.2549999999999994E-2</v>
      </c>
    </row>
    <row r="3884" spans="16:19" x14ac:dyDescent="0.25">
      <c r="P3884" s="27">
        <v>3.2548184716220556E-2</v>
      </c>
      <c r="Q3884" s="28">
        <f t="shared" si="64"/>
        <v>3.5548184716220559E-2</v>
      </c>
      <c r="R3884" s="33">
        <v>0.16282860775771735</v>
      </c>
      <c r="S3884" s="34">
        <v>5.7570000000000003E-2</v>
      </c>
    </row>
    <row r="3885" spans="16:19" x14ac:dyDescent="0.25">
      <c r="P3885" s="27">
        <v>3.2548184716220556E-2</v>
      </c>
      <c r="Q3885" s="28">
        <f t="shared" si="64"/>
        <v>3.5548184716220559E-2</v>
      </c>
      <c r="R3885" s="33">
        <v>0.16282860775771735</v>
      </c>
      <c r="S3885" s="34">
        <v>5.6090000000000001E-2</v>
      </c>
    </row>
    <row r="3886" spans="16:19" x14ac:dyDescent="0.25">
      <c r="P3886" s="27">
        <v>3.2548184716220556E-2</v>
      </c>
      <c r="Q3886" s="28">
        <f t="shared" si="64"/>
        <v>3.5548184716220559E-2</v>
      </c>
      <c r="R3886" s="33">
        <v>0.16282860775771735</v>
      </c>
      <c r="S3886" s="34">
        <v>5.7000000000000002E-2</v>
      </c>
    </row>
    <row r="3887" spans="16:19" x14ac:dyDescent="0.25">
      <c r="P3887" s="27">
        <v>3.2548184716220556E-2</v>
      </c>
      <c r="Q3887" s="28">
        <f t="shared" si="64"/>
        <v>3.5548184716220559E-2</v>
      </c>
      <c r="R3887" s="31">
        <v>0.15939660775771733</v>
      </c>
      <c r="S3887" s="32">
        <v>6.012E-2</v>
      </c>
    </row>
    <row r="3888" spans="16:19" x14ac:dyDescent="0.25">
      <c r="P3888" s="27">
        <v>3.2548184716220556E-2</v>
      </c>
      <c r="Q3888" s="28">
        <f t="shared" si="64"/>
        <v>3.5548184716220559E-2</v>
      </c>
      <c r="R3888" s="31">
        <v>0.15939660775771733</v>
      </c>
      <c r="S3888" s="32">
        <v>6.2450000000000006E-2</v>
      </c>
    </row>
    <row r="3889" spans="16:19" x14ac:dyDescent="0.25">
      <c r="P3889" s="27">
        <v>3.2548184716220556E-2</v>
      </c>
      <c r="Q3889" s="28">
        <f t="shared" si="64"/>
        <v>3.5548184716220559E-2</v>
      </c>
      <c r="R3889" s="31">
        <v>0.15939660775771733</v>
      </c>
      <c r="S3889" s="32">
        <v>5.219E-2</v>
      </c>
    </row>
    <row r="3890" spans="16:19" x14ac:dyDescent="0.25">
      <c r="P3890" s="27">
        <v>3.2548184716220556E-2</v>
      </c>
      <c r="Q3890" s="28">
        <f t="shared" si="64"/>
        <v>3.5548184716220559E-2</v>
      </c>
      <c r="R3890" s="31">
        <v>0.15939660775771733</v>
      </c>
      <c r="S3890" s="32">
        <v>4.8250000000000001E-2</v>
      </c>
    </row>
    <row r="3891" spans="16:19" x14ac:dyDescent="0.25">
      <c r="P3891" s="27">
        <v>3.2548184716220556E-2</v>
      </c>
      <c r="Q3891" s="28">
        <f t="shared" si="64"/>
        <v>3.5548184716220559E-2</v>
      </c>
      <c r="R3891" s="29">
        <v>0.15003660775771735</v>
      </c>
      <c r="S3891" s="30">
        <v>4.4159999999999998E-2</v>
      </c>
    </row>
    <row r="3892" spans="16:19" x14ac:dyDescent="0.25">
      <c r="P3892" s="27">
        <v>3.2548184716220556E-2</v>
      </c>
      <c r="Q3892" s="28">
        <f t="shared" si="64"/>
        <v>3.5548184716220559E-2</v>
      </c>
      <c r="R3892" s="29">
        <v>0.15003660775771735</v>
      </c>
      <c r="S3892" s="30">
        <v>4.3119999999999999E-2</v>
      </c>
    </row>
    <row r="3893" spans="16:19" x14ac:dyDescent="0.25">
      <c r="P3893" s="27">
        <v>3.2548184716220556E-2</v>
      </c>
      <c r="Q3893" s="28">
        <f t="shared" si="64"/>
        <v>3.5548184716220559E-2</v>
      </c>
      <c r="R3893" s="29">
        <v>0.15003660775771735</v>
      </c>
      <c r="S3893" s="30">
        <v>3.7899999999999996E-2</v>
      </c>
    </row>
    <row r="3894" spans="16:19" x14ac:dyDescent="0.25">
      <c r="P3894" s="27">
        <v>3.2548184716220556E-2</v>
      </c>
      <c r="Q3894" s="28">
        <f t="shared" si="64"/>
        <v>3.5548184716220559E-2</v>
      </c>
      <c r="R3894" s="29">
        <v>0.15003660775771735</v>
      </c>
      <c r="S3894" s="30">
        <v>3.5700000000000003E-2</v>
      </c>
    </row>
    <row r="3895" spans="16:19" x14ac:dyDescent="0.25">
      <c r="P3895" s="27">
        <v>3.2548184716220556E-2</v>
      </c>
      <c r="Q3895" s="28">
        <f t="shared" si="64"/>
        <v>3.5548184716220559E-2</v>
      </c>
      <c r="R3895" s="29">
        <v>0.15003660775771735</v>
      </c>
      <c r="S3895" s="30">
        <v>3.4639999999999997E-2</v>
      </c>
    </row>
    <row r="3896" spans="16:19" x14ac:dyDescent="0.25">
      <c r="P3896" s="27">
        <v>3.2548184716220556E-2</v>
      </c>
      <c r="Q3896" s="28">
        <f t="shared" si="64"/>
        <v>3.5548184716220559E-2</v>
      </c>
      <c r="R3896" s="29">
        <v>0.15003660775771735</v>
      </c>
      <c r="S3896" s="30">
        <v>3.4639999999999997E-2</v>
      </c>
    </row>
    <row r="3897" spans="16:19" x14ac:dyDescent="0.25">
      <c r="P3897" s="27">
        <v>3.2548184716220556E-2</v>
      </c>
      <c r="Q3897" s="28">
        <f t="shared" si="64"/>
        <v>3.5548184716220559E-2</v>
      </c>
      <c r="R3897" s="29">
        <v>0.15003660775771735</v>
      </c>
      <c r="S3897" s="30">
        <v>4.2471299999999997E-2</v>
      </c>
    </row>
    <row r="3898" spans="16:19" x14ac:dyDescent="0.25">
      <c r="P3898" s="27">
        <v>3.2548184716220556E-2</v>
      </c>
      <c r="Q3898" s="28">
        <f t="shared" si="64"/>
        <v>3.5548184716220559E-2</v>
      </c>
      <c r="R3898" s="29">
        <v>0.15003660775771735</v>
      </c>
      <c r="S3898" s="30">
        <v>4.913E-2</v>
      </c>
    </row>
    <row r="3899" spans="16:19" x14ac:dyDescent="0.25">
      <c r="P3899" s="27">
        <v>3.2548184716220556E-2</v>
      </c>
      <c r="Q3899" s="28">
        <f t="shared" si="64"/>
        <v>3.5548184716220559E-2</v>
      </c>
      <c r="R3899" s="31">
        <v>0.15939660775771733</v>
      </c>
      <c r="S3899" s="32">
        <v>7.0199999999999999E-2</v>
      </c>
    </row>
    <row r="3900" spans="16:19" x14ac:dyDescent="0.25">
      <c r="P3900" s="27">
        <v>3.2548184716220556E-2</v>
      </c>
      <c r="Q3900" s="28">
        <f t="shared" si="64"/>
        <v>3.5548184716220559E-2</v>
      </c>
      <c r="R3900" s="33">
        <v>0.16282860775771735</v>
      </c>
      <c r="S3900" s="34">
        <v>6.9989999999999997E-2</v>
      </c>
    </row>
    <row r="3901" spans="16:19" x14ac:dyDescent="0.25">
      <c r="P3901" s="27">
        <v>3.2548184716220556E-2</v>
      </c>
      <c r="Q3901" s="28">
        <f t="shared" si="64"/>
        <v>3.5548184716220559E-2</v>
      </c>
      <c r="R3901" s="33">
        <v>0.16282860775771735</v>
      </c>
      <c r="S3901" s="34">
        <v>6.5000000000000002E-2</v>
      </c>
    </row>
    <row r="3902" spans="16:19" x14ac:dyDescent="0.25">
      <c r="P3902" s="27">
        <v>3.2548184716220556E-2</v>
      </c>
      <c r="Q3902" s="28">
        <f t="shared" si="64"/>
        <v>3.5548184716220559E-2</v>
      </c>
      <c r="R3902" s="33">
        <v>0.16282860775771735</v>
      </c>
      <c r="S3902" s="34">
        <v>6.1249999999999999E-2</v>
      </c>
    </row>
    <row r="3903" spans="16:19" x14ac:dyDescent="0.25">
      <c r="P3903" s="27">
        <v>3.2548184716220556E-2</v>
      </c>
      <c r="Q3903" s="28">
        <f t="shared" si="64"/>
        <v>3.5548184716220559E-2</v>
      </c>
      <c r="R3903" s="33">
        <v>0.16282860775771735</v>
      </c>
      <c r="S3903" s="34">
        <v>5.3196966000000005E-2</v>
      </c>
    </row>
    <row r="3904" spans="16:19" x14ac:dyDescent="0.25">
      <c r="P3904" s="27">
        <v>3.2548184716220556E-2</v>
      </c>
      <c r="Q3904" s="28">
        <f t="shared" si="64"/>
        <v>3.5548184716220559E-2</v>
      </c>
      <c r="R3904" s="33">
        <v>0.16282860775771735</v>
      </c>
      <c r="S3904" s="34">
        <v>5.3990000000000003E-2</v>
      </c>
    </row>
    <row r="3905" spans="16:19" x14ac:dyDescent="0.25">
      <c r="P3905" s="27">
        <v>3.2548184716220556E-2</v>
      </c>
      <c r="Q3905" s="28">
        <f t="shared" si="64"/>
        <v>3.5548184716220559E-2</v>
      </c>
      <c r="R3905" s="33">
        <v>0.16282860775771735</v>
      </c>
      <c r="S3905" s="34">
        <v>6.0319999999999999E-2</v>
      </c>
    </row>
    <row r="3906" spans="16:19" x14ac:dyDescent="0.25">
      <c r="P3906" s="27">
        <v>3.2548184716220556E-2</v>
      </c>
      <c r="Q3906" s="28">
        <f t="shared" si="64"/>
        <v>3.5548184716220559E-2</v>
      </c>
      <c r="R3906" s="33">
        <v>0.16282860775771735</v>
      </c>
      <c r="S3906" s="34">
        <v>6.8000000000000005E-2</v>
      </c>
    </row>
    <row r="3907" spans="16:19" x14ac:dyDescent="0.25">
      <c r="P3907" s="27">
        <v>3.2548184716220556E-2</v>
      </c>
      <c r="Q3907" s="28">
        <f t="shared" si="64"/>
        <v>3.5548184716220559E-2</v>
      </c>
      <c r="R3907" s="33">
        <v>0.16282860775771735</v>
      </c>
      <c r="S3907" s="34">
        <v>7.4999999999999997E-2</v>
      </c>
    </row>
    <row r="3908" spans="16:19" x14ac:dyDescent="0.25">
      <c r="P3908" s="27">
        <v>3.2548184716220556E-2</v>
      </c>
      <c r="Q3908" s="28">
        <f t="shared" si="64"/>
        <v>3.5548184716220559E-2</v>
      </c>
      <c r="R3908" s="33">
        <v>0.16282860775771735</v>
      </c>
      <c r="S3908" s="34">
        <v>6.9449999999999998E-2</v>
      </c>
    </row>
    <row r="3909" spans="16:19" x14ac:dyDescent="0.25">
      <c r="P3909" s="27">
        <v>3.2548184716220556E-2</v>
      </c>
      <c r="Q3909" s="28">
        <f t="shared" ref="Q3909:Q3972" si="65">P3909+0.003</f>
        <v>3.5548184716220559E-2</v>
      </c>
      <c r="R3909" s="33">
        <v>0.16282860775771735</v>
      </c>
      <c r="S3909" s="34">
        <v>7.0923845999999999E-2</v>
      </c>
    </row>
    <row r="3910" spans="16:19" x14ac:dyDescent="0.25">
      <c r="P3910" s="27">
        <v>3.2548184716220556E-2</v>
      </c>
      <c r="Q3910" s="28">
        <f t="shared" si="65"/>
        <v>3.5548184716220559E-2</v>
      </c>
      <c r="R3910" s="33">
        <v>0.16282860775771735</v>
      </c>
      <c r="S3910" s="34">
        <v>7.4279999999999999E-2</v>
      </c>
    </row>
    <row r="3911" spans="16:19" x14ac:dyDescent="0.25">
      <c r="P3911" s="27">
        <v>3.2548184716220556E-2</v>
      </c>
      <c r="Q3911" s="28">
        <f t="shared" si="65"/>
        <v>3.5548184716220559E-2</v>
      </c>
      <c r="R3911" s="31">
        <v>0.15939660775771733</v>
      </c>
      <c r="S3911" s="32">
        <v>7.4990000000000001E-2</v>
      </c>
    </row>
    <row r="3912" spans="16:19" x14ac:dyDescent="0.25">
      <c r="P3912" s="27">
        <v>3.2548184716220556E-2</v>
      </c>
      <c r="Q3912" s="28">
        <f t="shared" si="65"/>
        <v>3.5548184716220559E-2</v>
      </c>
      <c r="R3912" s="31">
        <v>0.15939660775771733</v>
      </c>
      <c r="S3912" s="32">
        <v>7.8408607000000005E-2</v>
      </c>
    </row>
    <row r="3913" spans="16:19" x14ac:dyDescent="0.25">
      <c r="P3913" s="27">
        <v>3.2548184716220556E-2</v>
      </c>
      <c r="Q3913" s="28">
        <f t="shared" si="65"/>
        <v>3.5548184716220559E-2</v>
      </c>
      <c r="R3913" s="31">
        <v>0.15939660775771733</v>
      </c>
      <c r="S3913" s="32">
        <v>5.9702699000000005E-2</v>
      </c>
    </row>
    <row r="3914" spans="16:19" x14ac:dyDescent="0.25">
      <c r="P3914" s="27">
        <v>3.2548184716220556E-2</v>
      </c>
      <c r="Q3914" s="28">
        <f t="shared" si="65"/>
        <v>3.5548184716220559E-2</v>
      </c>
      <c r="R3914" s="31">
        <v>0.15939660775771733</v>
      </c>
      <c r="S3914" s="32">
        <v>5.3990000000000003E-2</v>
      </c>
    </row>
    <row r="3915" spans="16:19" x14ac:dyDescent="0.25">
      <c r="P3915" s="27">
        <v>3.2548184716220556E-2</v>
      </c>
      <c r="Q3915" s="28">
        <f t="shared" si="65"/>
        <v>3.5548184716220559E-2</v>
      </c>
      <c r="R3915" s="29">
        <v>0.15003660775771735</v>
      </c>
      <c r="S3915" s="30">
        <v>4.3229999999999998E-2</v>
      </c>
    </row>
    <row r="3916" spans="16:19" x14ac:dyDescent="0.25">
      <c r="P3916" s="27">
        <v>3.2548184716220556E-2</v>
      </c>
      <c r="Q3916" s="28">
        <f t="shared" si="65"/>
        <v>3.5548184716220559E-2</v>
      </c>
      <c r="R3916" s="29">
        <v>0.15003660775771735</v>
      </c>
      <c r="S3916" s="30">
        <v>4.2335881999999998E-2</v>
      </c>
    </row>
    <row r="3917" spans="16:19" x14ac:dyDescent="0.25">
      <c r="P3917" s="27">
        <v>3.2548184716220556E-2</v>
      </c>
      <c r="Q3917" s="28">
        <f t="shared" si="65"/>
        <v>3.5548184716220559E-2</v>
      </c>
      <c r="R3917" s="29">
        <v>0.15003660775771735</v>
      </c>
      <c r="S3917" s="30">
        <v>3.8100000000000002E-2</v>
      </c>
    </row>
    <row r="3918" spans="16:19" x14ac:dyDescent="0.25">
      <c r="P3918" s="27">
        <v>3.2548184716220556E-2</v>
      </c>
      <c r="Q3918" s="28">
        <f t="shared" si="65"/>
        <v>3.5548184716220559E-2</v>
      </c>
      <c r="R3918" s="29">
        <v>0.15003660775771735</v>
      </c>
      <c r="S3918" s="30">
        <v>3.5342798000000002E-2</v>
      </c>
    </row>
    <row r="3919" spans="16:19" x14ac:dyDescent="0.25">
      <c r="P3919" s="27">
        <v>3.2548184716220556E-2</v>
      </c>
      <c r="Q3919" s="28">
        <f t="shared" si="65"/>
        <v>3.5548184716220559E-2</v>
      </c>
      <c r="R3919" s="29">
        <v>0.15003660775771735</v>
      </c>
      <c r="S3919" s="30">
        <v>3.5825246999999998E-2</v>
      </c>
    </row>
    <row r="3920" spans="16:19" x14ac:dyDescent="0.25">
      <c r="P3920" s="27">
        <v>3.2548184716220556E-2</v>
      </c>
      <c r="Q3920" s="28">
        <f t="shared" si="65"/>
        <v>3.5548184716220559E-2</v>
      </c>
      <c r="R3920" s="29">
        <v>0.15003660775771735</v>
      </c>
      <c r="S3920" s="30">
        <v>3.4639999999999997E-2</v>
      </c>
    </row>
    <row r="3921" spans="16:19" x14ac:dyDescent="0.25">
      <c r="P3921" s="27">
        <v>3.2548184716220556E-2</v>
      </c>
      <c r="Q3921" s="28">
        <f t="shared" si="65"/>
        <v>3.5548184716220559E-2</v>
      </c>
      <c r="R3921" s="29">
        <v>0.15003660775771735</v>
      </c>
      <c r="S3921" s="30">
        <v>4.2470000000000001E-2</v>
      </c>
    </row>
    <row r="3922" spans="16:19" x14ac:dyDescent="0.25">
      <c r="P3922" s="27">
        <v>3.2548184716220556E-2</v>
      </c>
      <c r="Q3922" s="28">
        <f t="shared" si="65"/>
        <v>3.5548184716220559E-2</v>
      </c>
      <c r="R3922" s="29">
        <v>0.15003660775771735</v>
      </c>
      <c r="S3922" s="30">
        <v>4.8049999999999995E-2</v>
      </c>
    </row>
    <row r="3923" spans="16:19" x14ac:dyDescent="0.25">
      <c r="P3923" s="27">
        <v>3.2548184716220556E-2</v>
      </c>
      <c r="Q3923" s="28">
        <f t="shared" si="65"/>
        <v>3.5548184716220559E-2</v>
      </c>
      <c r="R3923" s="31">
        <v>0.15939660775771733</v>
      </c>
      <c r="S3923" s="32">
        <v>7.0989440000000001E-2</v>
      </c>
    </row>
    <row r="3924" spans="16:19" x14ac:dyDescent="0.25">
      <c r="P3924" s="27">
        <v>3.2548184716220556E-2</v>
      </c>
      <c r="Q3924" s="28">
        <f t="shared" si="65"/>
        <v>3.5548184716220559E-2</v>
      </c>
      <c r="R3924" s="33">
        <v>0.16282860775771735</v>
      </c>
      <c r="S3924" s="34">
        <v>7.0000000000000007E-2</v>
      </c>
    </row>
    <row r="3925" spans="16:19" x14ac:dyDescent="0.25">
      <c r="P3925" s="27">
        <v>3.2548184716220556E-2</v>
      </c>
      <c r="Q3925" s="28">
        <f t="shared" si="65"/>
        <v>3.5548184716220559E-2</v>
      </c>
      <c r="R3925" s="33">
        <v>0.16282860775771735</v>
      </c>
      <c r="S3925" s="34">
        <v>6.2350000000000003E-2</v>
      </c>
    </row>
    <row r="3926" spans="16:19" x14ac:dyDescent="0.25">
      <c r="P3926" s="27">
        <v>3.2548184716220556E-2</v>
      </c>
      <c r="Q3926" s="28">
        <f t="shared" si="65"/>
        <v>3.5548184716220559E-2</v>
      </c>
      <c r="R3926" s="33">
        <v>0.16282860775771735</v>
      </c>
      <c r="S3926" s="34">
        <v>5.8500000000000003E-2</v>
      </c>
    </row>
    <row r="3927" spans="16:19" x14ac:dyDescent="0.25">
      <c r="P3927" s="27">
        <v>3.2548184716220556E-2</v>
      </c>
      <c r="Q3927" s="28">
        <f t="shared" si="65"/>
        <v>3.5548184716220559E-2</v>
      </c>
      <c r="R3927" s="33">
        <v>0.16282860775771735</v>
      </c>
      <c r="S3927" s="34">
        <v>5.21E-2</v>
      </c>
    </row>
    <row r="3928" spans="16:19" x14ac:dyDescent="0.25">
      <c r="P3928" s="27">
        <v>3.2548184716220556E-2</v>
      </c>
      <c r="Q3928" s="28">
        <f t="shared" si="65"/>
        <v>3.5548184716220559E-2</v>
      </c>
      <c r="R3928" s="33">
        <v>0.16282860775771735</v>
      </c>
      <c r="S3928" s="34">
        <v>5.5474972999999997E-2</v>
      </c>
    </row>
    <row r="3929" spans="16:19" x14ac:dyDescent="0.25">
      <c r="P3929" s="27">
        <v>3.2548184716220556E-2</v>
      </c>
      <c r="Q3929" s="28">
        <f t="shared" si="65"/>
        <v>3.5548184716220559E-2</v>
      </c>
      <c r="R3929" s="33">
        <v>0.16282860775771735</v>
      </c>
      <c r="S3929" s="34">
        <v>6.9650000000000004E-2</v>
      </c>
    </row>
    <row r="3930" spans="16:19" x14ac:dyDescent="0.25">
      <c r="P3930" s="27">
        <v>3.2548184716220556E-2</v>
      </c>
      <c r="Q3930" s="28">
        <f t="shared" si="65"/>
        <v>3.5548184716220559E-2</v>
      </c>
      <c r="R3930" s="33">
        <v>0.16282860775771735</v>
      </c>
      <c r="S3930" s="34">
        <v>7.4469999999999995E-2</v>
      </c>
    </row>
    <row r="3931" spans="16:19" x14ac:dyDescent="0.25">
      <c r="P3931" s="27">
        <v>3.2548184716220556E-2</v>
      </c>
      <c r="Q3931" s="28">
        <f t="shared" si="65"/>
        <v>3.5548184716220559E-2</v>
      </c>
      <c r="R3931" s="33">
        <v>0.16282860775771735</v>
      </c>
      <c r="S3931" s="34">
        <v>8.7580000000000005E-2</v>
      </c>
    </row>
    <row r="3932" spans="16:19" x14ac:dyDescent="0.25">
      <c r="P3932" s="27">
        <v>3.2548184716220556E-2</v>
      </c>
      <c r="Q3932" s="28">
        <f t="shared" si="65"/>
        <v>3.5548184716220559E-2</v>
      </c>
      <c r="R3932" s="33">
        <v>0.16282860775771735</v>
      </c>
      <c r="S3932" s="34">
        <v>7.2410000000000002E-2</v>
      </c>
    </row>
    <row r="3933" spans="16:19" x14ac:dyDescent="0.25">
      <c r="P3933" s="27">
        <v>3.2548184716220556E-2</v>
      </c>
      <c r="Q3933" s="28">
        <f t="shared" si="65"/>
        <v>3.5548184716220559E-2</v>
      </c>
      <c r="R3933" s="33">
        <v>0.16282860775771735</v>
      </c>
      <c r="S3933" s="34">
        <v>7.102E-2</v>
      </c>
    </row>
    <row r="3934" spans="16:19" x14ac:dyDescent="0.25">
      <c r="P3934" s="27">
        <v>3.2548184716220556E-2</v>
      </c>
      <c r="Q3934" s="28">
        <f t="shared" si="65"/>
        <v>3.5548184716220559E-2</v>
      </c>
      <c r="R3934" s="33">
        <v>0.16282860775771735</v>
      </c>
      <c r="S3934" s="34">
        <v>7.0000000000000007E-2</v>
      </c>
    </row>
    <row r="3935" spans="16:19" x14ac:dyDescent="0.25">
      <c r="P3935" s="27">
        <v>3.2548184716220556E-2</v>
      </c>
      <c r="Q3935" s="28">
        <f t="shared" si="65"/>
        <v>3.5548184716220559E-2</v>
      </c>
      <c r="R3935" s="31">
        <v>0.15939660775771733</v>
      </c>
      <c r="S3935" s="32">
        <v>7.0000000000000007E-2</v>
      </c>
    </row>
    <row r="3936" spans="16:19" x14ac:dyDescent="0.25">
      <c r="P3936" s="27">
        <v>3.2548184716220556E-2</v>
      </c>
      <c r="Q3936" s="28">
        <f t="shared" si="65"/>
        <v>3.5548184716220559E-2</v>
      </c>
      <c r="R3936" s="31">
        <v>0.15939660775771733</v>
      </c>
      <c r="S3936" s="32">
        <v>7.0000000000000007E-2</v>
      </c>
    </row>
    <row r="3937" spans="16:19" x14ac:dyDescent="0.25">
      <c r="P3937" s="27">
        <v>3.2548184716220556E-2</v>
      </c>
      <c r="Q3937" s="28">
        <f t="shared" si="65"/>
        <v>3.5548184716220559E-2</v>
      </c>
      <c r="R3937" s="31">
        <v>0.15939660775771733</v>
      </c>
      <c r="S3937" s="32">
        <v>5.4759999999999996E-2</v>
      </c>
    </row>
    <row r="3938" spans="16:19" x14ac:dyDescent="0.25">
      <c r="P3938" s="27">
        <v>3.2548184716220556E-2</v>
      </c>
      <c r="Q3938" s="28">
        <f t="shared" si="65"/>
        <v>3.5548184716220559E-2</v>
      </c>
      <c r="R3938" s="31">
        <v>0.15939660775771733</v>
      </c>
      <c r="S3938" s="32">
        <v>4.8860000000000001E-2</v>
      </c>
    </row>
    <row r="3939" spans="16:19" x14ac:dyDescent="0.25">
      <c r="P3939" s="27">
        <v>3.2548184716220556E-2</v>
      </c>
      <c r="Q3939" s="28">
        <f t="shared" si="65"/>
        <v>3.5548184716220559E-2</v>
      </c>
      <c r="R3939" s="29">
        <v>0.15003660775771735</v>
      </c>
      <c r="S3939" s="30">
        <v>4.3229999999999998E-2</v>
      </c>
    </row>
    <row r="3940" spans="16:19" x14ac:dyDescent="0.25">
      <c r="P3940" s="27">
        <v>3.2548184716220556E-2</v>
      </c>
      <c r="Q3940" s="28">
        <f t="shared" si="65"/>
        <v>3.5548184716220559E-2</v>
      </c>
      <c r="R3940" s="29">
        <v>0.15003660775771735</v>
      </c>
      <c r="S3940" s="30">
        <v>4.4010000000000001E-2</v>
      </c>
    </row>
    <row r="3941" spans="16:19" x14ac:dyDescent="0.25">
      <c r="P3941" s="27">
        <v>3.2548184716220556E-2</v>
      </c>
      <c r="Q3941" s="28">
        <f t="shared" si="65"/>
        <v>3.5548184716220559E-2</v>
      </c>
      <c r="R3941" s="29">
        <v>0.15003660775771735</v>
      </c>
      <c r="S3941" s="30">
        <v>3.9640000000000002E-2</v>
      </c>
    </row>
    <row r="3942" spans="16:19" x14ac:dyDescent="0.25">
      <c r="P3942" s="27">
        <v>3.2548184716220556E-2</v>
      </c>
      <c r="Q3942" s="28">
        <f t="shared" si="65"/>
        <v>3.5548184716220559E-2</v>
      </c>
      <c r="R3942" s="29">
        <v>0.15003660775771735</v>
      </c>
      <c r="S3942" s="30">
        <v>3.8673171000000006E-2</v>
      </c>
    </row>
    <row r="3943" spans="16:19" x14ac:dyDescent="0.25">
      <c r="P3943" s="27">
        <v>3.2548184716220556E-2</v>
      </c>
      <c r="Q3943" s="28">
        <f t="shared" si="65"/>
        <v>3.5548184716220559E-2</v>
      </c>
      <c r="R3943" s="29">
        <v>0.15003660775771735</v>
      </c>
      <c r="S3943" s="30">
        <v>3.9490000000000004E-2</v>
      </c>
    </row>
    <row r="3944" spans="16:19" x14ac:dyDescent="0.25">
      <c r="P3944" s="27">
        <v>3.2548184716220556E-2</v>
      </c>
      <c r="Q3944" s="28">
        <f t="shared" si="65"/>
        <v>3.5548184716220559E-2</v>
      </c>
      <c r="R3944" s="29">
        <v>0.15003660775771735</v>
      </c>
      <c r="S3944" s="30">
        <v>3.823E-2</v>
      </c>
    </row>
    <row r="3945" spans="16:19" x14ac:dyDescent="0.25">
      <c r="P3945" s="27">
        <v>3.2548184716220556E-2</v>
      </c>
      <c r="Q3945" s="28">
        <f t="shared" si="65"/>
        <v>3.5548184716220559E-2</v>
      </c>
      <c r="R3945" s="29">
        <v>0.15003660775771735</v>
      </c>
      <c r="S3945" s="30">
        <v>3.823E-2</v>
      </c>
    </row>
    <row r="3946" spans="16:19" x14ac:dyDescent="0.25">
      <c r="P3946" s="27">
        <v>3.2548184716220556E-2</v>
      </c>
      <c r="Q3946" s="28">
        <f t="shared" si="65"/>
        <v>3.5548184716220559E-2</v>
      </c>
      <c r="R3946" s="29">
        <v>0.15003660775771735</v>
      </c>
      <c r="S3946" s="30">
        <v>4.4969999999999996E-2</v>
      </c>
    </row>
    <row r="3947" spans="16:19" x14ac:dyDescent="0.25">
      <c r="P3947" s="27">
        <v>3.2548184716220556E-2</v>
      </c>
      <c r="Q3947" s="28">
        <f t="shared" si="65"/>
        <v>3.5548184716220559E-2</v>
      </c>
      <c r="R3947" s="31">
        <v>0.15939660775771733</v>
      </c>
      <c r="S3947" s="32">
        <v>5.4509999999999996E-2</v>
      </c>
    </row>
    <row r="3948" spans="16:19" x14ac:dyDescent="0.25">
      <c r="P3948" s="27">
        <v>3.2548184716220556E-2</v>
      </c>
      <c r="Q3948" s="28">
        <f t="shared" si="65"/>
        <v>3.5548184716220559E-2</v>
      </c>
      <c r="R3948" s="33">
        <v>0.16282860775771735</v>
      </c>
      <c r="S3948" s="34">
        <v>5.2740000000000002E-2</v>
      </c>
    </row>
    <row r="3949" spans="16:19" x14ac:dyDescent="0.25">
      <c r="P3949" s="27">
        <v>3.2548184716220556E-2</v>
      </c>
      <c r="Q3949" s="28">
        <f t="shared" si="65"/>
        <v>3.5548184716220559E-2</v>
      </c>
      <c r="R3949" s="33">
        <v>0.16282860775771735</v>
      </c>
      <c r="S3949" s="34">
        <v>4.8640000000000003E-2</v>
      </c>
    </row>
    <row r="3950" spans="16:19" x14ac:dyDescent="0.25">
      <c r="P3950" s="27">
        <v>3.2548184716220556E-2</v>
      </c>
      <c r="Q3950" s="28">
        <f t="shared" si="65"/>
        <v>3.5548184716220559E-2</v>
      </c>
      <c r="R3950" s="33">
        <v>0.16282860775771735</v>
      </c>
      <c r="S3950" s="34">
        <v>4.8509999999999998E-2</v>
      </c>
    </row>
    <row r="3951" spans="16:19" x14ac:dyDescent="0.25">
      <c r="P3951" s="27">
        <v>3.2548184716220556E-2</v>
      </c>
      <c r="Q3951" s="28">
        <f t="shared" si="65"/>
        <v>3.5548184716220559E-2</v>
      </c>
      <c r="R3951" s="33">
        <v>0.16282860775771735</v>
      </c>
      <c r="S3951" s="34">
        <v>4.4679999999999997E-2</v>
      </c>
    </row>
    <row r="3952" spans="16:19" x14ac:dyDescent="0.25">
      <c r="P3952" s="27">
        <v>3.2548184716220556E-2</v>
      </c>
      <c r="Q3952" s="28">
        <f t="shared" si="65"/>
        <v>3.5548184716220559E-2</v>
      </c>
      <c r="R3952" s="33">
        <v>0.16282860775771735</v>
      </c>
      <c r="S3952" s="34">
        <v>3.8200000000000005E-2</v>
      </c>
    </row>
    <row r="3953" spans="16:19" x14ac:dyDescent="0.25">
      <c r="P3953" s="27">
        <v>3.2548184716220556E-2</v>
      </c>
      <c r="Q3953" s="28">
        <f t="shared" si="65"/>
        <v>3.5548184716220559E-2</v>
      </c>
      <c r="R3953" s="33">
        <v>0.16282860775771735</v>
      </c>
      <c r="S3953" s="34">
        <v>3.4329999999999999E-2</v>
      </c>
    </row>
    <row r="3954" spans="16:19" x14ac:dyDescent="0.25">
      <c r="P3954" s="27">
        <v>3.2548184716220556E-2</v>
      </c>
      <c r="Q3954" s="28">
        <f t="shared" si="65"/>
        <v>3.5548184716220559E-2</v>
      </c>
      <c r="R3954" s="33">
        <v>0.16282860775771735</v>
      </c>
      <c r="S3954" s="34">
        <v>3.8634157000000002E-2</v>
      </c>
    </row>
    <row r="3955" spans="16:19" x14ac:dyDescent="0.25">
      <c r="P3955" s="27">
        <v>3.2548184716220556E-2</v>
      </c>
      <c r="Q3955" s="28">
        <f t="shared" si="65"/>
        <v>3.5548184716220559E-2</v>
      </c>
      <c r="R3955" s="33">
        <v>0.16282860775771735</v>
      </c>
      <c r="S3955" s="34">
        <v>3.7719999999999997E-2</v>
      </c>
    </row>
    <row r="3956" spans="16:19" x14ac:dyDescent="0.25">
      <c r="P3956" s="27">
        <v>3.2548184716220556E-2</v>
      </c>
      <c r="Q3956" s="28">
        <f t="shared" si="65"/>
        <v>3.5548184716220559E-2</v>
      </c>
      <c r="R3956" s="33">
        <v>0.16282860775771735</v>
      </c>
      <c r="S3956" s="34">
        <v>4.2189999999999998E-2</v>
      </c>
    </row>
    <row r="3957" spans="16:19" x14ac:dyDescent="0.25">
      <c r="P3957" s="27">
        <v>3.2548184716220556E-2</v>
      </c>
      <c r="Q3957" s="28">
        <f t="shared" si="65"/>
        <v>3.5548184716220559E-2</v>
      </c>
      <c r="R3957" s="33">
        <v>0.16282860775771735</v>
      </c>
      <c r="S3957" s="34">
        <v>4.8000000000000001E-2</v>
      </c>
    </row>
    <row r="3958" spans="16:19" x14ac:dyDescent="0.25">
      <c r="P3958" s="27">
        <v>3.2548184716220556E-2</v>
      </c>
      <c r="Q3958" s="28">
        <f t="shared" si="65"/>
        <v>3.5548184716220559E-2</v>
      </c>
      <c r="R3958" s="33">
        <v>0.16282860775771735</v>
      </c>
      <c r="S3958" s="34">
        <v>5.2990000000000002E-2</v>
      </c>
    </row>
    <row r="3959" spans="16:19" x14ac:dyDescent="0.25">
      <c r="P3959" s="27">
        <v>3.2548184716220556E-2</v>
      </c>
      <c r="Q3959" s="28">
        <f t="shared" si="65"/>
        <v>3.5548184716220559E-2</v>
      </c>
      <c r="R3959" s="31">
        <v>0.15939660775771733</v>
      </c>
      <c r="S3959" s="32">
        <v>5.7684157999999999E-2</v>
      </c>
    </row>
    <row r="3960" spans="16:19" x14ac:dyDescent="0.25">
      <c r="P3960" s="27">
        <v>3.2548184716220556E-2</v>
      </c>
      <c r="Q3960" s="28">
        <f t="shared" si="65"/>
        <v>3.5548184716220559E-2</v>
      </c>
      <c r="R3960" s="31">
        <v>0.15939660775771733</v>
      </c>
      <c r="S3960" s="32">
        <v>5.9826377E-2</v>
      </c>
    </row>
    <row r="3961" spans="16:19" x14ac:dyDescent="0.25">
      <c r="P3961" s="27">
        <v>3.2548184716220556E-2</v>
      </c>
      <c r="Q3961" s="28">
        <f t="shared" si="65"/>
        <v>3.5548184716220559E-2</v>
      </c>
      <c r="R3961" s="31">
        <v>0.15939660775771733</v>
      </c>
      <c r="S3961" s="32">
        <v>4.9500000000000002E-2</v>
      </c>
    </row>
    <row r="3962" spans="16:19" x14ac:dyDescent="0.25">
      <c r="P3962" s="27">
        <v>3.2548184716220556E-2</v>
      </c>
      <c r="Q3962" s="28">
        <f t="shared" si="65"/>
        <v>3.5548184716220559E-2</v>
      </c>
      <c r="R3962" s="31">
        <v>0.15939660775771733</v>
      </c>
      <c r="S3962" s="32">
        <v>4.2509999999999999E-2</v>
      </c>
    </row>
    <row r="3963" spans="16:19" x14ac:dyDescent="0.25">
      <c r="P3963" s="27">
        <v>3.2548184716220556E-2</v>
      </c>
      <c r="Q3963" s="28">
        <f t="shared" si="65"/>
        <v>3.5548184716220559E-2</v>
      </c>
      <c r="R3963" s="29">
        <v>0.15003660775771735</v>
      </c>
      <c r="S3963" s="30">
        <v>3.6229999999999998E-2</v>
      </c>
    </row>
    <row r="3964" spans="16:19" x14ac:dyDescent="0.25">
      <c r="P3964" s="27">
        <v>3.2548184716220556E-2</v>
      </c>
      <c r="Q3964" s="28">
        <f t="shared" si="65"/>
        <v>3.5548184716220559E-2</v>
      </c>
      <c r="R3964" s="29">
        <v>0.15003660775771735</v>
      </c>
      <c r="S3964" s="30">
        <v>3.3500000000000002E-2</v>
      </c>
    </row>
    <row r="3965" spans="16:19" x14ac:dyDescent="0.25">
      <c r="P3965" s="27">
        <v>3.2548184716220556E-2</v>
      </c>
      <c r="Q3965" s="28">
        <f t="shared" si="65"/>
        <v>3.5548184716220559E-2</v>
      </c>
      <c r="R3965" s="29">
        <v>0.15003660775771735</v>
      </c>
      <c r="S3965" s="30">
        <v>3.0120000000000001E-2</v>
      </c>
    </row>
    <row r="3966" spans="16:19" x14ac:dyDescent="0.25">
      <c r="P3966" s="27">
        <v>3.2548184716220556E-2</v>
      </c>
      <c r="Q3966" s="28">
        <f t="shared" si="65"/>
        <v>3.5548184716220559E-2</v>
      </c>
      <c r="R3966" s="29">
        <v>0.15003660775771735</v>
      </c>
      <c r="S3966" s="30">
        <v>3.0120000000000001E-2</v>
      </c>
    </row>
    <row r="3967" spans="16:19" x14ac:dyDescent="0.25">
      <c r="P3967" s="27">
        <v>3.2548184716220556E-2</v>
      </c>
      <c r="Q3967" s="28">
        <f t="shared" si="65"/>
        <v>3.5548184716220559E-2</v>
      </c>
      <c r="R3967" s="29">
        <v>0.15003660775771735</v>
      </c>
      <c r="S3967" s="30">
        <v>2.9059999999999999E-2</v>
      </c>
    </row>
    <row r="3968" spans="16:19" x14ac:dyDescent="0.25">
      <c r="P3968" s="27">
        <v>3.2548184716220556E-2</v>
      </c>
      <c r="Q3968" s="28">
        <f t="shared" si="65"/>
        <v>3.5548184716220559E-2</v>
      </c>
      <c r="R3968" s="29">
        <v>0.15003660775771735</v>
      </c>
      <c r="S3968" s="30">
        <v>2.5229999999999999E-2</v>
      </c>
    </row>
    <row r="3969" spans="16:19" x14ac:dyDescent="0.25">
      <c r="P3969" s="27">
        <v>3.2548184716220556E-2</v>
      </c>
      <c r="Q3969" s="28">
        <f t="shared" si="65"/>
        <v>3.5548184716220559E-2</v>
      </c>
      <c r="R3969" s="29">
        <v>0.15003660775771735</v>
      </c>
      <c r="S3969" s="30">
        <v>2.6890000000000001E-2</v>
      </c>
    </row>
    <row r="3970" spans="16:19" x14ac:dyDescent="0.25">
      <c r="P3970" s="27">
        <v>3.2548184716220556E-2</v>
      </c>
      <c r="Q3970" s="28">
        <f t="shared" si="65"/>
        <v>3.5548184716220559E-2</v>
      </c>
      <c r="R3970" s="29">
        <v>0.15003660775771735</v>
      </c>
      <c r="S3970" s="30">
        <v>3.4229999999999997E-2</v>
      </c>
    </row>
    <row r="3971" spans="16:19" x14ac:dyDescent="0.25">
      <c r="P3971" s="27">
        <v>3.2548184716220556E-2</v>
      </c>
      <c r="Q3971" s="28">
        <f t="shared" si="65"/>
        <v>3.5548184716220559E-2</v>
      </c>
      <c r="R3971" s="31">
        <v>0.15939660775771733</v>
      </c>
      <c r="S3971" s="32">
        <v>4.5670000000000002E-2</v>
      </c>
    </row>
    <row r="3972" spans="16:19" x14ac:dyDescent="0.25">
      <c r="P3972" s="27">
        <v>3.2548184716220556E-2</v>
      </c>
      <c r="Q3972" s="28">
        <f t="shared" si="65"/>
        <v>3.5548184716220559E-2</v>
      </c>
      <c r="R3972" s="33">
        <v>0.16282860775771735</v>
      </c>
      <c r="S3972" s="34">
        <v>4.6310000000000004E-2</v>
      </c>
    </row>
    <row r="3973" spans="16:19" x14ac:dyDescent="0.25">
      <c r="P3973" s="27">
        <v>3.2548184716220556E-2</v>
      </c>
      <c r="Q3973" s="28">
        <f t="shared" ref="Q3973:Q4036" si="66">P3973+0.003</f>
        <v>3.5548184716220559E-2</v>
      </c>
      <c r="R3973" s="33">
        <v>0.16282860775771735</v>
      </c>
      <c r="S3973" s="34">
        <v>4.6299999999999994E-2</v>
      </c>
    </row>
    <row r="3974" spans="16:19" x14ac:dyDescent="0.25">
      <c r="P3974" s="27">
        <v>3.2548184716220556E-2</v>
      </c>
      <c r="Q3974" s="28">
        <f t="shared" si="66"/>
        <v>3.5548184716220559E-2</v>
      </c>
      <c r="R3974" s="33">
        <v>0.16282860775771735</v>
      </c>
      <c r="S3974" s="34">
        <v>4.5010000000000001E-2</v>
      </c>
    </row>
    <row r="3975" spans="16:19" x14ac:dyDescent="0.25">
      <c r="P3975" s="27">
        <v>3.2548184716220556E-2</v>
      </c>
      <c r="Q3975" s="28">
        <f t="shared" si="66"/>
        <v>3.5548184716220559E-2</v>
      </c>
      <c r="R3975" s="33">
        <v>0.16282860775771735</v>
      </c>
      <c r="S3975" s="34">
        <v>4.4450000000000003E-2</v>
      </c>
    </row>
    <row r="3976" spans="16:19" x14ac:dyDescent="0.25">
      <c r="P3976" s="27">
        <v>3.2548184716220556E-2</v>
      </c>
      <c r="Q3976" s="28">
        <f t="shared" si="66"/>
        <v>3.5548184716220559E-2</v>
      </c>
      <c r="R3976" s="33">
        <v>0.16282860775771735</v>
      </c>
      <c r="S3976" s="34">
        <v>3.4709999999999998E-2</v>
      </c>
    </row>
    <row r="3977" spans="16:19" x14ac:dyDescent="0.25">
      <c r="P3977" s="27">
        <v>3.2548184716220556E-2</v>
      </c>
      <c r="Q3977" s="28">
        <f t="shared" si="66"/>
        <v>3.5548184716220559E-2</v>
      </c>
      <c r="R3977" s="33">
        <v>0.16282860775771735</v>
      </c>
      <c r="S3977" s="34">
        <v>3.4229999999999997E-2</v>
      </c>
    </row>
    <row r="3978" spans="16:19" x14ac:dyDescent="0.25">
      <c r="P3978" s="27">
        <v>3.2548184716220556E-2</v>
      </c>
      <c r="Q3978" s="28">
        <f t="shared" si="66"/>
        <v>3.5548184716220559E-2</v>
      </c>
      <c r="R3978" s="33">
        <v>0.16282860775771735</v>
      </c>
      <c r="S3978" s="34">
        <v>3.4290000000000001E-2</v>
      </c>
    </row>
    <row r="3979" spans="16:19" x14ac:dyDescent="0.25">
      <c r="P3979" s="27">
        <v>3.2548184716220556E-2</v>
      </c>
      <c r="Q3979" s="28">
        <f t="shared" si="66"/>
        <v>3.5548184716220559E-2</v>
      </c>
      <c r="R3979" s="33">
        <v>0.16282860775771735</v>
      </c>
      <c r="S3979" s="34">
        <v>3.9520000000000007E-2</v>
      </c>
    </row>
    <row r="3980" spans="16:19" x14ac:dyDescent="0.25">
      <c r="P3980" s="27">
        <v>3.2548184716220556E-2</v>
      </c>
      <c r="Q3980" s="28">
        <f t="shared" si="66"/>
        <v>3.5548184716220559E-2</v>
      </c>
      <c r="R3980" s="33">
        <v>0.16282860775771735</v>
      </c>
      <c r="S3980" s="34">
        <v>3.4290000000000001E-2</v>
      </c>
    </row>
    <row r="3981" spans="16:19" x14ac:dyDescent="0.25">
      <c r="P3981" s="27">
        <v>3.2548184716220556E-2</v>
      </c>
      <c r="Q3981" s="28">
        <f t="shared" si="66"/>
        <v>3.5548184716220559E-2</v>
      </c>
      <c r="R3981" s="33">
        <v>0.16282860775771735</v>
      </c>
      <c r="S3981" s="34">
        <v>4.0490000000000005E-2</v>
      </c>
    </row>
    <row r="3982" spans="16:19" x14ac:dyDescent="0.25">
      <c r="P3982" s="27">
        <v>3.2548184716220556E-2</v>
      </c>
      <c r="Q3982" s="28">
        <f t="shared" si="66"/>
        <v>3.5548184716220559E-2</v>
      </c>
      <c r="R3982" s="33">
        <v>0.16282860775771735</v>
      </c>
      <c r="S3982" s="34">
        <v>4.3099999999999999E-2</v>
      </c>
    </row>
    <row r="3983" spans="16:19" x14ac:dyDescent="0.25">
      <c r="P3983" s="27">
        <v>3.2548184716220556E-2</v>
      </c>
      <c r="Q3983" s="28">
        <f t="shared" si="66"/>
        <v>3.5548184716220559E-2</v>
      </c>
      <c r="R3983" s="31">
        <v>0.15939660775771733</v>
      </c>
      <c r="S3983" s="32">
        <v>4.8680000000000001E-2</v>
      </c>
    </row>
    <row r="3984" spans="16:19" x14ac:dyDescent="0.25">
      <c r="P3984" s="27">
        <v>3.2548184716220556E-2</v>
      </c>
      <c r="Q3984" s="28">
        <f t="shared" si="66"/>
        <v>3.5548184716220559E-2</v>
      </c>
      <c r="R3984" s="31">
        <v>0.15939660775771733</v>
      </c>
      <c r="S3984" s="32">
        <v>5.5E-2</v>
      </c>
    </row>
    <row r="3985" spans="16:19" x14ac:dyDescent="0.25">
      <c r="P3985" s="27">
        <v>3.2548184716220556E-2</v>
      </c>
      <c r="Q3985" s="28">
        <f t="shared" si="66"/>
        <v>3.5548184716220559E-2</v>
      </c>
      <c r="R3985" s="31">
        <v>0.15939660775771733</v>
      </c>
      <c r="S3985" s="32">
        <v>4.6119999999999994E-2</v>
      </c>
    </row>
    <row r="3986" spans="16:19" x14ac:dyDescent="0.25">
      <c r="P3986" s="27">
        <v>3.2548184716220556E-2</v>
      </c>
      <c r="Q3986" s="28">
        <f t="shared" si="66"/>
        <v>3.5548184716220559E-2</v>
      </c>
      <c r="R3986" s="31">
        <v>0.15939660775771733</v>
      </c>
      <c r="S3986" s="32">
        <v>4.0677556000000004E-2</v>
      </c>
    </row>
    <row r="3987" spans="16:19" x14ac:dyDescent="0.25">
      <c r="P3987" s="27">
        <v>3.2548184716220556E-2</v>
      </c>
      <c r="Q3987" s="28">
        <f t="shared" si="66"/>
        <v>3.5548184716220559E-2</v>
      </c>
      <c r="R3987" s="29">
        <v>0.15003660775771735</v>
      </c>
      <c r="S3987" s="30">
        <v>4.3619999999999999E-2</v>
      </c>
    </row>
    <row r="3988" spans="16:19" x14ac:dyDescent="0.25">
      <c r="P3988" s="27">
        <v>3.2548184716220556E-2</v>
      </c>
      <c r="Q3988" s="28">
        <f t="shared" si="66"/>
        <v>3.5548184716220559E-2</v>
      </c>
      <c r="R3988" s="29">
        <v>0.15003660775771735</v>
      </c>
      <c r="S3988" s="30">
        <v>3.9694410999999999E-2</v>
      </c>
    </row>
    <row r="3989" spans="16:19" x14ac:dyDescent="0.25">
      <c r="P3989" s="27">
        <v>3.2548184716220556E-2</v>
      </c>
      <c r="Q3989" s="28">
        <f t="shared" si="66"/>
        <v>3.5548184716220559E-2</v>
      </c>
      <c r="R3989" s="29">
        <v>0.15003660775771735</v>
      </c>
      <c r="S3989" s="30">
        <v>3.4570000000000004E-2</v>
      </c>
    </row>
    <row r="3990" spans="16:19" x14ac:dyDescent="0.25">
      <c r="P3990" s="27">
        <v>3.2548184716220556E-2</v>
      </c>
      <c r="Q3990" s="28">
        <f t="shared" si="66"/>
        <v>3.5548184716220559E-2</v>
      </c>
      <c r="R3990" s="29">
        <v>0.15003660775771735</v>
      </c>
      <c r="S3990" s="30">
        <v>3.4570000000000004E-2</v>
      </c>
    </row>
    <row r="3991" spans="16:19" x14ac:dyDescent="0.25">
      <c r="P3991" s="27">
        <v>3.2548184716220556E-2</v>
      </c>
      <c r="Q3991" s="28">
        <f t="shared" si="66"/>
        <v>3.5548184716220559E-2</v>
      </c>
      <c r="R3991" s="29">
        <v>0.15003660775771735</v>
      </c>
      <c r="S3991" s="30">
        <v>3.4570000000000004E-2</v>
      </c>
    </row>
    <row r="3992" spans="16:19" x14ac:dyDescent="0.25">
      <c r="P3992" s="27">
        <v>3.2548184716220556E-2</v>
      </c>
      <c r="Q3992" s="28">
        <f t="shared" si="66"/>
        <v>3.5548184716220559E-2</v>
      </c>
      <c r="R3992" s="29">
        <v>0.15003660775771735</v>
      </c>
      <c r="S3992" s="30">
        <v>3.7810985999999998E-2</v>
      </c>
    </row>
    <row r="3993" spans="16:19" x14ac:dyDescent="0.25">
      <c r="P3993" s="27">
        <v>3.2548184716220556E-2</v>
      </c>
      <c r="Q3993" s="28">
        <f t="shared" si="66"/>
        <v>3.5548184716220559E-2</v>
      </c>
      <c r="R3993" s="29">
        <v>0.15003660775771735</v>
      </c>
      <c r="S3993" s="30">
        <v>4.5670000000000002E-2</v>
      </c>
    </row>
    <row r="3994" spans="16:19" x14ac:dyDescent="0.25">
      <c r="P3994" s="27">
        <v>3.2548184716220556E-2</v>
      </c>
      <c r="Q3994" s="28">
        <f t="shared" si="66"/>
        <v>3.5548184716220559E-2</v>
      </c>
      <c r="R3994" s="29">
        <v>0.15003660775771735</v>
      </c>
      <c r="S3994" s="30">
        <v>5.219E-2</v>
      </c>
    </row>
    <row r="3995" spans="16:19" x14ac:dyDescent="0.25">
      <c r="P3995" s="27">
        <v>3.2548184716220556E-2</v>
      </c>
      <c r="Q3995" s="28">
        <f t="shared" si="66"/>
        <v>3.5548184716220559E-2</v>
      </c>
      <c r="R3995" s="31">
        <v>0.15939999999999999</v>
      </c>
      <c r="S3995" s="32">
        <v>0.09</v>
      </c>
    </row>
    <row r="3996" spans="16:19" x14ac:dyDescent="0.25">
      <c r="P3996" s="27">
        <v>3.2548184716220556E-2</v>
      </c>
      <c r="Q3996" s="28">
        <f t="shared" si="66"/>
        <v>3.5548184716220559E-2</v>
      </c>
      <c r="R3996" s="31">
        <v>0.15939999999999999</v>
      </c>
      <c r="S3996" s="32">
        <v>0.11</v>
      </c>
    </row>
    <row r="3997" spans="16:19" x14ac:dyDescent="0.25">
      <c r="P3997" s="27">
        <v>3.2548184716220556E-2</v>
      </c>
      <c r="Q3997" s="28">
        <f t="shared" si="66"/>
        <v>3.5548184716220559E-2</v>
      </c>
      <c r="R3997" s="31">
        <v>0.15939999999999999</v>
      </c>
      <c r="S3997" s="32">
        <v>8.5449999999999998E-2</v>
      </c>
    </row>
    <row r="3998" spans="16:19" x14ac:dyDescent="0.25">
      <c r="P3998" s="27">
        <v>3.2548184716220556E-2</v>
      </c>
      <c r="Q3998" s="28">
        <f t="shared" si="66"/>
        <v>3.5548184716220559E-2</v>
      </c>
      <c r="R3998" s="31">
        <v>0.15939999999999999</v>
      </c>
      <c r="S3998" s="32">
        <v>6.5000000000000002E-2</v>
      </c>
    </row>
    <row r="3999" spans="16:19" x14ac:dyDescent="0.25">
      <c r="P3999" s="27">
        <v>3.2548184716220556E-2</v>
      </c>
      <c r="Q3999" s="28">
        <f t="shared" si="66"/>
        <v>3.5548184716220559E-2</v>
      </c>
      <c r="R3999" s="31">
        <v>0.15939999999999999</v>
      </c>
      <c r="S3999" s="32">
        <v>5.3990000000000003E-2</v>
      </c>
    </row>
    <row r="4000" spans="16:19" x14ac:dyDescent="0.25">
      <c r="P4000" s="27">
        <v>3.2548184716220556E-2</v>
      </c>
      <c r="Q4000" s="28">
        <f t="shared" si="66"/>
        <v>3.5548184716220559E-2</v>
      </c>
      <c r="R4000" s="31">
        <v>0.15939999999999999</v>
      </c>
      <c r="S4000" s="32">
        <v>0.05</v>
      </c>
    </row>
    <row r="4001" spans="16:19" x14ac:dyDescent="0.25">
      <c r="P4001" s="27">
        <v>3.2548184716220556E-2</v>
      </c>
      <c r="Q4001" s="28">
        <f t="shared" si="66"/>
        <v>3.5548184716220559E-2</v>
      </c>
      <c r="R4001" s="31">
        <v>0.15939999999999999</v>
      </c>
      <c r="S4001" s="32">
        <v>5.1150000000000001E-2</v>
      </c>
    </row>
    <row r="4002" spans="16:19" x14ac:dyDescent="0.25">
      <c r="P4002" s="27">
        <v>3.2548184716220556E-2</v>
      </c>
      <c r="Q4002" s="28">
        <f t="shared" si="66"/>
        <v>3.5548184716220559E-2</v>
      </c>
      <c r="R4002" s="31">
        <v>0.15939999999999999</v>
      </c>
      <c r="S4002" s="32">
        <v>5.3990000000000003E-2</v>
      </c>
    </row>
    <row r="4003" spans="16:19" x14ac:dyDescent="0.25">
      <c r="P4003" s="27">
        <v>3.2548184716220556E-2</v>
      </c>
      <c r="Q4003" s="28">
        <f t="shared" si="66"/>
        <v>3.5548184716220559E-2</v>
      </c>
      <c r="R4003" s="31">
        <v>0.15939999999999999</v>
      </c>
      <c r="S4003" s="32">
        <v>5.1700000000000003E-2</v>
      </c>
    </row>
    <row r="4004" spans="16:19" x14ac:dyDescent="0.25">
      <c r="P4004" s="27">
        <v>3.2548184716220556E-2</v>
      </c>
      <c r="Q4004" s="28">
        <f t="shared" si="66"/>
        <v>3.5548184716220559E-2</v>
      </c>
      <c r="R4004" s="31">
        <v>0.15939999999999999</v>
      </c>
      <c r="S4004" s="32">
        <v>4.827E-2</v>
      </c>
    </row>
    <row r="4005" spans="16:19" x14ac:dyDescent="0.25">
      <c r="P4005" s="27">
        <v>3.2548184716220556E-2</v>
      </c>
      <c r="Q4005" s="28">
        <f t="shared" si="66"/>
        <v>3.5548184716220559E-2</v>
      </c>
      <c r="R4005" s="31">
        <v>0.15939999999999999</v>
      </c>
      <c r="S4005" s="32">
        <v>5.0500000000000003E-2</v>
      </c>
    </row>
    <row r="4006" spans="16:19" x14ac:dyDescent="0.25">
      <c r="P4006" s="27">
        <v>3.2548184716220556E-2</v>
      </c>
      <c r="Q4006" s="28">
        <f t="shared" si="66"/>
        <v>3.5548184716220559E-2</v>
      </c>
      <c r="R4006" s="31">
        <v>0.15939999999999999</v>
      </c>
      <c r="S4006" s="32">
        <v>5.2740000000000002E-2</v>
      </c>
    </row>
    <row r="4007" spans="16:19" x14ac:dyDescent="0.25">
      <c r="P4007" s="27">
        <v>3.2548184716220556E-2</v>
      </c>
      <c r="Q4007" s="28">
        <f t="shared" si="66"/>
        <v>3.5548184716220559E-2</v>
      </c>
      <c r="R4007" s="31">
        <v>0.15939999999999999</v>
      </c>
      <c r="S4007" s="32">
        <v>5.2273766999999999E-2</v>
      </c>
    </row>
    <row r="4008" spans="16:19" x14ac:dyDescent="0.25">
      <c r="P4008" s="27">
        <v>3.2548184716220556E-2</v>
      </c>
      <c r="Q4008" s="28">
        <f t="shared" si="66"/>
        <v>3.5548184716220559E-2</v>
      </c>
      <c r="R4008" s="31">
        <v>0.15939999999999999</v>
      </c>
      <c r="S4008" s="32">
        <v>5.5829999999999998E-2</v>
      </c>
    </row>
    <row r="4009" spans="16:19" x14ac:dyDescent="0.25">
      <c r="P4009" s="27">
        <v>3.2548184716220556E-2</v>
      </c>
      <c r="Q4009" s="28">
        <f t="shared" si="66"/>
        <v>3.5548184716220559E-2</v>
      </c>
      <c r="R4009" s="31">
        <v>0.15939999999999999</v>
      </c>
      <c r="S4009" s="32">
        <v>4.675E-2</v>
      </c>
    </row>
    <row r="4010" spans="16:19" x14ac:dyDescent="0.25">
      <c r="P4010" s="27">
        <v>3.2548184716220556E-2</v>
      </c>
      <c r="Q4010" s="28">
        <f t="shared" si="66"/>
        <v>3.5548184716220559E-2</v>
      </c>
      <c r="R4010" s="31">
        <v>0.15939999999999999</v>
      </c>
      <c r="S4010" s="32">
        <v>4.2299999999999997E-2</v>
      </c>
    </row>
    <row r="4011" spans="16:19" x14ac:dyDescent="0.25">
      <c r="P4011" s="27">
        <v>3.2548184716220556E-2</v>
      </c>
      <c r="Q4011" s="28">
        <f t="shared" si="66"/>
        <v>3.5548184716220559E-2</v>
      </c>
      <c r="R4011" s="29">
        <v>0.15</v>
      </c>
      <c r="S4011" s="30">
        <v>3.6679999999999997E-2</v>
      </c>
    </row>
    <row r="4012" spans="16:19" x14ac:dyDescent="0.25">
      <c r="P4012" s="27">
        <v>3.2548184716220556E-2</v>
      </c>
      <c r="Q4012" s="28">
        <f t="shared" si="66"/>
        <v>3.5548184716220559E-2</v>
      </c>
      <c r="R4012" s="29">
        <v>0.15</v>
      </c>
      <c r="S4012" s="30">
        <v>3.6584018000000003E-2</v>
      </c>
    </row>
    <row r="4013" spans="16:19" x14ac:dyDescent="0.25">
      <c r="P4013" s="27">
        <v>3.2548184716220556E-2</v>
      </c>
      <c r="Q4013" s="28">
        <f t="shared" si="66"/>
        <v>3.5548184716220559E-2</v>
      </c>
      <c r="R4013" s="29">
        <v>0.15</v>
      </c>
      <c r="S4013" s="30">
        <v>3.4290000000000001E-2</v>
      </c>
    </row>
    <row r="4014" spans="16:19" x14ac:dyDescent="0.25">
      <c r="P4014" s="27">
        <v>3.2548184716220556E-2</v>
      </c>
      <c r="Q4014" s="28">
        <f t="shared" si="66"/>
        <v>3.5548184716220559E-2</v>
      </c>
      <c r="R4014" s="29">
        <v>0.15</v>
      </c>
      <c r="S4014" s="30">
        <v>3.4290000000000001E-2</v>
      </c>
    </row>
    <row r="4015" spans="16:19" x14ac:dyDescent="0.25">
      <c r="P4015" s="27">
        <v>3.2548184716220556E-2</v>
      </c>
      <c r="Q4015" s="28">
        <f t="shared" si="66"/>
        <v>3.5548184716220559E-2</v>
      </c>
      <c r="R4015" s="29">
        <v>0.15</v>
      </c>
      <c r="S4015" s="30">
        <v>3.4570000000000004E-2</v>
      </c>
    </row>
    <row r="4016" spans="16:19" x14ac:dyDescent="0.25">
      <c r="P4016" s="27">
        <v>3.2548184716220556E-2</v>
      </c>
      <c r="Q4016" s="28">
        <f t="shared" si="66"/>
        <v>3.5548184716220559E-2</v>
      </c>
      <c r="R4016" s="29">
        <v>0.15</v>
      </c>
      <c r="S4016" s="30">
        <v>3.4570000000000004E-2</v>
      </c>
    </row>
    <row r="4017" spans="16:19" x14ac:dyDescent="0.25">
      <c r="P4017" s="27">
        <v>3.2548184716220556E-2</v>
      </c>
      <c r="Q4017" s="28">
        <f t="shared" si="66"/>
        <v>3.5548184716220559E-2</v>
      </c>
      <c r="R4017" s="29">
        <v>0.15</v>
      </c>
      <c r="S4017" s="30">
        <v>4.1103830000000001E-2</v>
      </c>
    </row>
    <row r="4018" spans="16:19" x14ac:dyDescent="0.25">
      <c r="P4018" s="27">
        <v>3.2548184716220556E-2</v>
      </c>
      <c r="Q4018" s="28">
        <f t="shared" si="66"/>
        <v>3.5548184716220559E-2</v>
      </c>
      <c r="R4018" s="29">
        <v>0.15</v>
      </c>
      <c r="S4018" s="30">
        <v>4.6289999999999998E-2</v>
      </c>
    </row>
    <row r="4019" spans="16:19" x14ac:dyDescent="0.25">
      <c r="P4019" s="27">
        <v>3.2548184716220556E-2</v>
      </c>
      <c r="Q4019" s="28">
        <f t="shared" si="66"/>
        <v>3.5548184716220559E-2</v>
      </c>
      <c r="R4019" s="29">
        <v>0.15</v>
      </c>
      <c r="S4019" s="30">
        <v>5.5E-2</v>
      </c>
    </row>
    <row r="4020" spans="16:19" x14ac:dyDescent="0.25">
      <c r="P4020" s="27">
        <v>3.2548184716220556E-2</v>
      </c>
      <c r="Q4020" s="28">
        <f t="shared" si="66"/>
        <v>3.5548184716220559E-2</v>
      </c>
      <c r="R4020" s="29">
        <v>0.15</v>
      </c>
      <c r="S4020" s="30">
        <v>5.645E-2</v>
      </c>
    </row>
    <row r="4021" spans="16:19" x14ac:dyDescent="0.25">
      <c r="P4021" s="27">
        <v>3.2548184716220556E-2</v>
      </c>
      <c r="Q4021" s="28">
        <f t="shared" si="66"/>
        <v>3.5548184716220559E-2</v>
      </c>
      <c r="R4021" s="29">
        <v>0.15</v>
      </c>
      <c r="S4021" s="30">
        <v>5.321E-2</v>
      </c>
    </row>
    <row r="4022" spans="16:19" x14ac:dyDescent="0.25">
      <c r="P4022" s="27">
        <v>3.2548184716220556E-2</v>
      </c>
      <c r="Q4022" s="28">
        <f t="shared" si="66"/>
        <v>3.5548184716220559E-2</v>
      </c>
      <c r="R4022" s="29">
        <v>0.15</v>
      </c>
      <c r="S4022" s="30">
        <v>0.05</v>
      </c>
    </row>
    <row r="4023" spans="16:19" x14ac:dyDescent="0.25">
      <c r="P4023" s="27">
        <v>3.2548184716220556E-2</v>
      </c>
      <c r="Q4023" s="28">
        <f t="shared" si="66"/>
        <v>3.5548184716220559E-2</v>
      </c>
      <c r="R4023" s="29">
        <v>0.15</v>
      </c>
      <c r="S4023" s="30">
        <v>4.8000000000000001E-2</v>
      </c>
    </row>
    <row r="4024" spans="16:19" x14ac:dyDescent="0.25">
      <c r="P4024" s="27">
        <v>3.2548184716220556E-2</v>
      </c>
      <c r="Q4024" s="28">
        <f t="shared" si="66"/>
        <v>3.5548184716220559E-2</v>
      </c>
      <c r="R4024" s="29">
        <v>0.15</v>
      </c>
      <c r="S4024" s="30">
        <v>4.8000000000000001E-2</v>
      </c>
    </row>
    <row r="4025" spans="16:19" x14ac:dyDescent="0.25">
      <c r="P4025" s="27">
        <v>3.2548184716220556E-2</v>
      </c>
      <c r="Q4025" s="28">
        <f t="shared" si="66"/>
        <v>3.5548184716220559E-2</v>
      </c>
      <c r="R4025" s="29">
        <v>0.15</v>
      </c>
      <c r="S4025" s="30">
        <v>5.2490000000000002E-2</v>
      </c>
    </row>
    <row r="4026" spans="16:19" x14ac:dyDescent="0.25">
      <c r="P4026" s="27">
        <v>3.2548184716220556E-2</v>
      </c>
      <c r="Q4026" s="28">
        <f t="shared" si="66"/>
        <v>3.5548184716220559E-2</v>
      </c>
      <c r="R4026" s="29">
        <v>0.15</v>
      </c>
      <c r="S4026" s="30">
        <v>5.5329999999999997E-2</v>
      </c>
    </row>
    <row r="4027" spans="16:19" x14ac:dyDescent="0.25">
      <c r="P4027" s="27">
        <v>3.2548184716220556E-2</v>
      </c>
      <c r="Q4027" s="28">
        <f t="shared" si="66"/>
        <v>3.5548184716220559E-2</v>
      </c>
      <c r="R4027" s="29">
        <v>0.15</v>
      </c>
      <c r="S4027" s="30">
        <v>5.321E-2</v>
      </c>
    </row>
    <row r="4028" spans="16:19" x14ac:dyDescent="0.25">
      <c r="P4028" s="27">
        <v>3.2548184716220556E-2</v>
      </c>
      <c r="Q4028" s="28">
        <f t="shared" si="66"/>
        <v>3.5548184716220559E-2</v>
      </c>
      <c r="R4028" s="29">
        <v>0.15</v>
      </c>
      <c r="S4028" s="30">
        <v>5.1740000000000001E-2</v>
      </c>
    </row>
    <row r="4029" spans="16:19" x14ac:dyDescent="0.25">
      <c r="P4029" s="27">
        <v>3.2548184716220556E-2</v>
      </c>
      <c r="Q4029" s="28">
        <f t="shared" si="66"/>
        <v>3.5548184716220559E-2</v>
      </c>
      <c r="R4029" s="29">
        <v>0.15</v>
      </c>
      <c r="S4029" s="30">
        <v>5.1150000000000001E-2</v>
      </c>
    </row>
    <row r="4030" spans="16:19" x14ac:dyDescent="0.25">
      <c r="P4030" s="27">
        <v>3.2548184716220556E-2</v>
      </c>
      <c r="Q4030" s="28">
        <f t="shared" si="66"/>
        <v>3.5548184716220559E-2</v>
      </c>
      <c r="R4030" s="29">
        <v>0.15</v>
      </c>
      <c r="S4030" s="30">
        <v>5.2690000000000001E-2</v>
      </c>
    </row>
    <row r="4031" spans="16:19" x14ac:dyDescent="0.25">
      <c r="P4031" s="27">
        <v>3.2548184716220556E-2</v>
      </c>
      <c r="Q4031" s="28">
        <f t="shared" si="66"/>
        <v>3.5548184716220559E-2</v>
      </c>
      <c r="R4031" s="29">
        <v>0.15</v>
      </c>
      <c r="S4031" s="30">
        <v>5.2690000000000001E-2</v>
      </c>
    </row>
    <row r="4032" spans="16:19" x14ac:dyDescent="0.25">
      <c r="P4032" s="27">
        <v>3.2548184716220556E-2</v>
      </c>
      <c r="Q4032" s="28">
        <f t="shared" si="66"/>
        <v>3.5548184716220559E-2</v>
      </c>
      <c r="R4032" s="29">
        <v>0.15</v>
      </c>
      <c r="S4032" s="30">
        <v>5.5E-2</v>
      </c>
    </row>
    <row r="4033" spans="16:19" x14ac:dyDescent="0.25">
      <c r="P4033" s="27">
        <v>3.2548184716220556E-2</v>
      </c>
      <c r="Q4033" s="28">
        <f t="shared" si="66"/>
        <v>3.5548184716220559E-2</v>
      </c>
      <c r="R4033" s="29">
        <v>0.15</v>
      </c>
      <c r="S4033" s="30">
        <v>4.8329999999999998E-2</v>
      </c>
    </row>
    <row r="4034" spans="16:19" x14ac:dyDescent="0.25">
      <c r="P4034" s="27">
        <v>3.2548184716220556E-2</v>
      </c>
      <c r="Q4034" s="28">
        <f t="shared" si="66"/>
        <v>3.5548184716220559E-2</v>
      </c>
      <c r="R4034" s="29">
        <v>0.15</v>
      </c>
      <c r="S4034" s="30">
        <v>4.4999999999999998E-2</v>
      </c>
    </row>
    <row r="4035" spans="16:19" x14ac:dyDescent="0.25">
      <c r="P4035" s="27">
        <v>3.2548184716220556E-2</v>
      </c>
      <c r="Q4035" s="28">
        <f t="shared" si="66"/>
        <v>3.5548184716220559E-2</v>
      </c>
      <c r="R4035" s="29">
        <v>0.15</v>
      </c>
      <c r="S4035" s="30">
        <v>4.761E-2</v>
      </c>
    </row>
    <row r="4036" spans="16:19" x14ac:dyDescent="0.25">
      <c r="P4036" s="27">
        <v>3.2548184716220556E-2</v>
      </c>
      <c r="Q4036" s="28">
        <f t="shared" si="66"/>
        <v>3.5548184716220559E-2</v>
      </c>
      <c r="R4036" s="29">
        <v>0.15</v>
      </c>
      <c r="S4036" s="30">
        <v>4.4479999999999999E-2</v>
      </c>
    </row>
    <row r="4037" spans="16:19" x14ac:dyDescent="0.25">
      <c r="P4037" s="27">
        <v>3.2548184716220556E-2</v>
      </c>
      <c r="Q4037" s="28">
        <f t="shared" ref="Q4037:Q4100" si="67">P4037+0.003</f>
        <v>3.5548184716220559E-2</v>
      </c>
      <c r="R4037" s="29">
        <v>0.15</v>
      </c>
      <c r="S4037" s="30">
        <v>4.0989999999999999E-2</v>
      </c>
    </row>
    <row r="4038" spans="16:19" x14ac:dyDescent="0.25">
      <c r="P4038" s="27">
        <v>3.2548184716220556E-2</v>
      </c>
      <c r="Q4038" s="28">
        <f t="shared" si="67"/>
        <v>3.5548184716220559E-2</v>
      </c>
      <c r="R4038" s="29">
        <v>0.15</v>
      </c>
      <c r="S4038" s="30">
        <v>4.0119999999999996E-2</v>
      </c>
    </row>
    <row r="4039" spans="16:19" x14ac:dyDescent="0.25">
      <c r="P4039" s="27">
        <v>3.2548184716220556E-2</v>
      </c>
      <c r="Q4039" s="28">
        <f t="shared" si="67"/>
        <v>3.5548184716220559E-2</v>
      </c>
      <c r="R4039" s="29">
        <v>0.15</v>
      </c>
      <c r="S4039" s="30">
        <v>4.0680000000000001E-2</v>
      </c>
    </row>
    <row r="4040" spans="16:19" x14ac:dyDescent="0.25">
      <c r="P4040" s="27">
        <v>3.2548184716220556E-2</v>
      </c>
      <c r="Q4040" s="28">
        <f t="shared" si="67"/>
        <v>3.5548184716220559E-2</v>
      </c>
      <c r="R4040" s="29">
        <v>0.15</v>
      </c>
      <c r="S4040" s="30">
        <v>4.0979999999999996E-2</v>
      </c>
    </row>
    <row r="4041" spans="16:19" x14ac:dyDescent="0.25">
      <c r="P4041" s="27">
        <v>3.2548184716220556E-2</v>
      </c>
      <c r="Q4041" s="28">
        <f t="shared" si="67"/>
        <v>3.5548184716220559E-2</v>
      </c>
      <c r="R4041" s="29">
        <v>0.15</v>
      </c>
      <c r="S4041" s="30">
        <v>4.4490000000000002E-2</v>
      </c>
    </row>
    <row r="4042" spans="16:19" x14ac:dyDescent="0.25">
      <c r="P4042" s="27">
        <v>3.2548184716220556E-2</v>
      </c>
      <c r="Q4042" s="28">
        <f t="shared" si="67"/>
        <v>3.5548184716220559E-2</v>
      </c>
      <c r="R4042" s="29">
        <v>0.15</v>
      </c>
      <c r="S4042" s="30">
        <v>4.9000000000000002E-2</v>
      </c>
    </row>
    <row r="4043" spans="16:19" x14ac:dyDescent="0.25">
      <c r="P4043" s="27">
        <v>3.2548184716220556E-2</v>
      </c>
      <c r="Q4043" s="28">
        <f t="shared" si="67"/>
        <v>3.5548184716220559E-2</v>
      </c>
      <c r="R4043" s="31">
        <v>0.15939660775771733</v>
      </c>
      <c r="S4043" s="32">
        <v>5.4109999999999998E-2</v>
      </c>
    </row>
    <row r="4044" spans="16:19" x14ac:dyDescent="0.25">
      <c r="P4044" s="27">
        <v>3.2548184716220556E-2</v>
      </c>
      <c r="Q4044" s="28">
        <f t="shared" si="67"/>
        <v>3.5548184716220559E-2</v>
      </c>
      <c r="R4044" s="33">
        <v>0.16282860775771735</v>
      </c>
      <c r="S4044" s="34">
        <v>5.9290000000000002E-2</v>
      </c>
    </row>
    <row r="4045" spans="16:19" x14ac:dyDescent="0.25">
      <c r="P4045" s="27">
        <v>3.2548184716220556E-2</v>
      </c>
      <c r="Q4045" s="28">
        <f t="shared" si="67"/>
        <v>3.5548184716220559E-2</v>
      </c>
      <c r="R4045" s="33">
        <v>0.16282860775771735</v>
      </c>
      <c r="S4045" s="34">
        <v>5.0650000000000001E-2</v>
      </c>
    </row>
    <row r="4046" spans="16:19" x14ac:dyDescent="0.25">
      <c r="P4046" s="27">
        <v>3.2548184716220556E-2</v>
      </c>
      <c r="Q4046" s="28">
        <f t="shared" si="67"/>
        <v>3.5548184716220559E-2</v>
      </c>
      <c r="R4046" s="33">
        <v>0.16282860775771735</v>
      </c>
      <c r="S4046" s="34">
        <v>4.9599999999999998E-2</v>
      </c>
    </row>
    <row r="4047" spans="16:19" x14ac:dyDescent="0.25">
      <c r="P4047" s="27">
        <v>3.2548184716220556E-2</v>
      </c>
      <c r="Q4047" s="28">
        <f t="shared" si="67"/>
        <v>3.5548184716220559E-2</v>
      </c>
      <c r="R4047" s="33">
        <v>0.16282860775771735</v>
      </c>
      <c r="S4047" s="34">
        <v>4.6649999999999997E-2</v>
      </c>
    </row>
    <row r="4048" spans="16:19" x14ac:dyDescent="0.25">
      <c r="P4048" s="27">
        <v>3.2548184716220556E-2</v>
      </c>
      <c r="Q4048" s="28">
        <f t="shared" si="67"/>
        <v>3.5548184716220559E-2</v>
      </c>
      <c r="R4048" s="33">
        <v>0.16282860775771735</v>
      </c>
      <c r="S4048" s="34">
        <v>4.7700000000000006E-2</v>
      </c>
    </row>
    <row r="4049" spans="16:19" x14ac:dyDescent="0.25">
      <c r="P4049" s="27">
        <v>3.2548184716220556E-2</v>
      </c>
      <c r="Q4049" s="28">
        <f t="shared" si="67"/>
        <v>3.5548184716220559E-2</v>
      </c>
      <c r="R4049" s="33">
        <v>0.16282860775771735</v>
      </c>
      <c r="S4049" s="34">
        <v>0.05</v>
      </c>
    </row>
    <row r="4050" spans="16:19" x14ac:dyDescent="0.25">
      <c r="P4050" s="27">
        <v>3.2548184716220556E-2</v>
      </c>
      <c r="Q4050" s="28">
        <f t="shared" si="67"/>
        <v>3.5548184716220559E-2</v>
      </c>
      <c r="R4050" s="33">
        <v>0.16282860775771735</v>
      </c>
      <c r="S4050" s="34">
        <v>5.2310000000000002E-2</v>
      </c>
    </row>
    <row r="4051" spans="16:19" x14ac:dyDescent="0.25">
      <c r="P4051" s="27">
        <v>3.2548184716220556E-2</v>
      </c>
      <c r="Q4051" s="28">
        <f t="shared" si="67"/>
        <v>3.5548184716220559E-2</v>
      </c>
      <c r="R4051" s="33">
        <v>0.16282860775771735</v>
      </c>
      <c r="S4051" s="34">
        <v>5.2273527E-2</v>
      </c>
    </row>
    <row r="4052" spans="16:19" x14ac:dyDescent="0.25">
      <c r="P4052" s="27">
        <v>3.2548184716220556E-2</v>
      </c>
      <c r="Q4052" s="28">
        <f t="shared" si="67"/>
        <v>3.5548184716220559E-2</v>
      </c>
      <c r="R4052" s="33">
        <v>0.16282860775771735</v>
      </c>
      <c r="S4052" s="34">
        <v>5.0750000000000003E-2</v>
      </c>
    </row>
    <row r="4053" spans="16:19" x14ac:dyDescent="0.25">
      <c r="P4053" s="27">
        <v>3.2548184716220556E-2</v>
      </c>
      <c r="Q4053" s="28">
        <f t="shared" si="67"/>
        <v>3.5548184716220559E-2</v>
      </c>
      <c r="R4053" s="33">
        <v>0.16282860775771735</v>
      </c>
      <c r="S4053" s="34">
        <v>5.1150000000000001E-2</v>
      </c>
    </row>
    <row r="4054" spans="16:19" x14ac:dyDescent="0.25">
      <c r="P4054" s="27">
        <v>3.2548184716220556E-2</v>
      </c>
      <c r="Q4054" s="28">
        <f t="shared" si="67"/>
        <v>3.5548184716220559E-2</v>
      </c>
      <c r="R4054" s="33">
        <v>0.16282860775771735</v>
      </c>
      <c r="S4054" s="34">
        <v>5.1999999999999998E-2</v>
      </c>
    </row>
    <row r="4055" spans="16:19" x14ac:dyDescent="0.25">
      <c r="P4055" s="27">
        <v>3.2548184716220556E-2</v>
      </c>
      <c r="Q4055" s="28">
        <f t="shared" si="67"/>
        <v>3.5548184716220559E-2</v>
      </c>
      <c r="R4055" s="31">
        <v>0.15939660775771733</v>
      </c>
      <c r="S4055" s="32">
        <v>5.228E-2</v>
      </c>
    </row>
    <row r="4056" spans="16:19" x14ac:dyDescent="0.25">
      <c r="P4056" s="27">
        <v>3.2548184716220556E-2</v>
      </c>
      <c r="Q4056" s="28">
        <f t="shared" si="67"/>
        <v>3.5548184716220559E-2</v>
      </c>
      <c r="R4056" s="31">
        <v>0.15939660775771733</v>
      </c>
      <c r="S4056" s="32">
        <v>5.355E-2</v>
      </c>
    </row>
    <row r="4057" spans="16:19" x14ac:dyDescent="0.25">
      <c r="P4057" s="27">
        <v>3.2548184716220556E-2</v>
      </c>
      <c r="Q4057" s="28">
        <f t="shared" si="67"/>
        <v>3.5548184716220559E-2</v>
      </c>
      <c r="R4057" s="31">
        <v>0.15939660775771733</v>
      </c>
      <c r="S4057" s="32">
        <v>4.9000000000000002E-2</v>
      </c>
    </row>
    <row r="4058" spans="16:19" x14ac:dyDescent="0.25">
      <c r="P4058" s="27">
        <v>3.2548184716220556E-2</v>
      </c>
      <c r="Q4058" s="28">
        <f t="shared" si="67"/>
        <v>3.5548184716220559E-2</v>
      </c>
      <c r="R4058" s="31">
        <v>0.15939660775771733</v>
      </c>
      <c r="S4058" s="32">
        <v>4.5229999999999999E-2</v>
      </c>
    </row>
    <row r="4059" spans="16:19" x14ac:dyDescent="0.25">
      <c r="P4059" s="27">
        <v>3.2548184716220556E-2</v>
      </c>
      <c r="Q4059" s="28">
        <f t="shared" si="67"/>
        <v>3.5548184716220559E-2</v>
      </c>
      <c r="R4059" s="29">
        <v>0.15003660775771735</v>
      </c>
      <c r="S4059" s="30">
        <v>4.326E-2</v>
      </c>
    </row>
    <row r="4060" spans="16:19" x14ac:dyDescent="0.25">
      <c r="P4060" s="27">
        <v>3.2548184716220556E-2</v>
      </c>
      <c r="Q4060" s="28">
        <f t="shared" si="67"/>
        <v>3.5548184716220559E-2</v>
      </c>
      <c r="R4060" s="29">
        <v>0.15003660775771735</v>
      </c>
      <c r="S4060" s="30">
        <v>4.0009999999999997E-2</v>
      </c>
    </row>
    <row r="4061" spans="16:19" x14ac:dyDescent="0.25">
      <c r="P4061" s="27">
        <v>3.2548184716220556E-2</v>
      </c>
      <c r="Q4061" s="28">
        <f t="shared" si="67"/>
        <v>3.5548184716220559E-2</v>
      </c>
      <c r="R4061" s="29">
        <v>0.15003660775771735</v>
      </c>
      <c r="S4061" s="30">
        <v>3.9520000000000007E-2</v>
      </c>
    </row>
    <row r="4062" spans="16:19" x14ac:dyDescent="0.25">
      <c r="P4062" s="27">
        <v>3.2548184716220556E-2</v>
      </c>
      <c r="Q4062" s="28">
        <f t="shared" si="67"/>
        <v>3.5548184716220559E-2</v>
      </c>
      <c r="R4062" s="29">
        <v>0.15003660775771735</v>
      </c>
      <c r="S4062" s="30">
        <v>3.9060000000000004E-2</v>
      </c>
    </row>
    <row r="4063" spans="16:19" x14ac:dyDescent="0.25">
      <c r="P4063" s="27">
        <v>3.2548184716220556E-2</v>
      </c>
      <c r="Q4063" s="28">
        <f t="shared" si="67"/>
        <v>3.5548184716220559E-2</v>
      </c>
      <c r="R4063" s="29">
        <v>0.15003660775771735</v>
      </c>
      <c r="S4063" s="30">
        <v>3.9689652000000006E-2</v>
      </c>
    </row>
    <row r="4064" spans="16:19" x14ac:dyDescent="0.25">
      <c r="P4064" s="27">
        <v>3.2548184716220556E-2</v>
      </c>
      <c r="Q4064" s="28">
        <f t="shared" si="67"/>
        <v>3.5548184716220559E-2</v>
      </c>
      <c r="R4064" s="29">
        <v>0.15003660775771735</v>
      </c>
      <c r="S4064" s="30">
        <v>3.9695019000000005E-2</v>
      </c>
    </row>
    <row r="4065" spans="16:19" x14ac:dyDescent="0.25">
      <c r="P4065" s="27">
        <v>3.2548184716220556E-2</v>
      </c>
      <c r="Q4065" s="28">
        <f t="shared" si="67"/>
        <v>3.5548184716220559E-2</v>
      </c>
      <c r="R4065" s="29">
        <v>0.15003660775771735</v>
      </c>
      <c r="S4065" s="30">
        <v>4.4441543999999999E-2</v>
      </c>
    </row>
    <row r="4066" spans="16:19" x14ac:dyDescent="0.25">
      <c r="P4066" s="27">
        <v>3.2548184716220556E-2</v>
      </c>
      <c r="Q4066" s="28">
        <f t="shared" si="67"/>
        <v>3.5548184716220559E-2</v>
      </c>
      <c r="R4066" s="29">
        <v>0.15003660775771735</v>
      </c>
      <c r="S4066" s="30">
        <v>4.8379999999999999E-2</v>
      </c>
    </row>
    <row r="4067" spans="16:19" x14ac:dyDescent="0.25">
      <c r="P4067" s="27">
        <v>3.2548184716220556E-2</v>
      </c>
      <c r="Q4067" s="28">
        <f t="shared" si="67"/>
        <v>3.5548184716220559E-2</v>
      </c>
      <c r="R4067" s="31">
        <v>0.15939660775771733</v>
      </c>
      <c r="S4067" s="32">
        <v>0.06</v>
      </c>
    </row>
    <row r="4068" spans="16:19" x14ac:dyDescent="0.25">
      <c r="P4068" s="27">
        <v>3.2548184716220556E-2</v>
      </c>
      <c r="Q4068" s="28">
        <f t="shared" si="67"/>
        <v>3.5548184716220559E-2</v>
      </c>
      <c r="R4068" s="33">
        <v>0.16282860775771735</v>
      </c>
      <c r="S4068" s="34">
        <v>6.2130000000000005E-2</v>
      </c>
    </row>
    <row r="4069" spans="16:19" x14ac:dyDescent="0.25">
      <c r="P4069" s="27">
        <v>3.2548184716220556E-2</v>
      </c>
      <c r="Q4069" s="28">
        <f t="shared" si="67"/>
        <v>3.5548184716220559E-2</v>
      </c>
      <c r="R4069" s="33">
        <v>0.16282860775771735</v>
      </c>
      <c r="S4069" s="34">
        <v>5.1751632999999998E-2</v>
      </c>
    </row>
    <row r="4070" spans="16:19" x14ac:dyDescent="0.25">
      <c r="P4070" s="27">
        <v>3.2548184716220556E-2</v>
      </c>
      <c r="Q4070" s="28">
        <f t="shared" si="67"/>
        <v>3.5548184716220559E-2</v>
      </c>
      <c r="R4070" s="33">
        <v>0.16282860775771735</v>
      </c>
      <c r="S4070" s="34">
        <v>5.0525172E-2</v>
      </c>
    </row>
    <row r="4071" spans="16:19" x14ac:dyDescent="0.25">
      <c r="P4071" s="27">
        <v>3.2548184716220556E-2</v>
      </c>
      <c r="Q4071" s="28">
        <f t="shared" si="67"/>
        <v>3.5548184716220559E-2</v>
      </c>
      <c r="R4071" s="33">
        <v>0.16282860775771735</v>
      </c>
      <c r="S4071" s="34">
        <v>4.4499999999999998E-2</v>
      </c>
    </row>
    <row r="4072" spans="16:19" x14ac:dyDescent="0.25">
      <c r="P4072" s="27">
        <v>3.2548184716220556E-2</v>
      </c>
      <c r="Q4072" s="28">
        <f t="shared" si="67"/>
        <v>3.5548184716220559E-2</v>
      </c>
      <c r="R4072" s="33">
        <v>0.16282860775771735</v>
      </c>
      <c r="S4072" s="34">
        <v>4.299E-2</v>
      </c>
    </row>
    <row r="4073" spans="16:19" x14ac:dyDescent="0.25">
      <c r="P4073" s="27">
        <v>3.2548184716220556E-2</v>
      </c>
      <c r="Q4073" s="28">
        <f t="shared" si="67"/>
        <v>3.5548184716220559E-2</v>
      </c>
      <c r="R4073" s="33">
        <v>0.16282860775771735</v>
      </c>
      <c r="S4073" s="34">
        <v>4.5247312999999997E-2</v>
      </c>
    </row>
    <row r="4074" spans="16:19" x14ac:dyDescent="0.25">
      <c r="P4074" s="27">
        <v>3.2548184716220556E-2</v>
      </c>
      <c r="Q4074" s="28">
        <f t="shared" si="67"/>
        <v>3.5548184716220559E-2</v>
      </c>
      <c r="R4074" s="33">
        <v>0.16282860775771735</v>
      </c>
      <c r="S4074" s="34">
        <v>4.6049999999999994E-2</v>
      </c>
    </row>
    <row r="4075" spans="16:19" x14ac:dyDescent="0.25">
      <c r="P4075" s="27">
        <v>3.2548184716220556E-2</v>
      </c>
      <c r="Q4075" s="28">
        <f t="shared" si="67"/>
        <v>3.5548184716220559E-2</v>
      </c>
      <c r="R4075" s="33">
        <v>0.16282860775771735</v>
      </c>
      <c r="S4075" s="34">
        <v>4.7210000000000002E-2</v>
      </c>
    </row>
    <row r="4076" spans="16:19" x14ac:dyDescent="0.25">
      <c r="P4076" s="27">
        <v>3.2548184716220556E-2</v>
      </c>
      <c r="Q4076" s="28">
        <f t="shared" si="67"/>
        <v>3.5548184716220559E-2</v>
      </c>
      <c r="R4076" s="33">
        <v>0.16282860775771735</v>
      </c>
      <c r="S4076" s="34">
        <v>4.6829999999999997E-2</v>
      </c>
    </row>
    <row r="4077" spans="16:19" x14ac:dyDescent="0.25">
      <c r="P4077" s="27">
        <v>3.2548184716220556E-2</v>
      </c>
      <c r="Q4077" s="28">
        <f t="shared" si="67"/>
        <v>3.5548184716220559E-2</v>
      </c>
      <c r="R4077" s="33">
        <v>0.16282860775771735</v>
      </c>
      <c r="S4077" s="34">
        <v>4.6490000000000004E-2</v>
      </c>
    </row>
    <row r="4078" spans="16:19" x14ac:dyDescent="0.25">
      <c r="P4078" s="27">
        <v>3.2548184716220556E-2</v>
      </c>
      <c r="Q4078" s="28">
        <f t="shared" si="67"/>
        <v>3.5548184716220559E-2</v>
      </c>
      <c r="R4078" s="33">
        <v>0.16282860775771735</v>
      </c>
      <c r="S4078" s="34">
        <v>4.999E-2</v>
      </c>
    </row>
    <row r="4079" spans="16:19" x14ac:dyDescent="0.25">
      <c r="P4079" s="27">
        <v>3.2548184716220556E-2</v>
      </c>
      <c r="Q4079" s="28">
        <f t="shared" si="67"/>
        <v>3.5548184716220559E-2</v>
      </c>
      <c r="R4079" s="31">
        <v>0.15939660775771733</v>
      </c>
      <c r="S4079" s="32">
        <v>5.0520000000000002E-2</v>
      </c>
    </row>
    <row r="4080" spans="16:19" x14ac:dyDescent="0.25">
      <c r="P4080" s="27">
        <v>3.2548184716220556E-2</v>
      </c>
      <c r="Q4080" s="28">
        <f t="shared" si="67"/>
        <v>3.5548184716220559E-2</v>
      </c>
      <c r="R4080" s="31">
        <v>0.15939660775771733</v>
      </c>
      <c r="S4080" s="32">
        <v>5.0999999999999997E-2</v>
      </c>
    </row>
    <row r="4081" spans="16:19" x14ac:dyDescent="0.25">
      <c r="P4081" s="27">
        <v>3.2548184716220556E-2</v>
      </c>
      <c r="Q4081" s="28">
        <f t="shared" si="67"/>
        <v>3.5548184716220559E-2</v>
      </c>
      <c r="R4081" s="31">
        <v>0.15939660775771733</v>
      </c>
      <c r="S4081" s="32">
        <v>4.65E-2</v>
      </c>
    </row>
    <row r="4082" spans="16:19" x14ac:dyDescent="0.25">
      <c r="P4082" s="27">
        <v>3.2548184716220556E-2</v>
      </c>
      <c r="Q4082" s="28">
        <f t="shared" si="67"/>
        <v>3.5548184716220559E-2</v>
      </c>
      <c r="R4082" s="31">
        <v>0.15939660775771733</v>
      </c>
      <c r="S4082" s="32">
        <v>4.1532308000000004E-2</v>
      </c>
    </row>
    <row r="4083" spans="16:19" x14ac:dyDescent="0.25">
      <c r="P4083" s="27">
        <v>3.2548184716220556E-2</v>
      </c>
      <c r="Q4083" s="28">
        <f t="shared" si="67"/>
        <v>3.5548184716220559E-2</v>
      </c>
      <c r="R4083" s="29">
        <v>0.15003660775771735</v>
      </c>
      <c r="S4083" s="30">
        <v>4.0730409000000002E-2</v>
      </c>
    </row>
    <row r="4084" spans="16:19" x14ac:dyDescent="0.25">
      <c r="P4084" s="27">
        <v>3.2548184716220556E-2</v>
      </c>
      <c r="Q4084" s="28">
        <f t="shared" si="67"/>
        <v>3.5548184716220559E-2</v>
      </c>
      <c r="R4084" s="29">
        <v>0.15003660775771735</v>
      </c>
      <c r="S4084" s="30">
        <v>3.6751609000000005E-2</v>
      </c>
    </row>
    <row r="4085" spans="16:19" x14ac:dyDescent="0.25">
      <c r="P4085" s="27">
        <v>3.2548184716220556E-2</v>
      </c>
      <c r="Q4085" s="28">
        <f t="shared" si="67"/>
        <v>3.5548184716220559E-2</v>
      </c>
      <c r="R4085" s="29">
        <v>0.15003660775771735</v>
      </c>
      <c r="S4085" s="30">
        <v>3.6539999999999996E-2</v>
      </c>
    </row>
    <row r="4086" spans="16:19" x14ac:dyDescent="0.25">
      <c r="P4086" s="27">
        <v>3.2548184716220556E-2</v>
      </c>
      <c r="Q4086" s="28">
        <f t="shared" si="67"/>
        <v>3.5548184716220559E-2</v>
      </c>
      <c r="R4086" s="29">
        <v>0.15003660775771735</v>
      </c>
      <c r="S4086" s="30">
        <v>3.5450000000000002E-2</v>
      </c>
    </row>
    <row r="4087" spans="16:19" x14ac:dyDescent="0.25">
      <c r="P4087" s="27">
        <v>3.2548184716220556E-2</v>
      </c>
      <c r="Q4087" s="28">
        <f t="shared" si="67"/>
        <v>3.5548184716220559E-2</v>
      </c>
      <c r="R4087" s="29">
        <v>0.15003660775771735</v>
      </c>
      <c r="S4087" s="30">
        <v>3.61E-2</v>
      </c>
    </row>
    <row r="4088" spans="16:19" x14ac:dyDescent="0.25">
      <c r="P4088" s="27">
        <v>3.2548184716220556E-2</v>
      </c>
      <c r="Q4088" s="28">
        <f t="shared" si="67"/>
        <v>3.5548184716220559E-2</v>
      </c>
      <c r="R4088" s="29">
        <v>0.15003660775771735</v>
      </c>
      <c r="S4088" s="30">
        <v>3.5450000000000002E-2</v>
      </c>
    </row>
    <row r="4089" spans="16:19" x14ac:dyDescent="0.25">
      <c r="P4089" s="27">
        <v>3.2548184716220556E-2</v>
      </c>
      <c r="Q4089" s="28">
        <f t="shared" si="67"/>
        <v>3.5548184716220559E-2</v>
      </c>
      <c r="R4089" s="29">
        <v>0.15003660775771735</v>
      </c>
      <c r="S4089" s="30">
        <v>3.9E-2</v>
      </c>
    </row>
    <row r="4090" spans="16:19" x14ac:dyDescent="0.25">
      <c r="P4090" s="27">
        <v>3.2548184716220556E-2</v>
      </c>
      <c r="Q4090" s="28">
        <f t="shared" si="67"/>
        <v>3.5548184716220559E-2</v>
      </c>
      <c r="R4090" s="29">
        <v>0.15003660775771735</v>
      </c>
      <c r="S4090" s="30">
        <v>4.8500000000000001E-2</v>
      </c>
    </row>
    <row r="4091" spans="16:19" x14ac:dyDescent="0.25">
      <c r="P4091" s="27">
        <v>3.2548184716220556E-2</v>
      </c>
      <c r="Q4091" s="28">
        <f t="shared" si="67"/>
        <v>3.5548184716220559E-2</v>
      </c>
      <c r="R4091" s="31">
        <v>0.15939660775771733</v>
      </c>
      <c r="S4091" s="32">
        <v>5.8000000000000003E-2</v>
      </c>
    </row>
    <row r="4092" spans="16:19" x14ac:dyDescent="0.25">
      <c r="P4092" s="27">
        <v>3.2548184716220556E-2</v>
      </c>
      <c r="Q4092" s="28">
        <f t="shared" si="67"/>
        <v>3.5548184716220559E-2</v>
      </c>
      <c r="R4092" s="33">
        <v>0.16282860775771735</v>
      </c>
      <c r="S4092" s="34">
        <v>5.3990000000000003E-2</v>
      </c>
    </row>
    <row r="4093" spans="16:19" x14ac:dyDescent="0.25">
      <c r="P4093" s="27">
        <v>3.2548184716220556E-2</v>
      </c>
      <c r="Q4093" s="28">
        <f t="shared" si="67"/>
        <v>3.5548184716220559E-2</v>
      </c>
      <c r="R4093" s="33">
        <v>0.16282860775771735</v>
      </c>
      <c r="S4093" s="34">
        <v>4.582E-2</v>
      </c>
    </row>
    <row r="4094" spans="16:19" x14ac:dyDescent="0.25">
      <c r="P4094" s="27">
        <v>3.2548184716220556E-2</v>
      </c>
      <c r="Q4094" s="28">
        <f t="shared" si="67"/>
        <v>3.5548184716220559E-2</v>
      </c>
      <c r="R4094" s="33">
        <v>0.16282860775771735</v>
      </c>
      <c r="S4094" s="34">
        <v>4.5530000000000001E-2</v>
      </c>
    </row>
    <row r="4095" spans="16:19" x14ac:dyDescent="0.25">
      <c r="P4095" s="27">
        <v>3.2548184716220556E-2</v>
      </c>
      <c r="Q4095" s="28">
        <f t="shared" si="67"/>
        <v>3.5548184716220559E-2</v>
      </c>
      <c r="R4095" s="33">
        <v>0.16282860775771735</v>
      </c>
      <c r="S4095" s="34">
        <v>4.1841656999999997E-2</v>
      </c>
    </row>
    <row r="4096" spans="16:19" x14ac:dyDescent="0.25">
      <c r="P4096" s="27">
        <v>3.2548184716220556E-2</v>
      </c>
      <c r="Q4096" s="28">
        <f t="shared" si="67"/>
        <v>3.5548184716220559E-2</v>
      </c>
      <c r="R4096" s="33">
        <v>0.16282860775771735</v>
      </c>
      <c r="S4096" s="34">
        <v>3.9E-2</v>
      </c>
    </row>
    <row r="4097" spans="16:19" x14ac:dyDescent="0.25">
      <c r="P4097" s="27">
        <v>3.2548184716220556E-2</v>
      </c>
      <c r="Q4097" s="28">
        <f t="shared" si="67"/>
        <v>3.5548184716220559E-2</v>
      </c>
      <c r="R4097" s="33">
        <v>0.16282860775771735</v>
      </c>
      <c r="S4097" s="34">
        <v>4.4249999999999998E-2</v>
      </c>
    </row>
    <row r="4098" spans="16:19" x14ac:dyDescent="0.25">
      <c r="P4098" s="27">
        <v>3.2548184716220556E-2</v>
      </c>
      <c r="Q4098" s="28">
        <f t="shared" si="67"/>
        <v>3.5548184716220559E-2</v>
      </c>
      <c r="R4098" s="33">
        <v>0.16282860775771735</v>
      </c>
      <c r="S4098" s="34">
        <v>4.4999999999999998E-2</v>
      </c>
    </row>
    <row r="4099" spans="16:19" x14ac:dyDescent="0.25">
      <c r="P4099" s="27">
        <v>3.2548184716220556E-2</v>
      </c>
      <c r="Q4099" s="28">
        <f t="shared" si="67"/>
        <v>3.5548184716220559E-2</v>
      </c>
      <c r="R4099" s="33">
        <v>0.16282860775771735</v>
      </c>
      <c r="S4099" s="34">
        <v>4.6450000000000005E-2</v>
      </c>
    </row>
    <row r="4100" spans="16:19" x14ac:dyDescent="0.25">
      <c r="P4100" s="27">
        <v>3.2548184716220556E-2</v>
      </c>
      <c r="Q4100" s="28">
        <f t="shared" si="67"/>
        <v>3.5548184716220559E-2</v>
      </c>
      <c r="R4100" s="33">
        <v>0.16282860775771735</v>
      </c>
      <c r="S4100" s="34">
        <v>4.6850000000000003E-2</v>
      </c>
    </row>
    <row r="4101" spans="16:19" x14ac:dyDescent="0.25">
      <c r="P4101" s="27">
        <v>3.2548184716220556E-2</v>
      </c>
      <c r="Q4101" s="28">
        <f t="shared" ref="Q4101:Q4164" si="68">P4101+0.003</f>
        <v>3.5548184716220559E-2</v>
      </c>
      <c r="R4101" s="33">
        <v>0.16282860775771735</v>
      </c>
      <c r="S4101" s="34">
        <v>4.999E-2</v>
      </c>
    </row>
    <row r="4102" spans="16:19" x14ac:dyDescent="0.25">
      <c r="P4102" s="27">
        <v>3.2548184716220556E-2</v>
      </c>
      <c r="Q4102" s="28">
        <f t="shared" si="68"/>
        <v>3.5548184716220559E-2</v>
      </c>
      <c r="R4102" s="33">
        <v>0.16282860775771735</v>
      </c>
      <c r="S4102" s="34">
        <v>5.0090000000000003E-2</v>
      </c>
    </row>
    <row r="4103" spans="16:19" x14ac:dyDescent="0.25">
      <c r="P4103" s="27">
        <v>3.2548184716220556E-2</v>
      </c>
      <c r="Q4103" s="28">
        <f t="shared" si="68"/>
        <v>3.5548184716220559E-2</v>
      </c>
      <c r="R4103" s="31">
        <v>0.15939660775771733</v>
      </c>
      <c r="S4103" s="32">
        <v>5.074E-2</v>
      </c>
    </row>
    <row r="4104" spans="16:19" x14ac:dyDescent="0.25">
      <c r="P4104" s="27">
        <v>3.2548184716220556E-2</v>
      </c>
      <c r="Q4104" s="28">
        <f t="shared" si="68"/>
        <v>3.5548184716220559E-2</v>
      </c>
      <c r="R4104" s="31">
        <v>0.15939660775771733</v>
      </c>
      <c r="S4104" s="32">
        <v>0.05</v>
      </c>
    </row>
    <row r="4105" spans="16:19" x14ac:dyDescent="0.25">
      <c r="P4105" s="27">
        <v>3.2548184716220556E-2</v>
      </c>
      <c r="Q4105" s="28">
        <f t="shared" si="68"/>
        <v>3.5548184716220559E-2</v>
      </c>
      <c r="R4105" s="31">
        <v>0.15939660775771733</v>
      </c>
      <c r="S4105" s="32">
        <v>4.8070000000000002E-2</v>
      </c>
    </row>
    <row r="4106" spans="16:19" x14ac:dyDescent="0.25">
      <c r="P4106" s="27">
        <v>3.2548184716220556E-2</v>
      </c>
      <c r="Q4106" s="28">
        <f t="shared" si="68"/>
        <v>3.5548184716220559E-2</v>
      </c>
      <c r="R4106" s="31">
        <v>0.15939660775771733</v>
      </c>
      <c r="S4106" s="32">
        <v>4.0100000000000004E-2</v>
      </c>
    </row>
    <row r="4107" spans="16:19" x14ac:dyDescent="0.25">
      <c r="P4107" s="27">
        <v>3.2548184716220556E-2</v>
      </c>
      <c r="Q4107" s="28">
        <f t="shared" si="68"/>
        <v>3.5548184716220559E-2</v>
      </c>
      <c r="R4107" s="29">
        <v>0.15003660775771735</v>
      </c>
      <c r="S4107" s="30">
        <v>4.0229999999999995E-2</v>
      </c>
    </row>
    <row r="4108" spans="16:19" x14ac:dyDescent="0.25">
      <c r="P4108" s="27">
        <v>3.2548184716220556E-2</v>
      </c>
      <c r="Q4108" s="28">
        <f t="shared" si="68"/>
        <v>3.5548184716220559E-2</v>
      </c>
      <c r="R4108" s="29">
        <v>0.15003660775771735</v>
      </c>
      <c r="S4108" s="30">
        <v>3.8109999999999998E-2</v>
      </c>
    </row>
    <row r="4109" spans="16:19" x14ac:dyDescent="0.25">
      <c r="P4109" s="27">
        <v>3.2548184716220556E-2</v>
      </c>
      <c r="Q4109" s="28">
        <f t="shared" si="68"/>
        <v>3.5548184716220559E-2</v>
      </c>
      <c r="R4109" s="29">
        <v>0.15003660775771735</v>
      </c>
      <c r="S4109" s="30">
        <v>3.5090000000000003E-2</v>
      </c>
    </row>
    <row r="4110" spans="16:19" x14ac:dyDescent="0.25">
      <c r="P4110" s="27">
        <v>3.2548184716220556E-2</v>
      </c>
      <c r="Q4110" s="28">
        <f t="shared" si="68"/>
        <v>3.5548184716220559E-2</v>
      </c>
      <c r="R4110" s="29">
        <v>0.15003660775771735</v>
      </c>
      <c r="S4110" s="30">
        <v>3.4500000000000003E-2</v>
      </c>
    </row>
    <row r="4111" spans="16:19" x14ac:dyDescent="0.25">
      <c r="P4111" s="27">
        <v>3.2548184716220556E-2</v>
      </c>
      <c r="Q4111" s="28">
        <f t="shared" si="68"/>
        <v>3.5548184716220559E-2</v>
      </c>
      <c r="R4111" s="29">
        <v>0.15003660775771735</v>
      </c>
      <c r="S4111" s="30">
        <v>3.4500000000000003E-2</v>
      </c>
    </row>
    <row r="4112" spans="16:19" x14ac:dyDescent="0.25">
      <c r="P4112" s="27">
        <v>3.2548184716220556E-2</v>
      </c>
      <c r="Q4112" s="28">
        <f t="shared" si="68"/>
        <v>3.5548184716220559E-2</v>
      </c>
      <c r="R4112" s="29">
        <v>0.15003660775771735</v>
      </c>
      <c r="S4112" s="30">
        <v>3.4110000000000001E-2</v>
      </c>
    </row>
    <row r="4113" spans="16:19" x14ac:dyDescent="0.25">
      <c r="P4113" s="27">
        <v>3.2548184716220556E-2</v>
      </c>
      <c r="Q4113" s="28">
        <f t="shared" si="68"/>
        <v>3.5548184716220559E-2</v>
      </c>
      <c r="R4113" s="29">
        <v>0.15003660775771735</v>
      </c>
      <c r="S4113" s="30">
        <v>3.6289999999999996E-2</v>
      </c>
    </row>
    <row r="4114" spans="16:19" x14ac:dyDescent="0.25">
      <c r="P4114" s="27">
        <v>3.2548184716220556E-2</v>
      </c>
      <c r="Q4114" s="28">
        <f t="shared" si="68"/>
        <v>3.5548184716220559E-2</v>
      </c>
      <c r="R4114" s="29">
        <v>0.15003660775771735</v>
      </c>
      <c r="S4114" s="30">
        <v>3.9579999999999997E-2</v>
      </c>
    </row>
    <row r="4115" spans="16:19" x14ac:dyDescent="0.25">
      <c r="P4115" s="27">
        <v>3.2548184716220556E-2</v>
      </c>
      <c r="Q4115" s="28">
        <f t="shared" si="68"/>
        <v>3.5548184716220559E-2</v>
      </c>
      <c r="R4115" s="31">
        <v>0.15939660775771733</v>
      </c>
      <c r="S4115" s="32">
        <v>4.4170000000000001E-2</v>
      </c>
    </row>
    <row r="4116" spans="16:19" x14ac:dyDescent="0.25">
      <c r="P4116" s="27">
        <v>3.2548184716220556E-2</v>
      </c>
      <c r="Q4116" s="28">
        <f t="shared" si="68"/>
        <v>3.5548184716220559E-2</v>
      </c>
      <c r="R4116" s="33">
        <v>0.16282860775771735</v>
      </c>
      <c r="S4116" s="34">
        <v>4.3990000000000001E-2</v>
      </c>
    </row>
    <row r="4117" spans="16:19" x14ac:dyDescent="0.25">
      <c r="P4117" s="27">
        <v>3.2548184716220556E-2</v>
      </c>
      <c r="Q4117" s="28">
        <f t="shared" si="68"/>
        <v>3.5548184716220559E-2</v>
      </c>
      <c r="R4117" s="33">
        <v>0.16282860775771735</v>
      </c>
      <c r="S4117" s="34">
        <v>3.9949999999999999E-2</v>
      </c>
    </row>
    <row r="4118" spans="16:19" x14ac:dyDescent="0.25">
      <c r="P4118" s="27">
        <v>3.2548184716220556E-2</v>
      </c>
      <c r="Q4118" s="28">
        <f t="shared" si="68"/>
        <v>3.5548184716220559E-2</v>
      </c>
      <c r="R4118" s="33">
        <v>0.16282860775771735</v>
      </c>
      <c r="S4118" s="34">
        <v>3.4500000000000003E-2</v>
      </c>
    </row>
    <row r="4119" spans="16:19" x14ac:dyDescent="0.25">
      <c r="P4119" s="27">
        <v>3.2548184716220556E-2</v>
      </c>
      <c r="Q4119" s="28">
        <f t="shared" si="68"/>
        <v>3.5548184716220559E-2</v>
      </c>
      <c r="R4119" s="33">
        <v>0.16282860775771735</v>
      </c>
      <c r="S4119" s="34">
        <v>3.0459931000000003E-2</v>
      </c>
    </row>
    <row r="4120" spans="16:19" x14ac:dyDescent="0.25">
      <c r="P4120" s="27">
        <v>3.2548184716220556E-2</v>
      </c>
      <c r="Q4120" s="28">
        <f t="shared" si="68"/>
        <v>3.5548184716220559E-2</v>
      </c>
      <c r="R4120" s="33">
        <v>0.16282860775771735</v>
      </c>
      <c r="S4120" s="34">
        <v>2.2407724E-2</v>
      </c>
    </row>
    <row r="4121" spans="16:19" x14ac:dyDescent="0.25">
      <c r="P4121" s="27">
        <v>3.2548184716220556E-2</v>
      </c>
      <c r="Q4121" s="28">
        <f t="shared" si="68"/>
        <v>3.5548184716220559E-2</v>
      </c>
      <c r="R4121" s="33">
        <v>0.16282860775771735</v>
      </c>
      <c r="S4121" s="34">
        <v>1.9899999999999998E-2</v>
      </c>
    </row>
    <row r="4122" spans="16:19" x14ac:dyDescent="0.25">
      <c r="P4122" s="27">
        <v>3.2548184716220556E-2</v>
      </c>
      <c r="Q4122" s="28">
        <f t="shared" si="68"/>
        <v>3.5548184716220559E-2</v>
      </c>
      <c r="R4122" s="33">
        <v>0.16282860775771735</v>
      </c>
      <c r="S4122" s="34">
        <v>2.0500000000000001E-2</v>
      </c>
    </row>
    <row r="4123" spans="16:19" x14ac:dyDescent="0.25">
      <c r="P4123" s="27">
        <v>3.2548184716220556E-2</v>
      </c>
      <c r="Q4123" s="28">
        <f t="shared" si="68"/>
        <v>3.5548184716220559E-2</v>
      </c>
      <c r="R4123" s="33">
        <v>0.16282860775771735</v>
      </c>
      <c r="S4123" s="34">
        <v>3.0757316999999999E-2</v>
      </c>
    </row>
    <row r="4124" spans="16:19" x14ac:dyDescent="0.25">
      <c r="P4124" s="27">
        <v>3.2548184716220556E-2</v>
      </c>
      <c r="Q4124" s="28">
        <f t="shared" si="68"/>
        <v>3.5548184716220559E-2</v>
      </c>
      <c r="R4124" s="33">
        <v>0.16282860775771735</v>
      </c>
      <c r="S4124" s="34">
        <v>3.4799999999999998E-2</v>
      </c>
    </row>
    <row r="4125" spans="16:19" x14ac:dyDescent="0.25">
      <c r="P4125" s="27">
        <v>3.2548184716220556E-2</v>
      </c>
      <c r="Q4125" s="28">
        <f t="shared" si="68"/>
        <v>3.5548184716220559E-2</v>
      </c>
      <c r="R4125" s="33">
        <v>0.16282860775771735</v>
      </c>
      <c r="S4125" s="34">
        <v>3.6990000000000002E-2</v>
      </c>
    </row>
    <row r="4126" spans="16:19" x14ac:dyDescent="0.25">
      <c r="P4126" s="27">
        <v>3.2548184716220556E-2</v>
      </c>
      <c r="Q4126" s="28">
        <f t="shared" si="68"/>
        <v>3.5548184716220559E-2</v>
      </c>
      <c r="R4126" s="33">
        <v>0.16282860775771735</v>
      </c>
      <c r="S4126" s="34">
        <v>4.2439999999999999E-2</v>
      </c>
    </row>
    <row r="4127" spans="16:19" x14ac:dyDescent="0.25">
      <c r="P4127" s="27">
        <v>3.2548184716220556E-2</v>
      </c>
      <c r="Q4127" s="28">
        <f t="shared" si="68"/>
        <v>3.5548184716220559E-2</v>
      </c>
      <c r="R4127" s="31">
        <v>0.15939660775771733</v>
      </c>
      <c r="S4127" s="32">
        <v>4.7270000000000006E-2</v>
      </c>
    </row>
    <row r="4128" spans="16:19" x14ac:dyDescent="0.25">
      <c r="P4128" s="27">
        <v>3.2548184716220556E-2</v>
      </c>
      <c r="Q4128" s="28">
        <f t="shared" si="68"/>
        <v>3.5548184716220559E-2</v>
      </c>
      <c r="R4128" s="31">
        <v>0.15939660775771733</v>
      </c>
      <c r="S4128" s="32">
        <v>4.999E-2</v>
      </c>
    </row>
    <row r="4129" spans="16:19" x14ac:dyDescent="0.25">
      <c r="P4129" s="27">
        <v>3.2548184716220556E-2</v>
      </c>
      <c r="Q4129" s="28">
        <f t="shared" si="68"/>
        <v>3.5548184716220559E-2</v>
      </c>
      <c r="R4129" s="31">
        <v>0.15939660775771733</v>
      </c>
      <c r="S4129" s="32">
        <v>4.4520000000000004E-2</v>
      </c>
    </row>
    <row r="4130" spans="16:19" x14ac:dyDescent="0.25">
      <c r="P4130" s="27">
        <v>3.2548184716220556E-2</v>
      </c>
      <c r="Q4130" s="28">
        <f t="shared" si="68"/>
        <v>3.5548184716220559E-2</v>
      </c>
      <c r="R4130" s="31">
        <v>0.15939660775771733</v>
      </c>
      <c r="S4130" s="32">
        <v>0.04</v>
      </c>
    </row>
    <row r="4131" spans="16:19" x14ac:dyDescent="0.25">
      <c r="P4131" s="27">
        <v>3.2548184716220556E-2</v>
      </c>
      <c r="Q4131" s="28">
        <f t="shared" si="68"/>
        <v>3.5548184716220559E-2</v>
      </c>
      <c r="R4131" s="29">
        <v>0.15003660775771735</v>
      </c>
      <c r="S4131" s="30">
        <v>5.0449057999999998E-2</v>
      </c>
    </row>
    <row r="4132" spans="16:19" x14ac:dyDescent="0.25">
      <c r="P4132" s="27">
        <v>3.2548184716220556E-2</v>
      </c>
      <c r="Q4132" s="28">
        <f t="shared" si="68"/>
        <v>3.5548184716220559E-2</v>
      </c>
      <c r="R4132" s="29">
        <v>0.15003660775771735</v>
      </c>
      <c r="S4132" s="30">
        <v>4.3859999999999996E-2</v>
      </c>
    </row>
    <row r="4133" spans="16:19" x14ac:dyDescent="0.25">
      <c r="P4133" s="27">
        <v>3.2548184716220556E-2</v>
      </c>
      <c r="Q4133" s="28">
        <f t="shared" si="68"/>
        <v>3.5548184716220559E-2</v>
      </c>
      <c r="R4133" s="29">
        <v>0.15003660775771735</v>
      </c>
      <c r="S4133" s="30">
        <v>3.9420000000000004E-2</v>
      </c>
    </row>
    <row r="4134" spans="16:19" x14ac:dyDescent="0.25">
      <c r="P4134" s="27">
        <v>3.2548184716220556E-2</v>
      </c>
      <c r="Q4134" s="28">
        <f t="shared" si="68"/>
        <v>3.5548184716220559E-2</v>
      </c>
      <c r="R4134" s="29">
        <v>0.15003660775771735</v>
      </c>
      <c r="S4134" s="30">
        <v>3.6389999999999999E-2</v>
      </c>
    </row>
    <row r="4135" spans="16:19" x14ac:dyDescent="0.25">
      <c r="P4135" s="27">
        <v>3.2548184716220556E-2</v>
      </c>
      <c r="Q4135" s="28">
        <f t="shared" si="68"/>
        <v>3.5548184716220559E-2</v>
      </c>
      <c r="R4135" s="29">
        <v>0.15003660775771735</v>
      </c>
      <c r="S4135" s="30">
        <v>3.8170000000000003E-2</v>
      </c>
    </row>
    <row r="4136" spans="16:19" x14ac:dyDescent="0.25">
      <c r="P4136" s="27">
        <v>3.2548184716220556E-2</v>
      </c>
      <c r="Q4136" s="28">
        <f t="shared" si="68"/>
        <v>3.5548184716220559E-2</v>
      </c>
      <c r="R4136" s="29">
        <v>0.15003660775771735</v>
      </c>
      <c r="S4136" s="30">
        <v>3.4509999999999999E-2</v>
      </c>
    </row>
    <row r="4137" spans="16:19" x14ac:dyDescent="0.25">
      <c r="P4137" s="27">
        <v>3.2548184716220556E-2</v>
      </c>
      <c r="Q4137" s="28">
        <f t="shared" si="68"/>
        <v>3.5548184716220559E-2</v>
      </c>
      <c r="R4137" s="29">
        <v>0.15003660775771735</v>
      </c>
      <c r="S4137" s="30">
        <v>3.6289999999999996E-2</v>
      </c>
    </row>
    <row r="4138" spans="16:19" x14ac:dyDescent="0.25">
      <c r="P4138" s="27">
        <v>3.2548184716220556E-2</v>
      </c>
      <c r="Q4138" s="28">
        <f t="shared" si="68"/>
        <v>3.5548184716220559E-2</v>
      </c>
      <c r="R4138" s="29">
        <v>0.15003660775771735</v>
      </c>
      <c r="S4138" s="30">
        <v>3.6289999999999996E-2</v>
      </c>
    </row>
    <row r="4139" spans="16:19" x14ac:dyDescent="0.25">
      <c r="P4139" s="27">
        <v>3.2548184716220556E-2</v>
      </c>
      <c r="Q4139" s="28">
        <f t="shared" si="68"/>
        <v>3.5548184716220559E-2</v>
      </c>
      <c r="R4139" s="31">
        <v>0.15939660775771733</v>
      </c>
      <c r="S4139" s="32">
        <v>3.6289999999999996E-2</v>
      </c>
    </row>
    <row r="4140" spans="16:19" x14ac:dyDescent="0.25">
      <c r="P4140" s="27">
        <v>3.2548184716220556E-2</v>
      </c>
      <c r="Q4140" s="28">
        <f t="shared" si="68"/>
        <v>3.5548184716220559E-2</v>
      </c>
      <c r="R4140" s="33">
        <v>0.16282860775771735</v>
      </c>
      <c r="S4140" s="34">
        <v>3.6289999999999996E-2</v>
      </c>
    </row>
    <row r="4141" spans="16:19" x14ac:dyDescent="0.25">
      <c r="P4141" s="27">
        <v>3.2548184716220556E-2</v>
      </c>
      <c r="Q4141" s="28">
        <f t="shared" si="68"/>
        <v>3.5548184716220559E-2</v>
      </c>
      <c r="R4141" s="33">
        <v>0.16282860775771735</v>
      </c>
      <c r="S4141" s="34">
        <v>3.5380000000000002E-2</v>
      </c>
    </row>
    <row r="4142" spans="16:19" x14ac:dyDescent="0.25">
      <c r="P4142" s="27">
        <v>3.2548184716220556E-2</v>
      </c>
      <c r="Q4142" s="28">
        <f t="shared" si="68"/>
        <v>3.5548184716220559E-2</v>
      </c>
      <c r="R4142" s="33">
        <v>0.16282860775771735</v>
      </c>
      <c r="S4142" s="34">
        <v>3.2289999999999999E-2</v>
      </c>
    </row>
    <row r="4143" spans="16:19" x14ac:dyDescent="0.25">
      <c r="P4143" s="27">
        <v>3.2548184716220556E-2</v>
      </c>
      <c r="Q4143" s="28">
        <f t="shared" si="68"/>
        <v>3.5548184716220559E-2</v>
      </c>
      <c r="R4143" s="33">
        <v>0.16282860775771735</v>
      </c>
      <c r="S4143" s="34">
        <v>2.511E-2</v>
      </c>
    </row>
    <row r="4144" spans="16:19" x14ac:dyDescent="0.25">
      <c r="P4144" s="27">
        <v>3.2548184716220556E-2</v>
      </c>
      <c r="Q4144" s="28">
        <f t="shared" si="68"/>
        <v>3.5548184716220559E-2</v>
      </c>
      <c r="R4144" s="33">
        <v>0.16282860775771735</v>
      </c>
      <c r="S4144" s="34">
        <v>1.5810000000000001E-2</v>
      </c>
    </row>
    <row r="4145" spans="16:19" x14ac:dyDescent="0.25">
      <c r="P4145" s="27">
        <v>3.2548184716220556E-2</v>
      </c>
      <c r="Q4145" s="28">
        <f t="shared" si="68"/>
        <v>3.5548184716220559E-2</v>
      </c>
      <c r="R4145" s="33">
        <v>0.16282860775771735</v>
      </c>
      <c r="S4145" s="34">
        <v>1.4999999999999999E-2</v>
      </c>
    </row>
    <row r="4146" spans="16:19" x14ac:dyDescent="0.25">
      <c r="P4146" s="27">
        <v>3.2548184716220556E-2</v>
      </c>
      <c r="Q4146" s="28">
        <f t="shared" si="68"/>
        <v>3.5548184716220559E-2</v>
      </c>
      <c r="R4146" s="33">
        <v>0.16282860775771735</v>
      </c>
      <c r="S4146" s="34">
        <v>2.1777358E-2</v>
      </c>
    </row>
    <row r="4147" spans="16:19" x14ac:dyDescent="0.25">
      <c r="P4147" s="27">
        <v>3.2548184716220556E-2</v>
      </c>
      <c r="Q4147" s="28">
        <f t="shared" si="68"/>
        <v>3.5548184716220559E-2</v>
      </c>
      <c r="R4147" s="33">
        <v>0.16282860775771735</v>
      </c>
      <c r="S4147" s="34">
        <v>3.3000000000000002E-2</v>
      </c>
    </row>
    <row r="4148" spans="16:19" x14ac:dyDescent="0.25">
      <c r="P4148" s="27">
        <v>3.2548184716220556E-2</v>
      </c>
      <c r="Q4148" s="28">
        <f t="shared" si="68"/>
        <v>3.5548184716220559E-2</v>
      </c>
      <c r="R4148" s="33">
        <v>0.16282860775771735</v>
      </c>
      <c r="S4148" s="34">
        <v>3.5009999999999999E-2</v>
      </c>
    </row>
    <row r="4149" spans="16:19" x14ac:dyDescent="0.25">
      <c r="P4149" s="27">
        <v>3.2548184716220556E-2</v>
      </c>
      <c r="Q4149" s="28">
        <f t="shared" si="68"/>
        <v>3.5548184716220559E-2</v>
      </c>
      <c r="R4149" s="33">
        <v>0.16282860775771735</v>
      </c>
      <c r="S4149" s="34">
        <v>3.7249999999999998E-2</v>
      </c>
    </row>
    <row r="4150" spans="16:19" x14ac:dyDescent="0.25">
      <c r="P4150" s="27">
        <v>3.2548184716220556E-2</v>
      </c>
      <c r="Q4150" s="28">
        <f t="shared" si="68"/>
        <v>3.5548184716220559E-2</v>
      </c>
      <c r="R4150" s="33">
        <v>0.16282860775771735</v>
      </c>
      <c r="S4150" s="34">
        <v>4.3439999999999999E-2</v>
      </c>
    </row>
    <row r="4151" spans="16:19" x14ac:dyDescent="0.25">
      <c r="P4151" s="27">
        <v>3.2548184716220556E-2</v>
      </c>
      <c r="Q4151" s="28">
        <f t="shared" si="68"/>
        <v>3.5548184716220559E-2</v>
      </c>
      <c r="R4151" s="31">
        <v>0.15939660775771733</v>
      </c>
      <c r="S4151" s="32">
        <v>4.999E-2</v>
      </c>
    </row>
    <row r="4152" spans="16:19" x14ac:dyDescent="0.25">
      <c r="P4152" s="27">
        <v>3.2548184716220556E-2</v>
      </c>
      <c r="Q4152" s="28">
        <f t="shared" si="68"/>
        <v>3.5548184716220559E-2</v>
      </c>
      <c r="R4152" s="31">
        <v>0.15939660775771733</v>
      </c>
      <c r="S4152" s="32">
        <v>5.8913429000000003E-2</v>
      </c>
    </row>
    <row r="4153" spans="16:19" x14ac:dyDescent="0.25">
      <c r="P4153" s="27">
        <v>3.2548184716220556E-2</v>
      </c>
      <c r="Q4153" s="28">
        <f t="shared" si="68"/>
        <v>3.5548184716220559E-2</v>
      </c>
      <c r="R4153" s="31">
        <v>0.15939660775771733</v>
      </c>
      <c r="S4153" s="32">
        <v>5.0250000000000003E-2</v>
      </c>
    </row>
    <row r="4154" spans="16:19" x14ac:dyDescent="0.25">
      <c r="P4154" s="27">
        <v>3.2548184716220556E-2</v>
      </c>
      <c r="Q4154" s="28">
        <f t="shared" si="68"/>
        <v>3.5548184716220559E-2</v>
      </c>
      <c r="R4154" s="31">
        <v>0.15939660775771733</v>
      </c>
      <c r="S4154" s="32">
        <v>4.8049999999999995E-2</v>
      </c>
    </row>
    <row r="4155" spans="16:19" x14ac:dyDescent="0.25">
      <c r="P4155" s="27">
        <v>3.2548184716220556E-2</v>
      </c>
      <c r="Q4155" s="28">
        <f t="shared" si="68"/>
        <v>3.5548184716220559E-2</v>
      </c>
      <c r="R4155" s="29">
        <v>0.15003660775771735</v>
      </c>
      <c r="S4155" s="30">
        <v>4.3209999999999998E-2</v>
      </c>
    </row>
    <row r="4156" spans="16:19" x14ac:dyDescent="0.25">
      <c r="P4156" s="27">
        <v>3.2548184716220556E-2</v>
      </c>
      <c r="Q4156" s="28">
        <f t="shared" si="68"/>
        <v>3.5548184716220559E-2</v>
      </c>
      <c r="R4156" s="29">
        <v>0.15003660775771735</v>
      </c>
      <c r="S4156" s="30">
        <v>3.7859999999999998E-2</v>
      </c>
    </row>
    <row r="4157" spans="16:19" x14ac:dyDescent="0.25">
      <c r="P4157" s="27">
        <v>3.2548184716220556E-2</v>
      </c>
      <c r="Q4157" s="28">
        <f t="shared" si="68"/>
        <v>3.5548184716220559E-2</v>
      </c>
      <c r="R4157" s="29">
        <v>0.15003660775771735</v>
      </c>
      <c r="S4157" s="30">
        <v>3.6799999999999999E-2</v>
      </c>
    </row>
    <row r="4158" spans="16:19" x14ac:dyDescent="0.25">
      <c r="P4158" s="27">
        <v>3.2548184716220556E-2</v>
      </c>
      <c r="Q4158" s="28">
        <f t="shared" si="68"/>
        <v>3.5548184716220559E-2</v>
      </c>
      <c r="R4158" s="29">
        <v>0.15003660775771735</v>
      </c>
      <c r="S4158" s="30">
        <v>3.6406449E-2</v>
      </c>
    </row>
    <row r="4159" spans="16:19" x14ac:dyDescent="0.25">
      <c r="P4159" s="27">
        <v>3.2548184716220556E-2</v>
      </c>
      <c r="Q4159" s="28">
        <f t="shared" si="68"/>
        <v>3.5548184716220559E-2</v>
      </c>
      <c r="R4159" s="29">
        <v>0.15003660775771735</v>
      </c>
      <c r="S4159" s="30">
        <v>3.6799999999999999E-2</v>
      </c>
    </row>
    <row r="4160" spans="16:19" x14ac:dyDescent="0.25">
      <c r="P4160" s="27">
        <v>3.2548184716220556E-2</v>
      </c>
      <c r="Q4160" s="28">
        <f t="shared" si="68"/>
        <v>3.5548184716220559E-2</v>
      </c>
      <c r="R4160" s="29">
        <v>0.15003660775771735</v>
      </c>
      <c r="S4160" s="30">
        <v>3.7859999999999998E-2</v>
      </c>
    </row>
    <row r="4161" spans="16:19" x14ac:dyDescent="0.25">
      <c r="P4161" s="27">
        <v>3.2548184716220556E-2</v>
      </c>
      <c r="Q4161" s="28">
        <f t="shared" si="68"/>
        <v>3.5548184716220559E-2</v>
      </c>
      <c r="R4161" s="29">
        <v>0.15003660775771735</v>
      </c>
      <c r="S4161" s="30">
        <v>4.6210000000000001E-2</v>
      </c>
    </row>
    <row r="4162" spans="16:19" x14ac:dyDescent="0.25">
      <c r="P4162" s="27">
        <v>3.2548184716220556E-2</v>
      </c>
      <c r="Q4162" s="28">
        <f t="shared" si="68"/>
        <v>3.5548184716220559E-2</v>
      </c>
      <c r="R4162" s="29">
        <v>0.15003660775771735</v>
      </c>
      <c r="S4162" s="30">
        <v>4.999E-2</v>
      </c>
    </row>
    <row r="4163" spans="16:19" x14ac:dyDescent="0.25">
      <c r="P4163" s="27">
        <v>3.2548184716220556E-2</v>
      </c>
      <c r="Q4163" s="28">
        <f t="shared" si="68"/>
        <v>3.5548184716220559E-2</v>
      </c>
      <c r="R4163" s="31">
        <v>0.15939999999999999</v>
      </c>
      <c r="S4163" s="32">
        <v>5.8799999999999998E-2</v>
      </c>
    </row>
    <row r="4164" spans="16:19" x14ac:dyDescent="0.25">
      <c r="P4164" s="27">
        <v>3.2548184716220556E-2</v>
      </c>
      <c r="Q4164" s="28">
        <f t="shared" si="68"/>
        <v>3.5548184716220559E-2</v>
      </c>
      <c r="R4164" s="31">
        <v>0.15939999999999999</v>
      </c>
      <c r="S4164" s="32">
        <v>5.9700000000000003E-2</v>
      </c>
    </row>
    <row r="4165" spans="16:19" x14ac:dyDescent="0.25">
      <c r="P4165" s="27">
        <v>3.2548184716220556E-2</v>
      </c>
      <c r="Q4165" s="28">
        <f t="shared" ref="Q4165:Q4228" si="69">P4165+0.003</f>
        <v>3.5548184716220559E-2</v>
      </c>
      <c r="R4165" s="31">
        <v>0.15939999999999999</v>
      </c>
      <c r="S4165" s="32">
        <v>5.246E-2</v>
      </c>
    </row>
    <row r="4166" spans="16:19" x14ac:dyDescent="0.25">
      <c r="P4166" s="27">
        <v>3.2548184716220556E-2</v>
      </c>
      <c r="Q4166" s="28">
        <f t="shared" si="69"/>
        <v>3.5548184716220559E-2</v>
      </c>
      <c r="R4166" s="31">
        <v>0.15939999999999999</v>
      </c>
      <c r="S4166" s="32">
        <v>4.9500000000000002E-2</v>
      </c>
    </row>
    <row r="4167" spans="16:19" x14ac:dyDescent="0.25">
      <c r="P4167" s="27">
        <v>3.2548184716220556E-2</v>
      </c>
      <c r="Q4167" s="28">
        <f t="shared" si="69"/>
        <v>3.5548184716220559E-2</v>
      </c>
      <c r="R4167" s="31">
        <v>0.15939999999999999</v>
      </c>
      <c r="S4167" s="32">
        <v>4.3799999999999999E-2</v>
      </c>
    </row>
    <row r="4168" spans="16:19" x14ac:dyDescent="0.25">
      <c r="P4168" s="27">
        <v>3.2548184716220556E-2</v>
      </c>
      <c r="Q4168" s="28">
        <f t="shared" si="69"/>
        <v>3.5548184716220559E-2</v>
      </c>
      <c r="R4168" s="31">
        <v>0.15939999999999999</v>
      </c>
      <c r="S4168" s="32">
        <v>4.3499999999999997E-2</v>
      </c>
    </row>
    <row r="4169" spans="16:19" x14ac:dyDescent="0.25">
      <c r="P4169" s="27">
        <v>3.2548184716220556E-2</v>
      </c>
      <c r="Q4169" s="28">
        <f t="shared" si="69"/>
        <v>3.5548184716220559E-2</v>
      </c>
      <c r="R4169" s="31">
        <v>0.15939999999999999</v>
      </c>
      <c r="S4169" s="32">
        <v>4.7489297E-2</v>
      </c>
    </row>
    <row r="4170" spans="16:19" x14ac:dyDescent="0.25">
      <c r="P4170" s="27">
        <v>3.2548184716220556E-2</v>
      </c>
      <c r="Q4170" s="28">
        <f t="shared" si="69"/>
        <v>3.5548184716220559E-2</v>
      </c>
      <c r="R4170" s="31">
        <v>0.15939999999999999</v>
      </c>
      <c r="S4170" s="32">
        <v>5.3179999999999998E-2</v>
      </c>
    </row>
    <row r="4171" spans="16:19" x14ac:dyDescent="0.25">
      <c r="P4171" s="27">
        <v>3.2548184716220556E-2</v>
      </c>
      <c r="Q4171" s="28">
        <f t="shared" si="69"/>
        <v>3.5548184716220559E-2</v>
      </c>
      <c r="R4171" s="31">
        <v>0.15939999999999999</v>
      </c>
      <c r="S4171" s="32">
        <v>5.3460000000000001E-2</v>
      </c>
    </row>
    <row r="4172" spans="16:19" x14ac:dyDescent="0.25">
      <c r="P4172" s="27">
        <v>3.2548184716220556E-2</v>
      </c>
      <c r="Q4172" s="28">
        <f t="shared" si="69"/>
        <v>3.5548184716220559E-2</v>
      </c>
      <c r="R4172" s="31">
        <v>0.15939999999999999</v>
      </c>
      <c r="S4172" s="32">
        <v>5.0999999999999997E-2</v>
      </c>
    </row>
    <row r="4173" spans="16:19" x14ac:dyDescent="0.25">
      <c r="P4173" s="27">
        <v>3.2548184716220556E-2</v>
      </c>
      <c r="Q4173" s="28">
        <f t="shared" si="69"/>
        <v>3.5548184716220559E-2</v>
      </c>
      <c r="R4173" s="31">
        <v>0.15939999999999999</v>
      </c>
      <c r="S4173" s="32">
        <v>5.0639999999999998E-2</v>
      </c>
    </row>
    <row r="4174" spans="16:19" x14ac:dyDescent="0.25">
      <c r="P4174" s="27">
        <v>3.2548184716220556E-2</v>
      </c>
      <c r="Q4174" s="28">
        <f t="shared" si="69"/>
        <v>3.5548184716220559E-2</v>
      </c>
      <c r="R4174" s="31">
        <v>0.15939999999999999</v>
      </c>
      <c r="S4174" s="32">
        <v>5.2429999999999997E-2</v>
      </c>
    </row>
    <row r="4175" spans="16:19" x14ac:dyDescent="0.25">
      <c r="P4175" s="27">
        <v>3.2548184716220556E-2</v>
      </c>
      <c r="Q4175" s="28">
        <f t="shared" si="69"/>
        <v>3.5548184716220559E-2</v>
      </c>
      <c r="R4175" s="31">
        <v>0.15939999999999999</v>
      </c>
      <c r="S4175" s="32">
        <v>5.4709818E-2</v>
      </c>
    </row>
    <row r="4176" spans="16:19" x14ac:dyDescent="0.25">
      <c r="P4176" s="27">
        <v>3.2548184716220556E-2</v>
      </c>
      <c r="Q4176" s="28">
        <f t="shared" si="69"/>
        <v>3.5548184716220559E-2</v>
      </c>
      <c r="R4176" s="31">
        <v>0.15939999999999999</v>
      </c>
      <c r="S4176" s="32">
        <v>5.7750000000000003E-2</v>
      </c>
    </row>
    <row r="4177" spans="16:19" x14ac:dyDescent="0.25">
      <c r="P4177" s="27">
        <v>3.2548184716220556E-2</v>
      </c>
      <c r="Q4177" s="28">
        <f t="shared" si="69"/>
        <v>3.5548184716220559E-2</v>
      </c>
      <c r="R4177" s="31">
        <v>0.15939999999999999</v>
      </c>
      <c r="S4177" s="32">
        <v>5.0999999999999997E-2</v>
      </c>
    </row>
    <row r="4178" spans="16:19" x14ac:dyDescent="0.25">
      <c r="P4178" s="27">
        <v>3.2548184716220556E-2</v>
      </c>
      <c r="Q4178" s="28">
        <f t="shared" si="69"/>
        <v>3.5548184716220559E-2</v>
      </c>
      <c r="R4178" s="31">
        <v>0.15939999999999999</v>
      </c>
      <c r="S4178" s="32">
        <v>4.5759999999999995E-2</v>
      </c>
    </row>
    <row r="4179" spans="16:19" x14ac:dyDescent="0.25">
      <c r="P4179" s="27">
        <v>3.2548184716220556E-2</v>
      </c>
      <c r="Q4179" s="28">
        <f t="shared" si="69"/>
        <v>3.5548184716220559E-2</v>
      </c>
      <c r="R4179" s="29">
        <v>0.15</v>
      </c>
      <c r="S4179" s="30">
        <v>4.0049999999999995E-2</v>
      </c>
    </row>
    <row r="4180" spans="16:19" x14ac:dyDescent="0.25">
      <c r="P4180" s="27">
        <v>3.2548184716220556E-2</v>
      </c>
      <c r="Q4180" s="28">
        <f t="shared" si="69"/>
        <v>3.5548184716220559E-2</v>
      </c>
      <c r="R4180" s="29">
        <v>0.15</v>
      </c>
      <c r="S4180" s="30">
        <v>3.7859999999999998E-2</v>
      </c>
    </row>
    <row r="4181" spans="16:19" x14ac:dyDescent="0.25">
      <c r="P4181" s="27">
        <v>3.2548184716220556E-2</v>
      </c>
      <c r="Q4181" s="28">
        <f t="shared" si="69"/>
        <v>3.5548184716220559E-2</v>
      </c>
      <c r="R4181" s="29">
        <v>0.15</v>
      </c>
      <c r="S4181" s="30">
        <v>3.6799999999999999E-2</v>
      </c>
    </row>
    <row r="4182" spans="16:19" x14ac:dyDescent="0.25">
      <c r="P4182" s="27">
        <v>3.2548184716220556E-2</v>
      </c>
      <c r="Q4182" s="28">
        <f t="shared" si="69"/>
        <v>3.5548184716220559E-2</v>
      </c>
      <c r="R4182" s="29">
        <v>0.15</v>
      </c>
      <c r="S4182" s="30">
        <v>3.5892479000000005E-2</v>
      </c>
    </row>
    <row r="4183" spans="16:19" x14ac:dyDescent="0.25">
      <c r="P4183" s="27">
        <v>3.2548184716220556E-2</v>
      </c>
      <c r="Q4183" s="28">
        <f t="shared" si="69"/>
        <v>3.5548184716220559E-2</v>
      </c>
      <c r="R4183" s="29">
        <v>0.15</v>
      </c>
      <c r="S4183" s="30">
        <v>3.5060000000000001E-2</v>
      </c>
    </row>
    <row r="4184" spans="16:19" x14ac:dyDescent="0.25">
      <c r="P4184" s="27">
        <v>3.2548184716220556E-2</v>
      </c>
      <c r="Q4184" s="28">
        <f t="shared" si="69"/>
        <v>3.5548184716220559E-2</v>
      </c>
      <c r="R4184" s="29">
        <v>0.15</v>
      </c>
      <c r="S4184" s="30">
        <v>3.5000000000000003E-2</v>
      </c>
    </row>
    <row r="4185" spans="16:19" x14ac:dyDescent="0.25">
      <c r="P4185" s="27">
        <v>3.2548184716220556E-2</v>
      </c>
      <c r="Q4185" s="28">
        <f t="shared" si="69"/>
        <v>3.5548184716220559E-2</v>
      </c>
      <c r="R4185" s="29">
        <v>0.15</v>
      </c>
      <c r="S4185" s="30">
        <v>3.9E-2</v>
      </c>
    </row>
    <row r="4186" spans="16:19" x14ac:dyDescent="0.25">
      <c r="P4186" s="27">
        <v>3.2548184716220556E-2</v>
      </c>
      <c r="Q4186" s="28">
        <f t="shared" si="69"/>
        <v>3.5548184716220559E-2</v>
      </c>
      <c r="R4186" s="29">
        <v>0.15</v>
      </c>
      <c r="S4186" s="30">
        <v>4.7579999999999997E-2</v>
      </c>
    </row>
    <row r="4187" spans="16:19" x14ac:dyDescent="0.25">
      <c r="P4187" s="27">
        <v>3.2548184716220556E-2</v>
      </c>
      <c r="Q4187" s="28">
        <f t="shared" si="69"/>
        <v>3.5548184716220559E-2</v>
      </c>
      <c r="R4187" s="29">
        <v>0.15</v>
      </c>
      <c r="S4187" s="30">
        <v>5.3999999999999999E-2</v>
      </c>
    </row>
    <row r="4188" spans="16:19" x14ac:dyDescent="0.25">
      <c r="P4188" s="27">
        <v>3.2548184716220556E-2</v>
      </c>
      <c r="Q4188" s="28">
        <f t="shared" si="69"/>
        <v>3.5548184716220559E-2</v>
      </c>
      <c r="R4188" s="29">
        <v>0.15</v>
      </c>
      <c r="S4188" s="30">
        <v>5.2700000000000004E-2</v>
      </c>
    </row>
    <row r="4189" spans="16:19" x14ac:dyDescent="0.25">
      <c r="P4189" s="27">
        <v>3.2548184716220556E-2</v>
      </c>
      <c r="Q4189" s="28">
        <f t="shared" si="69"/>
        <v>3.5548184716220559E-2</v>
      </c>
      <c r="R4189" s="29">
        <v>0.15</v>
      </c>
      <c r="S4189" s="30">
        <v>4.8000000000000001E-2</v>
      </c>
    </row>
    <row r="4190" spans="16:19" x14ac:dyDescent="0.25">
      <c r="P4190" s="27">
        <v>3.2548184716220556E-2</v>
      </c>
      <c r="Q4190" s="28">
        <f t="shared" si="69"/>
        <v>3.5548184716220559E-2</v>
      </c>
      <c r="R4190" s="29">
        <v>0.15</v>
      </c>
      <c r="S4190" s="30">
        <v>4.8157319999999997E-2</v>
      </c>
    </row>
    <row r="4191" spans="16:19" x14ac:dyDescent="0.25">
      <c r="P4191" s="27">
        <v>3.2548184716220556E-2</v>
      </c>
      <c r="Q4191" s="28">
        <f t="shared" si="69"/>
        <v>3.5548184716220559E-2</v>
      </c>
      <c r="R4191" s="29">
        <v>0.15</v>
      </c>
      <c r="S4191" s="30">
        <v>4.3990000000000001E-2</v>
      </c>
    </row>
    <row r="4192" spans="16:19" x14ac:dyDescent="0.25">
      <c r="P4192" s="27">
        <v>3.2548184716220556E-2</v>
      </c>
      <c r="Q4192" s="28">
        <f t="shared" si="69"/>
        <v>3.5548184716220559E-2</v>
      </c>
      <c r="R4192" s="29">
        <v>0.15</v>
      </c>
      <c r="S4192" s="30">
        <v>4.3499999999999997E-2</v>
      </c>
    </row>
    <row r="4193" spans="16:19" x14ac:dyDescent="0.25">
      <c r="P4193" s="27">
        <v>3.2548184716220556E-2</v>
      </c>
      <c r="Q4193" s="28">
        <f t="shared" si="69"/>
        <v>3.5548184716220559E-2</v>
      </c>
      <c r="R4193" s="29">
        <v>0.15</v>
      </c>
      <c r="S4193" s="30">
        <v>4.5999999999999999E-2</v>
      </c>
    </row>
    <row r="4194" spans="16:19" x14ac:dyDescent="0.25">
      <c r="P4194" s="27">
        <v>3.2548184716220556E-2</v>
      </c>
      <c r="Q4194" s="28">
        <f t="shared" si="69"/>
        <v>3.5548184716220559E-2</v>
      </c>
      <c r="R4194" s="29">
        <v>0.15</v>
      </c>
      <c r="S4194" s="30">
        <v>4.8703138E-2</v>
      </c>
    </row>
    <row r="4195" spans="16:19" x14ac:dyDescent="0.25">
      <c r="P4195" s="27">
        <v>3.2548184716220556E-2</v>
      </c>
      <c r="Q4195" s="28">
        <f t="shared" si="69"/>
        <v>3.5548184716220559E-2</v>
      </c>
      <c r="R4195" s="29">
        <v>0.15</v>
      </c>
      <c r="S4195" s="30">
        <v>5.0999999999999997E-2</v>
      </c>
    </row>
    <row r="4196" spans="16:19" x14ac:dyDescent="0.25">
      <c r="P4196" s="27">
        <v>3.2548184716220556E-2</v>
      </c>
      <c r="Q4196" s="28">
        <f t="shared" si="69"/>
        <v>3.5548184716220559E-2</v>
      </c>
      <c r="R4196" s="29">
        <v>0.15</v>
      </c>
      <c r="S4196" s="30">
        <v>5.083E-2</v>
      </c>
    </row>
    <row r="4197" spans="16:19" x14ac:dyDescent="0.25">
      <c r="P4197" s="27">
        <v>3.2548184716220556E-2</v>
      </c>
      <c r="Q4197" s="28">
        <f t="shared" si="69"/>
        <v>3.5548184716220559E-2</v>
      </c>
      <c r="R4197" s="29">
        <v>0.15</v>
      </c>
      <c r="S4197" s="30">
        <v>4.999E-2</v>
      </c>
    </row>
    <row r="4198" spans="16:19" x14ac:dyDescent="0.25">
      <c r="P4198" s="27">
        <v>3.2548184716220556E-2</v>
      </c>
      <c r="Q4198" s="28">
        <f t="shared" si="69"/>
        <v>3.5548184716220559E-2</v>
      </c>
      <c r="R4198" s="29">
        <v>0.15</v>
      </c>
      <c r="S4198" s="30">
        <v>0.05</v>
      </c>
    </row>
    <row r="4199" spans="16:19" x14ac:dyDescent="0.25">
      <c r="P4199" s="27">
        <v>3.2548184716220556E-2</v>
      </c>
      <c r="Q4199" s="28">
        <f t="shared" si="69"/>
        <v>3.5548184716220559E-2</v>
      </c>
      <c r="R4199" s="29">
        <v>0.15</v>
      </c>
      <c r="S4199" s="30">
        <v>5.0999999999999997E-2</v>
      </c>
    </row>
    <row r="4200" spans="16:19" x14ac:dyDescent="0.25">
      <c r="P4200" s="27">
        <v>3.2548184716220556E-2</v>
      </c>
      <c r="Q4200" s="28">
        <f t="shared" si="69"/>
        <v>3.5548184716220559E-2</v>
      </c>
      <c r="R4200" s="29">
        <v>0.15</v>
      </c>
      <c r="S4200" s="30">
        <v>5.2999999999999999E-2</v>
      </c>
    </row>
    <row r="4201" spans="16:19" x14ac:dyDescent="0.25">
      <c r="P4201" s="27">
        <v>3.2548184716220556E-2</v>
      </c>
      <c r="Q4201" s="28">
        <f t="shared" si="69"/>
        <v>3.5548184716220559E-2</v>
      </c>
      <c r="R4201" s="29">
        <v>0.15</v>
      </c>
      <c r="S4201" s="30">
        <v>4.9440314999999999E-2</v>
      </c>
    </row>
    <row r="4202" spans="16:19" x14ac:dyDescent="0.25">
      <c r="P4202" s="27">
        <v>3.2548184716220556E-2</v>
      </c>
      <c r="Q4202" s="28">
        <f t="shared" si="69"/>
        <v>3.5548184716220559E-2</v>
      </c>
      <c r="R4202" s="29">
        <v>0.15</v>
      </c>
      <c r="S4202" s="30">
        <v>4.5530000000000001E-2</v>
      </c>
    </row>
    <row r="4203" spans="16:19" x14ac:dyDescent="0.25">
      <c r="P4203" s="27">
        <v>3.2548184716220556E-2</v>
      </c>
      <c r="Q4203" s="28">
        <f t="shared" si="69"/>
        <v>3.5548184716220559E-2</v>
      </c>
      <c r="R4203" s="29">
        <v>0.15</v>
      </c>
      <c r="S4203" s="30">
        <v>3.6799999999999999E-2</v>
      </c>
    </row>
    <row r="4204" spans="16:19" x14ac:dyDescent="0.25">
      <c r="P4204" s="27">
        <v>3.2548184716220556E-2</v>
      </c>
      <c r="Q4204" s="28">
        <f t="shared" si="69"/>
        <v>3.5548184716220559E-2</v>
      </c>
      <c r="R4204" s="29">
        <v>0.15</v>
      </c>
      <c r="S4204" s="30">
        <v>3.7859999999999998E-2</v>
      </c>
    </row>
    <row r="4205" spans="16:19" x14ac:dyDescent="0.25">
      <c r="P4205" s="27">
        <v>3.2548184716220556E-2</v>
      </c>
      <c r="Q4205" s="28">
        <f t="shared" si="69"/>
        <v>3.5548184716220559E-2</v>
      </c>
      <c r="R4205" s="29">
        <v>0.15</v>
      </c>
      <c r="S4205" s="30">
        <v>3.6795120000000001E-2</v>
      </c>
    </row>
    <row r="4206" spans="16:19" x14ac:dyDescent="0.25">
      <c r="P4206" s="27">
        <v>3.2548184716220556E-2</v>
      </c>
      <c r="Q4206" s="28">
        <f t="shared" si="69"/>
        <v>3.5548184716220559E-2</v>
      </c>
      <c r="R4206" s="29">
        <v>0.15</v>
      </c>
      <c r="S4206" s="30">
        <v>3.6289999999999996E-2</v>
      </c>
    </row>
    <row r="4207" spans="16:19" x14ac:dyDescent="0.25">
      <c r="P4207" s="27">
        <v>3.2548184716220556E-2</v>
      </c>
      <c r="Q4207" s="28">
        <f t="shared" si="69"/>
        <v>3.5548184716220559E-2</v>
      </c>
      <c r="R4207" s="29">
        <v>0.15</v>
      </c>
      <c r="S4207" s="30">
        <v>3.5590179E-2</v>
      </c>
    </row>
    <row r="4208" spans="16:19" x14ac:dyDescent="0.25">
      <c r="P4208" s="27">
        <v>3.2548184716220556E-2</v>
      </c>
      <c r="Q4208" s="28">
        <f t="shared" si="69"/>
        <v>3.5548184716220559E-2</v>
      </c>
      <c r="R4208" s="29">
        <v>0.15</v>
      </c>
      <c r="S4208" s="30">
        <v>3.4909999999999997E-2</v>
      </c>
    </row>
    <row r="4209" spans="16:19" x14ac:dyDescent="0.25">
      <c r="P4209" s="27">
        <v>3.2548184716220556E-2</v>
      </c>
      <c r="Q4209" s="28">
        <f t="shared" si="69"/>
        <v>3.5548184716220559E-2</v>
      </c>
      <c r="R4209" s="29">
        <v>0.15</v>
      </c>
      <c r="S4209" s="30">
        <v>3.9200000000000006E-2</v>
      </c>
    </row>
    <row r="4210" spans="16:19" x14ac:dyDescent="0.25">
      <c r="P4210" s="27">
        <v>3.2548184716220556E-2</v>
      </c>
      <c r="Q4210" s="28">
        <f t="shared" si="69"/>
        <v>3.5548184716220559E-2</v>
      </c>
      <c r="R4210" s="29">
        <v>0.15</v>
      </c>
      <c r="S4210" s="30">
        <v>4.8409999999999995E-2</v>
      </c>
    </row>
    <row r="4211" spans="16:19" x14ac:dyDescent="0.25">
      <c r="P4211" s="27">
        <v>3.2548184716220556E-2</v>
      </c>
      <c r="Q4211" s="28">
        <f t="shared" si="69"/>
        <v>3.5548184716220559E-2</v>
      </c>
      <c r="R4211" s="31">
        <v>0.15939660775771733</v>
      </c>
      <c r="S4211" s="32">
        <v>6.2E-2</v>
      </c>
    </row>
    <row r="4212" spans="16:19" x14ac:dyDescent="0.25">
      <c r="P4212" s="27">
        <v>3.2548184716220556E-2</v>
      </c>
      <c r="Q4212" s="28">
        <f t="shared" si="69"/>
        <v>3.5548184716220559E-2</v>
      </c>
      <c r="R4212" s="33">
        <v>0.16282860775771735</v>
      </c>
      <c r="S4212" s="34">
        <v>6.5129999999999993E-2</v>
      </c>
    </row>
    <row r="4213" spans="16:19" x14ac:dyDescent="0.25">
      <c r="P4213" s="27">
        <v>3.2548184716220556E-2</v>
      </c>
      <c r="Q4213" s="28">
        <f t="shared" si="69"/>
        <v>3.5548184716220559E-2</v>
      </c>
      <c r="R4213" s="33">
        <v>0.16282860775771735</v>
      </c>
      <c r="S4213" s="34">
        <v>5.5946857000000003E-2</v>
      </c>
    </row>
    <row r="4214" spans="16:19" x14ac:dyDescent="0.25">
      <c r="P4214" s="27">
        <v>3.2548184716220556E-2</v>
      </c>
      <c r="Q4214" s="28">
        <f t="shared" si="69"/>
        <v>3.5548184716220559E-2</v>
      </c>
      <c r="R4214" s="33">
        <v>0.16282860775771735</v>
      </c>
      <c r="S4214" s="34">
        <v>6.2377425E-2</v>
      </c>
    </row>
    <row r="4215" spans="16:19" x14ac:dyDescent="0.25">
      <c r="P4215" s="27">
        <v>3.2548184716220556E-2</v>
      </c>
      <c r="Q4215" s="28">
        <f t="shared" si="69"/>
        <v>3.5548184716220559E-2</v>
      </c>
      <c r="R4215" s="33">
        <v>0.16282860775771735</v>
      </c>
      <c r="S4215" s="34">
        <v>4.999E-2</v>
      </c>
    </row>
    <row r="4216" spans="16:19" x14ac:dyDescent="0.25">
      <c r="P4216" s="27">
        <v>3.2548184716220556E-2</v>
      </c>
      <c r="Q4216" s="28">
        <f t="shared" si="69"/>
        <v>3.5548184716220559E-2</v>
      </c>
      <c r="R4216" s="33">
        <v>0.16282860775771735</v>
      </c>
      <c r="S4216" s="34">
        <v>4.8009999999999997E-2</v>
      </c>
    </row>
    <row r="4217" spans="16:19" x14ac:dyDescent="0.25">
      <c r="P4217" s="27">
        <v>3.2548184716220556E-2</v>
      </c>
      <c r="Q4217" s="28">
        <f t="shared" si="69"/>
        <v>3.5548184716220559E-2</v>
      </c>
      <c r="R4217" s="33">
        <v>0.16282860775771735</v>
      </c>
      <c r="S4217" s="34">
        <v>5.2229999999999999E-2</v>
      </c>
    </row>
    <row r="4218" spans="16:19" x14ac:dyDescent="0.25">
      <c r="P4218" s="27">
        <v>3.2548184716220556E-2</v>
      </c>
      <c r="Q4218" s="28">
        <f t="shared" si="69"/>
        <v>3.5548184716220559E-2</v>
      </c>
      <c r="R4218" s="33">
        <v>0.16282860775771735</v>
      </c>
      <c r="S4218" s="34">
        <v>5.2999999999999999E-2</v>
      </c>
    </row>
    <row r="4219" spans="16:19" x14ac:dyDescent="0.25">
      <c r="P4219" s="27">
        <v>3.2548184716220556E-2</v>
      </c>
      <c r="Q4219" s="28">
        <f t="shared" si="69"/>
        <v>3.5548184716220559E-2</v>
      </c>
      <c r="R4219" s="33">
        <v>0.16282860775771735</v>
      </c>
      <c r="S4219" s="34">
        <v>5.1999999999999998E-2</v>
      </c>
    </row>
    <row r="4220" spans="16:19" x14ac:dyDescent="0.25">
      <c r="P4220" s="27">
        <v>3.2548184716220556E-2</v>
      </c>
      <c r="Q4220" s="28">
        <f t="shared" si="69"/>
        <v>3.5548184716220559E-2</v>
      </c>
      <c r="R4220" s="33">
        <v>0.16282860775771735</v>
      </c>
      <c r="S4220" s="34">
        <v>4.9700000000000001E-2</v>
      </c>
    </row>
    <row r="4221" spans="16:19" x14ac:dyDescent="0.25">
      <c r="P4221" s="27">
        <v>3.2548184716220556E-2</v>
      </c>
      <c r="Q4221" s="28">
        <f t="shared" si="69"/>
        <v>3.5548184716220559E-2</v>
      </c>
      <c r="R4221" s="33">
        <v>0.16282860775771735</v>
      </c>
      <c r="S4221" s="34">
        <v>4.9390000000000003E-2</v>
      </c>
    </row>
    <row r="4222" spans="16:19" x14ac:dyDescent="0.25">
      <c r="P4222" s="27">
        <v>3.2548184716220556E-2</v>
      </c>
      <c r="Q4222" s="28">
        <f t="shared" si="69"/>
        <v>3.5548184716220559E-2</v>
      </c>
      <c r="R4222" s="33">
        <v>0.16282860775771735</v>
      </c>
      <c r="S4222" s="34">
        <v>4.999E-2</v>
      </c>
    </row>
    <row r="4223" spans="16:19" x14ac:dyDescent="0.25">
      <c r="P4223" s="27">
        <v>3.2548184716220556E-2</v>
      </c>
      <c r="Q4223" s="28">
        <f t="shared" si="69"/>
        <v>3.5548184716220559E-2</v>
      </c>
      <c r="R4223" s="31">
        <v>0.15939660775771733</v>
      </c>
      <c r="S4223" s="32">
        <v>5.0029999999999998E-2</v>
      </c>
    </row>
    <row r="4224" spans="16:19" x14ac:dyDescent="0.25">
      <c r="P4224" s="27">
        <v>3.2548184716220556E-2</v>
      </c>
      <c r="Q4224" s="28">
        <f t="shared" si="69"/>
        <v>3.5548184716220559E-2</v>
      </c>
      <c r="R4224" s="31">
        <v>0.15939660775771733</v>
      </c>
      <c r="S4224" s="32">
        <v>5.1999999999999998E-2</v>
      </c>
    </row>
    <row r="4225" spans="16:19" x14ac:dyDescent="0.25">
      <c r="P4225" s="27">
        <v>3.2548184716220556E-2</v>
      </c>
      <c r="Q4225" s="28">
        <f t="shared" si="69"/>
        <v>3.5548184716220559E-2</v>
      </c>
      <c r="R4225" s="31">
        <v>0.15939660775771733</v>
      </c>
      <c r="S4225" s="32">
        <v>4.8000000000000001E-2</v>
      </c>
    </row>
    <row r="4226" spans="16:19" x14ac:dyDescent="0.25">
      <c r="P4226" s="27">
        <v>3.2548184716220556E-2</v>
      </c>
      <c r="Q4226" s="28">
        <f t="shared" si="69"/>
        <v>3.5548184716220559E-2</v>
      </c>
      <c r="R4226" s="31">
        <v>0.15939660775771733</v>
      </c>
      <c r="S4226" s="32">
        <v>4.4990000000000002E-2</v>
      </c>
    </row>
    <row r="4227" spans="16:19" x14ac:dyDescent="0.25">
      <c r="P4227" s="27">
        <v>3.2548184716220556E-2</v>
      </c>
      <c r="Q4227" s="28">
        <f t="shared" si="69"/>
        <v>3.5548184716220559E-2</v>
      </c>
      <c r="R4227" s="29">
        <v>0.15003660775771735</v>
      </c>
      <c r="S4227" s="30">
        <v>3.7859999999999998E-2</v>
      </c>
    </row>
    <row r="4228" spans="16:19" x14ac:dyDescent="0.25">
      <c r="P4228" s="27">
        <v>3.2548184716220556E-2</v>
      </c>
      <c r="Q4228" s="28">
        <f t="shared" si="69"/>
        <v>3.5548184716220559E-2</v>
      </c>
      <c r="R4228" s="29">
        <v>0.15003660775771735</v>
      </c>
      <c r="S4228" s="30">
        <v>3.6799999999999999E-2</v>
      </c>
    </row>
    <row r="4229" spans="16:19" x14ac:dyDescent="0.25">
      <c r="P4229" s="27">
        <v>3.2548184716220556E-2</v>
      </c>
      <c r="Q4229" s="28">
        <f t="shared" ref="Q4229:Q4292" si="70">P4229+0.003</f>
        <v>3.5548184716220559E-2</v>
      </c>
      <c r="R4229" s="29">
        <v>0.15003660775771735</v>
      </c>
      <c r="S4229" s="30">
        <v>3.4090000000000002E-2</v>
      </c>
    </row>
    <row r="4230" spans="16:19" x14ac:dyDescent="0.25">
      <c r="P4230" s="27">
        <v>3.2548184716220556E-2</v>
      </c>
      <c r="Q4230" s="28">
        <f t="shared" si="70"/>
        <v>3.5548184716220559E-2</v>
      </c>
      <c r="R4230" s="29">
        <v>0.15003660775771735</v>
      </c>
      <c r="S4230" s="30">
        <v>3.4110000000000001E-2</v>
      </c>
    </row>
    <row r="4231" spans="16:19" x14ac:dyDescent="0.25">
      <c r="P4231" s="27">
        <v>3.2548184716220556E-2</v>
      </c>
      <c r="Q4231" s="28">
        <f t="shared" si="70"/>
        <v>3.5548184716220559E-2</v>
      </c>
      <c r="R4231" s="29">
        <v>0.15003660775771735</v>
      </c>
      <c r="S4231" s="30">
        <v>3.5249999999999997E-2</v>
      </c>
    </row>
    <row r="4232" spans="16:19" x14ac:dyDescent="0.25">
      <c r="P4232" s="27">
        <v>3.2548184716220556E-2</v>
      </c>
      <c r="Q4232" s="28">
        <f t="shared" si="70"/>
        <v>3.5548184716220559E-2</v>
      </c>
      <c r="R4232" s="29">
        <v>0.15003660775771735</v>
      </c>
      <c r="S4232" s="30">
        <v>3.5000000000000003E-2</v>
      </c>
    </row>
    <row r="4233" spans="16:19" x14ac:dyDescent="0.25">
      <c r="P4233" s="27">
        <v>3.2548184716220556E-2</v>
      </c>
      <c r="Q4233" s="28">
        <f t="shared" si="70"/>
        <v>3.5548184716220559E-2</v>
      </c>
      <c r="R4233" s="29">
        <v>0.15003660775771735</v>
      </c>
      <c r="S4233" s="30">
        <v>4.1159999999999995E-2</v>
      </c>
    </row>
    <row r="4234" spans="16:19" x14ac:dyDescent="0.25">
      <c r="P4234" s="27">
        <v>3.2548184716220556E-2</v>
      </c>
      <c r="Q4234" s="28">
        <f t="shared" si="70"/>
        <v>3.5548184716220559E-2</v>
      </c>
      <c r="R4234" s="29">
        <v>0.15003660775771735</v>
      </c>
      <c r="S4234" s="30">
        <v>4.999E-2</v>
      </c>
    </row>
    <row r="4235" spans="16:19" x14ac:dyDescent="0.25">
      <c r="P4235" s="27">
        <v>3.2548184716220556E-2</v>
      </c>
      <c r="Q4235" s="28">
        <f t="shared" si="70"/>
        <v>3.5548184716220559E-2</v>
      </c>
      <c r="R4235" s="31">
        <v>0.15939660775771733</v>
      </c>
      <c r="S4235" s="32">
        <v>6.5000000000000002E-2</v>
      </c>
    </row>
    <row r="4236" spans="16:19" x14ac:dyDescent="0.25">
      <c r="P4236" s="27">
        <v>3.2548184716220556E-2</v>
      </c>
      <c r="Q4236" s="28">
        <f t="shared" si="70"/>
        <v>3.5548184716220559E-2</v>
      </c>
      <c r="R4236" s="33">
        <v>0.16282860775771735</v>
      </c>
      <c r="S4236" s="34">
        <v>7.3260000000000006E-2</v>
      </c>
    </row>
    <row r="4237" spans="16:19" x14ac:dyDescent="0.25">
      <c r="P4237" s="27">
        <v>3.2548184716220556E-2</v>
      </c>
      <c r="Q4237" s="28">
        <f t="shared" si="70"/>
        <v>3.5548184716220559E-2</v>
      </c>
      <c r="R4237" s="33">
        <v>0.16282860775771735</v>
      </c>
      <c r="S4237" s="34">
        <v>5.9400000000000001E-2</v>
      </c>
    </row>
    <row r="4238" spans="16:19" x14ac:dyDescent="0.25">
      <c r="P4238" s="27">
        <v>3.2548184716220556E-2</v>
      </c>
      <c r="Q4238" s="28">
        <f t="shared" si="70"/>
        <v>3.5548184716220559E-2</v>
      </c>
      <c r="R4238" s="33">
        <v>0.16282860775771735</v>
      </c>
      <c r="S4238" s="34">
        <v>5.9950000000000003E-2</v>
      </c>
    </row>
    <row r="4239" spans="16:19" x14ac:dyDescent="0.25">
      <c r="P4239" s="27">
        <v>3.2548184716220556E-2</v>
      </c>
      <c r="Q4239" s="28">
        <f t="shared" si="70"/>
        <v>3.5548184716220559E-2</v>
      </c>
      <c r="R4239" s="33">
        <v>0.16282860775771735</v>
      </c>
      <c r="S4239" s="34">
        <v>0.05</v>
      </c>
    </row>
    <row r="4240" spans="16:19" x14ac:dyDescent="0.25">
      <c r="P4240" s="27">
        <v>3.2548184716220556E-2</v>
      </c>
      <c r="Q4240" s="28">
        <f t="shared" si="70"/>
        <v>3.5548184716220559E-2</v>
      </c>
      <c r="R4240" s="33">
        <v>0.16282860775771735</v>
      </c>
      <c r="S4240" s="34">
        <v>4.8409999999999995E-2</v>
      </c>
    </row>
    <row r="4241" spans="16:19" x14ac:dyDescent="0.25">
      <c r="P4241" s="27">
        <v>3.2548184716220556E-2</v>
      </c>
      <c r="Q4241" s="28">
        <f t="shared" si="70"/>
        <v>3.5548184716220559E-2</v>
      </c>
      <c r="R4241" s="33">
        <v>0.16282860775771735</v>
      </c>
      <c r="S4241" s="34">
        <v>5.4060000000000004E-2</v>
      </c>
    </row>
    <row r="4242" spans="16:19" x14ac:dyDescent="0.25">
      <c r="P4242" s="27">
        <v>3.2548184716220556E-2</v>
      </c>
      <c r="Q4242" s="28">
        <f t="shared" si="70"/>
        <v>3.5548184716220559E-2</v>
      </c>
      <c r="R4242" s="33">
        <v>0.16282860775771735</v>
      </c>
      <c r="S4242" s="34">
        <v>5.5130000000000005E-2</v>
      </c>
    </row>
    <row r="4243" spans="16:19" x14ac:dyDescent="0.25">
      <c r="P4243" s="27">
        <v>3.2548184716220556E-2</v>
      </c>
      <c r="Q4243" s="28">
        <f t="shared" si="70"/>
        <v>3.5548184716220559E-2</v>
      </c>
      <c r="R4243" s="33">
        <v>0.16282860775771735</v>
      </c>
      <c r="S4243" s="34">
        <v>5.6000000000000001E-2</v>
      </c>
    </row>
    <row r="4244" spans="16:19" x14ac:dyDescent="0.25">
      <c r="P4244" s="27">
        <v>3.2548184716220556E-2</v>
      </c>
      <c r="Q4244" s="28">
        <f t="shared" si="70"/>
        <v>3.5548184716220559E-2</v>
      </c>
      <c r="R4244" s="33">
        <v>0.16282860775771735</v>
      </c>
      <c r="S4244" s="34">
        <v>5.3990000000000003E-2</v>
      </c>
    </row>
    <row r="4245" spans="16:19" x14ac:dyDescent="0.25">
      <c r="P4245" s="27">
        <v>3.2548184716220556E-2</v>
      </c>
      <c r="Q4245" s="28">
        <f t="shared" si="70"/>
        <v>3.5548184716220559E-2</v>
      </c>
      <c r="R4245" s="33">
        <v>0.16282860775771735</v>
      </c>
      <c r="S4245" s="34">
        <v>5.3990000000000003E-2</v>
      </c>
    </row>
    <row r="4246" spans="16:19" x14ac:dyDescent="0.25">
      <c r="P4246" s="27">
        <v>3.2548184716220556E-2</v>
      </c>
      <c r="Q4246" s="28">
        <f t="shared" si="70"/>
        <v>3.5548184716220559E-2</v>
      </c>
      <c r="R4246" s="33">
        <v>0.16282860775771735</v>
      </c>
      <c r="S4246" s="34">
        <v>5.5119999999999995E-2</v>
      </c>
    </row>
    <row r="4247" spans="16:19" x14ac:dyDescent="0.25">
      <c r="P4247" s="27">
        <v>3.2548184716220556E-2</v>
      </c>
      <c r="Q4247" s="28">
        <f t="shared" si="70"/>
        <v>3.5548184716220559E-2</v>
      </c>
      <c r="R4247" s="31">
        <v>0.15939660775771733</v>
      </c>
      <c r="S4247" s="32">
        <v>5.6436382E-2</v>
      </c>
    </row>
    <row r="4248" spans="16:19" x14ac:dyDescent="0.25">
      <c r="P4248" s="27">
        <v>3.2548184716220556E-2</v>
      </c>
      <c r="Q4248" s="28">
        <f t="shared" si="70"/>
        <v>3.5548184716220559E-2</v>
      </c>
      <c r="R4248" s="31">
        <v>0.15939660775771733</v>
      </c>
      <c r="S4248" s="32">
        <v>5.67E-2</v>
      </c>
    </row>
    <row r="4249" spans="16:19" x14ac:dyDescent="0.25">
      <c r="P4249" s="27">
        <v>3.2548184716220556E-2</v>
      </c>
      <c r="Q4249" s="28">
        <f t="shared" si="70"/>
        <v>3.5548184716220559E-2</v>
      </c>
      <c r="R4249" s="31">
        <v>0.15939660775771733</v>
      </c>
      <c r="S4249" s="32">
        <v>5.1499999999999997E-2</v>
      </c>
    </row>
    <row r="4250" spans="16:19" x14ac:dyDescent="0.25">
      <c r="P4250" s="27">
        <v>3.2548184716220556E-2</v>
      </c>
      <c r="Q4250" s="28">
        <f t="shared" si="70"/>
        <v>3.5548184716220559E-2</v>
      </c>
      <c r="R4250" s="31">
        <v>0.15939660775771733</v>
      </c>
      <c r="S4250" s="32">
        <v>4.7E-2</v>
      </c>
    </row>
    <row r="4251" spans="16:19" x14ac:dyDescent="0.25">
      <c r="P4251" s="27">
        <v>3.2548184716220556E-2</v>
      </c>
      <c r="Q4251" s="28">
        <f t="shared" si="70"/>
        <v>3.5548184716220559E-2</v>
      </c>
      <c r="R4251" s="29">
        <v>0.15003660775771735</v>
      </c>
      <c r="S4251" s="30">
        <v>0.04</v>
      </c>
    </row>
    <row r="4252" spans="16:19" x14ac:dyDescent="0.25">
      <c r="P4252" s="27">
        <v>3.2548184716220556E-2</v>
      </c>
      <c r="Q4252" s="28">
        <f t="shared" si="70"/>
        <v>3.5548184716220559E-2</v>
      </c>
      <c r="R4252" s="29">
        <v>0.15003660775771735</v>
      </c>
      <c r="S4252" s="30">
        <v>3.8990000000000004E-2</v>
      </c>
    </row>
    <row r="4253" spans="16:19" x14ac:dyDescent="0.25">
      <c r="P4253" s="27">
        <v>3.2548184716220556E-2</v>
      </c>
      <c r="Q4253" s="28">
        <f t="shared" si="70"/>
        <v>3.5548184716220559E-2</v>
      </c>
      <c r="R4253" s="29">
        <v>0.15003660775771735</v>
      </c>
      <c r="S4253" s="30">
        <v>3.6799999999999999E-2</v>
      </c>
    </row>
    <row r="4254" spans="16:19" x14ac:dyDescent="0.25">
      <c r="P4254" s="27">
        <v>3.2548184716220556E-2</v>
      </c>
      <c r="Q4254" s="28">
        <f t="shared" si="70"/>
        <v>3.5548184716220559E-2</v>
      </c>
      <c r="R4254" s="29">
        <v>0.15003660775771735</v>
      </c>
      <c r="S4254" s="30">
        <v>3.6729999999999999E-2</v>
      </c>
    </row>
    <row r="4255" spans="16:19" x14ac:dyDescent="0.25">
      <c r="P4255" s="27">
        <v>3.2548184716220556E-2</v>
      </c>
      <c r="Q4255" s="28">
        <f t="shared" si="70"/>
        <v>3.5548184716220559E-2</v>
      </c>
      <c r="R4255" s="29">
        <v>0.15003660775771735</v>
      </c>
      <c r="S4255" s="30">
        <v>3.5499999999999997E-2</v>
      </c>
    </row>
    <row r="4256" spans="16:19" x14ac:dyDescent="0.25">
      <c r="P4256" s="27">
        <v>3.2548184716220556E-2</v>
      </c>
      <c r="Q4256" s="28">
        <f t="shared" si="70"/>
        <v>3.5548184716220559E-2</v>
      </c>
      <c r="R4256" s="29">
        <v>0.15003660775771735</v>
      </c>
      <c r="S4256" s="30">
        <v>3.6094084999999998E-2</v>
      </c>
    </row>
    <row r="4257" spans="16:19" x14ac:dyDescent="0.25">
      <c r="P4257" s="27">
        <v>3.2548184716220556E-2</v>
      </c>
      <c r="Q4257" s="28">
        <f t="shared" si="70"/>
        <v>3.5548184716220559E-2</v>
      </c>
      <c r="R4257" s="29">
        <v>0.15003660775771735</v>
      </c>
      <c r="S4257" s="30">
        <v>4.0490000000000005E-2</v>
      </c>
    </row>
    <row r="4258" spans="16:19" x14ac:dyDescent="0.25">
      <c r="P4258" s="27">
        <v>3.2548184716220556E-2</v>
      </c>
      <c r="Q4258" s="28">
        <f t="shared" si="70"/>
        <v>3.5548184716220559E-2</v>
      </c>
      <c r="R4258" s="29">
        <v>0.15003660775771735</v>
      </c>
      <c r="S4258" s="30">
        <v>4.7969999999999999E-2</v>
      </c>
    </row>
    <row r="4259" spans="16:19" x14ac:dyDescent="0.25">
      <c r="P4259" s="27">
        <v>3.2548184716220556E-2</v>
      </c>
      <c r="Q4259" s="28">
        <f t="shared" si="70"/>
        <v>3.5548184716220559E-2</v>
      </c>
      <c r="R4259" s="31">
        <v>0.15939660775771733</v>
      </c>
      <c r="S4259" s="32">
        <v>6.2710000000000002E-2</v>
      </c>
    </row>
    <row r="4260" spans="16:19" x14ac:dyDescent="0.25">
      <c r="P4260" s="27">
        <v>3.2548184716220556E-2</v>
      </c>
      <c r="Q4260" s="28">
        <f t="shared" si="70"/>
        <v>3.5548184716220559E-2</v>
      </c>
      <c r="R4260" s="33">
        <v>0.16282860775771735</v>
      </c>
      <c r="S4260" s="34">
        <v>7.2150000000000006E-2</v>
      </c>
    </row>
    <row r="4261" spans="16:19" x14ac:dyDescent="0.25">
      <c r="P4261" s="27">
        <v>3.2548184716220556E-2</v>
      </c>
      <c r="Q4261" s="28">
        <f t="shared" si="70"/>
        <v>3.5548184716220559E-2</v>
      </c>
      <c r="R4261" s="33">
        <v>0.16282860775771735</v>
      </c>
      <c r="S4261" s="34">
        <v>6.1399999999999996E-2</v>
      </c>
    </row>
    <row r="4262" spans="16:19" x14ac:dyDescent="0.25">
      <c r="P4262" s="27">
        <v>3.2548184716220556E-2</v>
      </c>
      <c r="Q4262" s="28">
        <f t="shared" si="70"/>
        <v>3.5548184716220559E-2</v>
      </c>
      <c r="R4262" s="33">
        <v>0.16282860775771735</v>
      </c>
      <c r="S4262" s="34">
        <v>5.9330000000000001E-2</v>
      </c>
    </row>
    <row r="4263" spans="16:19" x14ac:dyDescent="0.25">
      <c r="P4263" s="27">
        <v>3.2548184716220556E-2</v>
      </c>
      <c r="Q4263" s="28">
        <f t="shared" si="70"/>
        <v>3.5548184716220559E-2</v>
      </c>
      <c r="R4263" s="33">
        <v>0.16282860775771735</v>
      </c>
      <c r="S4263" s="34">
        <v>0.05</v>
      </c>
    </row>
    <row r="4264" spans="16:19" x14ac:dyDescent="0.25">
      <c r="P4264" s="27">
        <v>3.2548184716220556E-2</v>
      </c>
      <c r="Q4264" s="28">
        <f t="shared" si="70"/>
        <v>3.5548184716220559E-2</v>
      </c>
      <c r="R4264" s="33">
        <v>0.16282860775771735</v>
      </c>
      <c r="S4264" s="34">
        <v>4.6420000000000003E-2</v>
      </c>
    </row>
    <row r="4265" spans="16:19" x14ac:dyDescent="0.25">
      <c r="P4265" s="27">
        <v>3.2548184716220556E-2</v>
      </c>
      <c r="Q4265" s="28">
        <f t="shared" si="70"/>
        <v>3.5548184716220559E-2</v>
      </c>
      <c r="R4265" s="33">
        <v>0.16282860775771735</v>
      </c>
      <c r="S4265" s="34">
        <v>4.999E-2</v>
      </c>
    </row>
    <row r="4266" spans="16:19" x14ac:dyDescent="0.25">
      <c r="P4266" s="27">
        <v>3.2548184716220556E-2</v>
      </c>
      <c r="Q4266" s="28">
        <f t="shared" si="70"/>
        <v>3.5548184716220559E-2</v>
      </c>
      <c r="R4266" s="33">
        <v>0.16282860775771735</v>
      </c>
      <c r="S4266" s="34">
        <v>5.0700000000000002E-2</v>
      </c>
    </row>
    <row r="4267" spans="16:19" x14ac:dyDescent="0.25">
      <c r="P4267" s="27">
        <v>3.2548184716220556E-2</v>
      </c>
      <c r="Q4267" s="28">
        <f t="shared" si="70"/>
        <v>3.5548184716220559E-2</v>
      </c>
      <c r="R4267" s="33">
        <v>0.16282860775771735</v>
      </c>
      <c r="S4267" s="34">
        <v>5.2990000000000002E-2</v>
      </c>
    </row>
    <row r="4268" spans="16:19" x14ac:dyDescent="0.25">
      <c r="P4268" s="27">
        <v>3.2548184716220556E-2</v>
      </c>
      <c r="Q4268" s="28">
        <f t="shared" si="70"/>
        <v>3.5548184716220559E-2</v>
      </c>
      <c r="R4268" s="33">
        <v>0.16282860775771735</v>
      </c>
      <c r="S4268" s="34">
        <v>0.05</v>
      </c>
    </row>
    <row r="4269" spans="16:19" x14ac:dyDescent="0.25">
      <c r="P4269" s="27">
        <v>3.2548184716220556E-2</v>
      </c>
      <c r="Q4269" s="28">
        <f t="shared" si="70"/>
        <v>3.5548184716220559E-2</v>
      </c>
      <c r="R4269" s="33">
        <v>0.16282860775771735</v>
      </c>
      <c r="S4269" s="34">
        <v>5.1789999999999996E-2</v>
      </c>
    </row>
    <row r="4270" spans="16:19" x14ac:dyDescent="0.25">
      <c r="P4270" s="27">
        <v>3.2548184716220556E-2</v>
      </c>
      <c r="Q4270" s="28">
        <f t="shared" si="70"/>
        <v>3.5548184716220559E-2</v>
      </c>
      <c r="R4270" s="33">
        <v>0.16282860775771735</v>
      </c>
      <c r="S4270" s="34">
        <v>5.3990000000000003E-2</v>
      </c>
    </row>
    <row r="4271" spans="16:19" x14ac:dyDescent="0.25">
      <c r="P4271" s="27">
        <v>3.2548184716220556E-2</v>
      </c>
      <c r="Q4271" s="28">
        <f t="shared" si="70"/>
        <v>3.5548184716220559E-2</v>
      </c>
      <c r="R4271" s="31">
        <v>0.15939660775771733</v>
      </c>
      <c r="S4271" s="32">
        <v>5.4270000000000006E-2</v>
      </c>
    </row>
    <row r="4272" spans="16:19" x14ac:dyDescent="0.25">
      <c r="P4272" s="27">
        <v>3.2548184716220556E-2</v>
      </c>
      <c r="Q4272" s="28">
        <f t="shared" si="70"/>
        <v>3.5548184716220559E-2</v>
      </c>
      <c r="R4272" s="31">
        <v>0.15939660775771733</v>
      </c>
      <c r="S4272" s="32">
        <v>5.638E-2</v>
      </c>
    </row>
    <row r="4273" spans="16:19" x14ac:dyDescent="0.25">
      <c r="P4273" s="27">
        <v>3.2548184716220556E-2</v>
      </c>
      <c r="Q4273" s="28">
        <f t="shared" si="70"/>
        <v>3.5548184716220559E-2</v>
      </c>
      <c r="R4273" s="31">
        <v>0.15939660775771733</v>
      </c>
      <c r="S4273" s="32">
        <v>5.1249999999999997E-2</v>
      </c>
    </row>
    <row r="4274" spans="16:19" x14ac:dyDescent="0.25">
      <c r="P4274" s="27">
        <v>3.2548184716220556E-2</v>
      </c>
      <c r="Q4274" s="28">
        <f t="shared" si="70"/>
        <v>3.5548184716220559E-2</v>
      </c>
      <c r="R4274" s="31">
        <v>0.15939660775771733</v>
      </c>
      <c r="S4274" s="32">
        <v>4.5579999999999996E-2</v>
      </c>
    </row>
    <row r="4275" spans="16:19" x14ac:dyDescent="0.25">
      <c r="P4275" s="27">
        <v>3.2548184716220556E-2</v>
      </c>
      <c r="Q4275" s="28">
        <f t="shared" si="70"/>
        <v>3.5548184716220559E-2</v>
      </c>
      <c r="R4275" s="29">
        <v>0.15003660775771735</v>
      </c>
      <c r="S4275" s="30">
        <v>4.2009999999999999E-2</v>
      </c>
    </row>
    <row r="4276" spans="16:19" x14ac:dyDescent="0.25">
      <c r="P4276" s="27">
        <v>3.2548184716220556E-2</v>
      </c>
      <c r="Q4276" s="28">
        <f t="shared" si="70"/>
        <v>3.5548184716220559E-2</v>
      </c>
      <c r="R4276" s="29">
        <v>0.15003660775771735</v>
      </c>
      <c r="S4276" s="30">
        <v>4.0579999999999998E-2</v>
      </c>
    </row>
    <row r="4277" spans="16:19" x14ac:dyDescent="0.25">
      <c r="P4277" s="27">
        <v>3.2548184716220556E-2</v>
      </c>
      <c r="Q4277" s="28">
        <f t="shared" si="70"/>
        <v>3.5548184716220559E-2</v>
      </c>
      <c r="R4277" s="29">
        <v>0.15003660775771735</v>
      </c>
      <c r="S4277" s="30">
        <v>3.857E-2</v>
      </c>
    </row>
    <row r="4278" spans="16:19" x14ac:dyDescent="0.25">
      <c r="P4278" s="27">
        <v>3.2548184716220556E-2</v>
      </c>
      <c r="Q4278" s="28">
        <f t="shared" si="70"/>
        <v>3.5548184716220559E-2</v>
      </c>
      <c r="R4278" s="29">
        <v>0.15003660775771735</v>
      </c>
      <c r="S4278" s="30">
        <v>3.7719999999999997E-2</v>
      </c>
    </row>
    <row r="4279" spans="16:19" x14ac:dyDescent="0.25">
      <c r="P4279" s="27">
        <v>3.2548184716220556E-2</v>
      </c>
      <c r="Q4279" s="28">
        <f t="shared" si="70"/>
        <v>3.5548184716220559E-2</v>
      </c>
      <c r="R4279" s="29">
        <v>0.15003660775771735</v>
      </c>
      <c r="S4279" s="30">
        <v>3.7069999999999999E-2</v>
      </c>
    </row>
    <row r="4280" spans="16:19" x14ac:dyDescent="0.25">
      <c r="P4280" s="27">
        <v>3.2548184716220556E-2</v>
      </c>
      <c r="Q4280" s="28">
        <f t="shared" si="70"/>
        <v>3.5548184716220559E-2</v>
      </c>
      <c r="R4280" s="29">
        <v>0.15003660775771735</v>
      </c>
      <c r="S4280" s="30">
        <v>3.6679999999999997E-2</v>
      </c>
    </row>
    <row r="4281" spans="16:19" x14ac:dyDescent="0.25">
      <c r="P4281" s="27">
        <v>3.2548184716220556E-2</v>
      </c>
      <c r="Q4281" s="28">
        <f t="shared" si="70"/>
        <v>3.5548184716220559E-2</v>
      </c>
      <c r="R4281" s="29">
        <v>0.15003660775771735</v>
      </c>
      <c r="S4281" s="30">
        <v>3.6679999999999997E-2</v>
      </c>
    </row>
    <row r="4282" spans="16:19" x14ac:dyDescent="0.25">
      <c r="P4282" s="27">
        <v>3.2548184716220556E-2</v>
      </c>
      <c r="Q4282" s="28">
        <f t="shared" si="70"/>
        <v>3.5548184716220559E-2</v>
      </c>
      <c r="R4282" s="29">
        <v>0.15003660775771735</v>
      </c>
      <c r="S4282" s="30">
        <v>0.04</v>
      </c>
    </row>
    <row r="4283" spans="16:19" x14ac:dyDescent="0.25">
      <c r="P4283" s="27">
        <v>3.2548184716220556E-2</v>
      </c>
      <c r="Q4283" s="28">
        <f t="shared" si="70"/>
        <v>3.5548184716220559E-2</v>
      </c>
      <c r="R4283" s="31">
        <v>0.15939660775771733</v>
      </c>
      <c r="S4283" s="32">
        <v>4.3990000000000001E-2</v>
      </c>
    </row>
    <row r="4284" spans="16:19" x14ac:dyDescent="0.25">
      <c r="P4284" s="27">
        <v>3.2548184716220556E-2</v>
      </c>
      <c r="Q4284" s="28">
        <f t="shared" si="70"/>
        <v>3.5548184716220559E-2</v>
      </c>
      <c r="R4284" s="33">
        <v>0.16282860775771735</v>
      </c>
      <c r="S4284" s="34">
        <v>4.3720000000000002E-2</v>
      </c>
    </row>
    <row r="4285" spans="16:19" x14ac:dyDescent="0.25">
      <c r="P4285" s="27">
        <v>3.2548184716220556E-2</v>
      </c>
      <c r="Q4285" s="28">
        <f t="shared" si="70"/>
        <v>3.5548184716220559E-2</v>
      </c>
      <c r="R4285" s="33">
        <v>0.16282860775771735</v>
      </c>
      <c r="S4285" s="34">
        <v>4.2220000000000001E-2</v>
      </c>
    </row>
    <row r="4286" spans="16:19" x14ac:dyDescent="0.25">
      <c r="P4286" s="27">
        <v>3.2548184716220556E-2</v>
      </c>
      <c r="Q4286" s="28">
        <f t="shared" si="70"/>
        <v>3.5548184716220559E-2</v>
      </c>
      <c r="R4286" s="33">
        <v>0.16282860775771735</v>
      </c>
      <c r="S4286" s="34">
        <v>4.2970000000000001E-2</v>
      </c>
    </row>
    <row r="4287" spans="16:19" x14ac:dyDescent="0.25">
      <c r="P4287" s="27">
        <v>3.2548184716220556E-2</v>
      </c>
      <c r="Q4287" s="28">
        <f t="shared" si="70"/>
        <v>3.5548184716220559E-2</v>
      </c>
      <c r="R4287" s="33">
        <v>0.16282860775771735</v>
      </c>
      <c r="S4287" s="34">
        <v>3.5000000000000003E-2</v>
      </c>
    </row>
    <row r="4288" spans="16:19" x14ac:dyDescent="0.25">
      <c r="P4288" s="27">
        <v>3.2548184716220556E-2</v>
      </c>
      <c r="Q4288" s="28">
        <f t="shared" si="70"/>
        <v>3.5548184716220559E-2</v>
      </c>
      <c r="R4288" s="33">
        <v>0.16282860775771735</v>
      </c>
      <c r="S4288" s="34">
        <v>3.2409999999999994E-2</v>
      </c>
    </row>
    <row r="4289" spans="16:19" x14ac:dyDescent="0.25">
      <c r="P4289" s="27">
        <v>3.2548184716220556E-2</v>
      </c>
      <c r="Q4289" s="28">
        <f t="shared" si="70"/>
        <v>3.5548184716220559E-2</v>
      </c>
      <c r="R4289" s="33">
        <v>0.16282860775771735</v>
      </c>
      <c r="S4289" s="34">
        <v>2.8824041999999998E-2</v>
      </c>
    </row>
    <row r="4290" spans="16:19" x14ac:dyDescent="0.25">
      <c r="P4290" s="27">
        <v>3.2548184716220556E-2</v>
      </c>
      <c r="Q4290" s="28">
        <f t="shared" si="70"/>
        <v>3.5548184716220559E-2</v>
      </c>
      <c r="R4290" s="33">
        <v>0.16282860775771735</v>
      </c>
      <c r="S4290" s="34">
        <v>3.2409999999999994E-2</v>
      </c>
    </row>
    <row r="4291" spans="16:19" x14ac:dyDescent="0.25">
      <c r="P4291" s="27">
        <v>3.2548184716220556E-2</v>
      </c>
      <c r="Q4291" s="28">
        <f t="shared" si="70"/>
        <v>3.5548184716220559E-2</v>
      </c>
      <c r="R4291" s="33">
        <v>0.16282860775771735</v>
      </c>
      <c r="S4291" s="34">
        <v>3.4250000000000003E-2</v>
      </c>
    </row>
    <row r="4292" spans="16:19" x14ac:dyDescent="0.25">
      <c r="P4292" s="27">
        <v>3.2548184716220556E-2</v>
      </c>
      <c r="Q4292" s="28">
        <f t="shared" si="70"/>
        <v>3.5548184716220559E-2</v>
      </c>
      <c r="R4292" s="33">
        <v>0.16282860775771735</v>
      </c>
      <c r="S4292" s="34">
        <v>3.6409999999999998E-2</v>
      </c>
    </row>
    <row r="4293" spans="16:19" x14ac:dyDescent="0.25">
      <c r="P4293" s="27">
        <v>3.2548184716220556E-2</v>
      </c>
      <c r="Q4293" s="28">
        <f t="shared" ref="Q4293:Q4356" si="71">P4293+0.003</f>
        <v>3.5548184716220559E-2</v>
      </c>
      <c r="R4293" s="33">
        <v>0.16282860775771735</v>
      </c>
      <c r="S4293" s="34">
        <v>3.9719999999999998E-2</v>
      </c>
    </row>
    <row r="4294" spans="16:19" x14ac:dyDescent="0.25">
      <c r="P4294" s="27">
        <v>3.2548184716220556E-2</v>
      </c>
      <c r="Q4294" s="28">
        <f t="shared" si="71"/>
        <v>3.5548184716220559E-2</v>
      </c>
      <c r="R4294" s="33">
        <v>0.16282860775771735</v>
      </c>
      <c r="S4294" s="34">
        <v>4.4999999999999998E-2</v>
      </c>
    </row>
    <row r="4295" spans="16:19" x14ac:dyDescent="0.25">
      <c r="P4295" s="27">
        <v>3.2548184716220556E-2</v>
      </c>
      <c r="Q4295" s="28">
        <f t="shared" si="71"/>
        <v>3.5548184716220559E-2</v>
      </c>
      <c r="R4295" s="31">
        <v>0.15939660775771733</v>
      </c>
      <c r="S4295" s="32">
        <v>4.5999999999999999E-2</v>
      </c>
    </row>
    <row r="4296" spans="16:19" x14ac:dyDescent="0.25">
      <c r="P4296" s="27">
        <v>3.2548184716220556E-2</v>
      </c>
      <c r="Q4296" s="28">
        <f t="shared" si="71"/>
        <v>3.5548184716220559E-2</v>
      </c>
      <c r="R4296" s="31">
        <v>0.15939660775771733</v>
      </c>
      <c r="S4296" s="32">
        <v>4.999E-2</v>
      </c>
    </row>
    <row r="4297" spans="16:19" x14ac:dyDescent="0.25">
      <c r="P4297" s="27">
        <v>3.2548184716220556E-2</v>
      </c>
      <c r="Q4297" s="28">
        <f t="shared" si="71"/>
        <v>3.5548184716220559E-2</v>
      </c>
      <c r="R4297" s="31">
        <v>0.15939660775771733</v>
      </c>
      <c r="S4297" s="32">
        <v>4.3840000000000004E-2</v>
      </c>
    </row>
    <row r="4298" spans="16:19" x14ac:dyDescent="0.25">
      <c r="P4298" s="27">
        <v>3.2548184716220556E-2</v>
      </c>
      <c r="Q4298" s="28">
        <f t="shared" si="71"/>
        <v>3.5548184716220559E-2</v>
      </c>
      <c r="R4298" s="31">
        <v>0.15939660775771733</v>
      </c>
      <c r="S4298" s="32">
        <v>3.9030000000000002E-2</v>
      </c>
    </row>
    <row r="4299" spans="16:19" x14ac:dyDescent="0.25">
      <c r="P4299" s="27">
        <v>3.2548184716220556E-2</v>
      </c>
      <c r="Q4299" s="28">
        <f t="shared" si="71"/>
        <v>3.5548184716220559E-2</v>
      </c>
      <c r="R4299" s="29">
        <v>0.15003660775771735</v>
      </c>
      <c r="S4299" s="30">
        <v>3.6880000000000003E-2</v>
      </c>
    </row>
    <row r="4300" spans="16:19" x14ac:dyDescent="0.25">
      <c r="P4300" s="27">
        <v>3.2548184716220556E-2</v>
      </c>
      <c r="Q4300" s="28">
        <f t="shared" si="71"/>
        <v>3.5548184716220559E-2</v>
      </c>
      <c r="R4300" s="29">
        <v>0.15003660775771735</v>
      </c>
      <c r="S4300" s="30">
        <v>3.4020000000000002E-2</v>
      </c>
    </row>
    <row r="4301" spans="16:19" x14ac:dyDescent="0.25">
      <c r="P4301" s="27">
        <v>3.2548184716220556E-2</v>
      </c>
      <c r="Q4301" s="28">
        <f t="shared" si="71"/>
        <v>3.5548184716220559E-2</v>
      </c>
      <c r="R4301" s="29">
        <v>0.15003660775771735</v>
      </c>
      <c r="S4301" s="30">
        <v>3.3259999999999998E-2</v>
      </c>
    </row>
    <row r="4302" spans="16:19" x14ac:dyDescent="0.25">
      <c r="P4302" s="27">
        <v>3.2548184716220556E-2</v>
      </c>
      <c r="Q4302" s="28">
        <f t="shared" si="71"/>
        <v>3.5548184716220559E-2</v>
      </c>
      <c r="R4302" s="29">
        <v>0.15003660775771735</v>
      </c>
      <c r="S4302" s="30">
        <v>3.4020000000000002E-2</v>
      </c>
    </row>
    <row r="4303" spans="16:19" x14ac:dyDescent="0.25">
      <c r="P4303" s="27">
        <v>3.2548184716220556E-2</v>
      </c>
      <c r="Q4303" s="28">
        <f t="shared" si="71"/>
        <v>3.5548184716220559E-2</v>
      </c>
      <c r="R4303" s="29">
        <v>0.15003660775771735</v>
      </c>
      <c r="S4303" s="30">
        <v>3.4000000000000002E-2</v>
      </c>
    </row>
    <row r="4304" spans="16:19" x14ac:dyDescent="0.25">
      <c r="P4304" s="27">
        <v>3.2548184716220556E-2</v>
      </c>
      <c r="Q4304" s="28">
        <f t="shared" si="71"/>
        <v>3.5548184716220559E-2</v>
      </c>
      <c r="R4304" s="29">
        <v>0.15003660775771735</v>
      </c>
      <c r="S4304" s="30">
        <v>3.2890000000000003E-2</v>
      </c>
    </row>
    <row r="4305" spans="16:19" x14ac:dyDescent="0.25">
      <c r="P4305" s="27">
        <v>3.2548184716220556E-2</v>
      </c>
      <c r="Q4305" s="28">
        <f t="shared" si="71"/>
        <v>3.5548184716220559E-2</v>
      </c>
      <c r="R4305" s="29">
        <v>0.15003660775771735</v>
      </c>
      <c r="S4305" s="30">
        <v>3.2890000000000003E-2</v>
      </c>
    </row>
    <row r="4306" spans="16:19" x14ac:dyDescent="0.25">
      <c r="P4306" s="27">
        <v>3.2548184716220556E-2</v>
      </c>
      <c r="Q4306" s="28">
        <f t="shared" si="71"/>
        <v>3.5548184716220559E-2</v>
      </c>
      <c r="R4306" s="29">
        <v>0.15003660775771735</v>
      </c>
      <c r="S4306" s="30">
        <v>3.4020000000000002E-2</v>
      </c>
    </row>
    <row r="4307" spans="16:19" x14ac:dyDescent="0.25">
      <c r="P4307" s="27">
        <v>3.2548184716220556E-2</v>
      </c>
      <c r="Q4307" s="28">
        <f t="shared" si="71"/>
        <v>3.5548184716220559E-2</v>
      </c>
      <c r="R4307" s="31">
        <v>0.15939660775771733</v>
      </c>
      <c r="S4307" s="32">
        <v>3.8380000000000004E-2</v>
      </c>
    </row>
    <row r="4308" spans="16:19" x14ac:dyDescent="0.25">
      <c r="P4308" s="27">
        <v>3.2548184716220556E-2</v>
      </c>
      <c r="Q4308" s="28">
        <f t="shared" si="71"/>
        <v>3.5548184716220559E-2</v>
      </c>
      <c r="R4308" s="33">
        <v>0.16282860775771735</v>
      </c>
      <c r="S4308" s="34">
        <v>3.8380000000000004E-2</v>
      </c>
    </row>
    <row r="4309" spans="16:19" x14ac:dyDescent="0.25">
      <c r="P4309" s="27">
        <v>3.2548184716220556E-2</v>
      </c>
      <c r="Q4309" s="28">
        <f t="shared" si="71"/>
        <v>3.5548184716220559E-2</v>
      </c>
      <c r="R4309" s="33">
        <v>0.16282860775771735</v>
      </c>
      <c r="S4309" s="34">
        <v>3.6880000000000003E-2</v>
      </c>
    </row>
    <row r="4310" spans="16:19" x14ac:dyDescent="0.25">
      <c r="P4310" s="27">
        <v>3.2548184716220556E-2</v>
      </c>
      <c r="Q4310" s="28">
        <f t="shared" si="71"/>
        <v>3.5548184716220559E-2</v>
      </c>
      <c r="R4310" s="33">
        <v>0.16282860775771735</v>
      </c>
      <c r="S4310" s="34">
        <v>3.4020000000000002E-2</v>
      </c>
    </row>
    <row r="4311" spans="16:19" x14ac:dyDescent="0.25">
      <c r="P4311" s="27">
        <v>3.2548184716220556E-2</v>
      </c>
      <c r="Q4311" s="28">
        <f t="shared" si="71"/>
        <v>3.5548184716220559E-2</v>
      </c>
      <c r="R4311" s="33">
        <v>0.16282860775771735</v>
      </c>
      <c r="S4311" s="34">
        <v>3.2380000000000006E-2</v>
      </c>
    </row>
    <row r="4312" spans="16:19" x14ac:dyDescent="0.25">
      <c r="P4312" s="27">
        <v>3.2548184716220556E-2</v>
      </c>
      <c r="Q4312" s="28">
        <f t="shared" si="71"/>
        <v>3.5548184716220559E-2</v>
      </c>
      <c r="R4312" s="33">
        <v>0.16282860775771735</v>
      </c>
      <c r="S4312" s="34">
        <v>2.9409999999999999E-2</v>
      </c>
    </row>
    <row r="4313" spans="16:19" x14ac:dyDescent="0.25">
      <c r="P4313" s="27">
        <v>3.2548184716220556E-2</v>
      </c>
      <c r="Q4313" s="28">
        <f t="shared" si="71"/>
        <v>3.5548184716220559E-2</v>
      </c>
      <c r="R4313" s="33">
        <v>0.16282860775771735</v>
      </c>
      <c r="S4313" s="34">
        <v>2.93E-2</v>
      </c>
    </row>
    <row r="4314" spans="16:19" x14ac:dyDescent="0.25">
      <c r="P4314" s="27">
        <v>3.2548184716220556E-2</v>
      </c>
      <c r="Q4314" s="28">
        <f t="shared" si="71"/>
        <v>3.5548184716220559E-2</v>
      </c>
      <c r="R4314" s="33">
        <v>0.16282860775771735</v>
      </c>
      <c r="S4314" s="34">
        <v>0.03</v>
      </c>
    </row>
    <row r="4315" spans="16:19" x14ac:dyDescent="0.25">
      <c r="P4315" s="27">
        <v>3.2548184716220556E-2</v>
      </c>
      <c r="Q4315" s="28">
        <f t="shared" si="71"/>
        <v>3.5548184716220559E-2</v>
      </c>
      <c r="R4315" s="33">
        <v>0.16282860775771735</v>
      </c>
      <c r="S4315" s="34">
        <v>3.3000000000000002E-2</v>
      </c>
    </row>
    <row r="4316" spans="16:19" x14ac:dyDescent="0.25">
      <c r="P4316" s="27">
        <v>3.2548184716220556E-2</v>
      </c>
      <c r="Q4316" s="28">
        <f t="shared" si="71"/>
        <v>3.5548184716220559E-2</v>
      </c>
      <c r="R4316" s="33">
        <v>0.16282860775771735</v>
      </c>
      <c r="S4316" s="34">
        <v>3.3009999999999998E-2</v>
      </c>
    </row>
    <row r="4317" spans="16:19" x14ac:dyDescent="0.25">
      <c r="P4317" s="27">
        <v>3.2548184716220556E-2</v>
      </c>
      <c r="Q4317" s="28">
        <f t="shared" si="71"/>
        <v>3.5548184716220559E-2</v>
      </c>
      <c r="R4317" s="33">
        <v>0.16282860775771735</v>
      </c>
      <c r="S4317" s="34">
        <v>3.4450000000000001E-2</v>
      </c>
    </row>
    <row r="4318" spans="16:19" x14ac:dyDescent="0.25">
      <c r="P4318" s="27">
        <v>3.2548184716220556E-2</v>
      </c>
      <c r="Q4318" s="28">
        <f t="shared" si="71"/>
        <v>3.5548184716220559E-2</v>
      </c>
      <c r="R4318" s="33">
        <v>0.16282860775771735</v>
      </c>
      <c r="S4318" s="34">
        <v>3.6990000000000002E-2</v>
      </c>
    </row>
    <row r="4319" spans="16:19" x14ac:dyDescent="0.25">
      <c r="P4319" s="27">
        <v>3.2548184716220556E-2</v>
      </c>
      <c r="Q4319" s="28">
        <f t="shared" si="71"/>
        <v>3.5548184716220559E-2</v>
      </c>
      <c r="R4319" s="31">
        <v>0.15939660775771733</v>
      </c>
      <c r="S4319" s="32">
        <v>4.1000000000000002E-2</v>
      </c>
    </row>
    <row r="4320" spans="16:19" x14ac:dyDescent="0.25">
      <c r="P4320" s="27">
        <v>3.2548184716220556E-2</v>
      </c>
      <c r="Q4320" s="28">
        <f t="shared" si="71"/>
        <v>3.5548184716220559E-2</v>
      </c>
      <c r="R4320" s="31">
        <v>0.15939660775771733</v>
      </c>
      <c r="S4320" s="32">
        <v>4.3439999999999999E-2</v>
      </c>
    </row>
    <row r="4321" spans="16:19" x14ac:dyDescent="0.25">
      <c r="P4321" s="27">
        <v>3.2548184716220556E-2</v>
      </c>
      <c r="Q4321" s="28">
        <f t="shared" si="71"/>
        <v>3.5548184716220559E-2</v>
      </c>
      <c r="R4321" s="31">
        <v>0.15939660775771733</v>
      </c>
      <c r="S4321" s="32">
        <v>4.0909999999999995E-2</v>
      </c>
    </row>
    <row r="4322" spans="16:19" x14ac:dyDescent="0.25">
      <c r="P4322" s="27">
        <v>3.2548184716220556E-2</v>
      </c>
      <c r="Q4322" s="28">
        <f t="shared" si="71"/>
        <v>3.5548184716220559E-2</v>
      </c>
      <c r="R4322" s="31">
        <v>0.15939660775771733</v>
      </c>
      <c r="S4322" s="32">
        <v>3.6380000000000003E-2</v>
      </c>
    </row>
    <row r="4323" spans="16:19" x14ac:dyDescent="0.25">
      <c r="P4323" s="27">
        <v>3.2548184716220556E-2</v>
      </c>
      <c r="Q4323" s="28">
        <f t="shared" si="71"/>
        <v>3.5548184716220559E-2</v>
      </c>
      <c r="R4323" s="29">
        <v>0.15003660775771735</v>
      </c>
      <c r="S4323" s="30">
        <v>3.3280000000000004E-2</v>
      </c>
    </row>
    <row r="4324" spans="16:19" x14ac:dyDescent="0.25">
      <c r="P4324" s="27">
        <v>3.2548184716220556E-2</v>
      </c>
      <c r="Q4324" s="28">
        <f t="shared" si="71"/>
        <v>3.5548184716220559E-2</v>
      </c>
      <c r="R4324" s="29">
        <v>0.15003660775771735</v>
      </c>
      <c r="S4324" s="30">
        <v>2.8930000000000001E-2</v>
      </c>
    </row>
    <row r="4325" spans="16:19" x14ac:dyDescent="0.25">
      <c r="P4325" s="27">
        <v>3.2548184716220556E-2</v>
      </c>
      <c r="Q4325" s="28">
        <f t="shared" si="71"/>
        <v>3.5548184716220559E-2</v>
      </c>
      <c r="R4325" s="29">
        <v>0.15003660775771735</v>
      </c>
      <c r="S4325" s="30">
        <v>2.3699999999999999E-2</v>
      </c>
    </row>
    <row r="4326" spans="16:19" x14ac:dyDescent="0.25">
      <c r="P4326" s="27">
        <v>3.2548184716220556E-2</v>
      </c>
      <c r="Q4326" s="28">
        <f t="shared" si="71"/>
        <v>3.5548184716220559E-2</v>
      </c>
      <c r="R4326" s="29">
        <v>0.15003660775771735</v>
      </c>
      <c r="S4326" s="30">
        <v>2.3E-2</v>
      </c>
    </row>
    <row r="4327" spans="16:19" x14ac:dyDescent="0.25">
      <c r="P4327" s="27">
        <v>3.2548184716220556E-2</v>
      </c>
      <c r="Q4327" s="28">
        <f t="shared" si="71"/>
        <v>3.5548184716220559E-2</v>
      </c>
      <c r="R4327" s="29">
        <v>0.15003660775771735</v>
      </c>
      <c r="S4327" s="30">
        <v>2.41E-2</v>
      </c>
    </row>
    <row r="4328" spans="16:19" x14ac:dyDescent="0.25">
      <c r="P4328" s="27">
        <v>3.2548184716220556E-2</v>
      </c>
      <c r="Q4328" s="28">
        <f t="shared" si="71"/>
        <v>3.5548184716220559E-2</v>
      </c>
      <c r="R4328" s="29">
        <v>0.15003660775771735</v>
      </c>
      <c r="S4328" s="30">
        <v>2.6679999999999999E-2</v>
      </c>
    </row>
    <row r="4329" spans="16:19" x14ac:dyDescent="0.25">
      <c r="P4329" s="27">
        <v>3.2548184716220556E-2</v>
      </c>
      <c r="Q4329" s="28">
        <f t="shared" si="71"/>
        <v>3.5548184716220559E-2</v>
      </c>
      <c r="R4329" s="29">
        <v>0.15003660775771735</v>
      </c>
      <c r="S4329" s="30">
        <v>3.6380000000000003E-2</v>
      </c>
    </row>
    <row r="4330" spans="16:19" x14ac:dyDescent="0.25">
      <c r="P4330" s="27">
        <v>3.2548184716220556E-2</v>
      </c>
      <c r="Q4330" s="28">
        <f t="shared" si="71"/>
        <v>3.5548184716220559E-2</v>
      </c>
      <c r="R4330" s="29">
        <v>0.15003660775771735</v>
      </c>
      <c r="S4330" s="30">
        <v>4.2110000000000002E-2</v>
      </c>
    </row>
    <row r="4331" spans="16:19" x14ac:dyDescent="0.25">
      <c r="P4331" s="27">
        <v>3.2548184716220556E-2</v>
      </c>
      <c r="Q4331" s="28">
        <f t="shared" si="71"/>
        <v>3.5548184716220559E-2</v>
      </c>
      <c r="R4331" s="31">
        <v>0.15939999999999999</v>
      </c>
      <c r="S4331" s="32">
        <v>4.8869999999999997E-2</v>
      </c>
    </row>
    <row r="4332" spans="16:19" x14ac:dyDescent="0.25">
      <c r="P4332" s="27">
        <v>3.2548184716220556E-2</v>
      </c>
      <c r="Q4332" s="28">
        <f t="shared" si="71"/>
        <v>3.5548184716220559E-2</v>
      </c>
      <c r="R4332" s="31">
        <v>0.15939999999999999</v>
      </c>
      <c r="S4332" s="32">
        <v>0.05</v>
      </c>
    </row>
    <row r="4333" spans="16:19" x14ac:dyDescent="0.25">
      <c r="P4333" s="27">
        <v>3.2548184716220556E-2</v>
      </c>
      <c r="Q4333" s="28">
        <f t="shared" si="71"/>
        <v>3.5548184716220559E-2</v>
      </c>
      <c r="R4333" s="31">
        <v>0.15939999999999999</v>
      </c>
      <c r="S4333" s="32">
        <v>4.573E-2</v>
      </c>
    </row>
    <row r="4334" spans="16:19" x14ac:dyDescent="0.25">
      <c r="P4334" s="27">
        <v>3.2548184716220556E-2</v>
      </c>
      <c r="Q4334" s="28">
        <f t="shared" si="71"/>
        <v>3.5548184716220559E-2</v>
      </c>
      <c r="R4334" s="31">
        <v>0.15939999999999999</v>
      </c>
      <c r="S4334" s="32">
        <v>4.5710000000000001E-2</v>
      </c>
    </row>
    <row r="4335" spans="16:19" x14ac:dyDescent="0.25">
      <c r="P4335" s="27">
        <v>3.2548184716220556E-2</v>
      </c>
      <c r="Q4335" s="28">
        <f t="shared" si="71"/>
        <v>3.5548184716220559E-2</v>
      </c>
      <c r="R4335" s="31">
        <v>0.15939999999999999</v>
      </c>
      <c r="S4335" s="32">
        <v>4.3189999999999999E-2</v>
      </c>
    </row>
    <row r="4336" spans="16:19" x14ac:dyDescent="0.25">
      <c r="P4336" s="27">
        <v>3.2548184716220556E-2</v>
      </c>
      <c r="Q4336" s="28">
        <f t="shared" si="71"/>
        <v>3.5548184716220559E-2</v>
      </c>
      <c r="R4336" s="31">
        <v>0.15939999999999999</v>
      </c>
      <c r="S4336" s="32">
        <v>4.4389999999999999E-2</v>
      </c>
    </row>
    <row r="4337" spans="16:19" x14ac:dyDescent="0.25">
      <c r="P4337" s="27">
        <v>3.2548184716220556E-2</v>
      </c>
      <c r="Q4337" s="28">
        <f t="shared" si="71"/>
        <v>3.5548184716220559E-2</v>
      </c>
      <c r="R4337" s="31">
        <v>0.15939999999999999</v>
      </c>
      <c r="S4337" s="32">
        <v>4.5499999999999999E-2</v>
      </c>
    </row>
    <row r="4338" spans="16:19" x14ac:dyDescent="0.25">
      <c r="P4338" s="27">
        <v>3.2548184716220556E-2</v>
      </c>
      <c r="Q4338" s="28">
        <f t="shared" si="71"/>
        <v>3.5548184716220559E-2</v>
      </c>
      <c r="R4338" s="31">
        <v>0.15939999999999999</v>
      </c>
      <c r="S4338" s="32">
        <v>4.6179999999999999E-2</v>
      </c>
    </row>
    <row r="4339" spans="16:19" x14ac:dyDescent="0.25">
      <c r="P4339" s="27">
        <v>3.2548184716220556E-2</v>
      </c>
      <c r="Q4339" s="28">
        <f t="shared" si="71"/>
        <v>3.5548184716220559E-2</v>
      </c>
      <c r="R4339" s="31">
        <v>0.15939999999999999</v>
      </c>
      <c r="S4339" s="32">
        <v>4.6539999999999998E-2</v>
      </c>
    </row>
    <row r="4340" spans="16:19" x14ac:dyDescent="0.25">
      <c r="P4340" s="27">
        <v>3.2548184716220556E-2</v>
      </c>
      <c r="Q4340" s="28">
        <f t="shared" si="71"/>
        <v>3.5548184716220559E-2</v>
      </c>
      <c r="R4340" s="31">
        <v>0.15939999999999999</v>
      </c>
      <c r="S4340" s="32">
        <v>4.5420000000000002E-2</v>
      </c>
    </row>
    <row r="4341" spans="16:19" x14ac:dyDescent="0.25">
      <c r="P4341" s="27">
        <v>3.2548184716220556E-2</v>
      </c>
      <c r="Q4341" s="28">
        <f t="shared" si="71"/>
        <v>3.5548184716220559E-2</v>
      </c>
      <c r="R4341" s="31">
        <v>0.15939999999999999</v>
      </c>
      <c r="S4341" s="32">
        <v>4.444E-2</v>
      </c>
    </row>
    <row r="4342" spans="16:19" x14ac:dyDescent="0.25">
      <c r="P4342" s="27">
        <v>3.2548184716220556E-2</v>
      </c>
      <c r="Q4342" s="28">
        <f t="shared" si="71"/>
        <v>3.5548184716220559E-2</v>
      </c>
      <c r="R4342" s="31">
        <v>0.15939999999999999</v>
      </c>
      <c r="S4342" s="32">
        <v>4.6289999999999998E-2</v>
      </c>
    </row>
    <row r="4343" spans="16:19" x14ac:dyDescent="0.25">
      <c r="P4343" s="27">
        <v>3.2548184716220556E-2</v>
      </c>
      <c r="Q4343" s="28">
        <f t="shared" si="71"/>
        <v>3.5548184716220559E-2</v>
      </c>
      <c r="R4343" s="31">
        <v>0.15939999999999999</v>
      </c>
      <c r="S4343" s="32">
        <v>4.8159999999999994E-2</v>
      </c>
    </row>
    <row r="4344" spans="16:19" x14ac:dyDescent="0.25">
      <c r="P4344" s="27">
        <v>3.2548184716220556E-2</v>
      </c>
      <c r="Q4344" s="28">
        <f t="shared" si="71"/>
        <v>3.5548184716220559E-2</v>
      </c>
      <c r="R4344" s="31">
        <v>0.15939999999999999</v>
      </c>
      <c r="S4344" s="32">
        <v>4.8509999999999998E-2</v>
      </c>
    </row>
    <row r="4345" spans="16:19" x14ac:dyDescent="0.25">
      <c r="P4345" s="27">
        <v>3.2548184716220556E-2</v>
      </c>
      <c r="Q4345" s="28">
        <f t="shared" si="71"/>
        <v>3.5548184716220559E-2</v>
      </c>
      <c r="R4345" s="31">
        <v>0.15939999999999999</v>
      </c>
      <c r="S4345" s="32">
        <v>4.4909999999999999E-2</v>
      </c>
    </row>
    <row r="4346" spans="16:19" x14ac:dyDescent="0.25">
      <c r="P4346" s="27">
        <v>3.2548184716220556E-2</v>
      </c>
      <c r="Q4346" s="28">
        <f t="shared" si="71"/>
        <v>3.5548184716220559E-2</v>
      </c>
      <c r="R4346" s="31">
        <v>0.15939999999999999</v>
      </c>
      <c r="S4346" s="32">
        <v>4.233E-2</v>
      </c>
    </row>
    <row r="4347" spans="16:19" x14ac:dyDescent="0.25">
      <c r="P4347" s="27">
        <v>3.2548184716220556E-2</v>
      </c>
      <c r="Q4347" s="28">
        <f t="shared" si="71"/>
        <v>3.5548184716220559E-2</v>
      </c>
      <c r="R4347" s="29">
        <v>0.15</v>
      </c>
      <c r="S4347" s="30">
        <v>4.4639999999999999E-2</v>
      </c>
    </row>
    <row r="4348" spans="16:19" x14ac:dyDescent="0.25">
      <c r="P4348" s="27">
        <v>3.2548184716220556E-2</v>
      </c>
      <c r="Q4348" s="28">
        <f t="shared" si="71"/>
        <v>3.5548184716220559E-2</v>
      </c>
      <c r="R4348" s="29">
        <v>0.15</v>
      </c>
      <c r="S4348" s="30">
        <v>4.3240000000000001E-2</v>
      </c>
    </row>
    <row r="4349" spans="16:19" x14ac:dyDescent="0.25">
      <c r="P4349" s="27">
        <v>3.2548184716220556E-2</v>
      </c>
      <c r="Q4349" s="28">
        <f t="shared" si="71"/>
        <v>3.5548184716220559E-2</v>
      </c>
      <c r="R4349" s="29">
        <v>0.15</v>
      </c>
      <c r="S4349" s="30">
        <v>4.0909999999999995E-2</v>
      </c>
    </row>
    <row r="4350" spans="16:19" x14ac:dyDescent="0.25">
      <c r="P4350" s="27">
        <v>3.2548184716220556E-2</v>
      </c>
      <c r="Q4350" s="28">
        <f t="shared" si="71"/>
        <v>3.5548184716220559E-2</v>
      </c>
      <c r="R4350" s="29">
        <v>0.15</v>
      </c>
      <c r="S4350" s="30">
        <v>4.07E-2</v>
      </c>
    </row>
    <row r="4351" spans="16:19" x14ac:dyDescent="0.25">
      <c r="P4351" s="27">
        <v>3.2548184716220556E-2</v>
      </c>
      <c r="Q4351" s="28">
        <f t="shared" si="71"/>
        <v>3.5548184716220559E-2</v>
      </c>
      <c r="R4351" s="29">
        <v>0.15</v>
      </c>
      <c r="S4351" s="30">
        <v>4.0710000000000003E-2</v>
      </c>
    </row>
    <row r="4352" spans="16:19" x14ac:dyDescent="0.25">
      <c r="P4352" s="27">
        <v>3.2548184716220556E-2</v>
      </c>
      <c r="Q4352" s="28">
        <f t="shared" si="71"/>
        <v>3.5548184716220559E-2</v>
      </c>
      <c r="R4352" s="29">
        <v>0.15</v>
      </c>
      <c r="S4352" s="30">
        <v>4.0909999999999995E-2</v>
      </c>
    </row>
    <row r="4353" spans="16:19" x14ac:dyDescent="0.25">
      <c r="P4353" s="27">
        <v>3.2548184716220556E-2</v>
      </c>
      <c r="Q4353" s="28">
        <f t="shared" si="71"/>
        <v>3.5548184716220559E-2</v>
      </c>
      <c r="R4353" s="29">
        <v>0.15</v>
      </c>
      <c r="S4353" s="30">
        <v>4.3016116E-2</v>
      </c>
    </row>
    <row r="4354" spans="16:19" x14ac:dyDescent="0.25">
      <c r="P4354" s="27">
        <v>3.2548184716220556E-2</v>
      </c>
      <c r="Q4354" s="28">
        <f t="shared" si="71"/>
        <v>3.5548184716220559E-2</v>
      </c>
      <c r="R4354" s="29">
        <v>0.15</v>
      </c>
      <c r="S4354" s="30">
        <v>4.6789999999999998E-2</v>
      </c>
    </row>
    <row r="4355" spans="16:19" x14ac:dyDescent="0.25">
      <c r="P4355" s="27">
        <v>3.2548184716220556E-2</v>
      </c>
      <c r="Q4355" s="28">
        <f t="shared" si="71"/>
        <v>3.5548184716220559E-2</v>
      </c>
      <c r="R4355" s="29">
        <v>0.15</v>
      </c>
      <c r="S4355" s="30">
        <v>5.3490000000000003E-2</v>
      </c>
    </row>
    <row r="4356" spans="16:19" x14ac:dyDescent="0.25">
      <c r="P4356" s="27">
        <v>3.2548184716220556E-2</v>
      </c>
      <c r="Q4356" s="28">
        <f t="shared" si="71"/>
        <v>3.5548184716220559E-2</v>
      </c>
      <c r="R4356" s="29">
        <v>0.15</v>
      </c>
      <c r="S4356" s="30">
        <v>5.9950000000000003E-2</v>
      </c>
    </row>
    <row r="4357" spans="16:19" x14ac:dyDescent="0.25">
      <c r="P4357" s="27">
        <v>3.2548184716220556E-2</v>
      </c>
      <c r="Q4357" s="28">
        <f t="shared" ref="Q4357:Q4420" si="72">P4357+0.003</f>
        <v>3.5548184716220559E-2</v>
      </c>
      <c r="R4357" s="29">
        <v>0.15</v>
      </c>
      <c r="S4357" s="30">
        <v>0.05</v>
      </c>
    </row>
    <row r="4358" spans="16:19" x14ac:dyDescent="0.25">
      <c r="P4358" s="27">
        <v>3.2548184716220556E-2</v>
      </c>
      <c r="Q4358" s="28">
        <f t="shared" si="72"/>
        <v>3.5548184716220559E-2</v>
      </c>
      <c r="R4358" s="29">
        <v>0.15</v>
      </c>
      <c r="S4358" s="30">
        <v>4.616E-2</v>
      </c>
    </row>
    <row r="4359" spans="16:19" x14ac:dyDescent="0.25">
      <c r="P4359" s="27">
        <v>3.2548184716220556E-2</v>
      </c>
      <c r="Q4359" s="28">
        <f t="shared" si="72"/>
        <v>3.5548184716220559E-2</v>
      </c>
      <c r="R4359" s="29">
        <v>0.15</v>
      </c>
      <c r="S4359" s="30">
        <v>4.3990000000000001E-2</v>
      </c>
    </row>
    <row r="4360" spans="16:19" x14ac:dyDescent="0.25">
      <c r="P4360" s="27">
        <v>3.2548184716220556E-2</v>
      </c>
      <c r="Q4360" s="28">
        <f t="shared" si="72"/>
        <v>3.5548184716220559E-2</v>
      </c>
      <c r="R4360" s="29">
        <v>0.15</v>
      </c>
      <c r="S4360" s="30">
        <v>4.4889999999999999E-2</v>
      </c>
    </row>
    <row r="4361" spans="16:19" x14ac:dyDescent="0.25">
      <c r="P4361" s="27">
        <v>3.2548184716220556E-2</v>
      </c>
      <c r="Q4361" s="28">
        <f t="shared" si="72"/>
        <v>3.5548184716220559E-2</v>
      </c>
      <c r="R4361" s="29">
        <v>0.15</v>
      </c>
      <c r="S4361" s="30">
        <v>4.999E-2</v>
      </c>
    </row>
    <row r="4362" spans="16:19" x14ac:dyDescent="0.25">
      <c r="P4362" s="27">
        <v>3.2548184716220556E-2</v>
      </c>
      <c r="Q4362" s="28">
        <f t="shared" si="72"/>
        <v>3.5548184716220559E-2</v>
      </c>
      <c r="R4362" s="29">
        <v>0.15</v>
      </c>
      <c r="S4362" s="30">
        <v>5.2999999999999999E-2</v>
      </c>
    </row>
    <row r="4363" spans="16:19" x14ac:dyDescent="0.25">
      <c r="P4363" s="27">
        <v>3.2548184716220556E-2</v>
      </c>
      <c r="Q4363" s="28">
        <f t="shared" si="72"/>
        <v>3.5548184716220559E-2</v>
      </c>
      <c r="R4363" s="29">
        <v>0.15</v>
      </c>
      <c r="S4363" s="30">
        <v>5.1020000000000003E-2</v>
      </c>
    </row>
    <row r="4364" spans="16:19" x14ac:dyDescent="0.25">
      <c r="P4364" s="27">
        <v>3.2548184716220556E-2</v>
      </c>
      <c r="Q4364" s="28">
        <f t="shared" si="72"/>
        <v>3.5548184716220559E-2</v>
      </c>
      <c r="R4364" s="29">
        <v>0.15</v>
      </c>
      <c r="S4364" s="30">
        <v>4.8000000000000001E-2</v>
      </c>
    </row>
    <row r="4365" spans="16:19" x14ac:dyDescent="0.25">
      <c r="P4365" s="27">
        <v>3.2548184716220556E-2</v>
      </c>
      <c r="Q4365" s="28">
        <f t="shared" si="72"/>
        <v>3.5548184716220559E-2</v>
      </c>
      <c r="R4365" s="29">
        <v>0.15</v>
      </c>
      <c r="S4365" s="30">
        <v>0.05</v>
      </c>
    </row>
    <row r="4366" spans="16:19" x14ac:dyDescent="0.25">
      <c r="P4366" s="27">
        <v>3.2548184716220556E-2</v>
      </c>
      <c r="Q4366" s="28">
        <f t="shared" si="72"/>
        <v>3.5548184716220559E-2</v>
      </c>
      <c r="R4366" s="29">
        <v>0.15</v>
      </c>
      <c r="S4366" s="30">
        <v>5.2810000000000003E-2</v>
      </c>
    </row>
    <row r="4367" spans="16:19" x14ac:dyDescent="0.25">
      <c r="P4367" s="27">
        <v>3.2548184716220556E-2</v>
      </c>
      <c r="Q4367" s="28">
        <f t="shared" si="72"/>
        <v>3.5548184716220559E-2</v>
      </c>
      <c r="R4367" s="29">
        <v>0.15</v>
      </c>
      <c r="S4367" s="30">
        <v>5.2999999999999999E-2</v>
      </c>
    </row>
    <row r="4368" spans="16:19" x14ac:dyDescent="0.25">
      <c r="P4368" s="27">
        <v>3.2548184716220556E-2</v>
      </c>
      <c r="Q4368" s="28">
        <f t="shared" si="72"/>
        <v>3.5548184716220559E-2</v>
      </c>
      <c r="R4368" s="29">
        <v>0.15</v>
      </c>
      <c r="S4368" s="30">
        <v>5.5149999999999998E-2</v>
      </c>
    </row>
    <row r="4369" spans="16:19" x14ac:dyDescent="0.25">
      <c r="P4369" s="27">
        <v>3.2548184716220556E-2</v>
      </c>
      <c r="Q4369" s="28">
        <f t="shared" si="72"/>
        <v>3.5548184716220559E-2</v>
      </c>
      <c r="R4369" s="29">
        <v>0.15</v>
      </c>
      <c r="S4369" s="30">
        <v>4.7600000000000003E-2</v>
      </c>
    </row>
    <row r="4370" spans="16:19" x14ac:dyDescent="0.25">
      <c r="P4370" s="27">
        <v>3.2548184716220556E-2</v>
      </c>
      <c r="Q4370" s="28">
        <f t="shared" si="72"/>
        <v>3.5548184716220559E-2</v>
      </c>
      <c r="R4370" s="29">
        <v>0.15</v>
      </c>
      <c r="S4370" s="30">
        <v>4.4330000000000001E-2</v>
      </c>
    </row>
    <row r="4371" spans="16:19" x14ac:dyDescent="0.25">
      <c r="P4371" s="27">
        <v>3.2548184716220556E-2</v>
      </c>
      <c r="Q4371" s="28">
        <f t="shared" si="72"/>
        <v>3.5548184716220559E-2</v>
      </c>
      <c r="R4371" s="29">
        <v>0.15</v>
      </c>
      <c r="S4371" s="30">
        <v>4.5520000000000005E-2</v>
      </c>
    </row>
    <row r="4372" spans="16:19" x14ac:dyDescent="0.25">
      <c r="P4372" s="27">
        <v>3.2548184716220556E-2</v>
      </c>
      <c r="Q4372" s="28">
        <f t="shared" si="72"/>
        <v>3.5548184716220559E-2</v>
      </c>
      <c r="R4372" s="29">
        <v>0.15</v>
      </c>
      <c r="S4372" s="30">
        <v>4.3799999999999999E-2</v>
      </c>
    </row>
    <row r="4373" spans="16:19" x14ac:dyDescent="0.25">
      <c r="P4373" s="27">
        <v>3.2548184716220556E-2</v>
      </c>
      <c r="Q4373" s="28">
        <f t="shared" si="72"/>
        <v>3.5548184716220559E-2</v>
      </c>
      <c r="R4373" s="29">
        <v>0.15</v>
      </c>
      <c r="S4373" s="30">
        <v>4.2459999999999998E-2</v>
      </c>
    </row>
    <row r="4374" spans="16:19" x14ac:dyDescent="0.25">
      <c r="P4374" s="27">
        <v>3.2548184716220556E-2</v>
      </c>
      <c r="Q4374" s="28">
        <f t="shared" si="72"/>
        <v>3.5548184716220559E-2</v>
      </c>
      <c r="R4374" s="29">
        <v>0.15</v>
      </c>
      <c r="S4374" s="30">
        <v>4.2040000000000001E-2</v>
      </c>
    </row>
    <row r="4375" spans="16:19" x14ac:dyDescent="0.25">
      <c r="P4375" s="27">
        <v>3.2548184716220556E-2</v>
      </c>
      <c r="Q4375" s="28">
        <f t="shared" si="72"/>
        <v>3.5548184716220559E-2</v>
      </c>
      <c r="R4375" s="29">
        <v>0.15</v>
      </c>
      <c r="S4375" s="30">
        <v>4.2380000000000001E-2</v>
      </c>
    </row>
    <row r="4376" spans="16:19" x14ac:dyDescent="0.25">
      <c r="P4376" s="27">
        <v>3.2548184716220556E-2</v>
      </c>
      <c r="Q4376" s="28">
        <f t="shared" si="72"/>
        <v>3.5548184716220559E-2</v>
      </c>
      <c r="R4376" s="29">
        <v>0.15</v>
      </c>
      <c r="S4376" s="30">
        <v>4.2450000000000002E-2</v>
      </c>
    </row>
    <row r="4377" spans="16:19" x14ac:dyDescent="0.25">
      <c r="P4377" s="27">
        <v>3.2548184716220556E-2</v>
      </c>
      <c r="Q4377" s="28">
        <f t="shared" si="72"/>
        <v>3.5548184716220559E-2</v>
      </c>
      <c r="R4377" s="29">
        <v>0.15</v>
      </c>
      <c r="S4377" s="30">
        <v>4.5999999999999999E-2</v>
      </c>
    </row>
    <row r="4378" spans="16:19" x14ac:dyDescent="0.25">
      <c r="P4378" s="27">
        <v>3.2548184716220556E-2</v>
      </c>
      <c r="Q4378" s="28">
        <f t="shared" si="72"/>
        <v>3.5548184716220559E-2</v>
      </c>
      <c r="R4378" s="29">
        <v>0.15</v>
      </c>
      <c r="S4378" s="30">
        <v>4.768E-2</v>
      </c>
    </row>
    <row r="4379" spans="16:19" x14ac:dyDescent="0.25">
      <c r="P4379" s="27">
        <v>3.2548184716220556E-2</v>
      </c>
      <c r="Q4379" s="28">
        <f t="shared" si="72"/>
        <v>3.5548184716220559E-2</v>
      </c>
      <c r="R4379" s="31">
        <v>0.15939660775771733</v>
      </c>
      <c r="S4379" s="32">
        <v>5.3159999999999999E-2</v>
      </c>
    </row>
    <row r="4380" spans="16:19" x14ac:dyDescent="0.25">
      <c r="P4380" s="27">
        <v>3.2548184716220556E-2</v>
      </c>
      <c r="Q4380" s="28">
        <f t="shared" si="72"/>
        <v>3.5548184716220559E-2</v>
      </c>
      <c r="R4380" s="33">
        <v>0.16282860775771735</v>
      </c>
      <c r="S4380" s="34">
        <v>5.2039999999999996E-2</v>
      </c>
    </row>
    <row r="4381" spans="16:19" x14ac:dyDescent="0.25">
      <c r="P4381" s="27">
        <v>3.2548184716220556E-2</v>
      </c>
      <c r="Q4381" s="28">
        <f t="shared" si="72"/>
        <v>3.5548184716220559E-2</v>
      </c>
      <c r="R4381" s="33">
        <v>0.16282860775771735</v>
      </c>
      <c r="S4381" s="34">
        <v>4.8000000000000001E-2</v>
      </c>
    </row>
    <row r="4382" spans="16:19" x14ac:dyDescent="0.25">
      <c r="P4382" s="27">
        <v>3.2548184716220556E-2</v>
      </c>
      <c r="Q4382" s="28">
        <f t="shared" si="72"/>
        <v>3.5548184716220559E-2</v>
      </c>
      <c r="R4382" s="33">
        <v>0.16282860775771735</v>
      </c>
      <c r="S4382" s="34">
        <v>4.5429999999999998E-2</v>
      </c>
    </row>
    <row r="4383" spans="16:19" x14ac:dyDescent="0.25">
      <c r="P4383" s="27">
        <v>3.2548184716220556E-2</v>
      </c>
      <c r="Q4383" s="28">
        <f t="shared" si="72"/>
        <v>3.5548184716220559E-2</v>
      </c>
      <c r="R4383" s="33">
        <v>0.16282860775771735</v>
      </c>
      <c r="S4383" s="34">
        <v>4.2180000000000002E-2</v>
      </c>
    </row>
    <row r="4384" spans="16:19" x14ac:dyDescent="0.25">
      <c r="P4384" s="27">
        <v>3.2548184716220556E-2</v>
      </c>
      <c r="Q4384" s="28">
        <f t="shared" si="72"/>
        <v>3.5548184716220559E-2</v>
      </c>
      <c r="R4384" s="33">
        <v>0.16282860775771735</v>
      </c>
      <c r="S4384" s="34">
        <v>4.1259999999999998E-2</v>
      </c>
    </row>
    <row r="4385" spans="16:19" x14ac:dyDescent="0.25">
      <c r="P4385" s="27">
        <v>3.2548184716220556E-2</v>
      </c>
      <c r="Q4385" s="28">
        <f t="shared" si="72"/>
        <v>3.5548184716220559E-2</v>
      </c>
      <c r="R4385" s="33">
        <v>0.16282860775771735</v>
      </c>
      <c r="S4385" s="34">
        <v>4.3990000000000001E-2</v>
      </c>
    </row>
    <row r="4386" spans="16:19" x14ac:dyDescent="0.25">
      <c r="P4386" s="27">
        <v>3.2548184716220556E-2</v>
      </c>
      <c r="Q4386" s="28">
        <f t="shared" si="72"/>
        <v>3.5548184716220559E-2</v>
      </c>
      <c r="R4386" s="33">
        <v>0.16282860775771735</v>
      </c>
      <c r="S4386" s="34">
        <v>4.5149999999999996E-2</v>
      </c>
    </row>
    <row r="4387" spans="16:19" x14ac:dyDescent="0.25">
      <c r="P4387" s="27">
        <v>3.2548184716220556E-2</v>
      </c>
      <c r="Q4387" s="28">
        <f t="shared" si="72"/>
        <v>3.5548184716220559E-2</v>
      </c>
      <c r="R4387" s="33">
        <v>0.16282860775771735</v>
      </c>
      <c r="S4387" s="34">
        <v>4.7259999999999996E-2</v>
      </c>
    </row>
    <row r="4388" spans="16:19" x14ac:dyDescent="0.25">
      <c r="P4388" s="27">
        <v>3.2548184716220556E-2</v>
      </c>
      <c r="Q4388" s="28">
        <f t="shared" si="72"/>
        <v>3.5548184716220559E-2</v>
      </c>
      <c r="R4388" s="33">
        <v>0.16282860775771735</v>
      </c>
      <c r="S4388" s="34">
        <v>4.7600000000000003E-2</v>
      </c>
    </row>
    <row r="4389" spans="16:19" x14ac:dyDescent="0.25">
      <c r="P4389" s="27">
        <v>3.2548184716220556E-2</v>
      </c>
      <c r="Q4389" s="28">
        <f t="shared" si="72"/>
        <v>3.5548184716220559E-2</v>
      </c>
      <c r="R4389" s="33">
        <v>0.16282860775771735</v>
      </c>
      <c r="S4389" s="34">
        <v>0.05</v>
      </c>
    </row>
    <row r="4390" spans="16:19" x14ac:dyDescent="0.25">
      <c r="P4390" s="27">
        <v>3.2548184716220556E-2</v>
      </c>
      <c r="Q4390" s="28">
        <f t="shared" si="72"/>
        <v>3.5548184716220559E-2</v>
      </c>
      <c r="R4390" s="33">
        <v>0.16282860775771735</v>
      </c>
      <c r="S4390" s="34">
        <v>5.1499999999999997E-2</v>
      </c>
    </row>
    <row r="4391" spans="16:19" x14ac:dyDescent="0.25">
      <c r="P4391" s="27">
        <v>3.2548184716220556E-2</v>
      </c>
      <c r="Q4391" s="28">
        <f t="shared" si="72"/>
        <v>3.5548184716220559E-2</v>
      </c>
      <c r="R4391" s="31">
        <v>0.15939660775771733</v>
      </c>
      <c r="S4391" s="32">
        <v>5.1499999999999997E-2</v>
      </c>
    </row>
    <row r="4392" spans="16:19" x14ac:dyDescent="0.25">
      <c r="P4392" s="27">
        <v>3.2548184716220556E-2</v>
      </c>
      <c r="Q4392" s="28">
        <f t="shared" si="72"/>
        <v>3.5548184716220559E-2</v>
      </c>
      <c r="R4392" s="31">
        <v>0.15939660775771733</v>
      </c>
      <c r="S4392" s="32">
        <v>5.3499999999999999E-2</v>
      </c>
    </row>
    <row r="4393" spans="16:19" x14ac:dyDescent="0.25">
      <c r="P4393" s="27">
        <v>3.2548184716220556E-2</v>
      </c>
      <c r="Q4393" s="28">
        <f t="shared" si="72"/>
        <v>3.5548184716220559E-2</v>
      </c>
      <c r="R4393" s="31">
        <v>0.15939660775771733</v>
      </c>
      <c r="S4393" s="32">
        <v>4.7E-2</v>
      </c>
    </row>
    <row r="4394" spans="16:19" x14ac:dyDescent="0.25">
      <c r="P4394" s="27">
        <v>3.2548184716220556E-2</v>
      </c>
      <c r="Q4394" s="28">
        <f t="shared" si="72"/>
        <v>3.5548184716220559E-2</v>
      </c>
      <c r="R4394" s="31">
        <v>0.15939660775771733</v>
      </c>
      <c r="S4394" s="32">
        <v>4.5039999999999997E-2</v>
      </c>
    </row>
    <row r="4395" spans="16:19" x14ac:dyDescent="0.25">
      <c r="P4395" s="27">
        <v>3.2548184716220556E-2</v>
      </c>
      <c r="Q4395" s="28">
        <f t="shared" si="72"/>
        <v>3.5548184716220559E-2</v>
      </c>
      <c r="R4395" s="29">
        <v>0.15003660775771735</v>
      </c>
      <c r="S4395" s="30">
        <v>4.1619999999999997E-2</v>
      </c>
    </row>
    <row r="4396" spans="16:19" x14ac:dyDescent="0.25">
      <c r="P4396" s="27">
        <v>3.2548184716220556E-2</v>
      </c>
      <c r="Q4396" s="28">
        <f t="shared" si="72"/>
        <v>3.5548184716220559E-2</v>
      </c>
      <c r="R4396" s="29">
        <v>0.15003660775771735</v>
      </c>
      <c r="S4396" s="30">
        <v>3.9450000000000006E-2</v>
      </c>
    </row>
    <row r="4397" spans="16:19" x14ac:dyDescent="0.25">
      <c r="P4397" s="27">
        <v>3.2548184716220556E-2</v>
      </c>
      <c r="Q4397" s="28">
        <f t="shared" si="72"/>
        <v>3.5548184716220559E-2</v>
      </c>
      <c r="R4397" s="29">
        <v>0.15003660775771735</v>
      </c>
      <c r="S4397" s="30">
        <v>3.8770000000000006E-2</v>
      </c>
    </row>
    <row r="4398" spans="16:19" x14ac:dyDescent="0.25">
      <c r="P4398" s="27">
        <v>3.2548184716220556E-2</v>
      </c>
      <c r="Q4398" s="28">
        <f t="shared" si="72"/>
        <v>3.5548184716220559E-2</v>
      </c>
      <c r="R4398" s="29">
        <v>0.15003660775771735</v>
      </c>
      <c r="S4398" s="30">
        <v>3.8490000000000003E-2</v>
      </c>
    </row>
    <row r="4399" spans="16:19" x14ac:dyDescent="0.25">
      <c r="P4399" s="27">
        <v>3.2548184716220556E-2</v>
      </c>
      <c r="Q4399" s="28">
        <f t="shared" si="72"/>
        <v>3.5548184716220559E-2</v>
      </c>
      <c r="R4399" s="29">
        <v>0.15003660775771735</v>
      </c>
      <c r="S4399" s="30">
        <v>3.8490000000000003E-2</v>
      </c>
    </row>
    <row r="4400" spans="16:19" x14ac:dyDescent="0.25">
      <c r="P4400" s="27">
        <v>3.2548184716220556E-2</v>
      </c>
      <c r="Q4400" s="28">
        <f t="shared" si="72"/>
        <v>3.5548184716220559E-2</v>
      </c>
      <c r="R4400" s="29">
        <v>0.15003660775771735</v>
      </c>
      <c r="S4400" s="30">
        <v>3.9020000000000006E-2</v>
      </c>
    </row>
    <row r="4401" spans="16:19" x14ac:dyDescent="0.25">
      <c r="P4401" s="27">
        <v>3.2548184716220556E-2</v>
      </c>
      <c r="Q4401" s="28">
        <f t="shared" si="72"/>
        <v>3.5548184716220559E-2</v>
      </c>
      <c r="R4401" s="29">
        <v>0.15003660775771735</v>
      </c>
      <c r="S4401" s="30">
        <v>4.1020000000000001E-2</v>
      </c>
    </row>
    <row r="4402" spans="16:19" x14ac:dyDescent="0.25">
      <c r="P4402" s="27">
        <v>3.2548184716220556E-2</v>
      </c>
      <c r="Q4402" s="28">
        <f t="shared" si="72"/>
        <v>3.5548184716220559E-2</v>
      </c>
      <c r="R4402" s="29">
        <v>0.15003660775771735</v>
      </c>
      <c r="S4402" s="30">
        <v>4.7090000000000007E-2</v>
      </c>
    </row>
    <row r="4403" spans="16:19" x14ac:dyDescent="0.25">
      <c r="P4403" s="27">
        <v>3.2548184716220556E-2</v>
      </c>
      <c r="Q4403" s="28">
        <f t="shared" si="72"/>
        <v>3.5548184716220559E-2</v>
      </c>
      <c r="R4403" s="31">
        <v>0.15939660775771733</v>
      </c>
      <c r="S4403" s="32">
        <v>4.9090000000000002E-2</v>
      </c>
    </row>
    <row r="4404" spans="16:19" x14ac:dyDescent="0.25">
      <c r="P4404" s="27">
        <v>3.2548184716220556E-2</v>
      </c>
      <c r="Q4404" s="28">
        <f t="shared" si="72"/>
        <v>3.5548184716220559E-2</v>
      </c>
      <c r="R4404" s="33">
        <v>0.16282860775771735</v>
      </c>
      <c r="S4404" s="34">
        <v>4.8460000000000003E-2</v>
      </c>
    </row>
    <row r="4405" spans="16:19" x14ac:dyDescent="0.25">
      <c r="P4405" s="27">
        <v>3.2548184716220556E-2</v>
      </c>
      <c r="Q4405" s="28">
        <f t="shared" si="72"/>
        <v>3.5548184716220559E-2</v>
      </c>
      <c r="R4405" s="33">
        <v>0.16282860775771735</v>
      </c>
      <c r="S4405" s="34">
        <v>4.7E-2</v>
      </c>
    </row>
    <row r="4406" spans="16:19" x14ac:dyDescent="0.25">
      <c r="P4406" s="27">
        <v>3.2548184716220556E-2</v>
      </c>
      <c r="Q4406" s="28">
        <f t="shared" si="72"/>
        <v>3.5548184716220559E-2</v>
      </c>
      <c r="R4406" s="33">
        <v>0.16282860775771735</v>
      </c>
      <c r="S4406" s="34">
        <v>4.5429999999999998E-2</v>
      </c>
    </row>
    <row r="4407" spans="16:19" x14ac:dyDescent="0.25">
      <c r="P4407" s="27">
        <v>3.2548184716220556E-2</v>
      </c>
      <c r="Q4407" s="28">
        <f t="shared" si="72"/>
        <v>3.5548184716220559E-2</v>
      </c>
      <c r="R4407" s="33">
        <v>0.16282860775771735</v>
      </c>
      <c r="S4407" s="34">
        <v>4.1000000000000002E-2</v>
      </c>
    </row>
    <row r="4408" spans="16:19" x14ac:dyDescent="0.25">
      <c r="P4408" s="27">
        <v>3.2548184716220556E-2</v>
      </c>
      <c r="Q4408" s="28">
        <f t="shared" si="72"/>
        <v>3.5548184716220559E-2</v>
      </c>
      <c r="R4408" s="33">
        <v>0.16282860775771735</v>
      </c>
      <c r="S4408" s="34">
        <v>4.0989999999999999E-2</v>
      </c>
    </row>
    <row r="4409" spans="16:19" x14ac:dyDescent="0.25">
      <c r="P4409" s="27">
        <v>3.2548184716220556E-2</v>
      </c>
      <c r="Q4409" s="28">
        <f t="shared" si="72"/>
        <v>3.5548184716220559E-2</v>
      </c>
      <c r="R4409" s="33">
        <v>0.16282860775771735</v>
      </c>
      <c r="S4409" s="34">
        <v>4.3830000000000001E-2</v>
      </c>
    </row>
    <row r="4410" spans="16:19" x14ac:dyDescent="0.25">
      <c r="P4410" s="27">
        <v>3.2548184716220556E-2</v>
      </c>
      <c r="Q4410" s="28">
        <f t="shared" si="72"/>
        <v>3.5548184716220559E-2</v>
      </c>
      <c r="R4410" s="33">
        <v>0.16282860775771735</v>
      </c>
      <c r="S4410" s="34">
        <v>4.5149999999999996E-2</v>
      </c>
    </row>
    <row r="4411" spans="16:19" x14ac:dyDescent="0.25">
      <c r="P4411" s="27">
        <v>3.2548184716220556E-2</v>
      </c>
      <c r="Q4411" s="28">
        <f t="shared" si="72"/>
        <v>3.5548184716220559E-2</v>
      </c>
      <c r="R4411" s="33">
        <v>0.16282860775771735</v>
      </c>
      <c r="S4411" s="34">
        <v>4.761E-2</v>
      </c>
    </row>
    <row r="4412" spans="16:19" x14ac:dyDescent="0.25">
      <c r="P4412" s="27">
        <v>3.2548184716220556E-2</v>
      </c>
      <c r="Q4412" s="28">
        <f t="shared" si="72"/>
        <v>3.5548184716220559E-2</v>
      </c>
      <c r="R4412" s="33">
        <v>0.16282860775771735</v>
      </c>
      <c r="S4412" s="34">
        <v>4.761E-2</v>
      </c>
    </row>
    <row r="4413" spans="16:19" x14ac:dyDescent="0.25">
      <c r="P4413" s="27">
        <v>3.2548184716220556E-2</v>
      </c>
      <c r="Q4413" s="28">
        <f t="shared" si="72"/>
        <v>3.5548184716220559E-2</v>
      </c>
      <c r="R4413" s="33">
        <v>0.16282860775771735</v>
      </c>
      <c r="S4413" s="34">
        <v>4.8784276000000001E-2</v>
      </c>
    </row>
    <row r="4414" spans="16:19" x14ac:dyDescent="0.25">
      <c r="P4414" s="27">
        <v>3.2548184716220556E-2</v>
      </c>
      <c r="Q4414" s="28">
        <f t="shared" si="72"/>
        <v>3.5548184716220559E-2</v>
      </c>
      <c r="R4414" s="33">
        <v>0.16282860775771735</v>
      </c>
      <c r="S4414" s="34">
        <v>4.999E-2</v>
      </c>
    </row>
    <row r="4415" spans="16:19" x14ac:dyDescent="0.25">
      <c r="P4415" s="27">
        <v>3.2548184716220556E-2</v>
      </c>
      <c r="Q4415" s="28">
        <f t="shared" si="72"/>
        <v>3.5548184716220559E-2</v>
      </c>
      <c r="R4415" s="31">
        <v>0.15939660775771733</v>
      </c>
      <c r="S4415" s="32">
        <v>0.05</v>
      </c>
    </row>
    <row r="4416" spans="16:19" x14ac:dyDescent="0.25">
      <c r="P4416" s="27">
        <v>3.2548184716220556E-2</v>
      </c>
      <c r="Q4416" s="28">
        <f t="shared" si="72"/>
        <v>3.5548184716220559E-2</v>
      </c>
      <c r="R4416" s="31">
        <v>0.15939660775771733</v>
      </c>
      <c r="S4416" s="32">
        <v>4.999E-2</v>
      </c>
    </row>
    <row r="4417" spans="16:19" x14ac:dyDescent="0.25">
      <c r="P4417" s="27">
        <v>3.2548184716220556E-2</v>
      </c>
      <c r="Q4417" s="28">
        <f t="shared" si="72"/>
        <v>3.5548184716220559E-2</v>
      </c>
      <c r="R4417" s="31">
        <v>0.15939660775771733</v>
      </c>
      <c r="S4417" s="32">
        <v>4.7240000000000004E-2</v>
      </c>
    </row>
    <row r="4418" spans="16:19" x14ac:dyDescent="0.25">
      <c r="P4418" s="27">
        <v>3.2548184716220556E-2</v>
      </c>
      <c r="Q4418" s="28">
        <f t="shared" si="72"/>
        <v>3.5548184716220559E-2</v>
      </c>
      <c r="R4418" s="31">
        <v>0.15939660775771733</v>
      </c>
      <c r="S4418" s="32">
        <v>4.546E-2</v>
      </c>
    </row>
    <row r="4419" spans="16:19" x14ac:dyDescent="0.25">
      <c r="P4419" s="27">
        <v>3.2548184716220556E-2</v>
      </c>
      <c r="Q4419" s="28">
        <f t="shared" si="72"/>
        <v>3.5548184716220559E-2</v>
      </c>
      <c r="R4419" s="29">
        <v>0.15003660775771735</v>
      </c>
      <c r="S4419" s="30">
        <v>4.3540000000000002E-2</v>
      </c>
    </row>
    <row r="4420" spans="16:19" x14ac:dyDescent="0.25">
      <c r="P4420" s="27">
        <v>3.2548184716220556E-2</v>
      </c>
      <c r="Q4420" s="28">
        <f t="shared" si="72"/>
        <v>3.5548184716220559E-2</v>
      </c>
      <c r="R4420" s="29">
        <v>0.15003660775771735</v>
      </c>
      <c r="S4420" s="30">
        <v>3.9380000000000005E-2</v>
      </c>
    </row>
    <row r="4421" spans="16:19" x14ac:dyDescent="0.25">
      <c r="P4421" s="27">
        <v>3.2548184716220556E-2</v>
      </c>
      <c r="Q4421" s="28">
        <f t="shared" ref="Q4421:Q4484" si="73">P4421+0.003</f>
        <v>3.5548184716220559E-2</v>
      </c>
      <c r="R4421" s="29">
        <v>0.15003660775771735</v>
      </c>
      <c r="S4421" s="30">
        <v>3.7051753E-2</v>
      </c>
    </row>
    <row r="4422" spans="16:19" x14ac:dyDescent="0.25">
      <c r="P4422" s="27">
        <v>3.2548184716220556E-2</v>
      </c>
      <c r="Q4422" s="28">
        <f t="shared" si="73"/>
        <v>3.5548184716220559E-2</v>
      </c>
      <c r="R4422" s="29">
        <v>0.15003660775771735</v>
      </c>
      <c r="S4422" s="30">
        <v>3.61E-2</v>
      </c>
    </row>
    <row r="4423" spans="16:19" x14ac:dyDescent="0.25">
      <c r="P4423" s="27">
        <v>3.2548184716220556E-2</v>
      </c>
      <c r="Q4423" s="28">
        <f t="shared" si="73"/>
        <v>3.5548184716220559E-2</v>
      </c>
      <c r="R4423" s="29">
        <v>0.15003660775771735</v>
      </c>
      <c r="S4423" s="30">
        <v>3.61E-2</v>
      </c>
    </row>
    <row r="4424" spans="16:19" x14ac:dyDescent="0.25">
      <c r="P4424" s="27">
        <v>3.2548184716220556E-2</v>
      </c>
      <c r="Q4424" s="28">
        <f t="shared" si="73"/>
        <v>3.5548184716220559E-2</v>
      </c>
      <c r="R4424" s="29">
        <v>0.15003660775771735</v>
      </c>
      <c r="S4424" s="30">
        <v>3.7909999999999999E-2</v>
      </c>
    </row>
    <row r="4425" spans="16:19" x14ac:dyDescent="0.25">
      <c r="P4425" s="27">
        <v>3.2548184716220556E-2</v>
      </c>
      <c r="Q4425" s="28">
        <f t="shared" si="73"/>
        <v>3.5548184716220559E-2</v>
      </c>
      <c r="R4425" s="29">
        <v>0.15003660775771735</v>
      </c>
      <c r="S4425" s="30">
        <v>0.04</v>
      </c>
    </row>
    <row r="4426" spans="16:19" x14ac:dyDescent="0.25">
      <c r="P4426" s="27">
        <v>3.2548184716220556E-2</v>
      </c>
      <c r="Q4426" s="28">
        <f t="shared" si="73"/>
        <v>3.5548184716220559E-2</v>
      </c>
      <c r="R4426" s="29">
        <v>0.15003660775771735</v>
      </c>
      <c r="S4426" s="30">
        <v>4.6834463999999999E-2</v>
      </c>
    </row>
    <row r="4427" spans="16:19" x14ac:dyDescent="0.25">
      <c r="P4427" s="27">
        <v>3.2548184716220556E-2</v>
      </c>
      <c r="Q4427" s="28">
        <f t="shared" si="73"/>
        <v>3.5548184716220559E-2</v>
      </c>
      <c r="R4427" s="31">
        <v>0.15939660775771733</v>
      </c>
      <c r="S4427" s="32">
        <v>4.8329999999999998E-2</v>
      </c>
    </row>
    <row r="4428" spans="16:19" x14ac:dyDescent="0.25">
      <c r="P4428" s="27">
        <v>3.2548184716220556E-2</v>
      </c>
      <c r="Q4428" s="28">
        <f t="shared" si="73"/>
        <v>3.5548184716220559E-2</v>
      </c>
      <c r="R4428" s="33">
        <v>0.16282860775771735</v>
      </c>
      <c r="S4428" s="34">
        <v>5.2299999999999999E-2</v>
      </c>
    </row>
    <row r="4429" spans="16:19" x14ac:dyDescent="0.25">
      <c r="P4429" s="27">
        <v>3.2548184716220556E-2</v>
      </c>
      <c r="Q4429" s="28">
        <f t="shared" si="73"/>
        <v>3.5548184716220559E-2</v>
      </c>
      <c r="R4429" s="33">
        <v>0.16282860775771735</v>
      </c>
      <c r="S4429" s="34">
        <v>4.9009999999999998E-2</v>
      </c>
    </row>
    <row r="4430" spans="16:19" x14ac:dyDescent="0.25">
      <c r="P4430" s="27">
        <v>3.2548184716220556E-2</v>
      </c>
      <c r="Q4430" s="28">
        <f t="shared" si="73"/>
        <v>3.5548184716220559E-2</v>
      </c>
      <c r="R4430" s="33">
        <v>0.16282860775771735</v>
      </c>
      <c r="S4430" s="34">
        <v>4.9009999999999998E-2</v>
      </c>
    </row>
    <row r="4431" spans="16:19" x14ac:dyDescent="0.25">
      <c r="P4431" s="27">
        <v>3.2548184716220556E-2</v>
      </c>
      <c r="Q4431" s="28">
        <f t="shared" si="73"/>
        <v>3.5548184716220559E-2</v>
      </c>
      <c r="R4431" s="33">
        <v>0.16282860775771735</v>
      </c>
      <c r="S4431" s="34">
        <v>4.4999999999999998E-2</v>
      </c>
    </row>
    <row r="4432" spans="16:19" x14ac:dyDescent="0.25">
      <c r="P4432" s="27">
        <v>3.2548184716220556E-2</v>
      </c>
      <c r="Q4432" s="28">
        <f t="shared" si="73"/>
        <v>3.5548184716220559E-2</v>
      </c>
      <c r="R4432" s="33">
        <v>0.16282860775771735</v>
      </c>
      <c r="S4432" s="34">
        <v>4.4159999999999998E-2</v>
      </c>
    </row>
    <row r="4433" spans="16:19" x14ac:dyDescent="0.25">
      <c r="P4433" s="27">
        <v>3.2548184716220556E-2</v>
      </c>
      <c r="Q4433" s="28">
        <f t="shared" si="73"/>
        <v>3.5548184716220559E-2</v>
      </c>
      <c r="R4433" s="33">
        <v>0.16282860775771735</v>
      </c>
      <c r="S4433" s="34">
        <v>4.512E-2</v>
      </c>
    </row>
    <row r="4434" spans="16:19" x14ac:dyDescent="0.25">
      <c r="P4434" s="27">
        <v>3.2548184716220556E-2</v>
      </c>
      <c r="Q4434" s="28">
        <f t="shared" si="73"/>
        <v>3.5548184716220559E-2</v>
      </c>
      <c r="R4434" s="33">
        <v>0.16282860775771735</v>
      </c>
      <c r="S4434" s="34">
        <v>4.7619999999999996E-2</v>
      </c>
    </row>
    <row r="4435" spans="16:19" x14ac:dyDescent="0.25">
      <c r="P4435" s="27">
        <v>3.2548184716220556E-2</v>
      </c>
      <c r="Q4435" s="28">
        <f t="shared" si="73"/>
        <v>3.5548184716220559E-2</v>
      </c>
      <c r="R4435" s="33">
        <v>0.16282860775771735</v>
      </c>
      <c r="S4435" s="34">
        <v>4.99E-2</v>
      </c>
    </row>
    <row r="4436" spans="16:19" x14ac:dyDescent="0.25">
      <c r="P4436" s="27">
        <v>3.2548184716220556E-2</v>
      </c>
      <c r="Q4436" s="28">
        <f t="shared" si="73"/>
        <v>3.5548184716220559E-2</v>
      </c>
      <c r="R4436" s="33">
        <v>0.16282860775771735</v>
      </c>
      <c r="S4436" s="34">
        <v>4.7840000000000001E-2</v>
      </c>
    </row>
    <row r="4437" spans="16:19" x14ac:dyDescent="0.25">
      <c r="P4437" s="27">
        <v>3.2548184716220556E-2</v>
      </c>
      <c r="Q4437" s="28">
        <f t="shared" si="73"/>
        <v>3.5548184716220559E-2</v>
      </c>
      <c r="R4437" s="33">
        <v>0.16282860775771735</v>
      </c>
      <c r="S4437" s="34">
        <v>4.999E-2</v>
      </c>
    </row>
    <row r="4438" spans="16:19" x14ac:dyDescent="0.25">
      <c r="P4438" s="27">
        <v>3.2548184716220556E-2</v>
      </c>
      <c r="Q4438" s="28">
        <f t="shared" si="73"/>
        <v>3.5548184716220559E-2</v>
      </c>
      <c r="R4438" s="33">
        <v>0.16282860775771735</v>
      </c>
      <c r="S4438" s="34">
        <v>4.999E-2</v>
      </c>
    </row>
    <row r="4439" spans="16:19" x14ac:dyDescent="0.25">
      <c r="P4439" s="27">
        <v>3.2548184716220556E-2</v>
      </c>
      <c r="Q4439" s="28">
        <f t="shared" si="73"/>
        <v>3.5548184716220559E-2</v>
      </c>
      <c r="R4439" s="31">
        <v>0.15939660775771733</v>
      </c>
      <c r="S4439" s="32">
        <v>4.99E-2</v>
      </c>
    </row>
    <row r="4440" spans="16:19" x14ac:dyDescent="0.25">
      <c r="P4440" s="27">
        <v>3.2548184716220556E-2</v>
      </c>
      <c r="Q4440" s="28">
        <f t="shared" si="73"/>
        <v>3.5548184716220559E-2</v>
      </c>
      <c r="R4440" s="31">
        <v>0.15939660775771733</v>
      </c>
      <c r="S4440" s="32">
        <v>4.9924079999999996E-2</v>
      </c>
    </row>
    <row r="4441" spans="16:19" x14ac:dyDescent="0.25">
      <c r="P4441" s="27">
        <v>3.2548184716220556E-2</v>
      </c>
      <c r="Q4441" s="28">
        <f t="shared" si="73"/>
        <v>3.5548184716220559E-2</v>
      </c>
      <c r="R4441" s="31">
        <v>0.15939660775771733</v>
      </c>
      <c r="S4441" s="32">
        <v>4.7E-2</v>
      </c>
    </row>
    <row r="4442" spans="16:19" x14ac:dyDescent="0.25">
      <c r="P4442" s="27">
        <v>3.2548184716220556E-2</v>
      </c>
      <c r="Q4442" s="28">
        <f t="shared" si="73"/>
        <v>3.5548184716220559E-2</v>
      </c>
      <c r="R4442" s="31">
        <v>0.15939660775771733</v>
      </c>
      <c r="S4442" s="32">
        <v>4.4990000000000002E-2</v>
      </c>
    </row>
    <row r="4443" spans="16:19" x14ac:dyDescent="0.25">
      <c r="P4443" s="27">
        <v>3.2548184716220556E-2</v>
      </c>
      <c r="Q4443" s="28">
        <f t="shared" si="73"/>
        <v>3.5548184716220559E-2</v>
      </c>
      <c r="R4443" s="29">
        <v>0.15003660775771735</v>
      </c>
      <c r="S4443" s="30">
        <v>4.2486711999999996E-2</v>
      </c>
    </row>
    <row r="4444" spans="16:19" x14ac:dyDescent="0.25">
      <c r="P4444" s="27">
        <v>3.2548184716220556E-2</v>
      </c>
      <c r="Q4444" s="28">
        <f t="shared" si="73"/>
        <v>3.5548184716220559E-2</v>
      </c>
      <c r="R4444" s="29">
        <v>0.15003660775771735</v>
      </c>
      <c r="S4444" s="30">
        <v>4.1180000000000001E-2</v>
      </c>
    </row>
    <row r="4445" spans="16:19" x14ac:dyDescent="0.25">
      <c r="P4445" s="27">
        <v>3.2548184716220556E-2</v>
      </c>
      <c r="Q4445" s="28">
        <f t="shared" si="73"/>
        <v>3.5548184716220559E-2</v>
      </c>
      <c r="R4445" s="29">
        <v>0.15003660775771735</v>
      </c>
      <c r="S4445" s="30">
        <v>0.04</v>
      </c>
    </row>
    <row r="4446" spans="16:19" x14ac:dyDescent="0.25">
      <c r="P4446" s="27">
        <v>3.2548184716220556E-2</v>
      </c>
      <c r="Q4446" s="28">
        <f t="shared" si="73"/>
        <v>3.5548184716220559E-2</v>
      </c>
      <c r="R4446" s="29">
        <v>0.15003660775771735</v>
      </c>
      <c r="S4446" s="30">
        <v>3.8429999999999999E-2</v>
      </c>
    </row>
    <row r="4447" spans="16:19" x14ac:dyDescent="0.25">
      <c r="P4447" s="27">
        <v>3.2548184716220556E-2</v>
      </c>
      <c r="Q4447" s="28">
        <f t="shared" si="73"/>
        <v>3.5548184716220559E-2</v>
      </c>
      <c r="R4447" s="29">
        <v>0.15003660775771735</v>
      </c>
      <c r="S4447" s="30">
        <v>0.04</v>
      </c>
    </row>
    <row r="4448" spans="16:19" x14ac:dyDescent="0.25">
      <c r="P4448" s="27">
        <v>3.2548184716220556E-2</v>
      </c>
      <c r="Q4448" s="28">
        <f t="shared" si="73"/>
        <v>3.5548184716220559E-2</v>
      </c>
      <c r="R4448" s="29">
        <v>0.15003660775771735</v>
      </c>
      <c r="S4448" s="30">
        <v>3.857E-2</v>
      </c>
    </row>
    <row r="4449" spans="16:19" x14ac:dyDescent="0.25">
      <c r="P4449" s="27">
        <v>3.2548184716220556E-2</v>
      </c>
      <c r="Q4449" s="28">
        <f t="shared" si="73"/>
        <v>3.5548184716220559E-2</v>
      </c>
      <c r="R4449" s="29">
        <v>0.15003660775771735</v>
      </c>
      <c r="S4449" s="30">
        <v>3.8929999999999999E-2</v>
      </c>
    </row>
    <row r="4450" spans="16:19" x14ac:dyDescent="0.25">
      <c r="P4450" s="27">
        <v>3.2548184716220556E-2</v>
      </c>
      <c r="Q4450" s="28">
        <f t="shared" si="73"/>
        <v>3.5548184716220559E-2</v>
      </c>
      <c r="R4450" s="29">
        <v>0.15003660775771735</v>
      </c>
      <c r="S4450" s="30">
        <v>4.3429999999999996E-2</v>
      </c>
    </row>
    <row r="4451" spans="16:19" x14ac:dyDescent="0.25">
      <c r="P4451" s="27">
        <v>3.2548184716220556E-2</v>
      </c>
      <c r="Q4451" s="28">
        <f t="shared" si="73"/>
        <v>3.5548184716220559E-2</v>
      </c>
      <c r="R4451" s="31">
        <v>0.15939660775771733</v>
      </c>
      <c r="S4451" s="32">
        <v>4.3990000000000001E-2</v>
      </c>
    </row>
    <row r="4452" spans="16:19" x14ac:dyDescent="0.25">
      <c r="P4452" s="27">
        <v>3.2548184716220556E-2</v>
      </c>
      <c r="Q4452" s="28">
        <f t="shared" si="73"/>
        <v>3.5548184716220559E-2</v>
      </c>
      <c r="R4452" s="33">
        <v>0.16282860775771735</v>
      </c>
      <c r="S4452" s="34">
        <v>4.258E-2</v>
      </c>
    </row>
    <row r="4453" spans="16:19" x14ac:dyDescent="0.25">
      <c r="P4453" s="27">
        <v>3.2548184716220556E-2</v>
      </c>
      <c r="Q4453" s="28">
        <f t="shared" si="73"/>
        <v>3.5548184716220559E-2</v>
      </c>
      <c r="R4453" s="33">
        <v>0.16282860775771735</v>
      </c>
      <c r="S4453" s="34">
        <v>4.0939999999999997E-2</v>
      </c>
    </row>
    <row r="4454" spans="16:19" x14ac:dyDescent="0.25">
      <c r="P4454" s="27">
        <v>3.2548184716220556E-2</v>
      </c>
      <c r="Q4454" s="28">
        <f t="shared" si="73"/>
        <v>3.5548184716220559E-2</v>
      </c>
      <c r="R4454" s="33">
        <v>0.16282860775771735</v>
      </c>
      <c r="S4454" s="34">
        <v>3.8801685999999995E-2</v>
      </c>
    </row>
    <row r="4455" spans="16:19" x14ac:dyDescent="0.25">
      <c r="P4455" s="27">
        <v>3.2548184716220556E-2</v>
      </c>
      <c r="Q4455" s="28">
        <f t="shared" si="73"/>
        <v>3.5548184716220559E-2</v>
      </c>
      <c r="R4455" s="33">
        <v>0.16282860775771735</v>
      </c>
      <c r="S4455" s="34">
        <v>3.2970246000000002E-2</v>
      </c>
    </row>
    <row r="4456" spans="16:19" x14ac:dyDescent="0.25">
      <c r="P4456" s="27">
        <v>3.2548184716220556E-2</v>
      </c>
      <c r="Q4456" s="28">
        <f t="shared" si="73"/>
        <v>3.5548184716220559E-2</v>
      </c>
      <c r="R4456" s="33">
        <v>0.16282860775771735</v>
      </c>
      <c r="S4456" s="34">
        <v>2.6260000000000002E-2</v>
      </c>
    </row>
    <row r="4457" spans="16:19" x14ac:dyDescent="0.25">
      <c r="P4457" s="27">
        <v>3.2548184716220556E-2</v>
      </c>
      <c r="Q4457" s="28">
        <f t="shared" si="73"/>
        <v>3.5548184716220559E-2</v>
      </c>
      <c r="R4457" s="33">
        <v>0.16282860775771735</v>
      </c>
      <c r="S4457" s="34">
        <v>2.46E-2</v>
      </c>
    </row>
    <row r="4458" spans="16:19" x14ac:dyDescent="0.25">
      <c r="P4458" s="27">
        <v>3.2548184716220556E-2</v>
      </c>
      <c r="Q4458" s="28">
        <f t="shared" si="73"/>
        <v>3.5548184716220559E-2</v>
      </c>
      <c r="R4458" s="33">
        <v>0.16282860775771735</v>
      </c>
      <c r="S4458" s="34">
        <v>3.0789999999999998E-2</v>
      </c>
    </row>
    <row r="4459" spans="16:19" x14ac:dyDescent="0.25">
      <c r="P4459" s="27">
        <v>3.2548184716220556E-2</v>
      </c>
      <c r="Q4459" s="28">
        <f t="shared" si="73"/>
        <v>3.5548184716220559E-2</v>
      </c>
      <c r="R4459" s="33">
        <v>0.16282860775771735</v>
      </c>
      <c r="S4459" s="34">
        <v>3.3149999999999999E-2</v>
      </c>
    </row>
    <row r="4460" spans="16:19" x14ac:dyDescent="0.25">
      <c r="P4460" s="27">
        <v>3.2548184716220556E-2</v>
      </c>
      <c r="Q4460" s="28">
        <f t="shared" si="73"/>
        <v>3.5548184716220559E-2</v>
      </c>
      <c r="R4460" s="33">
        <v>0.16282860775771735</v>
      </c>
      <c r="S4460" s="34">
        <v>3.8280000000000002E-2</v>
      </c>
    </row>
    <row r="4461" spans="16:19" x14ac:dyDescent="0.25">
      <c r="P4461" s="27">
        <v>3.2548184716220556E-2</v>
      </c>
      <c r="Q4461" s="28">
        <f t="shared" si="73"/>
        <v>3.5548184716220559E-2</v>
      </c>
      <c r="R4461" s="33">
        <v>0.16282860775771735</v>
      </c>
      <c r="S4461" s="34">
        <v>0.04</v>
      </c>
    </row>
    <row r="4462" spans="16:19" x14ac:dyDescent="0.25">
      <c r="P4462" s="27">
        <v>3.2548184716220556E-2</v>
      </c>
      <c r="Q4462" s="28">
        <f t="shared" si="73"/>
        <v>3.5548184716220559E-2</v>
      </c>
      <c r="R4462" s="33">
        <v>0.16282860775771735</v>
      </c>
      <c r="S4462" s="34">
        <v>4.4719999999999996E-2</v>
      </c>
    </row>
    <row r="4463" spans="16:19" x14ac:dyDescent="0.25">
      <c r="P4463" s="27">
        <v>3.2548184716220556E-2</v>
      </c>
      <c r="Q4463" s="28">
        <f t="shared" si="73"/>
        <v>3.5548184716220559E-2</v>
      </c>
      <c r="R4463" s="31">
        <v>0.15939660775771733</v>
      </c>
      <c r="S4463" s="32">
        <v>4.5409999999999999E-2</v>
      </c>
    </row>
    <row r="4464" spans="16:19" x14ac:dyDescent="0.25">
      <c r="P4464" s="27">
        <v>3.2548184716220556E-2</v>
      </c>
      <c r="Q4464" s="28">
        <f t="shared" si="73"/>
        <v>3.5548184716220559E-2</v>
      </c>
      <c r="R4464" s="31">
        <v>0.15939660775771733</v>
      </c>
      <c r="S4464" s="32">
        <v>4.8060000000000005E-2</v>
      </c>
    </row>
    <row r="4465" spans="16:19" x14ac:dyDescent="0.25">
      <c r="P4465" s="27">
        <v>3.2548184716220556E-2</v>
      </c>
      <c r="Q4465" s="28">
        <f t="shared" si="73"/>
        <v>3.5548184716220559E-2</v>
      </c>
      <c r="R4465" s="31">
        <v>0.15939660775771733</v>
      </c>
      <c r="S4465" s="32">
        <v>4.2930000000000003E-2</v>
      </c>
    </row>
    <row r="4466" spans="16:19" x14ac:dyDescent="0.25">
      <c r="P4466" s="27">
        <v>3.2548184716220556E-2</v>
      </c>
      <c r="Q4466" s="28">
        <f t="shared" si="73"/>
        <v>3.5548184716220559E-2</v>
      </c>
      <c r="R4466" s="31">
        <v>0.15939660775771733</v>
      </c>
      <c r="S4466" s="32">
        <v>4.1430000000000002E-2</v>
      </c>
    </row>
    <row r="4467" spans="16:19" x14ac:dyDescent="0.25">
      <c r="P4467" s="27">
        <v>3.2548184716220556E-2</v>
      </c>
      <c r="Q4467" s="28">
        <f t="shared" si="73"/>
        <v>3.5548184716220559E-2</v>
      </c>
      <c r="R4467" s="29">
        <v>0.15003660775771735</v>
      </c>
      <c r="S4467" s="30">
        <v>4.0899999999999999E-2</v>
      </c>
    </row>
    <row r="4468" spans="16:19" x14ac:dyDescent="0.25">
      <c r="P4468" s="27">
        <v>3.2548184716220556E-2</v>
      </c>
      <c r="Q4468" s="28">
        <f t="shared" si="73"/>
        <v>3.5548184716220559E-2</v>
      </c>
      <c r="R4468" s="29">
        <v>0.15003660775771735</v>
      </c>
      <c r="S4468" s="30">
        <v>4.0407853000000001E-2</v>
      </c>
    </row>
    <row r="4469" spans="16:19" x14ac:dyDescent="0.25">
      <c r="P4469" s="27">
        <v>3.2548184716220556E-2</v>
      </c>
      <c r="Q4469" s="28">
        <f t="shared" si="73"/>
        <v>3.5548184716220559E-2</v>
      </c>
      <c r="R4469" s="29">
        <v>0.15003660775771735</v>
      </c>
      <c r="S4469" s="30">
        <v>3.8849645000000002E-2</v>
      </c>
    </row>
    <row r="4470" spans="16:19" x14ac:dyDescent="0.25">
      <c r="P4470" s="27">
        <v>3.2548184716220556E-2</v>
      </c>
      <c r="Q4470" s="28">
        <f t="shared" si="73"/>
        <v>3.5548184716220559E-2</v>
      </c>
      <c r="R4470" s="29">
        <v>0.15003660775771735</v>
      </c>
      <c r="S4470" s="30">
        <v>3.8429999999999999E-2</v>
      </c>
    </row>
    <row r="4471" spans="16:19" x14ac:dyDescent="0.25">
      <c r="P4471" s="27">
        <v>3.2548184716220556E-2</v>
      </c>
      <c r="Q4471" s="28">
        <f t="shared" si="73"/>
        <v>3.5548184716220559E-2</v>
      </c>
      <c r="R4471" s="29">
        <v>0.15003660775771735</v>
      </c>
      <c r="S4471" s="30">
        <v>3.8429999999999999E-2</v>
      </c>
    </row>
    <row r="4472" spans="16:19" x14ac:dyDescent="0.25">
      <c r="P4472" s="27">
        <v>3.2548184716220556E-2</v>
      </c>
      <c r="Q4472" s="28">
        <f t="shared" si="73"/>
        <v>3.5548184716220559E-2</v>
      </c>
      <c r="R4472" s="29">
        <v>0.15003660775771735</v>
      </c>
      <c r="S4472" s="30">
        <v>3.8420000000000003E-2</v>
      </c>
    </row>
    <row r="4473" spans="16:19" x14ac:dyDescent="0.25">
      <c r="P4473" s="27">
        <v>3.2548184716220556E-2</v>
      </c>
      <c r="Q4473" s="28">
        <f t="shared" si="73"/>
        <v>3.5548184716220559E-2</v>
      </c>
      <c r="R4473" s="29">
        <v>0.15003660775771735</v>
      </c>
      <c r="S4473" s="30">
        <v>3.7990000000000003E-2</v>
      </c>
    </row>
    <row r="4474" spans="16:19" x14ac:dyDescent="0.25">
      <c r="P4474" s="27">
        <v>3.2548184716220556E-2</v>
      </c>
      <c r="Q4474" s="28">
        <f t="shared" si="73"/>
        <v>3.5548184716220559E-2</v>
      </c>
      <c r="R4474" s="29">
        <v>0.15003660775771735</v>
      </c>
      <c r="S4474" s="30">
        <v>3.9149999999999997E-2</v>
      </c>
    </row>
    <row r="4475" spans="16:19" x14ac:dyDescent="0.25">
      <c r="P4475" s="27">
        <v>3.2548184716220556E-2</v>
      </c>
      <c r="Q4475" s="28">
        <f t="shared" si="73"/>
        <v>3.5548184716220559E-2</v>
      </c>
      <c r="R4475" s="31">
        <v>0.15939660775771733</v>
      </c>
      <c r="S4475" s="32">
        <v>3.5000000000000003E-2</v>
      </c>
    </row>
    <row r="4476" spans="16:19" x14ac:dyDescent="0.25">
      <c r="P4476" s="27">
        <v>3.2548184716220556E-2</v>
      </c>
      <c r="Q4476" s="28">
        <f t="shared" si="73"/>
        <v>3.5548184716220559E-2</v>
      </c>
      <c r="R4476" s="33">
        <v>0.16282860775771735</v>
      </c>
      <c r="S4476" s="34">
        <v>3.4348335000000001E-2</v>
      </c>
    </row>
    <row r="4477" spans="16:19" x14ac:dyDescent="0.25">
      <c r="P4477" s="27">
        <v>3.2548184716220556E-2</v>
      </c>
      <c r="Q4477" s="28">
        <f t="shared" si="73"/>
        <v>3.5548184716220559E-2</v>
      </c>
      <c r="R4477" s="33">
        <v>0.16282860775771735</v>
      </c>
      <c r="S4477" s="34">
        <v>3.0839963000000001E-2</v>
      </c>
    </row>
    <row r="4478" spans="16:19" x14ac:dyDescent="0.25">
      <c r="P4478" s="27">
        <v>3.2548184716220556E-2</v>
      </c>
      <c r="Q4478" s="28">
        <f t="shared" si="73"/>
        <v>3.5548184716220559E-2</v>
      </c>
      <c r="R4478" s="33">
        <v>0.16282860775771735</v>
      </c>
      <c r="S4478" s="34">
        <v>2.8649999999999998E-2</v>
      </c>
    </row>
    <row r="4479" spans="16:19" x14ac:dyDescent="0.25">
      <c r="P4479" s="27">
        <v>3.2548184716220556E-2</v>
      </c>
      <c r="Q4479" s="28">
        <f t="shared" si="73"/>
        <v>3.5548184716220559E-2</v>
      </c>
      <c r="R4479" s="33">
        <v>0.16282860775771735</v>
      </c>
      <c r="S4479" s="34">
        <v>0.03</v>
      </c>
    </row>
    <row r="4480" spans="16:19" x14ac:dyDescent="0.25">
      <c r="P4480" s="27">
        <v>3.2548184716220556E-2</v>
      </c>
      <c r="Q4480" s="28">
        <f t="shared" si="73"/>
        <v>3.5548184716220559E-2</v>
      </c>
      <c r="R4480" s="33">
        <v>0.16282860775771735</v>
      </c>
      <c r="S4480" s="34">
        <v>2.6260000000000002E-2</v>
      </c>
    </row>
    <row r="4481" spans="16:19" x14ac:dyDescent="0.25">
      <c r="P4481" s="27">
        <v>3.2548184716220556E-2</v>
      </c>
      <c r="Q4481" s="28">
        <f t="shared" si="73"/>
        <v>3.5548184716220559E-2</v>
      </c>
      <c r="R4481" s="33">
        <v>0.16282860775771735</v>
      </c>
      <c r="S4481" s="34">
        <v>2.46E-2</v>
      </c>
    </row>
    <row r="4482" spans="16:19" x14ac:dyDescent="0.25">
      <c r="P4482" s="27">
        <v>3.2548184716220556E-2</v>
      </c>
      <c r="Q4482" s="28">
        <f t="shared" si="73"/>
        <v>3.5548184716220559E-2</v>
      </c>
      <c r="R4482" s="33">
        <v>0.16282860775771735</v>
      </c>
      <c r="S4482" s="34">
        <v>2.8735864E-2</v>
      </c>
    </row>
    <row r="4483" spans="16:19" x14ac:dyDescent="0.25">
      <c r="P4483" s="27">
        <v>3.2548184716220556E-2</v>
      </c>
      <c r="Q4483" s="28">
        <f t="shared" si="73"/>
        <v>3.5548184716220559E-2</v>
      </c>
      <c r="R4483" s="33">
        <v>0.16282860775771735</v>
      </c>
      <c r="S4483" s="34">
        <v>3.3149999999999999E-2</v>
      </c>
    </row>
    <row r="4484" spans="16:19" x14ac:dyDescent="0.25">
      <c r="P4484" s="27">
        <v>3.2548184716220556E-2</v>
      </c>
      <c r="Q4484" s="28">
        <f t="shared" si="73"/>
        <v>3.5548184716220559E-2</v>
      </c>
      <c r="R4484" s="33">
        <v>0.16282860775771735</v>
      </c>
      <c r="S4484" s="34">
        <v>3.5013257000000006E-2</v>
      </c>
    </row>
    <row r="4485" spans="16:19" x14ac:dyDescent="0.25">
      <c r="P4485" s="27">
        <v>3.2548184716220556E-2</v>
      </c>
      <c r="Q4485" s="28">
        <f t="shared" ref="Q4485:Q4548" si="74">P4485+0.003</f>
        <v>3.5548184716220559E-2</v>
      </c>
      <c r="R4485" s="33">
        <v>0.16282860775771735</v>
      </c>
      <c r="S4485" s="34">
        <v>3.8210000000000001E-2</v>
      </c>
    </row>
    <row r="4486" spans="16:19" x14ac:dyDescent="0.25">
      <c r="P4486" s="27">
        <v>3.2548184716220556E-2</v>
      </c>
      <c r="Q4486" s="28">
        <f t="shared" si="74"/>
        <v>3.5548184716220559E-2</v>
      </c>
      <c r="R4486" s="33">
        <v>0.16282860775771735</v>
      </c>
      <c r="S4486" s="34">
        <v>4.4080000000000001E-2</v>
      </c>
    </row>
    <row r="4487" spans="16:19" x14ac:dyDescent="0.25">
      <c r="P4487" s="27">
        <v>3.2548184716220556E-2</v>
      </c>
      <c r="Q4487" s="28">
        <f t="shared" si="74"/>
        <v>3.5548184716220559E-2</v>
      </c>
      <c r="R4487" s="31">
        <v>0.15939660775771733</v>
      </c>
      <c r="S4487" s="32">
        <v>4.4990000000000002E-2</v>
      </c>
    </row>
    <row r="4488" spans="16:19" x14ac:dyDescent="0.25">
      <c r="P4488" s="27">
        <v>3.2548184716220556E-2</v>
      </c>
      <c r="Q4488" s="28">
        <f t="shared" si="74"/>
        <v>3.5548184716220559E-2</v>
      </c>
      <c r="R4488" s="31">
        <v>0.15939660775771733</v>
      </c>
      <c r="S4488" s="32">
        <v>4.999E-2</v>
      </c>
    </row>
    <row r="4489" spans="16:19" x14ac:dyDescent="0.25">
      <c r="P4489" s="27">
        <v>3.2548184716220556E-2</v>
      </c>
      <c r="Q4489" s="28">
        <f t="shared" si="74"/>
        <v>3.5548184716220559E-2</v>
      </c>
      <c r="R4489" s="31">
        <v>0.15939660775771733</v>
      </c>
      <c r="S4489" s="32">
        <v>4.7E-2</v>
      </c>
    </row>
    <row r="4490" spans="16:19" x14ac:dyDescent="0.25">
      <c r="P4490" s="27">
        <v>3.2548184716220556E-2</v>
      </c>
      <c r="Q4490" s="28">
        <f t="shared" si="74"/>
        <v>3.5548184716220559E-2</v>
      </c>
      <c r="R4490" s="31">
        <v>0.15939660775771733</v>
      </c>
      <c r="S4490" s="32">
        <v>4.2430000000000002E-2</v>
      </c>
    </row>
    <row r="4491" spans="16:19" x14ac:dyDescent="0.25">
      <c r="P4491" s="27">
        <v>3.2548184716220556E-2</v>
      </c>
      <c r="Q4491" s="28">
        <f t="shared" si="74"/>
        <v>3.5548184716220559E-2</v>
      </c>
      <c r="R4491" s="29">
        <v>0.15003660775771735</v>
      </c>
      <c r="S4491" s="30">
        <v>4.1700000000000001E-2</v>
      </c>
    </row>
    <row r="4492" spans="16:19" x14ac:dyDescent="0.25">
      <c r="P4492" s="27">
        <v>3.2548184716220556E-2</v>
      </c>
      <c r="Q4492" s="28">
        <f t="shared" si="74"/>
        <v>3.5548184716220559E-2</v>
      </c>
      <c r="R4492" s="29">
        <v>0.15003660775771735</v>
      </c>
      <c r="S4492" s="30">
        <v>0.04</v>
      </c>
    </row>
    <row r="4493" spans="16:19" x14ac:dyDescent="0.25">
      <c r="P4493" s="27">
        <v>3.2548184716220556E-2</v>
      </c>
      <c r="Q4493" s="28">
        <f t="shared" si="74"/>
        <v>3.5548184716220559E-2</v>
      </c>
      <c r="R4493" s="29">
        <v>0.15003660775771735</v>
      </c>
      <c r="S4493" s="30">
        <v>3.943E-2</v>
      </c>
    </row>
    <row r="4494" spans="16:19" x14ac:dyDescent="0.25">
      <c r="P4494" s="27">
        <v>3.2548184716220556E-2</v>
      </c>
      <c r="Q4494" s="28">
        <f t="shared" si="74"/>
        <v>3.5548184716220559E-2</v>
      </c>
      <c r="R4494" s="29">
        <v>0.15003660775771735</v>
      </c>
      <c r="S4494" s="30">
        <v>3.918E-2</v>
      </c>
    </row>
    <row r="4495" spans="16:19" x14ac:dyDescent="0.25">
      <c r="P4495" s="27">
        <v>3.2548184716220556E-2</v>
      </c>
      <c r="Q4495" s="28">
        <f t="shared" si="74"/>
        <v>3.5548184716220559E-2</v>
      </c>
      <c r="R4495" s="29">
        <v>0.15003660775771735</v>
      </c>
      <c r="S4495" s="30">
        <v>3.943E-2</v>
      </c>
    </row>
    <row r="4496" spans="16:19" x14ac:dyDescent="0.25">
      <c r="P4496" s="27">
        <v>3.2548184716220556E-2</v>
      </c>
      <c r="Q4496" s="28">
        <f t="shared" si="74"/>
        <v>3.5548184716220559E-2</v>
      </c>
      <c r="R4496" s="29">
        <v>0.15003660775771735</v>
      </c>
      <c r="S4496" s="30">
        <v>0.04</v>
      </c>
    </row>
    <row r="4497" spans="16:19" x14ac:dyDescent="0.25">
      <c r="P4497" s="27">
        <v>3.2548184716220556E-2</v>
      </c>
      <c r="Q4497" s="28">
        <f t="shared" si="74"/>
        <v>3.5548184716220559E-2</v>
      </c>
      <c r="R4497" s="29">
        <v>0.15003660775771735</v>
      </c>
      <c r="S4497" s="30">
        <v>4.6384109999999999E-2</v>
      </c>
    </row>
    <row r="4498" spans="16:19" x14ac:dyDescent="0.25">
      <c r="P4498" s="27">
        <v>3.2548184716220556E-2</v>
      </c>
      <c r="Q4498" s="28">
        <f t="shared" si="74"/>
        <v>3.5548184716220559E-2</v>
      </c>
      <c r="R4498" s="29">
        <v>0.15003660775771735</v>
      </c>
      <c r="S4498" s="30">
        <v>4.9500000000000002E-2</v>
      </c>
    </row>
    <row r="4499" spans="16:19" x14ac:dyDescent="0.25">
      <c r="P4499" s="27">
        <v>3.2548184716220556E-2</v>
      </c>
      <c r="Q4499" s="28">
        <f t="shared" si="74"/>
        <v>3.5548184716220559E-2</v>
      </c>
      <c r="R4499" s="31">
        <v>0.15939999999999999</v>
      </c>
      <c r="S4499" s="32">
        <v>5.4490000000000004E-2</v>
      </c>
    </row>
    <row r="4500" spans="16:19" x14ac:dyDescent="0.25">
      <c r="P4500" s="27">
        <v>3.2548184716220556E-2</v>
      </c>
      <c r="Q4500" s="28">
        <f t="shared" si="74"/>
        <v>3.5548184716220559E-2</v>
      </c>
      <c r="R4500" s="31">
        <v>0.15939999999999999</v>
      </c>
      <c r="S4500" s="32">
        <v>5.3340000000000005E-2</v>
      </c>
    </row>
    <row r="4501" spans="16:19" x14ac:dyDescent="0.25">
      <c r="P4501" s="27">
        <v>3.2548184716220556E-2</v>
      </c>
      <c r="Q4501" s="28">
        <f t="shared" si="74"/>
        <v>3.5548184716220559E-2</v>
      </c>
      <c r="R4501" s="31">
        <v>0.15939999999999999</v>
      </c>
      <c r="S4501" s="32">
        <v>0.05</v>
      </c>
    </row>
    <row r="4502" spans="16:19" x14ac:dyDescent="0.25">
      <c r="P4502" s="27">
        <v>3.2548184716220556E-2</v>
      </c>
      <c r="Q4502" s="28">
        <f t="shared" si="74"/>
        <v>3.5548184716220559E-2</v>
      </c>
      <c r="R4502" s="31">
        <v>0.15939999999999999</v>
      </c>
      <c r="S4502" s="32">
        <v>0.05</v>
      </c>
    </row>
    <row r="4503" spans="16:19" x14ac:dyDescent="0.25">
      <c r="P4503" s="27">
        <v>3.2548184716220556E-2</v>
      </c>
      <c r="Q4503" s="28">
        <f t="shared" si="74"/>
        <v>3.5548184716220559E-2</v>
      </c>
      <c r="R4503" s="31">
        <v>0.15939999999999999</v>
      </c>
      <c r="S4503" s="32">
        <v>4.351E-2</v>
      </c>
    </row>
    <row r="4504" spans="16:19" x14ac:dyDescent="0.25">
      <c r="P4504" s="27">
        <v>3.2548184716220556E-2</v>
      </c>
      <c r="Q4504" s="28">
        <f t="shared" si="74"/>
        <v>3.5548184716220559E-2</v>
      </c>
      <c r="R4504" s="31">
        <v>0.15939999999999999</v>
      </c>
      <c r="S4504" s="32">
        <v>4.3279999999999999E-2</v>
      </c>
    </row>
    <row r="4505" spans="16:19" x14ac:dyDescent="0.25">
      <c r="P4505" s="27">
        <v>3.2548184716220556E-2</v>
      </c>
      <c r="Q4505" s="28">
        <f t="shared" si="74"/>
        <v>3.5548184716220559E-2</v>
      </c>
      <c r="R4505" s="31">
        <v>0.15939999999999999</v>
      </c>
      <c r="S4505" s="32">
        <v>4.7E-2</v>
      </c>
    </row>
    <row r="4506" spans="16:19" x14ac:dyDescent="0.25">
      <c r="P4506" s="27">
        <v>3.2548184716220556E-2</v>
      </c>
      <c r="Q4506" s="28">
        <f t="shared" si="74"/>
        <v>3.5548184716220559E-2</v>
      </c>
      <c r="R4506" s="31">
        <v>0.15939999999999999</v>
      </c>
      <c r="S4506" s="32">
        <v>4.999E-2</v>
      </c>
    </row>
    <row r="4507" spans="16:19" x14ac:dyDescent="0.25">
      <c r="P4507" s="27">
        <v>3.2548184716220556E-2</v>
      </c>
      <c r="Q4507" s="28">
        <f t="shared" si="74"/>
        <v>3.5548184716220559E-2</v>
      </c>
      <c r="R4507" s="31">
        <v>0.15939999999999999</v>
      </c>
      <c r="S4507" s="32">
        <v>5.2325173000000003E-2</v>
      </c>
    </row>
    <row r="4508" spans="16:19" x14ac:dyDescent="0.25">
      <c r="P4508" s="27">
        <v>3.2548184716220556E-2</v>
      </c>
      <c r="Q4508" s="28">
        <f t="shared" si="74"/>
        <v>3.5548184716220559E-2</v>
      </c>
      <c r="R4508" s="31">
        <v>0.15939999999999999</v>
      </c>
      <c r="S4508" s="32">
        <v>5.3097478000000004E-2</v>
      </c>
    </row>
    <row r="4509" spans="16:19" x14ac:dyDescent="0.25">
      <c r="P4509" s="27">
        <v>3.2548184716220556E-2</v>
      </c>
      <c r="Q4509" s="28">
        <f t="shared" si="74"/>
        <v>3.5548184716220559E-2</v>
      </c>
      <c r="R4509" s="31">
        <v>0.15939999999999999</v>
      </c>
      <c r="S4509" s="32">
        <v>5.4090000000000006E-2</v>
      </c>
    </row>
    <row r="4510" spans="16:19" x14ac:dyDescent="0.25">
      <c r="P4510" s="27">
        <v>3.2548184716220556E-2</v>
      </c>
      <c r="Q4510" s="28">
        <f t="shared" si="74"/>
        <v>3.5548184716220559E-2</v>
      </c>
      <c r="R4510" s="31">
        <v>0.15939999999999999</v>
      </c>
      <c r="S4510" s="32">
        <v>5.4950000000000006E-2</v>
      </c>
    </row>
    <row r="4511" spans="16:19" x14ac:dyDescent="0.25">
      <c r="P4511" s="27">
        <v>3.2548184716220556E-2</v>
      </c>
      <c r="Q4511" s="28">
        <f t="shared" si="74"/>
        <v>3.5548184716220559E-2</v>
      </c>
      <c r="R4511" s="31">
        <v>0.15939999999999999</v>
      </c>
      <c r="S4511" s="32">
        <v>5.2999999999999999E-2</v>
      </c>
    </row>
    <row r="4512" spans="16:19" x14ac:dyDescent="0.25">
      <c r="P4512" s="27">
        <v>3.2548184716220556E-2</v>
      </c>
      <c r="Q4512" s="28">
        <f t="shared" si="74"/>
        <v>3.5548184716220559E-2</v>
      </c>
      <c r="R4512" s="31">
        <v>0.15939999999999999</v>
      </c>
      <c r="S4512" s="32">
        <v>5.457E-2</v>
      </c>
    </row>
    <row r="4513" spans="16:19" x14ac:dyDescent="0.25">
      <c r="P4513" s="27">
        <v>3.2548184716220556E-2</v>
      </c>
      <c r="Q4513" s="28">
        <f t="shared" si="74"/>
        <v>3.5548184716220559E-2</v>
      </c>
      <c r="R4513" s="31">
        <v>0.15939999999999999</v>
      </c>
      <c r="S4513" s="32">
        <v>4.9500000000000002E-2</v>
      </c>
    </row>
    <row r="4514" spans="16:19" x14ac:dyDescent="0.25">
      <c r="P4514" s="27">
        <v>3.2548184716220556E-2</v>
      </c>
      <c r="Q4514" s="28">
        <f t="shared" si="74"/>
        <v>3.5548184716220559E-2</v>
      </c>
      <c r="R4514" s="31">
        <v>0.15939999999999999</v>
      </c>
      <c r="S4514" s="32">
        <v>4.6939999999999996E-2</v>
      </c>
    </row>
    <row r="4515" spans="16:19" x14ac:dyDescent="0.25">
      <c r="P4515" s="27">
        <v>3.2548184716220556E-2</v>
      </c>
      <c r="Q4515" s="28">
        <f t="shared" si="74"/>
        <v>3.5548184716220559E-2</v>
      </c>
      <c r="R4515" s="29">
        <v>0.15</v>
      </c>
      <c r="S4515" s="30">
        <v>4.1849999999999998E-2</v>
      </c>
    </row>
    <row r="4516" spans="16:19" x14ac:dyDescent="0.25">
      <c r="P4516" s="27">
        <v>3.2548184716220556E-2</v>
      </c>
      <c r="Q4516" s="28">
        <f t="shared" si="74"/>
        <v>3.5548184716220559E-2</v>
      </c>
      <c r="R4516" s="29">
        <v>0.15</v>
      </c>
      <c r="S4516" s="30">
        <v>3.943E-2</v>
      </c>
    </row>
    <row r="4517" spans="16:19" x14ac:dyDescent="0.25">
      <c r="P4517" s="27">
        <v>3.2548184716220556E-2</v>
      </c>
      <c r="Q4517" s="28">
        <f t="shared" si="74"/>
        <v>3.5548184716220559E-2</v>
      </c>
      <c r="R4517" s="29">
        <v>0.15</v>
      </c>
      <c r="S4517" s="30">
        <v>3.8990000000000004E-2</v>
      </c>
    </row>
    <row r="4518" spans="16:19" x14ac:dyDescent="0.25">
      <c r="P4518" s="27">
        <v>3.2548184716220556E-2</v>
      </c>
      <c r="Q4518" s="28">
        <f t="shared" si="74"/>
        <v>3.5548184716220559E-2</v>
      </c>
      <c r="R4518" s="29">
        <v>0.15</v>
      </c>
      <c r="S4518" s="30">
        <v>3.6999999999999998E-2</v>
      </c>
    </row>
    <row r="4519" spans="16:19" x14ac:dyDescent="0.25">
      <c r="P4519" s="27">
        <v>3.2548184716220556E-2</v>
      </c>
      <c r="Q4519" s="28">
        <f t="shared" si="74"/>
        <v>3.5548184716220559E-2</v>
      </c>
      <c r="R4519" s="29">
        <v>0.15</v>
      </c>
      <c r="S4519" s="30">
        <v>3.773E-2</v>
      </c>
    </row>
    <row r="4520" spans="16:19" x14ac:dyDescent="0.25">
      <c r="P4520" s="27">
        <v>3.2548184716220556E-2</v>
      </c>
      <c r="Q4520" s="28">
        <f t="shared" si="74"/>
        <v>3.5548184716220559E-2</v>
      </c>
      <c r="R4520" s="29">
        <v>0.15</v>
      </c>
      <c r="S4520" s="30">
        <v>3.7999999999999999E-2</v>
      </c>
    </row>
    <row r="4521" spans="16:19" x14ac:dyDescent="0.25">
      <c r="P4521" s="27">
        <v>3.2548184716220556E-2</v>
      </c>
      <c r="Q4521" s="28">
        <f t="shared" si="74"/>
        <v>3.5548184716220559E-2</v>
      </c>
      <c r="R4521" s="29">
        <v>0.15</v>
      </c>
      <c r="S4521" s="30">
        <v>4.0039999999999999E-2</v>
      </c>
    </row>
    <row r="4522" spans="16:19" x14ac:dyDescent="0.25">
      <c r="P4522" s="27">
        <v>3.2548184716220556E-2</v>
      </c>
      <c r="Q4522" s="28">
        <f t="shared" si="74"/>
        <v>3.5548184716220559E-2</v>
      </c>
      <c r="R4522" s="29">
        <v>0.15</v>
      </c>
      <c r="S4522" s="30">
        <v>4.6009999999999995E-2</v>
      </c>
    </row>
    <row r="4523" spans="16:19" x14ac:dyDescent="0.25">
      <c r="P4523" s="27">
        <v>3.2548184716220556E-2</v>
      </c>
      <c r="Q4523" s="28">
        <f t="shared" si="74"/>
        <v>3.5548184716220559E-2</v>
      </c>
      <c r="R4523" s="29">
        <v>0.15</v>
      </c>
      <c r="S4523" s="30">
        <v>5.3429999999999998E-2</v>
      </c>
    </row>
    <row r="4524" spans="16:19" x14ac:dyDescent="0.25">
      <c r="P4524" s="27">
        <v>3.2548184716220556E-2</v>
      </c>
      <c r="Q4524" s="28">
        <f t="shared" si="74"/>
        <v>3.5548184716220559E-2</v>
      </c>
      <c r="R4524" s="29">
        <v>0.15</v>
      </c>
      <c r="S4524" s="30">
        <v>5.3340000000000005E-2</v>
      </c>
    </row>
    <row r="4525" spans="16:19" x14ac:dyDescent="0.25">
      <c r="P4525" s="27">
        <v>3.2548184716220556E-2</v>
      </c>
      <c r="Q4525" s="28">
        <f t="shared" si="74"/>
        <v>3.5548184716220559E-2</v>
      </c>
      <c r="R4525" s="29">
        <v>0.15</v>
      </c>
      <c r="S4525" s="30">
        <v>5.0049999999999997E-2</v>
      </c>
    </row>
    <row r="4526" spans="16:19" x14ac:dyDescent="0.25">
      <c r="P4526" s="27">
        <v>3.2548184716220556E-2</v>
      </c>
      <c r="Q4526" s="28">
        <f t="shared" si="74"/>
        <v>3.5548184716220559E-2</v>
      </c>
      <c r="R4526" s="29">
        <v>0.15</v>
      </c>
      <c r="S4526" s="30">
        <v>5.0209999999999998E-2</v>
      </c>
    </row>
    <row r="4527" spans="16:19" x14ac:dyDescent="0.25">
      <c r="P4527" s="27">
        <v>3.2548184716220556E-2</v>
      </c>
      <c r="Q4527" s="28">
        <f t="shared" si="74"/>
        <v>3.5548184716220559E-2</v>
      </c>
      <c r="R4527" s="29">
        <v>0.15</v>
      </c>
      <c r="S4527" s="30">
        <v>4.6710000000000002E-2</v>
      </c>
    </row>
    <row r="4528" spans="16:19" x14ac:dyDescent="0.25">
      <c r="P4528" s="27">
        <v>3.2548184716220556E-2</v>
      </c>
      <c r="Q4528" s="28">
        <f t="shared" si="74"/>
        <v>3.5548184716220559E-2</v>
      </c>
      <c r="R4528" s="29">
        <v>0.15</v>
      </c>
      <c r="S4528" s="30">
        <v>4.9530000000000005E-2</v>
      </c>
    </row>
    <row r="4529" spans="16:19" x14ac:dyDescent="0.25">
      <c r="P4529" s="27">
        <v>3.2548184716220556E-2</v>
      </c>
      <c r="Q4529" s="28">
        <f t="shared" si="74"/>
        <v>3.5548184716220559E-2</v>
      </c>
      <c r="R4529" s="29">
        <v>0.15</v>
      </c>
      <c r="S4529" s="30">
        <v>5.2039999999999996E-2</v>
      </c>
    </row>
    <row r="4530" spans="16:19" x14ac:dyDescent="0.25">
      <c r="P4530" s="27">
        <v>3.2548184716220556E-2</v>
      </c>
      <c r="Q4530" s="28">
        <f t="shared" si="74"/>
        <v>3.5548184716220559E-2</v>
      </c>
      <c r="R4530" s="29">
        <v>0.15</v>
      </c>
      <c r="S4530" s="30">
        <v>5.3030000000000001E-2</v>
      </c>
    </row>
    <row r="4531" spans="16:19" x14ac:dyDescent="0.25">
      <c r="P4531" s="27">
        <v>3.2548184716220556E-2</v>
      </c>
      <c r="Q4531" s="28">
        <f t="shared" si="74"/>
        <v>3.5548184716220559E-2</v>
      </c>
      <c r="R4531" s="29">
        <v>0.15</v>
      </c>
      <c r="S4531" s="30">
        <v>5.3399999999999996E-2</v>
      </c>
    </row>
    <row r="4532" spans="16:19" x14ac:dyDescent="0.25">
      <c r="P4532" s="27">
        <v>3.2548184716220556E-2</v>
      </c>
      <c r="Q4532" s="28">
        <f t="shared" si="74"/>
        <v>3.5548184716220559E-2</v>
      </c>
      <c r="R4532" s="29">
        <v>0.15</v>
      </c>
      <c r="S4532" s="30">
        <v>5.0049999999999997E-2</v>
      </c>
    </row>
    <row r="4533" spans="16:19" x14ac:dyDescent="0.25">
      <c r="P4533" s="27">
        <v>3.2548184716220556E-2</v>
      </c>
      <c r="Q4533" s="28">
        <f t="shared" si="74"/>
        <v>3.5548184716220559E-2</v>
      </c>
      <c r="R4533" s="29">
        <v>0.15</v>
      </c>
      <c r="S4533" s="30">
        <v>4.999E-2</v>
      </c>
    </row>
    <row r="4534" spans="16:19" x14ac:dyDescent="0.25">
      <c r="P4534" s="27">
        <v>3.2548184716220556E-2</v>
      </c>
      <c r="Q4534" s="28">
        <f t="shared" si="74"/>
        <v>3.5548184716220559E-2</v>
      </c>
      <c r="R4534" s="29">
        <v>0.15</v>
      </c>
      <c r="S4534" s="30">
        <v>4.8401386000000005E-2</v>
      </c>
    </row>
    <row r="4535" spans="16:19" x14ac:dyDescent="0.25">
      <c r="P4535" s="27">
        <v>3.2548184716220556E-2</v>
      </c>
      <c r="Q4535" s="28">
        <f t="shared" si="74"/>
        <v>3.5548184716220559E-2</v>
      </c>
      <c r="R4535" s="29">
        <v>0.15</v>
      </c>
      <c r="S4535" s="30">
        <v>4.657E-2</v>
      </c>
    </row>
    <row r="4536" spans="16:19" x14ac:dyDescent="0.25">
      <c r="P4536" s="27">
        <v>3.2548184716220556E-2</v>
      </c>
      <c r="Q4536" s="28">
        <f t="shared" si="74"/>
        <v>3.5548184716220559E-2</v>
      </c>
      <c r="R4536" s="29">
        <v>0.15</v>
      </c>
      <c r="S4536" s="30">
        <v>4.5710000000000001E-2</v>
      </c>
    </row>
    <row r="4537" spans="16:19" x14ac:dyDescent="0.25">
      <c r="P4537" s="27">
        <v>3.2548184716220556E-2</v>
      </c>
      <c r="Q4537" s="28">
        <f t="shared" si="74"/>
        <v>3.5548184716220559E-2</v>
      </c>
      <c r="R4537" s="29">
        <v>0.15</v>
      </c>
      <c r="S4537" s="30">
        <v>4.3290000000000002E-2</v>
      </c>
    </row>
    <row r="4538" spans="16:19" x14ac:dyDescent="0.25">
      <c r="P4538" s="27">
        <v>3.2548184716220556E-2</v>
      </c>
      <c r="Q4538" s="28">
        <f t="shared" si="74"/>
        <v>3.5548184716220559E-2</v>
      </c>
      <c r="R4538" s="29">
        <v>0.15</v>
      </c>
      <c r="S4538" s="30">
        <v>4.0770000000000001E-2</v>
      </c>
    </row>
    <row r="4539" spans="16:19" x14ac:dyDescent="0.25">
      <c r="P4539" s="27">
        <v>3.2548184716220556E-2</v>
      </c>
      <c r="Q4539" s="28">
        <f t="shared" si="74"/>
        <v>3.5548184716220559E-2</v>
      </c>
      <c r="R4539" s="29">
        <v>0.15</v>
      </c>
      <c r="S4539" s="30">
        <v>3.9149999999999997E-2</v>
      </c>
    </row>
    <row r="4540" spans="16:19" x14ac:dyDescent="0.25">
      <c r="P4540" s="27">
        <v>3.2548184716220556E-2</v>
      </c>
      <c r="Q4540" s="28">
        <f t="shared" si="74"/>
        <v>3.5548184716220559E-2</v>
      </c>
      <c r="R4540" s="29">
        <v>0.15</v>
      </c>
      <c r="S4540" s="30">
        <v>3.6990000000000002E-2</v>
      </c>
    </row>
    <row r="4541" spans="16:19" x14ac:dyDescent="0.25">
      <c r="P4541" s="27">
        <v>3.2548184716220556E-2</v>
      </c>
      <c r="Q4541" s="28">
        <f t="shared" si="74"/>
        <v>3.5548184716220559E-2</v>
      </c>
      <c r="R4541" s="29">
        <v>0.15</v>
      </c>
      <c r="S4541" s="30">
        <v>3.4360000000000002E-2</v>
      </c>
    </row>
    <row r="4542" spans="16:19" x14ac:dyDescent="0.25">
      <c r="P4542" s="27">
        <v>3.2548184716220556E-2</v>
      </c>
      <c r="Q4542" s="28">
        <f t="shared" si="74"/>
        <v>3.5548184716220559E-2</v>
      </c>
      <c r="R4542" s="29">
        <v>0.15</v>
      </c>
      <c r="S4542" s="30">
        <v>3.3229999999999996E-2</v>
      </c>
    </row>
    <row r="4543" spans="16:19" x14ac:dyDescent="0.25">
      <c r="P4543" s="27">
        <v>3.2548184716220556E-2</v>
      </c>
      <c r="Q4543" s="28">
        <f t="shared" si="74"/>
        <v>3.5548184716220559E-2</v>
      </c>
      <c r="R4543" s="29">
        <v>0.15</v>
      </c>
      <c r="S4543" s="30">
        <v>3.4849999999999999E-2</v>
      </c>
    </row>
    <row r="4544" spans="16:19" x14ac:dyDescent="0.25">
      <c r="P4544" s="27">
        <v>3.2548184716220556E-2</v>
      </c>
      <c r="Q4544" s="28">
        <f t="shared" si="74"/>
        <v>3.5548184716220559E-2</v>
      </c>
      <c r="R4544" s="29">
        <v>0.15</v>
      </c>
      <c r="S4544" s="30">
        <v>3.6990000000000002E-2</v>
      </c>
    </row>
    <row r="4545" spans="16:19" x14ac:dyDescent="0.25">
      <c r="P4545" s="27">
        <v>3.2548184716220556E-2</v>
      </c>
      <c r="Q4545" s="28">
        <f t="shared" si="74"/>
        <v>3.5548184716220559E-2</v>
      </c>
      <c r="R4545" s="29">
        <v>0.15</v>
      </c>
      <c r="S4545" s="30">
        <v>3.959E-2</v>
      </c>
    </row>
    <row r="4546" spans="16:19" x14ac:dyDescent="0.25">
      <c r="P4546" s="27">
        <v>3.2548184716220556E-2</v>
      </c>
      <c r="Q4546" s="28">
        <f t="shared" si="74"/>
        <v>3.5548184716220559E-2</v>
      </c>
      <c r="R4546" s="29">
        <v>0.15</v>
      </c>
      <c r="S4546" s="30">
        <v>4.4039999999999996E-2</v>
      </c>
    </row>
    <row r="4547" spans="16:19" x14ac:dyDescent="0.25">
      <c r="P4547" s="27">
        <v>3.2548184716220556E-2</v>
      </c>
      <c r="Q4547" s="28">
        <f t="shared" si="74"/>
        <v>3.5548184716220559E-2</v>
      </c>
      <c r="R4547" s="31">
        <v>0.15939660775771733</v>
      </c>
      <c r="S4547" s="32">
        <v>4.929E-2</v>
      </c>
    </row>
    <row r="4548" spans="16:19" x14ac:dyDescent="0.25">
      <c r="P4548" s="27">
        <v>3.2548184716220556E-2</v>
      </c>
      <c r="Q4548" s="28">
        <f t="shared" si="74"/>
        <v>3.5548184716220559E-2</v>
      </c>
      <c r="R4548" s="33">
        <v>0.16282860775771735</v>
      </c>
      <c r="S4548" s="34">
        <v>5.1389999999999998E-2</v>
      </c>
    </row>
    <row r="4549" spans="16:19" x14ac:dyDescent="0.25">
      <c r="P4549" s="27">
        <v>3.2548184716220556E-2</v>
      </c>
      <c r="Q4549" s="28">
        <f t="shared" ref="Q4549:Q4612" si="75">P4549+0.003</f>
        <v>3.5548184716220559E-2</v>
      </c>
      <c r="R4549" s="33">
        <v>0.16282860775771735</v>
      </c>
      <c r="S4549" s="34">
        <v>4.8240000000000005E-2</v>
      </c>
    </row>
    <row r="4550" spans="16:19" x14ac:dyDescent="0.25">
      <c r="P4550" s="27">
        <v>3.2548184716220556E-2</v>
      </c>
      <c r="Q4550" s="28">
        <f t="shared" si="75"/>
        <v>3.5548184716220559E-2</v>
      </c>
      <c r="R4550" s="33">
        <v>0.16282860775771735</v>
      </c>
      <c r="S4550" s="34">
        <v>4.8170000000000004E-2</v>
      </c>
    </row>
    <row r="4551" spans="16:19" x14ac:dyDescent="0.25">
      <c r="P4551" s="27">
        <v>3.2548184716220556E-2</v>
      </c>
      <c r="Q4551" s="28">
        <f t="shared" si="75"/>
        <v>3.5548184716220559E-2</v>
      </c>
      <c r="R4551" s="33">
        <v>0.16282860775771735</v>
      </c>
      <c r="S4551" s="34">
        <v>4.3560000000000001E-2</v>
      </c>
    </row>
    <row r="4552" spans="16:19" x14ac:dyDescent="0.25">
      <c r="P4552" s="27">
        <v>3.2548184716220556E-2</v>
      </c>
      <c r="Q4552" s="28">
        <f t="shared" si="75"/>
        <v>3.5548184716220559E-2</v>
      </c>
      <c r="R4552" s="33">
        <v>0.16282860775771735</v>
      </c>
      <c r="S4552" s="34">
        <v>4.3609999999999996E-2</v>
      </c>
    </row>
    <row r="4553" spans="16:19" x14ac:dyDescent="0.25">
      <c r="P4553" s="27">
        <v>3.2548184716220556E-2</v>
      </c>
      <c r="Q4553" s="28">
        <f t="shared" si="75"/>
        <v>3.5548184716220559E-2</v>
      </c>
      <c r="R4553" s="33">
        <v>0.16282860775771735</v>
      </c>
      <c r="S4553" s="34">
        <v>4.8600000000000004E-2</v>
      </c>
    </row>
    <row r="4554" spans="16:19" x14ac:dyDescent="0.25">
      <c r="P4554" s="27">
        <v>3.2548184716220556E-2</v>
      </c>
      <c r="Q4554" s="28">
        <f t="shared" si="75"/>
        <v>3.5548184716220559E-2</v>
      </c>
      <c r="R4554" s="33">
        <v>0.16282860775771735</v>
      </c>
      <c r="S4554" s="34">
        <v>5.1999999999999998E-2</v>
      </c>
    </row>
    <row r="4555" spans="16:19" x14ac:dyDescent="0.25">
      <c r="P4555" s="27">
        <v>3.2548184716220556E-2</v>
      </c>
      <c r="Q4555" s="28">
        <f t="shared" si="75"/>
        <v>3.5548184716220559E-2</v>
      </c>
      <c r="R4555" s="33">
        <v>0.16282860775771735</v>
      </c>
      <c r="S4555" s="34">
        <v>5.3009999999999995E-2</v>
      </c>
    </row>
    <row r="4556" spans="16:19" x14ac:dyDescent="0.25">
      <c r="P4556" s="27">
        <v>3.2548184716220556E-2</v>
      </c>
      <c r="Q4556" s="28">
        <f t="shared" si="75"/>
        <v>3.5548184716220559E-2</v>
      </c>
      <c r="R4556" s="33">
        <v>0.16282860775771735</v>
      </c>
      <c r="S4556" s="34">
        <v>4.999E-2</v>
      </c>
    </row>
    <row r="4557" spans="16:19" x14ac:dyDescent="0.25">
      <c r="P4557" s="27">
        <v>3.2548184716220556E-2</v>
      </c>
      <c r="Q4557" s="28">
        <f t="shared" si="75"/>
        <v>3.5548184716220559E-2</v>
      </c>
      <c r="R4557" s="33">
        <v>0.16282860775771735</v>
      </c>
      <c r="S4557" s="34">
        <v>4.9959999999999997E-2</v>
      </c>
    </row>
    <row r="4558" spans="16:19" x14ac:dyDescent="0.25">
      <c r="P4558" s="27">
        <v>3.2548184716220556E-2</v>
      </c>
      <c r="Q4558" s="28">
        <f t="shared" si="75"/>
        <v>3.5548184716220559E-2</v>
      </c>
      <c r="R4558" s="33">
        <v>0.16282860775771735</v>
      </c>
      <c r="S4558" s="34">
        <v>4.7969999999999999E-2</v>
      </c>
    </row>
    <row r="4559" spans="16:19" x14ac:dyDescent="0.25">
      <c r="P4559" s="27">
        <v>3.2548184716220556E-2</v>
      </c>
      <c r="Q4559" s="28">
        <f t="shared" si="75"/>
        <v>3.5548184716220559E-2</v>
      </c>
      <c r="R4559" s="31">
        <v>0.15939660775771733</v>
      </c>
      <c r="S4559" s="32">
        <v>4.7100000000000003E-2</v>
      </c>
    </row>
    <row r="4560" spans="16:19" x14ac:dyDescent="0.25">
      <c r="P4560" s="27">
        <v>3.2548184716220556E-2</v>
      </c>
      <c r="Q4560" s="28">
        <f t="shared" si="75"/>
        <v>3.5548184716220559E-2</v>
      </c>
      <c r="R4560" s="31">
        <v>0.15939660775771733</v>
      </c>
      <c r="S4560" s="32">
        <v>4.7530000000000003E-2</v>
      </c>
    </row>
    <row r="4561" spans="16:19" x14ac:dyDescent="0.25">
      <c r="P4561" s="27">
        <v>3.2548184716220556E-2</v>
      </c>
      <c r="Q4561" s="28">
        <f t="shared" si="75"/>
        <v>3.5548184716220559E-2</v>
      </c>
      <c r="R4561" s="31">
        <v>0.15939660775771733</v>
      </c>
      <c r="S4561" s="32">
        <v>4.5010000000000001E-2</v>
      </c>
    </row>
    <row r="4562" spans="16:19" x14ac:dyDescent="0.25">
      <c r="P4562" s="27">
        <v>3.2548184716220556E-2</v>
      </c>
      <c r="Q4562" s="28">
        <f t="shared" si="75"/>
        <v>3.5548184716220559E-2</v>
      </c>
      <c r="R4562" s="31">
        <v>0.15939660775771733</v>
      </c>
      <c r="S4562" s="32">
        <v>4.2349999999999999E-2</v>
      </c>
    </row>
    <row r="4563" spans="16:19" x14ac:dyDescent="0.25">
      <c r="P4563" s="27">
        <v>3.2548184716220556E-2</v>
      </c>
      <c r="Q4563" s="28">
        <f t="shared" si="75"/>
        <v>3.5548184716220559E-2</v>
      </c>
      <c r="R4563" s="29">
        <v>0.15003660775771735</v>
      </c>
      <c r="S4563" s="30">
        <v>3.8429999999999999E-2</v>
      </c>
    </row>
    <row r="4564" spans="16:19" x14ac:dyDescent="0.25">
      <c r="P4564" s="27">
        <v>3.2548184716220556E-2</v>
      </c>
      <c r="Q4564" s="28">
        <f t="shared" si="75"/>
        <v>3.5548184716220559E-2</v>
      </c>
      <c r="R4564" s="29">
        <v>0.15003660775771735</v>
      </c>
      <c r="S4564" s="30">
        <v>3.6990000000000002E-2</v>
      </c>
    </row>
    <row r="4565" spans="16:19" x14ac:dyDescent="0.25">
      <c r="P4565" s="27">
        <v>3.2548184716220556E-2</v>
      </c>
      <c r="Q4565" s="28">
        <f t="shared" si="75"/>
        <v>3.5548184716220559E-2</v>
      </c>
      <c r="R4565" s="29">
        <v>0.15003660775771735</v>
      </c>
      <c r="S4565" s="30">
        <v>3.415E-2</v>
      </c>
    </row>
    <row r="4566" spans="16:19" x14ac:dyDescent="0.25">
      <c r="P4566" s="27">
        <v>3.2548184716220556E-2</v>
      </c>
      <c r="Q4566" s="28">
        <f t="shared" si="75"/>
        <v>3.5548184716220559E-2</v>
      </c>
      <c r="R4566" s="29">
        <v>0.15003660775771735</v>
      </c>
      <c r="S4566" s="30">
        <v>3.415E-2</v>
      </c>
    </row>
    <row r="4567" spans="16:19" x14ac:dyDescent="0.25">
      <c r="P4567" s="27">
        <v>3.2548184716220556E-2</v>
      </c>
      <c r="Q4567" s="28">
        <f t="shared" si="75"/>
        <v>3.5548184716220559E-2</v>
      </c>
      <c r="R4567" s="29">
        <v>0.15003660775771735</v>
      </c>
      <c r="S4567" s="30">
        <v>3.6130000000000002E-2</v>
      </c>
    </row>
    <row r="4568" spans="16:19" x14ac:dyDescent="0.25">
      <c r="P4568" s="27">
        <v>3.2548184716220556E-2</v>
      </c>
      <c r="Q4568" s="28">
        <f t="shared" si="75"/>
        <v>3.5548184716220559E-2</v>
      </c>
      <c r="R4568" s="29">
        <v>0.15003660775771735</v>
      </c>
      <c r="S4568" s="30">
        <v>3.7490000000000002E-2</v>
      </c>
    </row>
    <row r="4569" spans="16:19" x14ac:dyDescent="0.25">
      <c r="P4569" s="27">
        <v>3.2548184716220556E-2</v>
      </c>
      <c r="Q4569" s="28">
        <f t="shared" si="75"/>
        <v>3.5548184716220559E-2</v>
      </c>
      <c r="R4569" s="29">
        <v>0.15003660775771735</v>
      </c>
      <c r="S4569" s="30">
        <v>3.9420000000000004E-2</v>
      </c>
    </row>
    <row r="4570" spans="16:19" x14ac:dyDescent="0.25">
      <c r="P4570" s="27">
        <v>3.2548184716220556E-2</v>
      </c>
      <c r="Q4570" s="28">
        <f t="shared" si="75"/>
        <v>3.5548184716220559E-2</v>
      </c>
      <c r="R4570" s="29">
        <v>0.15003660775771735</v>
      </c>
      <c r="S4570" s="30">
        <v>4.4999999999999998E-2</v>
      </c>
    </row>
    <row r="4571" spans="16:19" x14ac:dyDescent="0.25">
      <c r="P4571" s="27">
        <v>3.2548184716220556E-2</v>
      </c>
      <c r="Q4571" s="28">
        <f t="shared" si="75"/>
        <v>3.5548184716220559E-2</v>
      </c>
      <c r="R4571" s="31">
        <v>0.15939660775771733</v>
      </c>
      <c r="S4571" s="32">
        <v>4.7240000000000004E-2</v>
      </c>
    </row>
    <row r="4572" spans="16:19" x14ac:dyDescent="0.25">
      <c r="P4572" s="27">
        <v>3.2548184716220556E-2</v>
      </c>
      <c r="Q4572" s="28">
        <f t="shared" si="75"/>
        <v>3.5548184716220559E-2</v>
      </c>
      <c r="R4572" s="33">
        <v>0.16282860775771735</v>
      </c>
      <c r="S4572" s="34">
        <v>4.7670000000000004E-2</v>
      </c>
    </row>
    <row r="4573" spans="16:19" x14ac:dyDescent="0.25">
      <c r="P4573" s="27">
        <v>3.2548184716220556E-2</v>
      </c>
      <c r="Q4573" s="28">
        <f t="shared" si="75"/>
        <v>3.5548184716220559E-2</v>
      </c>
      <c r="R4573" s="33">
        <v>0.16282860775771735</v>
      </c>
      <c r="S4573" s="34">
        <v>4.6020000000000005E-2</v>
      </c>
    </row>
    <row r="4574" spans="16:19" x14ac:dyDescent="0.25">
      <c r="P4574" s="27">
        <v>3.2548184716220556E-2</v>
      </c>
      <c r="Q4574" s="28">
        <f t="shared" si="75"/>
        <v>3.5548184716220559E-2</v>
      </c>
      <c r="R4574" s="33">
        <v>0.16282860775771735</v>
      </c>
      <c r="S4574" s="34">
        <v>4.7E-2</v>
      </c>
    </row>
    <row r="4575" spans="16:19" x14ac:dyDescent="0.25">
      <c r="P4575" s="27">
        <v>3.2548184716220556E-2</v>
      </c>
      <c r="Q4575" s="28">
        <f t="shared" si="75"/>
        <v>3.5548184716220559E-2</v>
      </c>
      <c r="R4575" s="33">
        <v>0.16282860775771735</v>
      </c>
      <c r="S4575" s="34">
        <v>4.1500413E-2</v>
      </c>
    </row>
    <row r="4576" spans="16:19" x14ac:dyDescent="0.25">
      <c r="P4576" s="27">
        <v>3.2548184716220556E-2</v>
      </c>
      <c r="Q4576" s="28">
        <f t="shared" si="75"/>
        <v>3.5548184716220559E-2</v>
      </c>
      <c r="R4576" s="33">
        <v>0.16282860775771735</v>
      </c>
      <c r="S4576" s="34">
        <v>4.2029999999999998E-2</v>
      </c>
    </row>
    <row r="4577" spans="16:19" x14ac:dyDescent="0.25">
      <c r="P4577" s="27">
        <v>3.2548184716220556E-2</v>
      </c>
      <c r="Q4577" s="28">
        <f t="shared" si="75"/>
        <v>3.5548184716220559E-2</v>
      </c>
      <c r="R4577" s="33">
        <v>0.16282860775771735</v>
      </c>
      <c r="S4577" s="34">
        <v>4.3659999999999997E-2</v>
      </c>
    </row>
    <row r="4578" spans="16:19" x14ac:dyDescent="0.25">
      <c r="P4578" s="27">
        <v>3.2548184716220556E-2</v>
      </c>
      <c r="Q4578" s="28">
        <f t="shared" si="75"/>
        <v>3.5548184716220559E-2</v>
      </c>
      <c r="R4578" s="33">
        <v>0.16282860775771735</v>
      </c>
      <c r="S4578" s="34">
        <v>4.5380000000000004E-2</v>
      </c>
    </row>
    <row r="4579" spans="16:19" x14ac:dyDescent="0.25">
      <c r="P4579" s="27">
        <v>3.2548184716220556E-2</v>
      </c>
      <c r="Q4579" s="28">
        <f t="shared" si="75"/>
        <v>3.5548184716220559E-2</v>
      </c>
      <c r="R4579" s="33">
        <v>0.16282860775771735</v>
      </c>
      <c r="S4579" s="34">
        <v>4.9549999999999997E-2</v>
      </c>
    </row>
    <row r="4580" spans="16:19" x14ac:dyDescent="0.25">
      <c r="P4580" s="27">
        <v>3.2548184716220556E-2</v>
      </c>
      <c r="Q4580" s="28">
        <f t="shared" si="75"/>
        <v>3.5548184716220559E-2</v>
      </c>
      <c r="R4580" s="33">
        <v>0.16282860775771735</v>
      </c>
      <c r="S4580" s="34">
        <v>4.7600000000000003E-2</v>
      </c>
    </row>
    <row r="4581" spans="16:19" x14ac:dyDescent="0.25">
      <c r="P4581" s="27">
        <v>3.2548184716220556E-2</v>
      </c>
      <c r="Q4581" s="28">
        <f t="shared" si="75"/>
        <v>3.5548184716220559E-2</v>
      </c>
      <c r="R4581" s="33">
        <v>0.16282860775771735</v>
      </c>
      <c r="S4581" s="34">
        <v>4.6780000000000002E-2</v>
      </c>
    </row>
    <row r="4582" spans="16:19" x14ac:dyDescent="0.25">
      <c r="P4582" s="27">
        <v>3.2548184716220556E-2</v>
      </c>
      <c r="Q4582" s="28">
        <f t="shared" si="75"/>
        <v>3.5548184716220559E-2</v>
      </c>
      <c r="R4582" s="33">
        <v>0.16282860775771735</v>
      </c>
      <c r="S4582" s="34">
        <v>4.5999999999999999E-2</v>
      </c>
    </row>
    <row r="4583" spans="16:19" x14ac:dyDescent="0.25">
      <c r="P4583" s="27">
        <v>3.2548184716220556E-2</v>
      </c>
      <c r="Q4583" s="28">
        <f t="shared" si="75"/>
        <v>3.5548184716220559E-2</v>
      </c>
      <c r="R4583" s="31">
        <v>0.15939660775771733</v>
      </c>
      <c r="S4583" s="32">
        <v>4.6872886000000002E-2</v>
      </c>
    </row>
    <row r="4584" spans="16:19" x14ac:dyDescent="0.25">
      <c r="P4584" s="27">
        <v>3.2548184716220556E-2</v>
      </c>
      <c r="Q4584" s="28">
        <f t="shared" si="75"/>
        <v>3.5548184716220559E-2</v>
      </c>
      <c r="R4584" s="31">
        <v>0.15939660775771733</v>
      </c>
      <c r="S4584" s="32">
        <v>4.6929999999999999E-2</v>
      </c>
    </row>
    <row r="4585" spans="16:19" x14ac:dyDescent="0.25">
      <c r="P4585" s="27">
        <v>3.2548184716220556E-2</v>
      </c>
      <c r="Q4585" s="28">
        <f t="shared" si="75"/>
        <v>3.5548184716220559E-2</v>
      </c>
      <c r="R4585" s="31">
        <v>0.15939660775771733</v>
      </c>
      <c r="S4585" s="32">
        <v>4.5420000000000002E-2</v>
      </c>
    </row>
    <row r="4586" spans="16:19" x14ac:dyDescent="0.25">
      <c r="P4586" s="27">
        <v>3.2548184716220556E-2</v>
      </c>
      <c r="Q4586" s="28">
        <f t="shared" si="75"/>
        <v>3.5548184716220559E-2</v>
      </c>
      <c r="R4586" s="31">
        <v>0.15939660775771733</v>
      </c>
      <c r="S4586" s="32">
        <v>4.2849999999999999E-2</v>
      </c>
    </row>
    <row r="4587" spans="16:19" x14ac:dyDescent="0.25">
      <c r="P4587" s="27">
        <v>3.2548184716220556E-2</v>
      </c>
      <c r="Q4587" s="28">
        <f t="shared" si="75"/>
        <v>3.5548184716220559E-2</v>
      </c>
      <c r="R4587" s="29">
        <v>0.15003660775771735</v>
      </c>
      <c r="S4587" s="30">
        <v>3.7999999999999999E-2</v>
      </c>
    </row>
    <row r="4588" spans="16:19" x14ac:dyDescent="0.25">
      <c r="P4588" s="27">
        <v>3.2548184716220556E-2</v>
      </c>
      <c r="Q4588" s="28">
        <f t="shared" si="75"/>
        <v>3.5548184716220559E-2</v>
      </c>
      <c r="R4588" s="29">
        <v>0.15003660775771735</v>
      </c>
      <c r="S4588" s="30">
        <v>3.6084550999999999E-2</v>
      </c>
    </row>
    <row r="4589" spans="16:19" x14ac:dyDescent="0.25">
      <c r="P4589" s="27">
        <v>3.2548184716220556E-2</v>
      </c>
      <c r="Q4589" s="28">
        <f t="shared" si="75"/>
        <v>3.5548184716220559E-2</v>
      </c>
      <c r="R4589" s="29">
        <v>0.15003660775771735</v>
      </c>
      <c r="S4589" s="30">
        <v>3.5209999999999998E-2</v>
      </c>
    </row>
    <row r="4590" spans="16:19" x14ac:dyDescent="0.25">
      <c r="P4590" s="27">
        <v>3.2548184716220556E-2</v>
      </c>
      <c r="Q4590" s="28">
        <f t="shared" si="75"/>
        <v>3.5548184716220559E-2</v>
      </c>
      <c r="R4590" s="29">
        <v>0.15003660775771735</v>
      </c>
      <c r="S4590" s="30">
        <v>3.415E-2</v>
      </c>
    </row>
    <row r="4591" spans="16:19" x14ac:dyDescent="0.25">
      <c r="P4591" s="27">
        <v>3.2548184716220556E-2</v>
      </c>
      <c r="Q4591" s="28">
        <f t="shared" si="75"/>
        <v>3.5548184716220559E-2</v>
      </c>
      <c r="R4591" s="29">
        <v>0.15003660775771735</v>
      </c>
      <c r="S4591" s="30">
        <v>3.5000000000000003E-2</v>
      </c>
    </row>
    <row r="4592" spans="16:19" x14ac:dyDescent="0.25">
      <c r="P4592" s="27">
        <v>3.2548184716220556E-2</v>
      </c>
      <c r="Q4592" s="28">
        <f t="shared" si="75"/>
        <v>3.5548184716220559E-2</v>
      </c>
      <c r="R4592" s="29">
        <v>0.15003660775771735</v>
      </c>
      <c r="S4592" s="30">
        <v>3.5990000000000001E-2</v>
      </c>
    </row>
    <row r="4593" spans="16:19" x14ac:dyDescent="0.25">
      <c r="P4593" s="27">
        <v>3.2548184716220556E-2</v>
      </c>
      <c r="Q4593" s="28">
        <f t="shared" si="75"/>
        <v>3.5548184716220559E-2</v>
      </c>
      <c r="R4593" s="29">
        <v>0.15003660775771735</v>
      </c>
      <c r="S4593" s="30">
        <v>3.8990000000000004E-2</v>
      </c>
    </row>
    <row r="4594" spans="16:19" x14ac:dyDescent="0.25">
      <c r="P4594" s="27">
        <v>3.2548184716220556E-2</v>
      </c>
      <c r="Q4594" s="28">
        <f t="shared" si="75"/>
        <v>3.5548184716220559E-2</v>
      </c>
      <c r="R4594" s="29">
        <v>0.15003660775771735</v>
      </c>
      <c r="S4594" s="30">
        <v>4.3529999999999999E-2</v>
      </c>
    </row>
    <row r="4595" spans="16:19" x14ac:dyDescent="0.25">
      <c r="P4595" s="27">
        <v>3.2548184716220556E-2</v>
      </c>
      <c r="Q4595" s="28">
        <f t="shared" si="75"/>
        <v>3.5548184716220559E-2</v>
      </c>
      <c r="R4595" s="31">
        <v>0.15939660775771733</v>
      </c>
      <c r="S4595" s="32">
        <v>4.6659999999999993E-2</v>
      </c>
    </row>
    <row r="4596" spans="16:19" x14ac:dyDescent="0.25">
      <c r="P4596" s="27">
        <v>3.2548184716220556E-2</v>
      </c>
      <c r="Q4596" s="28">
        <f t="shared" si="75"/>
        <v>3.5548184716220559E-2</v>
      </c>
      <c r="R4596" s="33">
        <v>0.16282860775771735</v>
      </c>
      <c r="S4596" s="34">
        <v>4.5999999999999999E-2</v>
      </c>
    </row>
    <row r="4597" spans="16:19" x14ac:dyDescent="0.25">
      <c r="P4597" s="27">
        <v>3.2548184716220556E-2</v>
      </c>
      <c r="Q4597" s="28">
        <f t="shared" si="75"/>
        <v>3.5548184716220559E-2</v>
      </c>
      <c r="R4597" s="33">
        <v>0.16282860775771735</v>
      </c>
      <c r="S4597" s="34">
        <v>4.2419999999999999E-2</v>
      </c>
    </row>
    <row r="4598" spans="16:19" x14ac:dyDescent="0.25">
      <c r="P4598" s="27">
        <v>3.2548184716220556E-2</v>
      </c>
      <c r="Q4598" s="28">
        <f t="shared" si="75"/>
        <v>3.5548184716220559E-2</v>
      </c>
      <c r="R4598" s="33">
        <v>0.16282860775771735</v>
      </c>
      <c r="S4598" s="34">
        <v>4.1599999999999998E-2</v>
      </c>
    </row>
    <row r="4599" spans="16:19" x14ac:dyDescent="0.25">
      <c r="P4599" s="27">
        <v>3.2548184716220556E-2</v>
      </c>
      <c r="Q4599" s="28">
        <f t="shared" si="75"/>
        <v>3.5548184716220559E-2</v>
      </c>
      <c r="R4599" s="33">
        <v>0.16282860775771735</v>
      </c>
      <c r="S4599" s="34">
        <v>3.7447622E-2</v>
      </c>
    </row>
    <row r="4600" spans="16:19" x14ac:dyDescent="0.25">
      <c r="P4600" s="27">
        <v>3.2548184716220556E-2</v>
      </c>
      <c r="Q4600" s="28">
        <f t="shared" si="75"/>
        <v>3.5548184716220559E-2</v>
      </c>
      <c r="R4600" s="33">
        <v>0.16282860775771735</v>
      </c>
      <c r="S4600" s="34">
        <v>3.7999999999999999E-2</v>
      </c>
    </row>
    <row r="4601" spans="16:19" x14ac:dyDescent="0.25">
      <c r="P4601" s="27">
        <v>3.2548184716220556E-2</v>
      </c>
      <c r="Q4601" s="28">
        <f t="shared" si="75"/>
        <v>3.5548184716220559E-2</v>
      </c>
      <c r="R4601" s="33">
        <v>0.16282860775771735</v>
      </c>
      <c r="S4601" s="34">
        <v>3.9619999999999995E-2</v>
      </c>
    </row>
    <row r="4602" spans="16:19" x14ac:dyDescent="0.25">
      <c r="P4602" s="27">
        <v>3.2548184716220556E-2</v>
      </c>
      <c r="Q4602" s="28">
        <f t="shared" si="75"/>
        <v>3.5548184716220559E-2</v>
      </c>
      <c r="R4602" s="33">
        <v>0.16282860775771735</v>
      </c>
      <c r="S4602" s="34">
        <v>4.1578676000000002E-2</v>
      </c>
    </row>
    <row r="4603" spans="16:19" x14ac:dyDescent="0.25">
      <c r="P4603" s="27">
        <v>3.2548184716220556E-2</v>
      </c>
      <c r="Q4603" s="28">
        <f t="shared" si="75"/>
        <v>3.5548184716220559E-2</v>
      </c>
      <c r="R4603" s="33">
        <v>0.16282860775771735</v>
      </c>
      <c r="S4603" s="34">
        <v>4.3529999999999999E-2</v>
      </c>
    </row>
    <row r="4604" spans="16:19" x14ac:dyDescent="0.25">
      <c r="P4604" s="27">
        <v>3.2548184716220556E-2</v>
      </c>
      <c r="Q4604" s="28">
        <f t="shared" si="75"/>
        <v>3.5548184716220559E-2</v>
      </c>
      <c r="R4604" s="33">
        <v>0.16282860775771735</v>
      </c>
      <c r="S4604" s="34">
        <v>4.342E-2</v>
      </c>
    </row>
    <row r="4605" spans="16:19" x14ac:dyDescent="0.25">
      <c r="P4605" s="27">
        <v>3.2548184716220556E-2</v>
      </c>
      <c r="Q4605" s="28">
        <f t="shared" si="75"/>
        <v>3.5548184716220559E-2</v>
      </c>
      <c r="R4605" s="33">
        <v>0.16282860775771735</v>
      </c>
      <c r="S4605" s="34">
        <v>4.5429999999999998E-2</v>
      </c>
    </row>
    <row r="4606" spans="16:19" x14ac:dyDescent="0.25">
      <c r="P4606" s="27">
        <v>3.2548184716220556E-2</v>
      </c>
      <c r="Q4606" s="28">
        <f t="shared" si="75"/>
        <v>3.5548184716220559E-2</v>
      </c>
      <c r="R4606" s="33">
        <v>0.16282860775771735</v>
      </c>
      <c r="S4606" s="34">
        <v>4.5999999999999999E-2</v>
      </c>
    </row>
    <row r="4607" spans="16:19" x14ac:dyDescent="0.25">
      <c r="P4607" s="27">
        <v>3.2548184716220556E-2</v>
      </c>
      <c r="Q4607" s="28">
        <f t="shared" si="75"/>
        <v>3.5548184716220559E-2</v>
      </c>
      <c r="R4607" s="31">
        <v>0.15939660775771733</v>
      </c>
      <c r="S4607" s="32">
        <v>4.7E-2</v>
      </c>
    </row>
    <row r="4608" spans="16:19" x14ac:dyDescent="0.25">
      <c r="P4608" s="27">
        <v>3.2548184716220556E-2</v>
      </c>
      <c r="Q4608" s="28">
        <f t="shared" si="75"/>
        <v>3.5548184716220559E-2</v>
      </c>
      <c r="R4608" s="31">
        <v>0.15939660775771733</v>
      </c>
      <c r="S4608" s="32">
        <v>4.7189999999999996E-2</v>
      </c>
    </row>
    <row r="4609" spans="16:19" x14ac:dyDescent="0.25">
      <c r="P4609" s="27">
        <v>3.2548184716220556E-2</v>
      </c>
      <c r="Q4609" s="28">
        <f t="shared" si="75"/>
        <v>3.5548184716220559E-2</v>
      </c>
      <c r="R4609" s="31">
        <v>0.15939660775771733</v>
      </c>
      <c r="S4609" s="32">
        <v>4.4819999999999999E-2</v>
      </c>
    </row>
    <row r="4610" spans="16:19" x14ac:dyDescent="0.25">
      <c r="P4610" s="27">
        <v>3.2548184716220556E-2</v>
      </c>
      <c r="Q4610" s="28">
        <f t="shared" si="75"/>
        <v>3.5548184716220559E-2</v>
      </c>
      <c r="R4610" s="31">
        <v>0.15939660775771733</v>
      </c>
      <c r="S4610" s="32">
        <v>4.301E-2</v>
      </c>
    </row>
    <row r="4611" spans="16:19" x14ac:dyDescent="0.25">
      <c r="P4611" s="27">
        <v>3.2548184716220556E-2</v>
      </c>
      <c r="Q4611" s="28">
        <f t="shared" si="75"/>
        <v>3.5548184716220559E-2</v>
      </c>
      <c r="R4611" s="29">
        <v>0.15003660775771735</v>
      </c>
      <c r="S4611" s="30">
        <v>4.7E-2</v>
      </c>
    </row>
    <row r="4612" spans="16:19" x14ac:dyDescent="0.25">
      <c r="P4612" s="27">
        <v>3.2548184716220556E-2</v>
      </c>
      <c r="Q4612" s="28">
        <f t="shared" si="75"/>
        <v>3.5548184716220559E-2</v>
      </c>
      <c r="R4612" s="29">
        <v>0.15003660775771735</v>
      </c>
      <c r="S4612" s="30">
        <v>4.3060000000000001E-2</v>
      </c>
    </row>
    <row r="4613" spans="16:19" x14ac:dyDescent="0.25">
      <c r="P4613" s="27">
        <v>3.2548184716220556E-2</v>
      </c>
      <c r="Q4613" s="28">
        <f t="shared" ref="Q4613:Q4676" si="76">P4613+0.003</f>
        <v>3.5548184716220559E-2</v>
      </c>
      <c r="R4613" s="29">
        <v>0.15003660775771735</v>
      </c>
      <c r="S4613" s="30">
        <v>3.9990000000000005E-2</v>
      </c>
    </row>
    <row r="4614" spans="16:19" x14ac:dyDescent="0.25">
      <c r="P4614" s="27">
        <v>3.2548184716220556E-2</v>
      </c>
      <c r="Q4614" s="28">
        <f t="shared" si="76"/>
        <v>3.5548184716220559E-2</v>
      </c>
      <c r="R4614" s="29">
        <v>0.15003660775771735</v>
      </c>
      <c r="S4614" s="30">
        <v>3.9490000000000004E-2</v>
      </c>
    </row>
    <row r="4615" spans="16:19" x14ac:dyDescent="0.25">
      <c r="P4615" s="27">
        <v>3.2548184716220556E-2</v>
      </c>
      <c r="Q4615" s="28">
        <f t="shared" si="76"/>
        <v>3.5548184716220559E-2</v>
      </c>
      <c r="R4615" s="29">
        <v>0.15003660775771735</v>
      </c>
      <c r="S4615" s="30">
        <v>0.04</v>
      </c>
    </row>
    <row r="4616" spans="16:19" x14ac:dyDescent="0.25">
      <c r="P4616" s="27">
        <v>3.2548184716220556E-2</v>
      </c>
      <c r="Q4616" s="28">
        <f t="shared" si="76"/>
        <v>3.5548184716220559E-2</v>
      </c>
      <c r="R4616" s="29">
        <v>0.15003660775771735</v>
      </c>
      <c r="S4616" s="30">
        <v>3.9880000000000006E-2</v>
      </c>
    </row>
    <row r="4617" spans="16:19" x14ac:dyDescent="0.25">
      <c r="P4617" s="27">
        <v>3.2548184716220556E-2</v>
      </c>
      <c r="Q4617" s="28">
        <f t="shared" si="76"/>
        <v>3.5548184716220559E-2</v>
      </c>
      <c r="R4617" s="29">
        <v>0.15003660775771735</v>
      </c>
      <c r="S4617" s="30">
        <v>3.9990000000000005E-2</v>
      </c>
    </row>
    <row r="4618" spans="16:19" x14ac:dyDescent="0.25">
      <c r="P4618" s="27">
        <v>3.2548184716220556E-2</v>
      </c>
      <c r="Q4618" s="28">
        <f t="shared" si="76"/>
        <v>3.5548184716220559E-2</v>
      </c>
      <c r="R4618" s="29">
        <v>0.15003660775771735</v>
      </c>
      <c r="S4618" s="30">
        <v>4.2720000000000001E-2</v>
      </c>
    </row>
    <row r="4619" spans="16:19" x14ac:dyDescent="0.25">
      <c r="P4619" s="27">
        <v>3.2548184716220556E-2</v>
      </c>
      <c r="Q4619" s="28">
        <f t="shared" si="76"/>
        <v>3.5548184716220559E-2</v>
      </c>
      <c r="R4619" s="31">
        <v>0.15939660775771733</v>
      </c>
      <c r="S4619" s="32">
        <v>4.4260000000000001E-2</v>
      </c>
    </row>
    <row r="4620" spans="16:19" x14ac:dyDescent="0.25">
      <c r="P4620" s="27">
        <v>3.2548184716220556E-2</v>
      </c>
      <c r="Q4620" s="28">
        <f t="shared" si="76"/>
        <v>3.5548184716220559E-2</v>
      </c>
      <c r="R4620" s="33">
        <v>0.16282860775771735</v>
      </c>
      <c r="S4620" s="34">
        <v>4.3529999999999999E-2</v>
      </c>
    </row>
    <row r="4621" spans="16:19" x14ac:dyDescent="0.25">
      <c r="P4621" s="27">
        <v>3.2548184716220556E-2</v>
      </c>
      <c r="Q4621" s="28">
        <f t="shared" si="76"/>
        <v>3.5548184716220559E-2</v>
      </c>
      <c r="R4621" s="33">
        <v>0.16282860775771735</v>
      </c>
      <c r="S4621" s="34">
        <v>3.986E-2</v>
      </c>
    </row>
    <row r="4622" spans="16:19" x14ac:dyDescent="0.25">
      <c r="P4622" s="27">
        <v>3.2548184716220556E-2</v>
      </c>
      <c r="Q4622" s="28">
        <f t="shared" si="76"/>
        <v>3.5548184716220559E-2</v>
      </c>
      <c r="R4622" s="33">
        <v>0.16282860775771735</v>
      </c>
      <c r="S4622" s="34">
        <v>3.9869999999999996E-2</v>
      </c>
    </row>
    <row r="4623" spans="16:19" x14ac:dyDescent="0.25">
      <c r="P4623" s="27">
        <v>3.2548184716220556E-2</v>
      </c>
      <c r="Q4623" s="28">
        <f t="shared" si="76"/>
        <v>3.5548184716220559E-2</v>
      </c>
      <c r="R4623" s="33">
        <v>0.16282860775771735</v>
      </c>
      <c r="S4623" s="34">
        <v>3.8539999999999998E-2</v>
      </c>
    </row>
    <row r="4624" spans="16:19" x14ac:dyDescent="0.25">
      <c r="P4624" s="27">
        <v>3.2548184716220556E-2</v>
      </c>
      <c r="Q4624" s="28">
        <f t="shared" si="76"/>
        <v>3.5548184716220559E-2</v>
      </c>
      <c r="R4624" s="33">
        <v>0.16282860775771735</v>
      </c>
      <c r="S4624" s="34">
        <v>3.8399999999999997E-2</v>
      </c>
    </row>
    <row r="4625" spans="16:19" x14ac:dyDescent="0.25">
      <c r="P4625" s="27">
        <v>3.2548184716220556E-2</v>
      </c>
      <c r="Q4625" s="28">
        <f t="shared" si="76"/>
        <v>3.5548184716220559E-2</v>
      </c>
      <c r="R4625" s="33">
        <v>0.16282860775771735</v>
      </c>
      <c r="S4625" s="34">
        <v>3.8539999999999998E-2</v>
      </c>
    </row>
    <row r="4626" spans="16:19" x14ac:dyDescent="0.25">
      <c r="P4626" s="27">
        <v>3.2548184716220556E-2</v>
      </c>
      <c r="Q4626" s="28">
        <f t="shared" si="76"/>
        <v>3.5548184716220559E-2</v>
      </c>
      <c r="R4626" s="33">
        <v>0.16282860775771735</v>
      </c>
      <c r="S4626" s="34">
        <v>3.8539999999999998E-2</v>
      </c>
    </row>
    <row r="4627" spans="16:19" x14ac:dyDescent="0.25">
      <c r="P4627" s="27">
        <v>3.2548184716220556E-2</v>
      </c>
      <c r="Q4627" s="28">
        <f t="shared" si="76"/>
        <v>3.5548184716220559E-2</v>
      </c>
      <c r="R4627" s="33">
        <v>0.16282860775771735</v>
      </c>
      <c r="S4627" s="34">
        <v>3.8399999999999997E-2</v>
      </c>
    </row>
    <row r="4628" spans="16:19" x14ac:dyDescent="0.25">
      <c r="P4628" s="27">
        <v>3.2548184716220556E-2</v>
      </c>
      <c r="Q4628" s="28">
        <f t="shared" si="76"/>
        <v>3.5548184716220559E-2</v>
      </c>
      <c r="R4628" s="33">
        <v>0.16282860775771735</v>
      </c>
      <c r="S4628" s="34">
        <v>3.9990000000000005E-2</v>
      </c>
    </row>
    <row r="4629" spans="16:19" x14ac:dyDescent="0.25">
      <c r="P4629" s="27">
        <v>3.2548184716220556E-2</v>
      </c>
      <c r="Q4629" s="28">
        <f t="shared" si="76"/>
        <v>3.5548184716220559E-2</v>
      </c>
      <c r="R4629" s="33">
        <v>0.16282860775771735</v>
      </c>
      <c r="S4629" s="34">
        <v>4.24E-2</v>
      </c>
    </row>
    <row r="4630" spans="16:19" x14ac:dyDescent="0.25">
      <c r="P4630" s="27">
        <v>3.2548184716220556E-2</v>
      </c>
      <c r="Q4630" s="28">
        <f t="shared" si="76"/>
        <v>3.5548184716220559E-2</v>
      </c>
      <c r="R4630" s="33">
        <v>0.16282860775771735</v>
      </c>
      <c r="S4630" s="34">
        <v>4.4243862000000002E-2</v>
      </c>
    </row>
    <row r="4631" spans="16:19" x14ac:dyDescent="0.25">
      <c r="P4631" s="27">
        <v>3.2548184716220556E-2</v>
      </c>
      <c r="Q4631" s="28">
        <f t="shared" si="76"/>
        <v>3.5548184716220559E-2</v>
      </c>
      <c r="R4631" s="31">
        <v>0.15939660775771733</v>
      </c>
      <c r="S4631" s="32">
        <v>4.4474814000000001E-2</v>
      </c>
    </row>
    <row r="4632" spans="16:19" x14ac:dyDescent="0.25">
      <c r="P4632" s="27">
        <v>3.2548184716220556E-2</v>
      </c>
      <c r="Q4632" s="28">
        <f t="shared" si="76"/>
        <v>3.5548184716220559E-2</v>
      </c>
      <c r="R4632" s="31">
        <v>0.15939660775771733</v>
      </c>
      <c r="S4632" s="32">
        <v>4.7158068999999997E-2</v>
      </c>
    </row>
    <row r="4633" spans="16:19" x14ac:dyDescent="0.25">
      <c r="P4633" s="27">
        <v>3.2548184716220556E-2</v>
      </c>
      <c r="Q4633" s="28">
        <f t="shared" si="76"/>
        <v>3.5548184716220559E-2</v>
      </c>
      <c r="R4633" s="31">
        <v>0.15939660775771733</v>
      </c>
      <c r="S4633" s="32">
        <v>4.2999999999999997E-2</v>
      </c>
    </row>
    <row r="4634" spans="16:19" x14ac:dyDescent="0.25">
      <c r="P4634" s="27">
        <v>3.2548184716220556E-2</v>
      </c>
      <c r="Q4634" s="28">
        <f t="shared" si="76"/>
        <v>3.5548184716220559E-2</v>
      </c>
      <c r="R4634" s="31">
        <v>0.15939660775771733</v>
      </c>
      <c r="S4634" s="32">
        <v>4.1110000000000001E-2</v>
      </c>
    </row>
    <row r="4635" spans="16:19" x14ac:dyDescent="0.25">
      <c r="P4635" s="27">
        <v>3.2548184716220556E-2</v>
      </c>
      <c r="Q4635" s="28">
        <f t="shared" si="76"/>
        <v>3.5548184716220559E-2</v>
      </c>
      <c r="R4635" s="29">
        <v>0.15003660775771735</v>
      </c>
      <c r="S4635" s="30">
        <v>4.1919999999999999E-2</v>
      </c>
    </row>
    <row r="4636" spans="16:19" x14ac:dyDescent="0.25">
      <c r="P4636" s="27">
        <v>3.2548184716220556E-2</v>
      </c>
      <c r="Q4636" s="28">
        <f t="shared" si="76"/>
        <v>3.5548184716220559E-2</v>
      </c>
      <c r="R4636" s="29">
        <v>0.15003660775771735</v>
      </c>
      <c r="S4636" s="30">
        <v>3.95E-2</v>
      </c>
    </row>
    <row r="4637" spans="16:19" x14ac:dyDescent="0.25">
      <c r="P4637" s="27">
        <v>3.2548184716220556E-2</v>
      </c>
      <c r="Q4637" s="28">
        <f t="shared" si="76"/>
        <v>3.5548184716220559E-2</v>
      </c>
      <c r="R4637" s="29">
        <v>0.15003660775771735</v>
      </c>
      <c r="S4637" s="30">
        <v>3.8640000000000001E-2</v>
      </c>
    </row>
    <row r="4638" spans="16:19" x14ac:dyDescent="0.25">
      <c r="P4638" s="27">
        <v>3.2548184716220556E-2</v>
      </c>
      <c r="Q4638" s="28">
        <f t="shared" si="76"/>
        <v>3.5548184716220559E-2</v>
      </c>
      <c r="R4638" s="29">
        <v>0.15003660775771735</v>
      </c>
      <c r="S4638" s="30">
        <v>3.8299999999999994E-2</v>
      </c>
    </row>
    <row r="4639" spans="16:19" x14ac:dyDescent="0.25">
      <c r="P4639" s="27">
        <v>3.2548184716220556E-2</v>
      </c>
      <c r="Q4639" s="28">
        <f t="shared" si="76"/>
        <v>3.5548184716220559E-2</v>
      </c>
      <c r="R4639" s="29">
        <v>0.15003660775771735</v>
      </c>
      <c r="S4639" s="30">
        <v>3.7100000000000001E-2</v>
      </c>
    </row>
    <row r="4640" spans="16:19" x14ac:dyDescent="0.25">
      <c r="P4640" s="27">
        <v>3.2548184716220556E-2</v>
      </c>
      <c r="Q4640" s="28">
        <f t="shared" si="76"/>
        <v>3.5548184716220559E-2</v>
      </c>
      <c r="R4640" s="29">
        <v>0.15003660775771735</v>
      </c>
      <c r="S4640" s="30">
        <v>3.6270000000000004E-2</v>
      </c>
    </row>
    <row r="4641" spans="16:19" x14ac:dyDescent="0.25">
      <c r="P4641" s="27">
        <v>3.2548184716220556E-2</v>
      </c>
      <c r="Q4641" s="28">
        <f t="shared" si="76"/>
        <v>3.5548184716220559E-2</v>
      </c>
      <c r="R4641" s="29">
        <v>0.15003660775771735</v>
      </c>
      <c r="S4641" s="30">
        <v>2.9250000000000002E-2</v>
      </c>
    </row>
    <row r="4642" spans="16:19" x14ac:dyDescent="0.25">
      <c r="P4642" s="27">
        <v>3.2548184716220556E-2</v>
      </c>
      <c r="Q4642" s="28">
        <f t="shared" si="76"/>
        <v>3.5548184716220559E-2</v>
      </c>
      <c r="R4642" s="29">
        <v>0.15003660775771735</v>
      </c>
      <c r="S4642" s="30">
        <v>3.4770044E-2</v>
      </c>
    </row>
    <row r="4643" spans="16:19" x14ac:dyDescent="0.25">
      <c r="P4643" s="27">
        <v>3.2548184716220556E-2</v>
      </c>
      <c r="Q4643" s="28">
        <f t="shared" si="76"/>
        <v>3.5548184716220559E-2</v>
      </c>
      <c r="R4643" s="31">
        <v>0.15939660775771733</v>
      </c>
      <c r="S4643" s="32">
        <v>3.5000000000000003E-2</v>
      </c>
    </row>
    <row r="4644" spans="16:19" x14ac:dyDescent="0.25">
      <c r="P4644" s="27">
        <v>3.2548184716220556E-2</v>
      </c>
      <c r="Q4644" s="28">
        <f t="shared" si="76"/>
        <v>3.5548184716220559E-2</v>
      </c>
      <c r="R4644" s="33">
        <v>0.16282860775771735</v>
      </c>
      <c r="S4644" s="34">
        <v>3.8299999999999994E-2</v>
      </c>
    </row>
    <row r="4645" spans="16:19" x14ac:dyDescent="0.25">
      <c r="P4645" s="27">
        <v>3.2548184716220556E-2</v>
      </c>
      <c r="Q4645" s="28">
        <f t="shared" si="76"/>
        <v>3.5548184716220559E-2</v>
      </c>
      <c r="R4645" s="33">
        <v>0.16282860775771735</v>
      </c>
      <c r="S4645" s="34">
        <v>3.3800592000000004E-2</v>
      </c>
    </row>
    <row r="4646" spans="16:19" x14ac:dyDescent="0.25">
      <c r="P4646" s="27">
        <v>3.2548184716220556E-2</v>
      </c>
      <c r="Q4646" s="28">
        <f t="shared" si="76"/>
        <v>3.5548184716220559E-2</v>
      </c>
      <c r="R4646" s="33">
        <v>0.16282860775771735</v>
      </c>
      <c r="S4646" s="34">
        <v>3.5000000000000003E-2</v>
      </c>
    </row>
    <row r="4647" spans="16:19" x14ac:dyDescent="0.25">
      <c r="P4647" s="27">
        <v>3.2548184716220556E-2</v>
      </c>
      <c r="Q4647" s="28">
        <f t="shared" si="76"/>
        <v>3.5548184716220559E-2</v>
      </c>
      <c r="R4647" s="33">
        <v>0.16282860775771735</v>
      </c>
      <c r="S4647" s="34">
        <v>3.2567407E-2</v>
      </c>
    </row>
    <row r="4648" spans="16:19" x14ac:dyDescent="0.25">
      <c r="P4648" s="27">
        <v>3.2548184716220556E-2</v>
      </c>
      <c r="Q4648" s="28">
        <f t="shared" si="76"/>
        <v>3.5548184716220559E-2</v>
      </c>
      <c r="R4648" s="33">
        <v>0.16282860775771735</v>
      </c>
      <c r="S4648" s="34">
        <v>2.5000000000000001E-2</v>
      </c>
    </row>
    <row r="4649" spans="16:19" x14ac:dyDescent="0.25">
      <c r="P4649" s="27">
        <v>3.2548184716220556E-2</v>
      </c>
      <c r="Q4649" s="28">
        <f t="shared" si="76"/>
        <v>3.5548184716220559E-2</v>
      </c>
      <c r="R4649" s="33">
        <v>0.16282860775771735</v>
      </c>
      <c r="S4649" s="34">
        <v>2.2659116E-2</v>
      </c>
    </row>
    <row r="4650" spans="16:19" x14ac:dyDescent="0.25">
      <c r="P4650" s="27">
        <v>3.2548184716220556E-2</v>
      </c>
      <c r="Q4650" s="28">
        <f t="shared" si="76"/>
        <v>3.5548184716220559E-2</v>
      </c>
      <c r="R4650" s="33">
        <v>0.16282860775771735</v>
      </c>
      <c r="S4650" s="34">
        <v>3.313E-2</v>
      </c>
    </row>
    <row r="4651" spans="16:19" x14ac:dyDescent="0.25">
      <c r="P4651" s="27">
        <v>3.2548184716220556E-2</v>
      </c>
      <c r="Q4651" s="28">
        <f t="shared" si="76"/>
        <v>3.5548184716220559E-2</v>
      </c>
      <c r="R4651" s="33">
        <v>0.16282860775771735</v>
      </c>
      <c r="S4651" s="34">
        <v>2.4760000000000001E-2</v>
      </c>
    </row>
    <row r="4652" spans="16:19" x14ac:dyDescent="0.25">
      <c r="P4652" s="27">
        <v>3.2548184716220556E-2</v>
      </c>
      <c r="Q4652" s="28">
        <f t="shared" si="76"/>
        <v>3.5548184716220559E-2</v>
      </c>
      <c r="R4652" s="33">
        <v>0.16282860775771735</v>
      </c>
      <c r="S4652" s="34">
        <v>3.0673152999999998E-2</v>
      </c>
    </row>
    <row r="4653" spans="16:19" x14ac:dyDescent="0.25">
      <c r="P4653" s="27">
        <v>3.2548184716220556E-2</v>
      </c>
      <c r="Q4653" s="28">
        <f t="shared" si="76"/>
        <v>3.5548184716220559E-2</v>
      </c>
      <c r="R4653" s="33">
        <v>0.16282860775771735</v>
      </c>
      <c r="S4653" s="34">
        <v>3.5490000000000001E-2</v>
      </c>
    </row>
    <row r="4654" spans="16:19" x14ac:dyDescent="0.25">
      <c r="P4654" s="27">
        <v>3.2548184716220556E-2</v>
      </c>
      <c r="Q4654" s="28">
        <f t="shared" si="76"/>
        <v>3.5548184716220559E-2</v>
      </c>
      <c r="R4654" s="33">
        <v>0.16282860775771735</v>
      </c>
      <c r="S4654" s="34">
        <v>3.8490000000000003E-2</v>
      </c>
    </row>
    <row r="4655" spans="16:19" x14ac:dyDescent="0.25">
      <c r="P4655" s="27">
        <v>3.2548184716220556E-2</v>
      </c>
      <c r="Q4655" s="28">
        <f t="shared" si="76"/>
        <v>3.5548184716220559E-2</v>
      </c>
      <c r="R4655" s="31">
        <v>0.15939660775771733</v>
      </c>
      <c r="S4655" s="32">
        <v>4.2720000000000001E-2</v>
      </c>
    </row>
    <row r="4656" spans="16:19" x14ac:dyDescent="0.25">
      <c r="P4656" s="27">
        <v>3.2548184716220556E-2</v>
      </c>
      <c r="Q4656" s="28">
        <f t="shared" si="76"/>
        <v>3.5548184716220559E-2</v>
      </c>
      <c r="R4656" s="31">
        <v>0.15939660775771733</v>
      </c>
      <c r="S4656" s="32">
        <v>4.3490000000000001E-2</v>
      </c>
    </row>
    <row r="4657" spans="16:19" x14ac:dyDescent="0.25">
      <c r="P4657" s="27">
        <v>3.2548184716220556E-2</v>
      </c>
      <c r="Q4657" s="28">
        <f t="shared" si="76"/>
        <v>3.5548184716220559E-2</v>
      </c>
      <c r="R4657" s="31">
        <v>0.15939660775771733</v>
      </c>
      <c r="S4657" s="32">
        <v>4.0719999999999999E-2</v>
      </c>
    </row>
    <row r="4658" spans="16:19" x14ac:dyDescent="0.25">
      <c r="P4658" s="27">
        <v>3.2548184716220556E-2</v>
      </c>
      <c r="Q4658" s="28">
        <f t="shared" si="76"/>
        <v>3.5548184716220559E-2</v>
      </c>
      <c r="R4658" s="31">
        <v>0.15939660775771733</v>
      </c>
      <c r="S4658" s="32">
        <v>3.8490000000000003E-2</v>
      </c>
    </row>
    <row r="4659" spans="16:19" x14ac:dyDescent="0.25">
      <c r="P4659" s="27">
        <v>3.2548184716220556E-2</v>
      </c>
      <c r="Q4659" s="28">
        <f t="shared" si="76"/>
        <v>3.5548184716220559E-2</v>
      </c>
      <c r="R4659" s="29">
        <v>0.15003660775771735</v>
      </c>
      <c r="S4659" s="30">
        <v>3.4700000000000002E-2</v>
      </c>
    </row>
    <row r="4660" spans="16:19" x14ac:dyDescent="0.25">
      <c r="P4660" s="27">
        <v>3.2548184716220556E-2</v>
      </c>
      <c r="Q4660" s="28">
        <f t="shared" si="76"/>
        <v>3.5548184716220559E-2</v>
      </c>
      <c r="R4660" s="29">
        <v>0.15003660775771735</v>
      </c>
      <c r="S4660" s="30">
        <v>2.8899999999999999E-2</v>
      </c>
    </row>
    <row r="4661" spans="16:19" x14ac:dyDescent="0.25">
      <c r="P4661" s="27">
        <v>3.2548184716220556E-2</v>
      </c>
      <c r="Q4661" s="28">
        <f t="shared" si="76"/>
        <v>3.5548184716220559E-2</v>
      </c>
      <c r="R4661" s="29">
        <v>0.15003660775771735</v>
      </c>
      <c r="S4661" s="30">
        <v>2.5000000000000001E-2</v>
      </c>
    </row>
    <row r="4662" spans="16:19" x14ac:dyDescent="0.25">
      <c r="P4662" s="27">
        <v>3.2548184716220556E-2</v>
      </c>
      <c r="Q4662" s="28">
        <f t="shared" si="76"/>
        <v>3.5548184716220559E-2</v>
      </c>
      <c r="R4662" s="29">
        <v>0.15003660775771735</v>
      </c>
      <c r="S4662" s="30">
        <v>2.3399999999999997E-2</v>
      </c>
    </row>
    <row r="4663" spans="16:19" x14ac:dyDescent="0.25">
      <c r="P4663" s="27">
        <v>3.2548184716220556E-2</v>
      </c>
      <c r="Q4663" s="28">
        <f t="shared" si="76"/>
        <v>3.5548184716220559E-2</v>
      </c>
      <c r="R4663" s="29">
        <v>0.15003660775771735</v>
      </c>
      <c r="S4663" s="30">
        <v>2.4760000000000001E-2</v>
      </c>
    </row>
    <row r="4664" spans="16:19" x14ac:dyDescent="0.25">
      <c r="P4664" s="27">
        <v>3.2548184716220556E-2</v>
      </c>
      <c r="Q4664" s="28">
        <f t="shared" si="76"/>
        <v>3.5548184716220559E-2</v>
      </c>
      <c r="R4664" s="29">
        <v>0.15003660775771735</v>
      </c>
      <c r="S4664" s="30">
        <v>2.8969999999999999E-2</v>
      </c>
    </row>
    <row r="4665" spans="16:19" x14ac:dyDescent="0.25">
      <c r="P4665" s="27">
        <v>3.2548184716220556E-2</v>
      </c>
      <c r="Q4665" s="28">
        <f t="shared" si="76"/>
        <v>3.5548184716220559E-2</v>
      </c>
      <c r="R4665" s="29">
        <v>0.15003660775771735</v>
      </c>
      <c r="S4665" s="30">
        <v>3.8490000000000003E-2</v>
      </c>
    </row>
    <row r="4666" spans="16:19" x14ac:dyDescent="0.25">
      <c r="P4666" s="27">
        <v>3.2548184716220556E-2</v>
      </c>
      <c r="Q4666" s="28">
        <f t="shared" si="76"/>
        <v>3.5548184716220559E-2</v>
      </c>
      <c r="R4666" s="29">
        <v>0.15003660775771735</v>
      </c>
      <c r="S4666" s="30">
        <v>4.4560000000000002E-2</v>
      </c>
    </row>
    <row r="4667" spans="16:19" x14ac:dyDescent="0.25">
      <c r="P4667" s="27">
        <v>3.2548184716220556E-2</v>
      </c>
      <c r="Q4667" s="28">
        <f t="shared" si="76"/>
        <v>3.5548184716220559E-2</v>
      </c>
      <c r="R4667" s="31">
        <v>0.15939999999999999</v>
      </c>
      <c r="S4667" s="32">
        <v>4.7509999999999997E-2</v>
      </c>
    </row>
    <row r="4668" spans="16:19" x14ac:dyDescent="0.25">
      <c r="P4668" s="27">
        <v>3.2548184716220556E-2</v>
      </c>
      <c r="Q4668" s="28">
        <f t="shared" si="76"/>
        <v>3.5548184716220559E-2</v>
      </c>
      <c r="R4668" s="31">
        <v>0.15939999999999999</v>
      </c>
      <c r="S4668" s="32">
        <v>4.9875243E-2</v>
      </c>
    </row>
    <row r="4669" spans="16:19" x14ac:dyDescent="0.25">
      <c r="P4669" s="27">
        <v>3.2548184716220556E-2</v>
      </c>
      <c r="Q4669" s="28">
        <f t="shared" si="76"/>
        <v>3.5548184716220559E-2</v>
      </c>
      <c r="R4669" s="31">
        <v>0.15939999999999999</v>
      </c>
      <c r="S4669" s="32">
        <v>4.7E-2</v>
      </c>
    </row>
    <row r="4670" spans="16:19" x14ac:dyDescent="0.25">
      <c r="P4670" s="27">
        <v>3.2548184716220556E-2</v>
      </c>
      <c r="Q4670" s="28">
        <f t="shared" si="76"/>
        <v>3.5548184716220559E-2</v>
      </c>
      <c r="R4670" s="31">
        <v>0.15939999999999999</v>
      </c>
      <c r="S4670" s="32">
        <v>4.675E-2</v>
      </c>
    </row>
    <row r="4671" spans="16:19" x14ac:dyDescent="0.25">
      <c r="P4671" s="27">
        <v>3.2548184716220556E-2</v>
      </c>
      <c r="Q4671" s="28">
        <f t="shared" si="76"/>
        <v>3.5548184716220559E-2</v>
      </c>
      <c r="R4671" s="31">
        <v>0.15939999999999999</v>
      </c>
      <c r="S4671" s="32">
        <v>4.2689999999999999E-2</v>
      </c>
    </row>
    <row r="4672" spans="16:19" x14ac:dyDescent="0.25">
      <c r="P4672" s="27">
        <v>3.2548184716220556E-2</v>
      </c>
      <c r="Q4672" s="28">
        <f t="shared" si="76"/>
        <v>3.5548184716220559E-2</v>
      </c>
      <c r="R4672" s="31">
        <v>0.15939999999999999</v>
      </c>
      <c r="S4672" s="32">
        <v>4.2020000000000002E-2</v>
      </c>
    </row>
    <row r="4673" spans="16:19" x14ac:dyDescent="0.25">
      <c r="P4673" s="27">
        <v>3.2548184716220556E-2</v>
      </c>
      <c r="Q4673" s="28">
        <f t="shared" si="76"/>
        <v>3.5548184716220559E-2</v>
      </c>
      <c r="R4673" s="31">
        <v>0.15939999999999999</v>
      </c>
      <c r="S4673" s="32">
        <v>4.4999999999999998E-2</v>
      </c>
    </row>
    <row r="4674" spans="16:19" x14ac:dyDescent="0.25">
      <c r="P4674" s="27">
        <v>3.2548184716220556E-2</v>
      </c>
      <c r="Q4674" s="28">
        <f t="shared" si="76"/>
        <v>3.5548184716220559E-2</v>
      </c>
      <c r="R4674" s="31">
        <v>0.15939999999999999</v>
      </c>
      <c r="S4674" s="32">
        <v>4.5600000000000002E-2</v>
      </c>
    </row>
    <row r="4675" spans="16:19" x14ac:dyDescent="0.25">
      <c r="P4675" s="27">
        <v>3.2548184716220556E-2</v>
      </c>
      <c r="Q4675" s="28">
        <f t="shared" si="76"/>
        <v>3.5548184716220559E-2</v>
      </c>
      <c r="R4675" s="31">
        <v>0.15939999999999999</v>
      </c>
      <c r="S4675" s="32">
        <v>4.675E-2</v>
      </c>
    </row>
    <row r="4676" spans="16:19" x14ac:dyDescent="0.25">
      <c r="P4676" s="27">
        <v>3.2548184716220556E-2</v>
      </c>
      <c r="Q4676" s="28">
        <f t="shared" si="76"/>
        <v>3.5548184716220559E-2</v>
      </c>
      <c r="R4676" s="31">
        <v>0.15939999999999999</v>
      </c>
      <c r="S4676" s="32">
        <v>4.4539999999999996E-2</v>
      </c>
    </row>
    <row r="4677" spans="16:19" x14ac:dyDescent="0.25">
      <c r="P4677" s="27">
        <v>3.2548184716220556E-2</v>
      </c>
      <c r="Q4677" s="28">
        <f t="shared" ref="Q4677:Q4740" si="77">P4677+0.003</f>
        <v>3.5548184716220559E-2</v>
      </c>
      <c r="R4677" s="31">
        <v>0.15939999999999999</v>
      </c>
      <c r="S4677" s="32">
        <v>4.6560000000000004E-2</v>
      </c>
    </row>
    <row r="4678" spans="16:19" x14ac:dyDescent="0.25">
      <c r="P4678" s="27">
        <v>3.2548184716220556E-2</v>
      </c>
      <c r="Q4678" s="28">
        <f t="shared" si="77"/>
        <v>3.5548184716220559E-2</v>
      </c>
      <c r="R4678" s="31">
        <v>0.15939999999999999</v>
      </c>
      <c r="S4678" s="32">
        <v>4.5670000000000002E-2</v>
      </c>
    </row>
    <row r="4679" spans="16:19" x14ac:dyDescent="0.25">
      <c r="P4679" s="27">
        <v>3.2548184716220556E-2</v>
      </c>
      <c r="Q4679" s="28">
        <f t="shared" si="77"/>
        <v>3.5548184716220559E-2</v>
      </c>
      <c r="R4679" s="31">
        <v>0.15939999999999999</v>
      </c>
      <c r="S4679" s="32">
        <v>4.6329999999999996E-2</v>
      </c>
    </row>
    <row r="4680" spans="16:19" x14ac:dyDescent="0.25">
      <c r="P4680" s="27">
        <v>3.2548184716220556E-2</v>
      </c>
      <c r="Q4680" s="28">
        <f t="shared" si="77"/>
        <v>3.5548184716220559E-2</v>
      </c>
      <c r="R4680" s="31">
        <v>0.15939999999999999</v>
      </c>
      <c r="S4680" s="32">
        <v>4.7E-2</v>
      </c>
    </row>
    <row r="4681" spans="16:19" x14ac:dyDescent="0.25">
      <c r="P4681" s="27">
        <v>3.2548184716220556E-2</v>
      </c>
      <c r="Q4681" s="28">
        <f t="shared" si="77"/>
        <v>3.5548184716220559E-2</v>
      </c>
      <c r="R4681" s="31">
        <v>0.15939999999999999</v>
      </c>
      <c r="S4681" s="32">
        <v>4.3679999999999997E-2</v>
      </c>
    </row>
    <row r="4682" spans="16:19" x14ac:dyDescent="0.25">
      <c r="P4682" s="27">
        <v>3.2548184716220556E-2</v>
      </c>
      <c r="Q4682" s="28">
        <f t="shared" si="77"/>
        <v>3.5548184716220559E-2</v>
      </c>
      <c r="R4682" s="31">
        <v>0.15939999999999999</v>
      </c>
      <c r="S4682" s="32">
        <v>4.1919999999999999E-2</v>
      </c>
    </row>
    <row r="4683" spans="16:19" x14ac:dyDescent="0.25">
      <c r="P4683" s="27">
        <v>3.2548184716220556E-2</v>
      </c>
      <c r="Q4683" s="28">
        <f t="shared" si="77"/>
        <v>3.5548184716220559E-2</v>
      </c>
      <c r="R4683" s="29">
        <v>0.15</v>
      </c>
      <c r="S4683" s="30">
        <v>3.9670000000000004E-2</v>
      </c>
    </row>
    <row r="4684" spans="16:19" x14ac:dyDescent="0.25">
      <c r="P4684" s="27">
        <v>3.2548184716220556E-2</v>
      </c>
      <c r="Q4684" s="28">
        <f t="shared" si="77"/>
        <v>3.5548184716220559E-2</v>
      </c>
      <c r="R4684" s="29">
        <v>0.15</v>
      </c>
      <c r="S4684" s="30">
        <v>3.8539999999999998E-2</v>
      </c>
    </row>
    <row r="4685" spans="16:19" x14ac:dyDescent="0.25">
      <c r="P4685" s="27">
        <v>3.2548184716220556E-2</v>
      </c>
      <c r="Q4685" s="28">
        <f t="shared" si="77"/>
        <v>3.5548184716220559E-2</v>
      </c>
      <c r="R4685" s="29">
        <v>0.15</v>
      </c>
      <c r="S4685" s="30">
        <v>3.6899999999999995E-2</v>
      </c>
    </row>
    <row r="4686" spans="16:19" x14ac:dyDescent="0.25">
      <c r="P4686" s="27">
        <v>3.2548184716220556E-2</v>
      </c>
      <c r="Q4686" s="28">
        <f t="shared" si="77"/>
        <v>3.5548184716220559E-2</v>
      </c>
      <c r="R4686" s="29">
        <v>0.15</v>
      </c>
      <c r="S4686" s="30">
        <v>3.5990000000000001E-2</v>
      </c>
    </row>
    <row r="4687" spans="16:19" x14ac:dyDescent="0.25">
      <c r="P4687" s="27">
        <v>3.2548184716220556E-2</v>
      </c>
      <c r="Q4687" s="28">
        <f t="shared" si="77"/>
        <v>3.5548184716220559E-2</v>
      </c>
      <c r="R4687" s="29">
        <v>0.15</v>
      </c>
      <c r="S4687" s="30">
        <v>3.56E-2</v>
      </c>
    </row>
    <row r="4688" spans="16:19" x14ac:dyDescent="0.25">
      <c r="P4688" s="27">
        <v>3.2548184716220556E-2</v>
      </c>
      <c r="Q4688" s="28">
        <f t="shared" si="77"/>
        <v>3.5548184716220559E-2</v>
      </c>
      <c r="R4688" s="29">
        <v>0.15</v>
      </c>
      <c r="S4688" s="30">
        <v>3.5990000000000001E-2</v>
      </c>
    </row>
    <row r="4689" spans="16:19" x14ac:dyDescent="0.25">
      <c r="P4689" s="27">
        <v>3.2548184716220556E-2</v>
      </c>
      <c r="Q4689" s="28">
        <f t="shared" si="77"/>
        <v>3.5548184716220559E-2</v>
      </c>
      <c r="R4689" s="29">
        <v>0.15</v>
      </c>
      <c r="S4689" s="30">
        <v>3.7999999999999999E-2</v>
      </c>
    </row>
    <row r="4690" spans="16:19" x14ac:dyDescent="0.25">
      <c r="P4690" s="27">
        <v>3.2548184716220556E-2</v>
      </c>
      <c r="Q4690" s="28">
        <f t="shared" si="77"/>
        <v>3.5548184716220559E-2</v>
      </c>
      <c r="R4690" s="29">
        <v>0.15</v>
      </c>
      <c r="S4690" s="30">
        <v>4.4105759000000001E-2</v>
      </c>
    </row>
    <row r="4691" spans="16:19" x14ac:dyDescent="0.25">
      <c r="P4691" s="27">
        <v>3.2548184716220556E-2</v>
      </c>
      <c r="Q4691" s="28">
        <f t="shared" si="77"/>
        <v>3.5548184716220559E-2</v>
      </c>
      <c r="R4691" s="29">
        <v>0.15</v>
      </c>
      <c r="S4691" s="30">
        <v>4.6670000000000003E-2</v>
      </c>
    </row>
    <row r="4692" spans="16:19" x14ac:dyDescent="0.25">
      <c r="P4692" s="27">
        <v>3.2548184716220556E-2</v>
      </c>
      <c r="Q4692" s="28">
        <f t="shared" si="77"/>
        <v>3.5548184716220559E-2</v>
      </c>
      <c r="R4692" s="29">
        <v>0.15</v>
      </c>
      <c r="S4692" s="30">
        <v>4.7E-2</v>
      </c>
    </row>
    <row r="4693" spans="16:19" x14ac:dyDescent="0.25">
      <c r="P4693" s="27">
        <v>3.2548184716220556E-2</v>
      </c>
      <c r="Q4693" s="28">
        <f t="shared" si="77"/>
        <v>3.5548184716220559E-2</v>
      </c>
      <c r="R4693" s="29">
        <v>0.15</v>
      </c>
      <c r="S4693" s="30">
        <v>4.2680000000000003E-2</v>
      </c>
    </row>
    <row r="4694" spans="16:19" x14ac:dyDescent="0.25">
      <c r="P4694" s="27">
        <v>3.2548184716220556E-2</v>
      </c>
      <c r="Q4694" s="28">
        <f t="shared" si="77"/>
        <v>3.5548184716220559E-2</v>
      </c>
      <c r="R4694" s="29">
        <v>0.15</v>
      </c>
      <c r="S4694" s="30">
        <v>4.1919999999999999E-2</v>
      </c>
    </row>
    <row r="4695" spans="16:19" x14ac:dyDescent="0.25">
      <c r="P4695" s="27">
        <v>3.2548184716220556E-2</v>
      </c>
      <c r="Q4695" s="28">
        <f t="shared" si="77"/>
        <v>3.5548184716220559E-2</v>
      </c>
      <c r="R4695" s="29">
        <v>0.15</v>
      </c>
      <c r="S4695" s="30">
        <v>3.9399999999999998E-2</v>
      </c>
    </row>
    <row r="4696" spans="16:19" x14ac:dyDescent="0.25">
      <c r="P4696" s="27">
        <v>3.2548184716220556E-2</v>
      </c>
      <c r="Q4696" s="28">
        <f t="shared" si="77"/>
        <v>3.5548184716220559E-2</v>
      </c>
      <c r="R4696" s="29">
        <v>0.15</v>
      </c>
      <c r="S4696" s="30">
        <v>3.7990000000000003E-2</v>
      </c>
    </row>
    <row r="4697" spans="16:19" x14ac:dyDescent="0.25">
      <c r="P4697" s="27">
        <v>3.2548184716220556E-2</v>
      </c>
      <c r="Q4697" s="28">
        <f t="shared" si="77"/>
        <v>3.5548184716220559E-2</v>
      </c>
      <c r="R4697" s="29">
        <v>0.15</v>
      </c>
      <c r="S4697" s="30">
        <v>3.9729999999999994E-2</v>
      </c>
    </row>
    <row r="4698" spans="16:19" x14ac:dyDescent="0.25">
      <c r="P4698" s="27">
        <v>3.2548184716220556E-2</v>
      </c>
      <c r="Q4698" s="28">
        <f t="shared" si="77"/>
        <v>3.5548184716220559E-2</v>
      </c>
      <c r="R4698" s="29">
        <v>0.15</v>
      </c>
      <c r="S4698" s="30">
        <v>4.0989999999999999E-2</v>
      </c>
    </row>
    <row r="4699" spans="16:19" x14ac:dyDescent="0.25">
      <c r="P4699" s="27">
        <v>3.2548184716220556E-2</v>
      </c>
      <c r="Q4699" s="28">
        <f t="shared" si="77"/>
        <v>3.5548184716220559E-2</v>
      </c>
      <c r="R4699" s="29">
        <v>0.15</v>
      </c>
      <c r="S4699" s="30">
        <v>4.2349999999999999E-2</v>
      </c>
    </row>
    <row r="4700" spans="16:19" x14ac:dyDescent="0.25">
      <c r="P4700" s="27">
        <v>3.2548184716220556E-2</v>
      </c>
      <c r="Q4700" s="28">
        <f t="shared" si="77"/>
        <v>3.5548184716220559E-2</v>
      </c>
      <c r="R4700" s="29">
        <v>0.15</v>
      </c>
      <c r="S4700" s="30">
        <v>4.267E-2</v>
      </c>
    </row>
    <row r="4701" spans="16:19" x14ac:dyDescent="0.25">
      <c r="P4701" s="27">
        <v>3.2548184716220556E-2</v>
      </c>
      <c r="Q4701" s="28">
        <f t="shared" si="77"/>
        <v>3.5548184716220559E-2</v>
      </c>
      <c r="R4701" s="29">
        <v>0.15</v>
      </c>
      <c r="S4701" s="30">
        <v>4.521E-2</v>
      </c>
    </row>
    <row r="4702" spans="16:19" x14ac:dyDescent="0.25">
      <c r="P4702" s="27">
        <v>3.2548184716220556E-2</v>
      </c>
      <c r="Q4702" s="28">
        <f t="shared" si="77"/>
        <v>3.5548184716220559E-2</v>
      </c>
      <c r="R4702" s="29">
        <v>0.15</v>
      </c>
      <c r="S4702" s="30">
        <v>4.4740000000000002E-2</v>
      </c>
    </row>
    <row r="4703" spans="16:19" x14ac:dyDescent="0.25">
      <c r="P4703" s="27">
        <v>3.2548184716220556E-2</v>
      </c>
      <c r="Q4703" s="28">
        <f t="shared" si="77"/>
        <v>3.5548184716220559E-2</v>
      </c>
      <c r="R4703" s="29">
        <v>0.15</v>
      </c>
      <c r="S4703" s="30">
        <v>4.5259999999999995E-2</v>
      </c>
    </row>
    <row r="4704" spans="16:19" x14ac:dyDescent="0.25">
      <c r="P4704" s="27">
        <v>3.2548184716220556E-2</v>
      </c>
      <c r="Q4704" s="28">
        <f t="shared" si="77"/>
        <v>3.5548184716220559E-2</v>
      </c>
      <c r="R4704" s="29">
        <v>0.15</v>
      </c>
      <c r="S4704" s="30">
        <v>4.5159999999999999E-2</v>
      </c>
    </row>
    <row r="4705" spans="16:19" x14ac:dyDescent="0.25">
      <c r="P4705" s="27">
        <v>3.2548184716220556E-2</v>
      </c>
      <c r="Q4705" s="28">
        <f t="shared" si="77"/>
        <v>3.5548184716220559E-2</v>
      </c>
      <c r="R4705" s="29">
        <v>0.15</v>
      </c>
      <c r="S4705" s="30">
        <v>4.206E-2</v>
      </c>
    </row>
    <row r="4706" spans="16:19" x14ac:dyDescent="0.25">
      <c r="P4706" s="27">
        <v>3.2548184716220556E-2</v>
      </c>
      <c r="Q4706" s="28">
        <f t="shared" si="77"/>
        <v>3.5548184716220559E-2</v>
      </c>
      <c r="R4706" s="29">
        <v>0.15</v>
      </c>
      <c r="S4706" s="30">
        <v>3.9990000000000005E-2</v>
      </c>
    </row>
    <row r="4707" spans="16:19" x14ac:dyDescent="0.25">
      <c r="P4707" s="27">
        <v>3.2548184716220556E-2</v>
      </c>
      <c r="Q4707" s="28">
        <f t="shared" si="77"/>
        <v>3.5548184716220559E-2</v>
      </c>
      <c r="R4707" s="29">
        <v>0.15</v>
      </c>
      <c r="S4707" s="30">
        <v>3.7539999999999997E-2</v>
      </c>
    </row>
    <row r="4708" spans="16:19" x14ac:dyDescent="0.25">
      <c r="P4708" s="27">
        <v>3.2548184716220556E-2</v>
      </c>
      <c r="Q4708" s="28">
        <f t="shared" si="77"/>
        <v>3.5548184716220559E-2</v>
      </c>
      <c r="R4708" s="29">
        <v>0.15</v>
      </c>
      <c r="S4708" s="30">
        <v>3.5000000000000003E-2</v>
      </c>
    </row>
    <row r="4709" spans="16:19" x14ac:dyDescent="0.25">
      <c r="P4709" s="27">
        <v>3.2548184716220556E-2</v>
      </c>
      <c r="Q4709" s="28">
        <f t="shared" si="77"/>
        <v>3.5548184716220559E-2</v>
      </c>
      <c r="R4709" s="29">
        <v>0.15</v>
      </c>
      <c r="S4709" s="30">
        <v>3.288E-2</v>
      </c>
    </row>
    <row r="4710" spans="16:19" x14ac:dyDescent="0.25">
      <c r="P4710" s="27">
        <v>3.2548184716220556E-2</v>
      </c>
      <c r="Q4710" s="28">
        <f t="shared" si="77"/>
        <v>3.5548184716220559E-2</v>
      </c>
      <c r="R4710" s="29">
        <v>0.15</v>
      </c>
      <c r="S4710" s="30">
        <v>3.2060000000000005E-2</v>
      </c>
    </row>
    <row r="4711" spans="16:19" x14ac:dyDescent="0.25">
      <c r="P4711" s="27">
        <v>3.2548184716220556E-2</v>
      </c>
      <c r="Q4711" s="28">
        <f t="shared" si="77"/>
        <v>3.5548184716220559E-2</v>
      </c>
      <c r="R4711" s="29">
        <v>0.15</v>
      </c>
      <c r="S4711" s="30">
        <v>3.0899999999999997E-2</v>
      </c>
    </row>
    <row r="4712" spans="16:19" x14ac:dyDescent="0.25">
      <c r="P4712" s="27">
        <v>3.2548184716220556E-2</v>
      </c>
      <c r="Q4712" s="28">
        <f t="shared" si="77"/>
        <v>3.5548184716220559E-2</v>
      </c>
      <c r="R4712" s="29">
        <v>0.15</v>
      </c>
      <c r="S4712" s="30">
        <v>3.288E-2</v>
      </c>
    </row>
    <row r="4713" spans="16:19" x14ac:dyDescent="0.25">
      <c r="P4713" s="27">
        <v>3.2548184716220556E-2</v>
      </c>
      <c r="Q4713" s="28">
        <f t="shared" si="77"/>
        <v>3.5548184716220559E-2</v>
      </c>
      <c r="R4713" s="29">
        <v>0.15</v>
      </c>
      <c r="S4713" s="30">
        <v>3.61E-2</v>
      </c>
    </row>
    <row r="4714" spans="16:19" x14ac:dyDescent="0.25">
      <c r="P4714" s="27">
        <v>3.2548184716220556E-2</v>
      </c>
      <c r="Q4714" s="28">
        <f t="shared" si="77"/>
        <v>3.5548184716220559E-2</v>
      </c>
      <c r="R4714" s="29">
        <v>0.15</v>
      </c>
      <c r="S4714" s="30">
        <v>4.0989999999999999E-2</v>
      </c>
    </row>
    <row r="4715" spans="16:19" x14ac:dyDescent="0.25">
      <c r="P4715" s="27">
        <v>3.2548184716220556E-2</v>
      </c>
      <c r="Q4715" s="28">
        <f t="shared" si="77"/>
        <v>3.5548184716220559E-2</v>
      </c>
      <c r="R4715" s="31">
        <v>0.15939660775771733</v>
      </c>
      <c r="S4715" s="32">
        <v>4.4889999999999999E-2</v>
      </c>
    </row>
    <row r="4716" spans="16:19" x14ac:dyDescent="0.25">
      <c r="P4716" s="27">
        <v>3.2548184716220556E-2</v>
      </c>
      <c r="Q4716" s="28">
        <f t="shared" si="77"/>
        <v>3.5548184716220559E-2</v>
      </c>
      <c r="R4716" s="33">
        <v>0.16282860775771735</v>
      </c>
      <c r="S4716" s="34">
        <v>4.4499999999999998E-2</v>
      </c>
    </row>
    <row r="4717" spans="16:19" x14ac:dyDescent="0.25">
      <c r="P4717" s="27">
        <v>3.2548184716220556E-2</v>
      </c>
      <c r="Q4717" s="28">
        <f t="shared" si="77"/>
        <v>3.5548184716220559E-2</v>
      </c>
      <c r="R4717" s="33">
        <v>0.16282860775771735</v>
      </c>
      <c r="S4717" s="34">
        <v>4.2070000000000003E-2</v>
      </c>
    </row>
    <row r="4718" spans="16:19" x14ac:dyDescent="0.25">
      <c r="P4718" s="27">
        <v>3.2548184716220556E-2</v>
      </c>
      <c r="Q4718" s="28">
        <f t="shared" si="77"/>
        <v>3.5548184716220559E-2</v>
      </c>
      <c r="R4718" s="33">
        <v>0.16282860775771735</v>
      </c>
      <c r="S4718" s="34">
        <v>4.1794223000000005E-2</v>
      </c>
    </row>
    <row r="4719" spans="16:19" x14ac:dyDescent="0.25">
      <c r="P4719" s="27">
        <v>3.2548184716220556E-2</v>
      </c>
      <c r="Q4719" s="28">
        <f t="shared" si="77"/>
        <v>3.5548184716220559E-2</v>
      </c>
      <c r="R4719" s="33">
        <v>0.16282860775771735</v>
      </c>
      <c r="S4719" s="34">
        <v>3.934E-2</v>
      </c>
    </row>
    <row r="4720" spans="16:19" x14ac:dyDescent="0.25">
      <c r="P4720" s="27">
        <v>3.2548184716220556E-2</v>
      </c>
      <c r="Q4720" s="28">
        <f t="shared" si="77"/>
        <v>3.5548184716220559E-2</v>
      </c>
      <c r="R4720" s="33">
        <v>0.16282860775771735</v>
      </c>
      <c r="S4720" s="34">
        <v>3.7499999999999999E-2</v>
      </c>
    </row>
    <row r="4721" spans="16:19" x14ac:dyDescent="0.25">
      <c r="P4721" s="27">
        <v>3.2548184716220556E-2</v>
      </c>
      <c r="Q4721" s="28">
        <f t="shared" si="77"/>
        <v>3.5548184716220559E-2</v>
      </c>
      <c r="R4721" s="33">
        <v>0.16282860775771735</v>
      </c>
      <c r="S4721" s="34">
        <v>4.0989999999999999E-2</v>
      </c>
    </row>
    <row r="4722" spans="16:19" x14ac:dyDescent="0.25">
      <c r="P4722" s="27">
        <v>3.2548184716220556E-2</v>
      </c>
      <c r="Q4722" s="28">
        <f t="shared" si="77"/>
        <v>3.5548184716220559E-2</v>
      </c>
      <c r="R4722" s="33">
        <v>0.16282860775771735</v>
      </c>
      <c r="S4722" s="34">
        <v>4.0989999999999999E-2</v>
      </c>
    </row>
    <row r="4723" spans="16:19" x14ac:dyDescent="0.25">
      <c r="P4723" s="27">
        <v>3.2548184716220556E-2</v>
      </c>
      <c r="Q4723" s="28">
        <f t="shared" si="77"/>
        <v>3.5548184716220559E-2</v>
      </c>
      <c r="R4723" s="33">
        <v>0.16282860775771735</v>
      </c>
      <c r="S4723" s="34">
        <v>4.1390000000000003E-2</v>
      </c>
    </row>
    <row r="4724" spans="16:19" x14ac:dyDescent="0.25">
      <c r="P4724" s="27">
        <v>3.2548184716220556E-2</v>
      </c>
      <c r="Q4724" s="28">
        <f t="shared" si="77"/>
        <v>3.5548184716220559E-2</v>
      </c>
      <c r="R4724" s="33">
        <v>0.16282860775771735</v>
      </c>
      <c r="S4724" s="34">
        <v>4.1530000000000004E-2</v>
      </c>
    </row>
    <row r="4725" spans="16:19" x14ac:dyDescent="0.25">
      <c r="P4725" s="27">
        <v>3.2548184716220556E-2</v>
      </c>
      <c r="Q4725" s="28">
        <f t="shared" si="77"/>
        <v>3.5548184716220559E-2</v>
      </c>
      <c r="R4725" s="33">
        <v>0.16282860775771735</v>
      </c>
      <c r="S4725" s="34">
        <v>4.3700000000000003E-2</v>
      </c>
    </row>
    <row r="4726" spans="16:19" x14ac:dyDescent="0.25">
      <c r="P4726" s="27">
        <v>3.2548184716220556E-2</v>
      </c>
      <c r="Q4726" s="28">
        <f t="shared" si="77"/>
        <v>3.5548184716220559E-2</v>
      </c>
      <c r="R4726" s="33">
        <v>0.16282860775771735</v>
      </c>
      <c r="S4726" s="34">
        <v>4.4510000000000001E-2</v>
      </c>
    </row>
    <row r="4727" spans="16:19" x14ac:dyDescent="0.25">
      <c r="P4727" s="27">
        <v>3.2548184716220556E-2</v>
      </c>
      <c r="Q4727" s="28">
        <f t="shared" si="77"/>
        <v>3.5548184716220559E-2</v>
      </c>
      <c r="R4727" s="31">
        <v>0.15939660775771733</v>
      </c>
      <c r="S4727" s="32">
        <v>4.4510000000000001E-2</v>
      </c>
    </row>
    <row r="4728" spans="16:19" x14ac:dyDescent="0.25">
      <c r="P4728" s="27">
        <v>3.2548184716220556E-2</v>
      </c>
      <c r="Q4728" s="28">
        <f t="shared" si="77"/>
        <v>3.5548184716220559E-2</v>
      </c>
      <c r="R4728" s="31">
        <v>0.15939660775771733</v>
      </c>
      <c r="S4728" s="32">
        <v>4.4520000000000004E-2</v>
      </c>
    </row>
    <row r="4729" spans="16:19" x14ac:dyDescent="0.25">
      <c r="P4729" s="27">
        <v>3.2548184716220556E-2</v>
      </c>
      <c r="Q4729" s="28">
        <f t="shared" si="77"/>
        <v>3.5548184716220559E-2</v>
      </c>
      <c r="R4729" s="31">
        <v>0.15939660775771733</v>
      </c>
      <c r="S4729" s="32">
        <v>4.2000000000000003E-2</v>
      </c>
    </row>
    <row r="4730" spans="16:19" x14ac:dyDescent="0.25">
      <c r="P4730" s="27">
        <v>3.2548184716220556E-2</v>
      </c>
      <c r="Q4730" s="28">
        <f t="shared" si="77"/>
        <v>3.5548184716220559E-2</v>
      </c>
      <c r="R4730" s="31">
        <v>0.15939660775771733</v>
      </c>
      <c r="S4730" s="32">
        <v>3.9670000000000004E-2</v>
      </c>
    </row>
    <row r="4731" spans="16:19" x14ac:dyDescent="0.25">
      <c r="P4731" s="27">
        <v>3.2548184716220556E-2</v>
      </c>
      <c r="Q4731" s="28">
        <f t="shared" si="77"/>
        <v>3.5548184716220559E-2</v>
      </c>
      <c r="R4731" s="29">
        <v>0.15003660775771735</v>
      </c>
      <c r="S4731" s="30">
        <v>3.968E-2</v>
      </c>
    </row>
    <row r="4732" spans="16:19" x14ac:dyDescent="0.25">
      <c r="P4732" s="27">
        <v>3.2548184716220556E-2</v>
      </c>
      <c r="Q4732" s="28">
        <f t="shared" si="77"/>
        <v>3.5548184716220559E-2</v>
      </c>
      <c r="R4732" s="29">
        <v>0.15003660775771735</v>
      </c>
      <c r="S4732" s="30">
        <v>3.8640000000000001E-2</v>
      </c>
    </row>
    <row r="4733" spans="16:19" x14ac:dyDescent="0.25">
      <c r="P4733" s="27">
        <v>3.2548184716220556E-2</v>
      </c>
      <c r="Q4733" s="28">
        <f t="shared" si="77"/>
        <v>3.5548184716220559E-2</v>
      </c>
      <c r="R4733" s="29">
        <v>0.15003660775771735</v>
      </c>
      <c r="S4733" s="30">
        <v>3.7499999999999999E-2</v>
      </c>
    </row>
    <row r="4734" spans="16:19" x14ac:dyDescent="0.25">
      <c r="P4734" s="27">
        <v>3.2548184716220556E-2</v>
      </c>
      <c r="Q4734" s="28">
        <f t="shared" si="77"/>
        <v>3.5548184716220559E-2</v>
      </c>
      <c r="R4734" s="29">
        <v>0.15003660775771735</v>
      </c>
      <c r="S4734" s="30">
        <v>3.5999999999999997E-2</v>
      </c>
    </row>
    <row r="4735" spans="16:19" x14ac:dyDescent="0.25">
      <c r="P4735" s="27">
        <v>3.2548184716220556E-2</v>
      </c>
      <c r="Q4735" s="28">
        <f t="shared" si="77"/>
        <v>3.5548184716220559E-2</v>
      </c>
      <c r="R4735" s="29">
        <v>0.15003660775771735</v>
      </c>
      <c r="S4735" s="30">
        <v>3.6990000000000002E-2</v>
      </c>
    </row>
    <row r="4736" spans="16:19" x14ac:dyDescent="0.25">
      <c r="P4736" s="27">
        <v>3.2548184716220556E-2</v>
      </c>
      <c r="Q4736" s="28">
        <f t="shared" si="77"/>
        <v>3.5548184716220559E-2</v>
      </c>
      <c r="R4736" s="29">
        <v>0.15003660775771735</v>
      </c>
      <c r="S4736" s="30">
        <v>3.7999999999999999E-2</v>
      </c>
    </row>
    <row r="4737" spans="16:19" x14ac:dyDescent="0.25">
      <c r="P4737" s="27">
        <v>3.2548184716220556E-2</v>
      </c>
      <c r="Q4737" s="28">
        <f t="shared" si="77"/>
        <v>3.5548184716220559E-2</v>
      </c>
      <c r="R4737" s="29">
        <v>0.15003660775771735</v>
      </c>
      <c r="S4737" s="30">
        <v>3.9119999999999995E-2</v>
      </c>
    </row>
    <row r="4738" spans="16:19" x14ac:dyDescent="0.25">
      <c r="P4738" s="27">
        <v>3.2548184716220556E-2</v>
      </c>
      <c r="Q4738" s="28">
        <f t="shared" si="77"/>
        <v>3.5548184716220559E-2</v>
      </c>
      <c r="R4738" s="29">
        <v>0.15003660775771735</v>
      </c>
      <c r="S4738" s="30">
        <v>4.1680000000000002E-2</v>
      </c>
    </row>
    <row r="4739" spans="16:19" x14ac:dyDescent="0.25">
      <c r="P4739" s="27">
        <v>3.2548184716220556E-2</v>
      </c>
      <c r="Q4739" s="28">
        <f t="shared" si="77"/>
        <v>3.5548184716220559E-2</v>
      </c>
      <c r="R4739" s="31">
        <v>0.15939660775771733</v>
      </c>
      <c r="S4739" s="32">
        <v>4.5499999999999999E-2</v>
      </c>
    </row>
    <row r="4740" spans="16:19" x14ac:dyDescent="0.25">
      <c r="P4740" s="27">
        <v>3.2548184716220556E-2</v>
      </c>
      <c r="Q4740" s="28">
        <f t="shared" si="77"/>
        <v>3.5548184716220559E-2</v>
      </c>
      <c r="R4740" s="33">
        <v>0.16282860775771735</v>
      </c>
      <c r="S4740" s="34">
        <v>4.4170000000000001E-2</v>
      </c>
    </row>
    <row r="4741" spans="16:19" x14ac:dyDescent="0.25">
      <c r="P4741" s="27">
        <v>3.2548184716220556E-2</v>
      </c>
      <c r="Q4741" s="28">
        <f t="shared" ref="Q4741:Q4804" si="78">P4741+0.003</f>
        <v>3.5548184716220559E-2</v>
      </c>
      <c r="R4741" s="33">
        <v>0.16282860775771735</v>
      </c>
      <c r="S4741" s="34">
        <v>4.1530000000000004E-2</v>
      </c>
    </row>
    <row r="4742" spans="16:19" x14ac:dyDescent="0.25">
      <c r="P4742" s="27">
        <v>3.2548184716220556E-2</v>
      </c>
      <c r="Q4742" s="28">
        <f t="shared" si="78"/>
        <v>3.5548184716220559E-2</v>
      </c>
      <c r="R4742" s="33">
        <v>0.16282860775771735</v>
      </c>
      <c r="S4742" s="34">
        <v>4.0994558E-2</v>
      </c>
    </row>
    <row r="4743" spans="16:19" x14ac:dyDescent="0.25">
      <c r="P4743" s="27">
        <v>3.2548184716220556E-2</v>
      </c>
      <c r="Q4743" s="28">
        <f t="shared" si="78"/>
        <v>3.5548184716220559E-2</v>
      </c>
      <c r="R4743" s="33">
        <v>0.16282860775771735</v>
      </c>
      <c r="S4743" s="34">
        <v>3.841E-2</v>
      </c>
    </row>
    <row r="4744" spans="16:19" x14ac:dyDescent="0.25">
      <c r="P4744" s="27">
        <v>3.2548184716220556E-2</v>
      </c>
      <c r="Q4744" s="28">
        <f t="shared" si="78"/>
        <v>3.5548184716220559E-2</v>
      </c>
      <c r="R4744" s="33">
        <v>0.16282860775771735</v>
      </c>
      <c r="S4744" s="34">
        <v>3.7719999999999997E-2</v>
      </c>
    </row>
    <row r="4745" spans="16:19" x14ac:dyDescent="0.25">
      <c r="P4745" s="27">
        <v>3.2548184716220556E-2</v>
      </c>
      <c r="Q4745" s="28">
        <f t="shared" si="78"/>
        <v>3.5548184716220559E-2</v>
      </c>
      <c r="R4745" s="33">
        <v>0.16282860775771735</v>
      </c>
      <c r="S4745" s="34">
        <v>0.04</v>
      </c>
    </row>
    <row r="4746" spans="16:19" x14ac:dyDescent="0.25">
      <c r="P4746" s="27">
        <v>3.2548184716220556E-2</v>
      </c>
      <c r="Q4746" s="28">
        <f t="shared" si="78"/>
        <v>3.5548184716220559E-2</v>
      </c>
      <c r="R4746" s="33">
        <v>0.16282860775771735</v>
      </c>
      <c r="S4746" s="34">
        <v>4.1520000000000001E-2</v>
      </c>
    </row>
    <row r="4747" spans="16:19" x14ac:dyDescent="0.25">
      <c r="P4747" s="27">
        <v>3.2548184716220556E-2</v>
      </c>
      <c r="Q4747" s="28">
        <f t="shared" si="78"/>
        <v>3.5548184716220559E-2</v>
      </c>
      <c r="R4747" s="33">
        <v>0.16282860775771735</v>
      </c>
      <c r="S4747" s="34">
        <v>4.2742757999999999E-2</v>
      </c>
    </row>
    <row r="4748" spans="16:19" x14ac:dyDescent="0.25">
      <c r="P4748" s="27">
        <v>3.2548184716220556E-2</v>
      </c>
      <c r="Q4748" s="28">
        <f t="shared" si="78"/>
        <v>3.5548184716220559E-2</v>
      </c>
      <c r="R4748" s="33">
        <v>0.16282860775771735</v>
      </c>
      <c r="S4748" s="34">
        <v>4.3232332999999998E-2</v>
      </c>
    </row>
    <row r="4749" spans="16:19" x14ac:dyDescent="0.25">
      <c r="P4749" s="27">
        <v>3.2548184716220556E-2</v>
      </c>
      <c r="Q4749" s="28">
        <f t="shared" si="78"/>
        <v>3.5548184716220559E-2</v>
      </c>
      <c r="R4749" s="33">
        <v>0.16282860775771735</v>
      </c>
      <c r="S4749" s="34">
        <v>4.521E-2</v>
      </c>
    </row>
    <row r="4750" spans="16:19" x14ac:dyDescent="0.25">
      <c r="P4750" s="27">
        <v>3.2548184716220556E-2</v>
      </c>
      <c r="Q4750" s="28">
        <f t="shared" si="78"/>
        <v>3.5548184716220559E-2</v>
      </c>
      <c r="R4750" s="33">
        <v>0.16282860775771735</v>
      </c>
      <c r="S4750" s="34">
        <v>4.7E-2</v>
      </c>
    </row>
    <row r="4751" spans="16:19" x14ac:dyDescent="0.25">
      <c r="P4751" s="27">
        <v>3.2548184716220556E-2</v>
      </c>
      <c r="Q4751" s="28">
        <f t="shared" si="78"/>
        <v>3.5548184716220559E-2</v>
      </c>
      <c r="R4751" s="31">
        <v>0.15939660775771733</v>
      </c>
      <c r="S4751" s="32">
        <v>4.7E-2</v>
      </c>
    </row>
    <row r="4752" spans="16:19" x14ac:dyDescent="0.25">
      <c r="P4752" s="27">
        <v>3.2548184716220556E-2</v>
      </c>
      <c r="Q4752" s="28">
        <f t="shared" si="78"/>
        <v>3.5548184716220559E-2</v>
      </c>
      <c r="R4752" s="31">
        <v>0.15939660775771733</v>
      </c>
      <c r="S4752" s="32">
        <v>4.9000000000000002E-2</v>
      </c>
    </row>
    <row r="4753" spans="16:19" x14ac:dyDescent="0.25">
      <c r="P4753" s="27">
        <v>3.2548184716220556E-2</v>
      </c>
      <c r="Q4753" s="28">
        <f t="shared" si="78"/>
        <v>3.5548184716220559E-2</v>
      </c>
      <c r="R4753" s="31">
        <v>0.15939660775771733</v>
      </c>
      <c r="S4753" s="32">
        <v>4.3840000000000004E-2</v>
      </c>
    </row>
    <row r="4754" spans="16:19" x14ac:dyDescent="0.25">
      <c r="P4754" s="27">
        <v>3.2548184716220556E-2</v>
      </c>
      <c r="Q4754" s="28">
        <f t="shared" si="78"/>
        <v>3.5548184716220559E-2</v>
      </c>
      <c r="R4754" s="31">
        <v>0.15939660775771733</v>
      </c>
      <c r="S4754" s="32">
        <v>4.1689999999999998E-2</v>
      </c>
    </row>
    <row r="4755" spans="16:19" x14ac:dyDescent="0.25">
      <c r="P4755" s="27">
        <v>3.2548184716220556E-2</v>
      </c>
      <c r="Q4755" s="28">
        <f t="shared" si="78"/>
        <v>3.5548184716220559E-2</v>
      </c>
      <c r="R4755" s="29">
        <v>0.15003660775771735</v>
      </c>
      <c r="S4755" s="30">
        <v>3.9670000000000004E-2</v>
      </c>
    </row>
    <row r="4756" spans="16:19" x14ac:dyDescent="0.25">
      <c r="P4756" s="27">
        <v>3.2548184716220556E-2</v>
      </c>
      <c r="Q4756" s="28">
        <f t="shared" si="78"/>
        <v>3.5548184716220559E-2</v>
      </c>
      <c r="R4756" s="29">
        <v>0.15003660775771735</v>
      </c>
      <c r="S4756" s="30">
        <v>3.8640000000000001E-2</v>
      </c>
    </row>
    <row r="4757" spans="16:19" x14ac:dyDescent="0.25">
      <c r="P4757" s="27">
        <v>3.2548184716220556E-2</v>
      </c>
      <c r="Q4757" s="28">
        <f t="shared" si="78"/>
        <v>3.5548184716220559E-2</v>
      </c>
      <c r="R4757" s="29">
        <v>0.15003660775771735</v>
      </c>
      <c r="S4757" s="30">
        <v>3.6990000000000002E-2</v>
      </c>
    </row>
    <row r="4758" spans="16:19" x14ac:dyDescent="0.25">
      <c r="P4758" s="27">
        <v>3.2548184716220556E-2</v>
      </c>
      <c r="Q4758" s="28">
        <f t="shared" si="78"/>
        <v>3.5548184716220559E-2</v>
      </c>
      <c r="R4758" s="29">
        <v>0.15003660775771735</v>
      </c>
      <c r="S4758" s="30">
        <v>3.5999999999999997E-2</v>
      </c>
    </row>
    <row r="4759" spans="16:19" x14ac:dyDescent="0.25">
      <c r="P4759" s="27">
        <v>3.2548184716220556E-2</v>
      </c>
      <c r="Q4759" s="28">
        <f t="shared" si="78"/>
        <v>3.5548184716220559E-2</v>
      </c>
      <c r="R4759" s="29">
        <v>0.15003660775771735</v>
      </c>
      <c r="S4759" s="30">
        <v>3.6200000000000003E-2</v>
      </c>
    </row>
    <row r="4760" spans="16:19" x14ac:dyDescent="0.25">
      <c r="P4760" s="27">
        <v>3.2548184716220556E-2</v>
      </c>
      <c r="Q4760" s="28">
        <f t="shared" si="78"/>
        <v>3.5548184716220559E-2</v>
      </c>
      <c r="R4760" s="29">
        <v>0.15003660775771735</v>
      </c>
      <c r="S4760" s="30">
        <v>3.6990000000000002E-2</v>
      </c>
    </row>
    <row r="4761" spans="16:19" x14ac:dyDescent="0.25">
      <c r="P4761" s="27">
        <v>3.2548184716220556E-2</v>
      </c>
      <c r="Q4761" s="28">
        <f t="shared" si="78"/>
        <v>3.5548184716220559E-2</v>
      </c>
      <c r="R4761" s="29">
        <v>0.15003660775771735</v>
      </c>
      <c r="S4761" s="30">
        <v>3.9670000000000004E-2</v>
      </c>
    </row>
    <row r="4762" spans="16:19" x14ac:dyDescent="0.25">
      <c r="P4762" s="27">
        <v>3.2548184716220556E-2</v>
      </c>
      <c r="Q4762" s="28">
        <f t="shared" si="78"/>
        <v>3.5548184716220559E-2</v>
      </c>
      <c r="R4762" s="29">
        <v>0.15003660775771735</v>
      </c>
      <c r="S4762" s="30">
        <v>4.2529999999999998E-2</v>
      </c>
    </row>
    <row r="4763" spans="16:19" x14ac:dyDescent="0.25">
      <c r="P4763" s="27">
        <v>3.2548184716220556E-2</v>
      </c>
      <c r="Q4763" s="28">
        <f t="shared" si="78"/>
        <v>3.5548184716220559E-2</v>
      </c>
      <c r="R4763" s="31">
        <v>0.15939660775771733</v>
      </c>
      <c r="S4763" s="32">
        <v>4.5630000000000004E-2</v>
      </c>
    </row>
    <row r="4764" spans="16:19" x14ac:dyDescent="0.25">
      <c r="P4764" s="27">
        <v>3.2548184716220556E-2</v>
      </c>
      <c r="Q4764" s="28">
        <f t="shared" si="78"/>
        <v>3.5548184716220559E-2</v>
      </c>
      <c r="R4764" s="33">
        <v>0.16282860775771735</v>
      </c>
      <c r="S4764" s="34">
        <v>4.4260000000000001E-2</v>
      </c>
    </row>
    <row r="4765" spans="16:19" x14ac:dyDescent="0.25">
      <c r="P4765" s="27">
        <v>3.2548184716220556E-2</v>
      </c>
      <c r="Q4765" s="28">
        <f t="shared" si="78"/>
        <v>3.5548184716220559E-2</v>
      </c>
      <c r="R4765" s="33">
        <v>0.16282860775771735</v>
      </c>
      <c r="S4765" s="34">
        <v>4.2000000000000003E-2</v>
      </c>
    </row>
    <row r="4766" spans="16:19" x14ac:dyDescent="0.25">
      <c r="P4766" s="27">
        <v>3.2548184716220556E-2</v>
      </c>
      <c r="Q4766" s="28">
        <f t="shared" si="78"/>
        <v>3.5548184716220559E-2</v>
      </c>
      <c r="R4766" s="33">
        <v>0.16282860775771735</v>
      </c>
      <c r="S4766" s="34">
        <v>4.2621133999999998E-2</v>
      </c>
    </row>
    <row r="4767" spans="16:19" x14ac:dyDescent="0.25">
      <c r="P4767" s="27">
        <v>3.2548184716220556E-2</v>
      </c>
      <c r="Q4767" s="28">
        <f t="shared" si="78"/>
        <v>3.5548184716220559E-2</v>
      </c>
      <c r="R4767" s="33">
        <v>0.16282860775771735</v>
      </c>
      <c r="S4767" s="34">
        <v>3.9640000000000002E-2</v>
      </c>
    </row>
    <row r="4768" spans="16:19" x14ac:dyDescent="0.25">
      <c r="P4768" s="27">
        <v>3.2548184716220556E-2</v>
      </c>
      <c r="Q4768" s="28">
        <f t="shared" si="78"/>
        <v>3.5548184716220559E-2</v>
      </c>
      <c r="R4768" s="33">
        <v>0.16282860775771735</v>
      </c>
      <c r="S4768" s="34">
        <v>3.8340000000000006E-2</v>
      </c>
    </row>
    <row r="4769" spans="16:19" x14ac:dyDescent="0.25">
      <c r="P4769" s="27">
        <v>3.2548184716220556E-2</v>
      </c>
      <c r="Q4769" s="28">
        <f t="shared" si="78"/>
        <v>3.5548184716220559E-2</v>
      </c>
      <c r="R4769" s="33">
        <v>0.16282860775771735</v>
      </c>
      <c r="S4769" s="34">
        <v>4.1360000000000001E-2</v>
      </c>
    </row>
    <row r="4770" spans="16:19" x14ac:dyDescent="0.25">
      <c r="P4770" s="27">
        <v>3.2548184716220556E-2</v>
      </c>
      <c r="Q4770" s="28">
        <f t="shared" si="78"/>
        <v>3.5548184716220559E-2</v>
      </c>
      <c r="R4770" s="33">
        <v>0.16282860775771735</v>
      </c>
      <c r="S4770" s="34">
        <v>4.2000000000000003E-2</v>
      </c>
    </row>
    <row r="4771" spans="16:19" x14ac:dyDescent="0.25">
      <c r="P4771" s="27">
        <v>3.2548184716220556E-2</v>
      </c>
      <c r="Q4771" s="28">
        <f t="shared" si="78"/>
        <v>3.5548184716220559E-2</v>
      </c>
      <c r="R4771" s="33">
        <v>0.16282860775771735</v>
      </c>
      <c r="S4771" s="34">
        <v>4.2959698000000004E-2</v>
      </c>
    </row>
    <row r="4772" spans="16:19" x14ac:dyDescent="0.25">
      <c r="P4772" s="27">
        <v>3.2548184716220556E-2</v>
      </c>
      <c r="Q4772" s="28">
        <f t="shared" si="78"/>
        <v>3.5548184716220559E-2</v>
      </c>
      <c r="R4772" s="33">
        <v>0.16282860775771735</v>
      </c>
      <c r="S4772" s="34">
        <v>4.2259999999999999E-2</v>
      </c>
    </row>
    <row r="4773" spans="16:19" x14ac:dyDescent="0.25">
      <c r="P4773" s="27">
        <v>3.2548184716220556E-2</v>
      </c>
      <c r="Q4773" s="28">
        <f t="shared" si="78"/>
        <v>3.5548184716220559E-2</v>
      </c>
      <c r="R4773" s="33">
        <v>0.16282860775771735</v>
      </c>
      <c r="S4773" s="34">
        <v>4.521E-2</v>
      </c>
    </row>
    <row r="4774" spans="16:19" x14ac:dyDescent="0.25">
      <c r="P4774" s="27">
        <v>3.2548184716220556E-2</v>
      </c>
      <c r="Q4774" s="28">
        <f t="shared" si="78"/>
        <v>3.5548184716220559E-2</v>
      </c>
      <c r="R4774" s="33">
        <v>0.16282860775771735</v>
      </c>
      <c r="S4774" s="34">
        <v>4.7E-2</v>
      </c>
    </row>
    <row r="4775" spans="16:19" x14ac:dyDescent="0.25">
      <c r="P4775" s="27">
        <v>3.2548184716220556E-2</v>
      </c>
      <c r="Q4775" s="28">
        <f t="shared" si="78"/>
        <v>3.5548184716220559E-2</v>
      </c>
      <c r="R4775" s="31">
        <v>0.15939660775771733</v>
      </c>
      <c r="S4775" s="32">
        <v>4.6027802E-2</v>
      </c>
    </row>
    <row r="4776" spans="16:19" x14ac:dyDescent="0.25">
      <c r="P4776" s="27">
        <v>3.2548184716220556E-2</v>
      </c>
      <c r="Q4776" s="28">
        <f t="shared" si="78"/>
        <v>3.5548184716220559E-2</v>
      </c>
      <c r="R4776" s="31">
        <v>0.15939660775771733</v>
      </c>
      <c r="S4776" s="32">
        <v>4.802E-2</v>
      </c>
    </row>
    <row r="4777" spans="16:19" x14ac:dyDescent="0.25">
      <c r="P4777" s="27">
        <v>3.2548184716220556E-2</v>
      </c>
      <c r="Q4777" s="28">
        <f t="shared" si="78"/>
        <v>3.5548184716220559E-2</v>
      </c>
      <c r="R4777" s="31">
        <v>0.15939660775771733</v>
      </c>
      <c r="S4777" s="32">
        <v>4.3999999999999997E-2</v>
      </c>
    </row>
    <row r="4778" spans="16:19" x14ac:dyDescent="0.25">
      <c r="P4778" s="27">
        <v>3.2548184716220556E-2</v>
      </c>
      <c r="Q4778" s="28">
        <f t="shared" si="78"/>
        <v>3.5548184716220559E-2</v>
      </c>
      <c r="R4778" s="31">
        <v>0.15939660775771733</v>
      </c>
      <c r="S4778" s="32">
        <v>4.0989999999999999E-2</v>
      </c>
    </row>
    <row r="4779" spans="16:19" x14ac:dyDescent="0.25">
      <c r="P4779" s="27">
        <v>3.2548184716220556E-2</v>
      </c>
      <c r="Q4779" s="28">
        <f t="shared" si="78"/>
        <v>3.5548184716220559E-2</v>
      </c>
      <c r="R4779" s="29">
        <v>0.15003660775771735</v>
      </c>
      <c r="S4779" s="30">
        <v>4.1210000000000004E-2</v>
      </c>
    </row>
    <row r="4780" spans="16:19" x14ac:dyDescent="0.25">
      <c r="P4780" s="27">
        <v>3.2548184716220556E-2</v>
      </c>
      <c r="Q4780" s="28">
        <f t="shared" si="78"/>
        <v>3.5548184716220559E-2</v>
      </c>
      <c r="R4780" s="29">
        <v>0.15003660775771735</v>
      </c>
      <c r="S4780" s="30">
        <v>3.9990000000000005E-2</v>
      </c>
    </row>
    <row r="4781" spans="16:19" x14ac:dyDescent="0.25">
      <c r="P4781" s="27">
        <v>3.2548184716220556E-2</v>
      </c>
      <c r="Q4781" s="28">
        <f t="shared" si="78"/>
        <v>3.5548184716220559E-2</v>
      </c>
      <c r="R4781" s="29">
        <v>0.15003660775771735</v>
      </c>
      <c r="S4781" s="30">
        <v>3.8490000000000003E-2</v>
      </c>
    </row>
    <row r="4782" spans="16:19" x14ac:dyDescent="0.25">
      <c r="P4782" s="27">
        <v>3.2548184716220556E-2</v>
      </c>
      <c r="Q4782" s="28">
        <f t="shared" si="78"/>
        <v>3.5548184716220559E-2</v>
      </c>
      <c r="R4782" s="29">
        <v>0.15003660775771735</v>
      </c>
      <c r="S4782" s="30">
        <v>3.8490000000000003E-2</v>
      </c>
    </row>
    <row r="4783" spans="16:19" x14ac:dyDescent="0.25">
      <c r="P4783" s="27">
        <v>3.2548184716220556E-2</v>
      </c>
      <c r="Q4783" s="28">
        <f t="shared" si="78"/>
        <v>3.5548184716220559E-2</v>
      </c>
      <c r="R4783" s="29">
        <v>0.15003660775771735</v>
      </c>
      <c r="S4783" s="30">
        <v>3.8420000000000003E-2</v>
      </c>
    </row>
    <row r="4784" spans="16:19" x14ac:dyDescent="0.25">
      <c r="P4784" s="27">
        <v>3.2548184716220556E-2</v>
      </c>
      <c r="Q4784" s="28">
        <f t="shared" si="78"/>
        <v>3.5548184716220559E-2</v>
      </c>
      <c r="R4784" s="29">
        <v>0.15003660775771735</v>
      </c>
      <c r="S4784" s="30">
        <v>3.8149999999999996E-2</v>
      </c>
    </row>
    <row r="4785" spans="16:19" x14ac:dyDescent="0.25">
      <c r="P4785" s="27">
        <v>3.2548184716220556E-2</v>
      </c>
      <c r="Q4785" s="28">
        <f t="shared" si="78"/>
        <v>3.5548184716220559E-2</v>
      </c>
      <c r="R4785" s="29">
        <v>0.15003660775771735</v>
      </c>
      <c r="S4785" s="30">
        <v>3.8149999999999996E-2</v>
      </c>
    </row>
    <row r="4786" spans="16:19" x14ac:dyDescent="0.25">
      <c r="P4786" s="27">
        <v>3.2548184716220556E-2</v>
      </c>
      <c r="Q4786" s="28">
        <f t="shared" si="78"/>
        <v>3.5548184716220559E-2</v>
      </c>
      <c r="R4786" s="29">
        <v>0.15003660775771735</v>
      </c>
      <c r="S4786" s="30">
        <v>3.9E-2</v>
      </c>
    </row>
    <row r="4787" spans="16:19" x14ac:dyDescent="0.25">
      <c r="P4787" s="27">
        <v>3.2548184716220556E-2</v>
      </c>
      <c r="Q4787" s="28">
        <f t="shared" si="78"/>
        <v>3.5548184716220559E-2</v>
      </c>
      <c r="R4787" s="31">
        <v>0.15939660775771733</v>
      </c>
      <c r="S4787" s="32">
        <v>3.9990000000000005E-2</v>
      </c>
    </row>
    <row r="4788" spans="16:19" x14ac:dyDescent="0.25">
      <c r="P4788" s="27">
        <v>3.2548184716220556E-2</v>
      </c>
      <c r="Q4788" s="28">
        <f t="shared" si="78"/>
        <v>3.5548184716220559E-2</v>
      </c>
      <c r="R4788" s="33">
        <v>0.16282860775771735</v>
      </c>
      <c r="S4788" s="34">
        <v>3.9990000000000005E-2</v>
      </c>
    </row>
    <row r="4789" spans="16:19" x14ac:dyDescent="0.25">
      <c r="P4789" s="27">
        <v>3.2548184716220556E-2</v>
      </c>
      <c r="Q4789" s="28">
        <f t="shared" si="78"/>
        <v>3.5548184716220559E-2</v>
      </c>
      <c r="R4789" s="33">
        <v>0.16282860775771735</v>
      </c>
      <c r="S4789" s="34">
        <v>3.4000000000000002E-2</v>
      </c>
    </row>
    <row r="4790" spans="16:19" x14ac:dyDescent="0.25">
      <c r="P4790" s="27">
        <v>3.2548184716220556E-2</v>
      </c>
      <c r="Q4790" s="28">
        <f t="shared" si="78"/>
        <v>3.5548184716220559E-2</v>
      </c>
      <c r="R4790" s="33">
        <v>0.16282860775771735</v>
      </c>
      <c r="S4790" s="34">
        <v>3.288E-2</v>
      </c>
    </row>
    <row r="4791" spans="16:19" x14ac:dyDescent="0.25">
      <c r="P4791" s="27">
        <v>3.2548184716220556E-2</v>
      </c>
      <c r="Q4791" s="28">
        <f t="shared" si="78"/>
        <v>3.5548184716220559E-2</v>
      </c>
      <c r="R4791" s="33">
        <v>0.16282860775771735</v>
      </c>
      <c r="S4791" s="34">
        <v>2.8688223000000002E-2</v>
      </c>
    </row>
    <row r="4792" spans="16:19" x14ac:dyDescent="0.25">
      <c r="P4792" s="27">
        <v>3.2548184716220556E-2</v>
      </c>
      <c r="Q4792" s="28">
        <f t="shared" si="78"/>
        <v>3.5548184716220559E-2</v>
      </c>
      <c r="R4792" s="33">
        <v>0.16282860775771735</v>
      </c>
      <c r="S4792" s="34">
        <v>2.4680000000000001E-2</v>
      </c>
    </row>
    <row r="4793" spans="16:19" x14ac:dyDescent="0.25">
      <c r="P4793" s="27">
        <v>3.2548184716220556E-2</v>
      </c>
      <c r="Q4793" s="28">
        <f t="shared" si="78"/>
        <v>3.5548184716220559E-2</v>
      </c>
      <c r="R4793" s="33">
        <v>0.16282860775771735</v>
      </c>
      <c r="S4793" s="34">
        <v>2.4320000000000001E-2</v>
      </c>
    </row>
    <row r="4794" spans="16:19" x14ac:dyDescent="0.25">
      <c r="P4794" s="27">
        <v>3.2548184716220556E-2</v>
      </c>
      <c r="Q4794" s="28">
        <f t="shared" si="78"/>
        <v>3.5548184716220559E-2</v>
      </c>
      <c r="R4794" s="33">
        <v>0.16282860775771735</v>
      </c>
      <c r="S4794" s="34">
        <v>2.6600000000000002E-2</v>
      </c>
    </row>
    <row r="4795" spans="16:19" x14ac:dyDescent="0.25">
      <c r="P4795" s="27">
        <v>3.2548184716220556E-2</v>
      </c>
      <c r="Q4795" s="28">
        <f t="shared" si="78"/>
        <v>3.5548184716220559E-2</v>
      </c>
      <c r="R4795" s="33">
        <v>0.16282860775771735</v>
      </c>
      <c r="S4795" s="34">
        <v>3.288E-2</v>
      </c>
    </row>
    <row r="4796" spans="16:19" x14ac:dyDescent="0.25">
      <c r="P4796" s="27">
        <v>3.2548184716220556E-2</v>
      </c>
      <c r="Q4796" s="28">
        <f t="shared" si="78"/>
        <v>3.5548184716220559E-2</v>
      </c>
      <c r="R4796" s="33">
        <v>0.16282860775771735</v>
      </c>
      <c r="S4796" s="34">
        <v>3.6722281000000002E-2</v>
      </c>
    </row>
    <row r="4797" spans="16:19" x14ac:dyDescent="0.25">
      <c r="P4797" s="27">
        <v>3.2548184716220556E-2</v>
      </c>
      <c r="Q4797" s="28">
        <f t="shared" si="78"/>
        <v>3.5548184716220559E-2</v>
      </c>
      <c r="R4797" s="33">
        <v>0.16282860775771735</v>
      </c>
      <c r="S4797" s="34">
        <v>4.0420000000000005E-2</v>
      </c>
    </row>
    <row r="4798" spans="16:19" x14ac:dyDescent="0.25">
      <c r="P4798" s="27">
        <v>3.2548184716220556E-2</v>
      </c>
      <c r="Q4798" s="28">
        <f t="shared" si="78"/>
        <v>3.5548184716220559E-2</v>
      </c>
      <c r="R4798" s="33">
        <v>0.16282860775771735</v>
      </c>
      <c r="S4798" s="34">
        <v>4.4539999999999996E-2</v>
      </c>
    </row>
    <row r="4799" spans="16:19" x14ac:dyDescent="0.25">
      <c r="P4799" s="27">
        <v>3.2548184716220556E-2</v>
      </c>
      <c r="Q4799" s="28">
        <f t="shared" si="78"/>
        <v>3.5548184716220559E-2</v>
      </c>
      <c r="R4799" s="31">
        <v>0.15939660775771733</v>
      </c>
      <c r="S4799" s="32">
        <v>4.5010000000000001E-2</v>
      </c>
    </row>
    <row r="4800" spans="16:19" x14ac:dyDescent="0.25">
      <c r="P4800" s="27">
        <v>3.2548184716220556E-2</v>
      </c>
      <c r="Q4800" s="28">
        <f t="shared" si="78"/>
        <v>3.5548184716220559E-2</v>
      </c>
      <c r="R4800" s="31">
        <v>0.15939660775771733</v>
      </c>
      <c r="S4800" s="32">
        <v>4.7E-2</v>
      </c>
    </row>
    <row r="4801" spans="16:19" x14ac:dyDescent="0.25">
      <c r="P4801" s="27">
        <v>3.2548184716220556E-2</v>
      </c>
      <c r="Q4801" s="28">
        <f t="shared" si="78"/>
        <v>3.5548184716220559E-2</v>
      </c>
      <c r="R4801" s="31">
        <v>0.15939660775771733</v>
      </c>
      <c r="S4801" s="32">
        <v>4.2999999999999997E-2</v>
      </c>
    </row>
    <row r="4802" spans="16:19" x14ac:dyDescent="0.25">
      <c r="P4802" s="27">
        <v>3.2548184716220556E-2</v>
      </c>
      <c r="Q4802" s="28">
        <f t="shared" si="78"/>
        <v>3.5548184716220559E-2</v>
      </c>
      <c r="R4802" s="31">
        <v>0.15939660775771733</v>
      </c>
      <c r="S4802" s="32">
        <v>4.1919999999999999E-2</v>
      </c>
    </row>
    <row r="4803" spans="16:19" x14ac:dyDescent="0.25">
      <c r="P4803" s="27">
        <v>3.2548184716220556E-2</v>
      </c>
      <c r="Q4803" s="28">
        <f t="shared" si="78"/>
        <v>3.5548184716220559E-2</v>
      </c>
      <c r="R4803" s="29">
        <v>0.15003660775771735</v>
      </c>
      <c r="S4803" s="30">
        <v>4.6399999999999997E-2</v>
      </c>
    </row>
    <row r="4804" spans="16:19" x14ac:dyDescent="0.25">
      <c r="P4804" s="27">
        <v>3.2548184716220556E-2</v>
      </c>
      <c r="Q4804" s="28">
        <f t="shared" si="78"/>
        <v>3.5548184716220559E-2</v>
      </c>
      <c r="R4804" s="29">
        <v>0.15003660775771735</v>
      </c>
      <c r="S4804" s="30">
        <v>4.1299999999999996E-2</v>
      </c>
    </row>
    <row r="4805" spans="16:19" x14ac:dyDescent="0.25">
      <c r="P4805" s="27">
        <v>3.2548184716220556E-2</v>
      </c>
      <c r="Q4805" s="28">
        <f t="shared" ref="Q4805:Q4868" si="79">P4805+0.003</f>
        <v>3.5548184716220559E-2</v>
      </c>
      <c r="R4805" s="29">
        <v>0.15003660775771735</v>
      </c>
      <c r="S4805" s="30">
        <v>3.9200000000000006E-2</v>
      </c>
    </row>
    <row r="4806" spans="16:19" x14ac:dyDescent="0.25">
      <c r="P4806" s="27">
        <v>3.2548184716220556E-2</v>
      </c>
      <c r="Q4806" s="28">
        <f t="shared" si="79"/>
        <v>3.5548184716220559E-2</v>
      </c>
      <c r="R4806" s="29">
        <v>0.15003660775771735</v>
      </c>
      <c r="S4806" s="30">
        <v>3.8859999999999999E-2</v>
      </c>
    </row>
    <row r="4807" spans="16:19" x14ac:dyDescent="0.25">
      <c r="P4807" s="27">
        <v>3.2548184716220556E-2</v>
      </c>
      <c r="Q4807" s="28">
        <f t="shared" si="79"/>
        <v>3.5548184716220559E-2</v>
      </c>
      <c r="R4807" s="29">
        <v>0.15003660775771735</v>
      </c>
      <c r="S4807" s="30">
        <v>3.95E-2</v>
      </c>
    </row>
    <row r="4808" spans="16:19" x14ac:dyDescent="0.25">
      <c r="P4808" s="27">
        <v>3.2548184716220556E-2</v>
      </c>
      <c r="Q4808" s="28">
        <f t="shared" si="79"/>
        <v>3.5548184716220559E-2</v>
      </c>
      <c r="R4808" s="29">
        <v>0.15003660775771735</v>
      </c>
      <c r="S4808" s="30">
        <v>3.8640000000000001E-2</v>
      </c>
    </row>
    <row r="4809" spans="16:19" x14ac:dyDescent="0.25">
      <c r="P4809" s="27">
        <v>3.2548184716220556E-2</v>
      </c>
      <c r="Q4809" s="28">
        <f t="shared" si="79"/>
        <v>3.5548184716220559E-2</v>
      </c>
      <c r="R4809" s="29">
        <v>0.15003660775771735</v>
      </c>
      <c r="S4809" s="30">
        <v>3.7990000000000003E-2</v>
      </c>
    </row>
    <row r="4810" spans="16:19" x14ac:dyDescent="0.25">
      <c r="P4810" s="27">
        <v>3.2548184716220556E-2</v>
      </c>
      <c r="Q4810" s="28">
        <f t="shared" si="79"/>
        <v>3.5548184716220559E-2</v>
      </c>
      <c r="R4810" s="29">
        <v>0.15003660775771735</v>
      </c>
      <c r="S4810" s="30">
        <v>3.8869999999999995E-2</v>
      </c>
    </row>
    <row r="4811" spans="16:19" x14ac:dyDescent="0.25">
      <c r="P4811" s="27">
        <v>3.2548184716220556E-2</v>
      </c>
      <c r="Q4811" s="28">
        <f t="shared" si="79"/>
        <v>3.5548184716220559E-2</v>
      </c>
      <c r="R4811" s="31">
        <v>0.15939660775771733</v>
      </c>
      <c r="S4811" s="32">
        <v>3.9E-2</v>
      </c>
    </row>
    <row r="4812" spans="16:19" x14ac:dyDescent="0.25">
      <c r="P4812" s="27">
        <v>3.2548184716220556E-2</v>
      </c>
      <c r="Q4812" s="28">
        <f t="shared" si="79"/>
        <v>3.5548184716220559E-2</v>
      </c>
      <c r="R4812" s="33">
        <v>0.16282860775771735</v>
      </c>
      <c r="S4812" s="34">
        <v>3.918E-2</v>
      </c>
    </row>
    <row r="4813" spans="16:19" x14ac:dyDescent="0.25">
      <c r="P4813" s="27">
        <v>3.2548184716220556E-2</v>
      </c>
      <c r="Q4813" s="28">
        <f t="shared" si="79"/>
        <v>3.5548184716220559E-2</v>
      </c>
      <c r="R4813" s="33">
        <v>0.16282860775771735</v>
      </c>
      <c r="S4813" s="34">
        <v>3.6990000000000002E-2</v>
      </c>
    </row>
    <row r="4814" spans="16:19" x14ac:dyDescent="0.25">
      <c r="P4814" s="27">
        <v>3.2548184716220556E-2</v>
      </c>
      <c r="Q4814" s="28">
        <f t="shared" si="79"/>
        <v>3.5548184716220559E-2</v>
      </c>
      <c r="R4814" s="33">
        <v>0.16282860775771735</v>
      </c>
      <c r="S4814" s="34">
        <v>3.5000000000000003E-2</v>
      </c>
    </row>
    <row r="4815" spans="16:19" x14ac:dyDescent="0.25">
      <c r="P4815" s="27">
        <v>3.2548184716220556E-2</v>
      </c>
      <c r="Q4815" s="28">
        <f t="shared" si="79"/>
        <v>3.5548184716220559E-2</v>
      </c>
      <c r="R4815" s="33">
        <v>0.16282860775771735</v>
      </c>
      <c r="S4815" s="34">
        <v>3.0690000000000002E-2</v>
      </c>
    </row>
    <row r="4816" spans="16:19" x14ac:dyDescent="0.25">
      <c r="P4816" s="27">
        <v>3.2548184716220556E-2</v>
      </c>
      <c r="Q4816" s="28">
        <f t="shared" si="79"/>
        <v>3.5548184716220559E-2</v>
      </c>
      <c r="R4816" s="33">
        <v>0.16282860775771735</v>
      </c>
      <c r="S4816" s="34">
        <v>2.8879999999999999E-2</v>
      </c>
    </row>
    <row r="4817" spans="16:19" x14ac:dyDescent="0.25">
      <c r="P4817" s="27">
        <v>3.2548184716220556E-2</v>
      </c>
      <c r="Q4817" s="28">
        <f t="shared" si="79"/>
        <v>3.5548184716220559E-2</v>
      </c>
      <c r="R4817" s="33">
        <v>0.16282860775771735</v>
      </c>
      <c r="S4817" s="34">
        <v>0.03</v>
      </c>
    </row>
    <row r="4818" spans="16:19" x14ac:dyDescent="0.25">
      <c r="P4818" s="27">
        <v>3.2548184716220556E-2</v>
      </c>
      <c r="Q4818" s="28">
        <f t="shared" si="79"/>
        <v>3.5548184716220559E-2</v>
      </c>
      <c r="R4818" s="33">
        <v>0.16282860775771735</v>
      </c>
      <c r="S4818" s="34">
        <v>3.4009999999999999E-2</v>
      </c>
    </row>
    <row r="4819" spans="16:19" x14ac:dyDescent="0.25">
      <c r="P4819" s="27">
        <v>3.2548184716220556E-2</v>
      </c>
      <c r="Q4819" s="28">
        <f t="shared" si="79"/>
        <v>3.5548184716220559E-2</v>
      </c>
      <c r="R4819" s="33">
        <v>0.16282860775771735</v>
      </c>
      <c r="S4819" s="34">
        <v>3.7990000000000003E-2</v>
      </c>
    </row>
    <row r="4820" spans="16:19" x14ac:dyDescent="0.25">
      <c r="P4820" s="27">
        <v>3.2548184716220556E-2</v>
      </c>
      <c r="Q4820" s="28">
        <f t="shared" si="79"/>
        <v>3.5548184716220559E-2</v>
      </c>
      <c r="R4820" s="33">
        <v>0.16282860775771735</v>
      </c>
      <c r="S4820" s="34">
        <v>4.0259999999999997E-2</v>
      </c>
    </row>
    <row r="4821" spans="16:19" x14ac:dyDescent="0.25">
      <c r="P4821" s="27">
        <v>3.2548184716220556E-2</v>
      </c>
      <c r="Q4821" s="28">
        <f t="shared" si="79"/>
        <v>3.5548184716220559E-2</v>
      </c>
      <c r="R4821" s="33">
        <v>0.16282860775771735</v>
      </c>
      <c r="S4821" s="34">
        <v>4.2419999999999999E-2</v>
      </c>
    </row>
    <row r="4822" spans="16:19" x14ac:dyDescent="0.25">
      <c r="P4822" s="27">
        <v>3.2548184716220556E-2</v>
      </c>
      <c r="Q4822" s="28">
        <f t="shared" si="79"/>
        <v>3.5548184716220559E-2</v>
      </c>
      <c r="R4822" s="33">
        <v>0.16282860775771735</v>
      </c>
      <c r="S4822" s="34">
        <v>4.6630000000000005E-2</v>
      </c>
    </row>
    <row r="4823" spans="16:19" x14ac:dyDescent="0.25">
      <c r="P4823" s="27">
        <v>3.2548184716220556E-2</v>
      </c>
      <c r="Q4823" s="28">
        <f t="shared" si="79"/>
        <v>3.5548184716220559E-2</v>
      </c>
      <c r="R4823" s="31">
        <v>0.15939660775771733</v>
      </c>
      <c r="S4823" s="32">
        <v>4.7890000000000002E-2</v>
      </c>
    </row>
    <row r="4824" spans="16:19" x14ac:dyDescent="0.25">
      <c r="P4824" s="27">
        <v>3.2548184716220556E-2</v>
      </c>
      <c r="Q4824" s="28">
        <f t="shared" si="79"/>
        <v>3.5548184716220559E-2</v>
      </c>
      <c r="R4824" s="31">
        <v>0.15939660775771733</v>
      </c>
      <c r="S4824" s="32">
        <v>5.1990000000000001E-2</v>
      </c>
    </row>
    <row r="4825" spans="16:19" x14ac:dyDescent="0.25">
      <c r="P4825" s="27">
        <v>3.2548184716220556E-2</v>
      </c>
      <c r="Q4825" s="28">
        <f t="shared" si="79"/>
        <v>3.5548184716220559E-2</v>
      </c>
      <c r="R4825" s="31">
        <v>0.15939660775771733</v>
      </c>
      <c r="S4825" s="32">
        <v>4.8000000000000001E-2</v>
      </c>
    </row>
    <row r="4826" spans="16:19" x14ac:dyDescent="0.25">
      <c r="P4826" s="27">
        <v>3.2548184716220556E-2</v>
      </c>
      <c r="Q4826" s="28">
        <f t="shared" si="79"/>
        <v>3.5548184716220559E-2</v>
      </c>
      <c r="R4826" s="31">
        <v>0.15939660775771733</v>
      </c>
      <c r="S4826" s="32">
        <v>4.4310000000000002E-2</v>
      </c>
    </row>
    <row r="4827" spans="16:19" x14ac:dyDescent="0.25">
      <c r="P4827" s="27">
        <v>3.2548184716220556E-2</v>
      </c>
      <c r="Q4827" s="28">
        <f t="shared" si="79"/>
        <v>3.5548184716220559E-2</v>
      </c>
      <c r="R4827" s="29">
        <v>0.15003660775771735</v>
      </c>
      <c r="S4827" s="30">
        <v>4.0579999999999998E-2</v>
      </c>
    </row>
    <row r="4828" spans="16:19" x14ac:dyDescent="0.25">
      <c r="P4828" s="27">
        <v>3.2548184716220556E-2</v>
      </c>
      <c r="Q4828" s="28">
        <f t="shared" si="79"/>
        <v>3.5548184716220559E-2</v>
      </c>
      <c r="R4828" s="29">
        <v>0.15003660775771735</v>
      </c>
      <c r="S4828" s="30">
        <v>3.6420000000000001E-2</v>
      </c>
    </row>
    <row r="4829" spans="16:19" x14ac:dyDescent="0.25">
      <c r="P4829" s="27">
        <v>3.2548184716220556E-2</v>
      </c>
      <c r="Q4829" s="28">
        <f t="shared" si="79"/>
        <v>3.5548184716220559E-2</v>
      </c>
      <c r="R4829" s="29">
        <v>0.15003660775771735</v>
      </c>
      <c r="S4829" s="30">
        <v>3.2939999999999997E-2</v>
      </c>
    </row>
    <row r="4830" spans="16:19" x14ac:dyDescent="0.25">
      <c r="P4830" s="27">
        <v>3.2548184716220556E-2</v>
      </c>
      <c r="Q4830" s="28">
        <f t="shared" si="79"/>
        <v>3.5548184716220559E-2</v>
      </c>
      <c r="R4830" s="29">
        <v>0.15003660775771735</v>
      </c>
      <c r="S4830" s="30">
        <v>2.8879999999999999E-2</v>
      </c>
    </row>
    <row r="4831" spans="16:19" x14ac:dyDescent="0.25">
      <c r="P4831" s="27">
        <v>3.2548184716220556E-2</v>
      </c>
      <c r="Q4831" s="28">
        <f t="shared" si="79"/>
        <v>3.5548184716220559E-2</v>
      </c>
      <c r="R4831" s="29">
        <v>0.15003660775771735</v>
      </c>
      <c r="S4831" s="30">
        <v>2.7178288999999998E-2</v>
      </c>
    </row>
    <row r="4832" spans="16:19" x14ac:dyDescent="0.25">
      <c r="P4832" s="27">
        <v>3.2548184716220556E-2</v>
      </c>
      <c r="Q4832" s="28">
        <f t="shared" si="79"/>
        <v>3.5548184716220559E-2</v>
      </c>
      <c r="R4832" s="29">
        <v>0.15003660775771735</v>
      </c>
      <c r="S4832" s="30">
        <v>3.288E-2</v>
      </c>
    </row>
    <row r="4833" spans="16:19" x14ac:dyDescent="0.25">
      <c r="P4833" s="27">
        <v>3.2548184716220556E-2</v>
      </c>
      <c r="Q4833" s="28">
        <f t="shared" si="79"/>
        <v>3.5548184716220559E-2</v>
      </c>
      <c r="R4833" s="29">
        <v>0.15003660775771735</v>
      </c>
      <c r="S4833" s="30">
        <v>3.8428835999999994E-2</v>
      </c>
    </row>
    <row r="4834" spans="16:19" x14ac:dyDescent="0.25">
      <c r="P4834" s="27">
        <v>3.2548184716220556E-2</v>
      </c>
      <c r="Q4834" s="28">
        <f t="shared" si="79"/>
        <v>3.5548184716220559E-2</v>
      </c>
      <c r="R4834" s="29">
        <v>0.15003660775771735</v>
      </c>
      <c r="S4834" s="30">
        <v>4.2000000000000003E-2</v>
      </c>
    </row>
    <row r="4835" spans="16:19" x14ac:dyDescent="0.25">
      <c r="P4835" s="27">
        <v>3.2548184716220556E-2</v>
      </c>
      <c r="Q4835" s="28">
        <f t="shared" si="79"/>
        <v>3.5548184716220559E-2</v>
      </c>
      <c r="R4835" s="31">
        <v>0.15939999999999999</v>
      </c>
      <c r="S4835" s="32">
        <v>4.6439999999999995E-2</v>
      </c>
    </row>
    <row r="4836" spans="16:19" x14ac:dyDescent="0.25">
      <c r="P4836" s="27">
        <v>3.2548184716220556E-2</v>
      </c>
      <c r="Q4836" s="28">
        <f t="shared" si="79"/>
        <v>3.5548184716220559E-2</v>
      </c>
      <c r="R4836" s="31">
        <v>0.15939999999999999</v>
      </c>
      <c r="S4836" s="32">
        <v>4.6399999999999997E-2</v>
      </c>
    </row>
    <row r="4837" spans="16:19" x14ac:dyDescent="0.25">
      <c r="P4837" s="27">
        <v>3.2548184716220556E-2</v>
      </c>
      <c r="Q4837" s="28">
        <f t="shared" si="79"/>
        <v>3.5548184716220559E-2</v>
      </c>
      <c r="R4837" s="31">
        <v>0.15939999999999999</v>
      </c>
      <c r="S4837" s="32">
        <v>4.462E-2</v>
      </c>
    </row>
    <row r="4838" spans="16:19" x14ac:dyDescent="0.25">
      <c r="P4838" s="27">
        <v>3.2548184716220556E-2</v>
      </c>
      <c r="Q4838" s="28">
        <f t="shared" si="79"/>
        <v>3.5548184716220559E-2</v>
      </c>
      <c r="R4838" s="31">
        <v>0.15939999999999999</v>
      </c>
      <c r="S4838" s="32">
        <v>4.7E-2</v>
      </c>
    </row>
    <row r="4839" spans="16:19" x14ac:dyDescent="0.25">
      <c r="P4839" s="27">
        <v>3.2548184716220556E-2</v>
      </c>
      <c r="Q4839" s="28">
        <f t="shared" si="79"/>
        <v>3.5548184716220559E-2</v>
      </c>
      <c r="R4839" s="31">
        <v>0.15939999999999999</v>
      </c>
      <c r="S4839" s="32">
        <v>4.4999999999999998E-2</v>
      </c>
    </row>
    <row r="4840" spans="16:19" x14ac:dyDescent="0.25">
      <c r="P4840" s="27">
        <v>3.2548184716220556E-2</v>
      </c>
      <c r="Q4840" s="28">
        <f t="shared" si="79"/>
        <v>3.5548184716220559E-2</v>
      </c>
      <c r="R4840" s="31">
        <v>0.15939999999999999</v>
      </c>
      <c r="S4840" s="32">
        <v>4.4600416000000004E-2</v>
      </c>
    </row>
    <row r="4841" spans="16:19" x14ac:dyDescent="0.25">
      <c r="P4841" s="27">
        <v>3.2548184716220556E-2</v>
      </c>
      <c r="Q4841" s="28">
        <f t="shared" si="79"/>
        <v>3.5548184716220559E-2</v>
      </c>
      <c r="R4841" s="31">
        <v>0.15939999999999999</v>
      </c>
      <c r="S4841" s="32">
        <v>5.04E-2</v>
      </c>
    </row>
    <row r="4842" spans="16:19" x14ac:dyDescent="0.25">
      <c r="P4842" s="27">
        <v>3.2548184716220556E-2</v>
      </c>
      <c r="Q4842" s="28">
        <f t="shared" si="79"/>
        <v>3.5548184716220559E-2</v>
      </c>
      <c r="R4842" s="31">
        <v>0.15939999999999999</v>
      </c>
      <c r="S4842" s="32">
        <v>4.999E-2</v>
      </c>
    </row>
    <row r="4843" spans="16:19" x14ac:dyDescent="0.25">
      <c r="P4843" s="27">
        <v>3.2548184716220556E-2</v>
      </c>
      <c r="Q4843" s="28">
        <f t="shared" si="79"/>
        <v>3.5548184716220559E-2</v>
      </c>
      <c r="R4843" s="31">
        <v>0.15939999999999999</v>
      </c>
      <c r="S4843" s="32">
        <v>4.7920000000000004E-2</v>
      </c>
    </row>
    <row r="4844" spans="16:19" x14ac:dyDescent="0.25">
      <c r="P4844" s="27">
        <v>3.2548184716220556E-2</v>
      </c>
      <c r="Q4844" s="28">
        <f t="shared" si="79"/>
        <v>3.5548184716220559E-2</v>
      </c>
      <c r="R4844" s="31">
        <v>0.15939999999999999</v>
      </c>
      <c r="S4844" s="32">
        <v>4.5060000000000003E-2</v>
      </c>
    </row>
    <row r="4845" spans="16:19" x14ac:dyDescent="0.25">
      <c r="P4845" s="27">
        <v>3.2548184716220556E-2</v>
      </c>
      <c r="Q4845" s="28">
        <f t="shared" si="79"/>
        <v>3.5548184716220559E-2</v>
      </c>
      <c r="R4845" s="31">
        <v>0.15939999999999999</v>
      </c>
      <c r="S4845" s="32">
        <v>4.6329999999999996E-2</v>
      </c>
    </row>
    <row r="4846" spans="16:19" x14ac:dyDescent="0.25">
      <c r="P4846" s="27">
        <v>3.2548184716220556E-2</v>
      </c>
      <c r="Q4846" s="28">
        <f t="shared" si="79"/>
        <v>3.5548184716220559E-2</v>
      </c>
      <c r="R4846" s="31">
        <v>0.15939999999999999</v>
      </c>
      <c r="S4846" s="32">
        <v>4.7E-2</v>
      </c>
    </row>
    <row r="4847" spans="16:19" x14ac:dyDescent="0.25">
      <c r="P4847" s="27">
        <v>3.2548184716220556E-2</v>
      </c>
      <c r="Q4847" s="28">
        <f t="shared" si="79"/>
        <v>3.5548184716220559E-2</v>
      </c>
      <c r="R4847" s="31">
        <v>0.15939999999999999</v>
      </c>
      <c r="S4847" s="32">
        <v>4.7361179000000003E-2</v>
      </c>
    </row>
    <row r="4848" spans="16:19" x14ac:dyDescent="0.25">
      <c r="P4848" s="27">
        <v>3.2548184716220556E-2</v>
      </c>
      <c r="Q4848" s="28">
        <f t="shared" si="79"/>
        <v>3.5548184716220559E-2</v>
      </c>
      <c r="R4848" s="31">
        <v>0.15939999999999999</v>
      </c>
      <c r="S4848" s="32">
        <v>4.7539999999999999E-2</v>
      </c>
    </row>
    <row r="4849" spans="16:19" x14ac:dyDescent="0.25">
      <c r="P4849" s="27">
        <v>3.2548184716220556E-2</v>
      </c>
      <c r="Q4849" s="28">
        <f t="shared" si="79"/>
        <v>3.5548184716220559E-2</v>
      </c>
      <c r="R4849" s="31">
        <v>0.15939999999999999</v>
      </c>
      <c r="S4849" s="32">
        <v>4.3749999999999997E-2</v>
      </c>
    </row>
    <row r="4850" spans="16:19" x14ac:dyDescent="0.25">
      <c r="P4850" s="27">
        <v>3.2548184716220556E-2</v>
      </c>
      <c r="Q4850" s="28">
        <f t="shared" si="79"/>
        <v>3.5548184716220559E-2</v>
      </c>
      <c r="R4850" s="31">
        <v>0.15939999999999999</v>
      </c>
      <c r="S4850" s="32">
        <v>4.1399999999999999E-2</v>
      </c>
    </row>
    <row r="4851" spans="16:19" x14ac:dyDescent="0.25">
      <c r="P4851" s="27">
        <v>3.2548184716220556E-2</v>
      </c>
      <c r="Q4851" s="28">
        <f t="shared" si="79"/>
        <v>3.5548184716220559E-2</v>
      </c>
      <c r="R4851" s="29">
        <v>0.15</v>
      </c>
      <c r="S4851" s="30">
        <v>4.0549999999999996E-2</v>
      </c>
    </row>
    <row r="4852" spans="16:19" x14ac:dyDescent="0.25">
      <c r="P4852" s="27">
        <v>3.2548184716220556E-2</v>
      </c>
      <c r="Q4852" s="28">
        <f t="shared" si="79"/>
        <v>3.5548184716220559E-2</v>
      </c>
      <c r="R4852" s="29">
        <v>0.15</v>
      </c>
      <c r="S4852" s="30">
        <v>3.9009999999999996E-2</v>
      </c>
    </row>
    <row r="4853" spans="16:19" x14ac:dyDescent="0.25">
      <c r="P4853" s="27">
        <v>3.2548184716220556E-2</v>
      </c>
      <c r="Q4853" s="28">
        <f t="shared" si="79"/>
        <v>3.5548184716220559E-2</v>
      </c>
      <c r="R4853" s="29">
        <v>0.15</v>
      </c>
      <c r="S4853" s="30">
        <v>3.7999999999999999E-2</v>
      </c>
    </row>
    <row r="4854" spans="16:19" x14ac:dyDescent="0.25">
      <c r="P4854" s="27">
        <v>3.2548184716220556E-2</v>
      </c>
      <c r="Q4854" s="28">
        <f t="shared" si="79"/>
        <v>3.5548184716220559E-2</v>
      </c>
      <c r="R4854" s="29">
        <v>0.15</v>
      </c>
      <c r="S4854" s="30">
        <v>3.7490000000000002E-2</v>
      </c>
    </row>
    <row r="4855" spans="16:19" x14ac:dyDescent="0.25">
      <c r="P4855" s="27">
        <v>3.2548184716220556E-2</v>
      </c>
      <c r="Q4855" s="28">
        <f t="shared" si="79"/>
        <v>3.5548184716220559E-2</v>
      </c>
      <c r="R4855" s="29">
        <v>0.15</v>
      </c>
      <c r="S4855" s="30">
        <v>3.7490000000000002E-2</v>
      </c>
    </row>
    <row r="4856" spans="16:19" x14ac:dyDescent="0.25">
      <c r="P4856" s="27">
        <v>3.2548184716220556E-2</v>
      </c>
      <c r="Q4856" s="28">
        <f t="shared" si="79"/>
        <v>3.5548184716220559E-2</v>
      </c>
      <c r="R4856" s="29">
        <v>0.15</v>
      </c>
      <c r="S4856" s="30">
        <v>3.8210000000000001E-2</v>
      </c>
    </row>
    <row r="4857" spans="16:19" x14ac:dyDescent="0.25">
      <c r="P4857" s="27">
        <v>3.2548184716220556E-2</v>
      </c>
      <c r="Q4857" s="28">
        <f t="shared" si="79"/>
        <v>3.5548184716220559E-2</v>
      </c>
      <c r="R4857" s="29">
        <v>0.15</v>
      </c>
      <c r="S4857" s="30">
        <v>3.9409999999999994E-2</v>
      </c>
    </row>
    <row r="4858" spans="16:19" x14ac:dyDescent="0.25">
      <c r="P4858" s="27">
        <v>3.2548184716220556E-2</v>
      </c>
      <c r="Q4858" s="28">
        <f t="shared" si="79"/>
        <v>3.5548184716220559E-2</v>
      </c>
      <c r="R4858" s="29">
        <v>0.15</v>
      </c>
      <c r="S4858" s="30">
        <v>4.3790000000000003E-2</v>
      </c>
    </row>
    <row r="4859" spans="16:19" x14ac:dyDescent="0.25">
      <c r="P4859" s="27">
        <v>3.2548184716220556E-2</v>
      </c>
      <c r="Q4859" s="28">
        <f t="shared" si="79"/>
        <v>3.5548184716220559E-2</v>
      </c>
      <c r="R4859" s="29">
        <v>0.15</v>
      </c>
      <c r="S4859" s="30">
        <v>4.6600000000000003E-2</v>
      </c>
    </row>
    <row r="4860" spans="16:19" x14ac:dyDescent="0.25">
      <c r="P4860" s="27">
        <v>3.2548184716220556E-2</v>
      </c>
      <c r="Q4860" s="28">
        <f t="shared" si="79"/>
        <v>3.5548184716220559E-2</v>
      </c>
      <c r="R4860" s="29">
        <v>0.15</v>
      </c>
      <c r="S4860" s="30">
        <v>4.6149999999999997E-2</v>
      </c>
    </row>
    <row r="4861" spans="16:19" x14ac:dyDescent="0.25">
      <c r="P4861" s="27">
        <v>3.2548184716220556E-2</v>
      </c>
      <c r="Q4861" s="28">
        <f t="shared" si="79"/>
        <v>3.5548184716220559E-2</v>
      </c>
      <c r="R4861" s="29">
        <v>0.15</v>
      </c>
      <c r="S4861" s="30">
        <v>4.4425738999999999E-2</v>
      </c>
    </row>
    <row r="4862" spans="16:19" x14ac:dyDescent="0.25">
      <c r="P4862" s="27">
        <v>3.2548184716220556E-2</v>
      </c>
      <c r="Q4862" s="28">
        <f t="shared" si="79"/>
        <v>3.5548184716220559E-2</v>
      </c>
      <c r="R4862" s="29">
        <v>0.15</v>
      </c>
      <c r="S4862" s="30">
        <v>4.5670000000000002E-2</v>
      </c>
    </row>
    <row r="4863" spans="16:19" x14ac:dyDescent="0.25">
      <c r="P4863" s="27">
        <v>3.2548184716220556E-2</v>
      </c>
      <c r="Q4863" s="28">
        <f t="shared" si="79"/>
        <v>3.5548184716220559E-2</v>
      </c>
      <c r="R4863" s="29">
        <v>0.15</v>
      </c>
      <c r="S4863" s="30">
        <v>4.2090000000000002E-2</v>
      </c>
    </row>
    <row r="4864" spans="16:19" x14ac:dyDescent="0.25">
      <c r="P4864" s="27">
        <v>3.2548184716220556E-2</v>
      </c>
      <c r="Q4864" s="28">
        <f t="shared" si="79"/>
        <v>3.5548184716220559E-2</v>
      </c>
      <c r="R4864" s="29">
        <v>0.15</v>
      </c>
      <c r="S4864" s="30">
        <v>4.0920000000000005E-2</v>
      </c>
    </row>
    <row r="4865" spans="16:19" x14ac:dyDescent="0.25">
      <c r="P4865" s="27">
        <v>3.2548184716220556E-2</v>
      </c>
      <c r="Q4865" s="28">
        <f t="shared" si="79"/>
        <v>3.5548184716220559E-2</v>
      </c>
      <c r="R4865" s="29">
        <v>0.15</v>
      </c>
      <c r="S4865" s="30">
        <v>4.4044797000000004E-2</v>
      </c>
    </row>
    <row r="4866" spans="16:19" x14ac:dyDescent="0.25">
      <c r="P4866" s="27">
        <v>3.2548184716220556E-2</v>
      </c>
      <c r="Q4866" s="28">
        <f t="shared" si="79"/>
        <v>3.5548184716220559E-2</v>
      </c>
      <c r="R4866" s="29">
        <v>0.15</v>
      </c>
      <c r="S4866" s="30">
        <v>4.4999999999999998E-2</v>
      </c>
    </row>
    <row r="4867" spans="16:19" x14ac:dyDescent="0.25">
      <c r="P4867" s="27">
        <v>3.2548184716220556E-2</v>
      </c>
      <c r="Q4867" s="28">
        <f t="shared" si="79"/>
        <v>3.5548184716220559E-2</v>
      </c>
      <c r="R4867" s="29">
        <v>0.15</v>
      </c>
      <c r="S4867" s="30">
        <v>4.6077409E-2</v>
      </c>
    </row>
    <row r="4868" spans="16:19" x14ac:dyDescent="0.25">
      <c r="P4868" s="27">
        <v>3.2548184716220556E-2</v>
      </c>
      <c r="Q4868" s="28">
        <f t="shared" si="79"/>
        <v>3.5548184716220559E-2</v>
      </c>
      <c r="R4868" s="29">
        <v>0.15</v>
      </c>
      <c r="S4868" s="30">
        <v>4.5999999999999999E-2</v>
      </c>
    </row>
    <row r="4869" spans="16:19" x14ac:dyDescent="0.25">
      <c r="P4869" s="27">
        <v>3.2548184716220556E-2</v>
      </c>
      <c r="Q4869" s="28">
        <f t="shared" ref="Q4869:Q4932" si="80">P4869+0.003</f>
        <v>3.5548184716220559E-2</v>
      </c>
      <c r="R4869" s="29">
        <v>0.15</v>
      </c>
      <c r="S4869" s="30">
        <v>4.6450000000000005E-2</v>
      </c>
    </row>
    <row r="4870" spans="16:19" x14ac:dyDescent="0.25">
      <c r="P4870" s="27">
        <v>3.2548184716220556E-2</v>
      </c>
      <c r="Q4870" s="28">
        <f t="shared" si="80"/>
        <v>3.5548184716220559E-2</v>
      </c>
      <c r="R4870" s="29">
        <v>0.15</v>
      </c>
      <c r="S4870" s="30">
        <v>4.8180000000000001E-2</v>
      </c>
    </row>
    <row r="4871" spans="16:19" x14ac:dyDescent="0.25">
      <c r="P4871" s="27">
        <v>3.2548184716220556E-2</v>
      </c>
      <c r="Q4871" s="28">
        <f t="shared" si="80"/>
        <v>3.5548184716220559E-2</v>
      </c>
      <c r="R4871" s="29">
        <v>0.15</v>
      </c>
      <c r="S4871" s="30">
        <v>4.8439999999999997E-2</v>
      </c>
    </row>
    <row r="4872" spans="16:19" x14ac:dyDescent="0.25">
      <c r="P4872" s="27">
        <v>3.2548184716220556E-2</v>
      </c>
      <c r="Q4872" s="28">
        <f t="shared" si="80"/>
        <v>3.5548184716220559E-2</v>
      </c>
      <c r="R4872" s="29">
        <v>0.15</v>
      </c>
      <c r="S4872" s="30">
        <v>4.999E-2</v>
      </c>
    </row>
    <row r="4873" spans="16:19" x14ac:dyDescent="0.25">
      <c r="P4873" s="27">
        <v>3.2548184716220556E-2</v>
      </c>
      <c r="Q4873" s="28">
        <f t="shared" si="80"/>
        <v>3.5548184716220559E-2</v>
      </c>
      <c r="R4873" s="29">
        <v>0.15</v>
      </c>
      <c r="S4873" s="30">
        <v>4.5999999999999999E-2</v>
      </c>
    </row>
    <row r="4874" spans="16:19" x14ac:dyDescent="0.25">
      <c r="P4874" s="27">
        <v>3.2548184716220556E-2</v>
      </c>
      <c r="Q4874" s="28">
        <f t="shared" si="80"/>
        <v>3.5548184716220559E-2</v>
      </c>
      <c r="R4874" s="29">
        <v>0.15</v>
      </c>
      <c r="S4874" s="30">
        <v>4.5039999999999997E-2</v>
      </c>
    </row>
    <row r="4875" spans="16:19" x14ac:dyDescent="0.25">
      <c r="P4875" s="27">
        <v>3.2548184716220556E-2</v>
      </c>
      <c r="Q4875" s="28">
        <f t="shared" si="80"/>
        <v>3.5548184716220559E-2</v>
      </c>
      <c r="R4875" s="29">
        <v>0.15</v>
      </c>
      <c r="S4875" s="30">
        <v>4.5590000000000006E-2</v>
      </c>
    </row>
    <row r="4876" spans="16:19" x14ac:dyDescent="0.25">
      <c r="P4876" s="27">
        <v>3.2548184716220556E-2</v>
      </c>
      <c r="Q4876" s="28">
        <f t="shared" si="80"/>
        <v>3.5548184716220559E-2</v>
      </c>
      <c r="R4876" s="29">
        <v>0.15</v>
      </c>
      <c r="S4876" s="30">
        <v>4.1404618999999997E-2</v>
      </c>
    </row>
    <row r="4877" spans="16:19" x14ac:dyDescent="0.25">
      <c r="P4877" s="27">
        <v>3.2548184716220556E-2</v>
      </c>
      <c r="Q4877" s="28">
        <f t="shared" si="80"/>
        <v>3.5548184716220559E-2</v>
      </c>
      <c r="R4877" s="29">
        <v>0.15</v>
      </c>
      <c r="S4877" s="30">
        <v>4.0549999999999996E-2</v>
      </c>
    </row>
    <row r="4878" spans="16:19" x14ac:dyDescent="0.25">
      <c r="P4878" s="27">
        <v>3.2548184716220556E-2</v>
      </c>
      <c r="Q4878" s="28">
        <f t="shared" si="80"/>
        <v>3.5548184716220559E-2</v>
      </c>
      <c r="R4878" s="29">
        <v>0.15</v>
      </c>
      <c r="S4878" s="30">
        <v>3.9949999999999999E-2</v>
      </c>
    </row>
    <row r="4879" spans="16:19" x14ac:dyDescent="0.25">
      <c r="P4879" s="27">
        <v>3.2548184716220556E-2</v>
      </c>
      <c r="Q4879" s="28">
        <f t="shared" si="80"/>
        <v>3.5548184716220559E-2</v>
      </c>
      <c r="R4879" s="29">
        <v>0.15</v>
      </c>
      <c r="S4879" s="30">
        <v>3.9579999999999997E-2</v>
      </c>
    </row>
    <row r="4880" spans="16:19" x14ac:dyDescent="0.25">
      <c r="P4880" s="27">
        <v>3.2548184716220556E-2</v>
      </c>
      <c r="Q4880" s="28">
        <f t="shared" si="80"/>
        <v>3.5548184716220559E-2</v>
      </c>
      <c r="R4880" s="29">
        <v>0.15</v>
      </c>
      <c r="S4880" s="30">
        <v>4.0469999999999999E-2</v>
      </c>
    </row>
    <row r="4881" spans="16:19" x14ac:dyDescent="0.25">
      <c r="P4881" s="27">
        <v>3.2548184716220556E-2</v>
      </c>
      <c r="Q4881" s="28">
        <f t="shared" si="80"/>
        <v>3.5548184716220559E-2</v>
      </c>
      <c r="R4881" s="29">
        <v>0.15</v>
      </c>
      <c r="S4881" s="30">
        <v>4.2999999999999997E-2</v>
      </c>
    </row>
    <row r="4882" spans="16:19" x14ac:dyDescent="0.25">
      <c r="P4882" s="27">
        <v>3.2548184716220556E-2</v>
      </c>
      <c r="Q4882" s="28">
        <f t="shared" si="80"/>
        <v>3.5548184716220559E-2</v>
      </c>
      <c r="R4882" s="29">
        <v>0.15</v>
      </c>
      <c r="S4882" s="30">
        <v>4.5560000000000003E-2</v>
      </c>
    </row>
    <row r="4883" spans="16:19" x14ac:dyDescent="0.25">
      <c r="P4883" s="27">
        <v>3.2548184716220556E-2</v>
      </c>
      <c r="Q4883" s="28">
        <f t="shared" si="80"/>
        <v>3.5548184716220559E-2</v>
      </c>
      <c r="R4883" s="31">
        <v>0.15939660775771733</v>
      </c>
      <c r="S4883" s="32">
        <v>4.9149999999999999E-2</v>
      </c>
    </row>
    <row r="4884" spans="16:19" x14ac:dyDescent="0.25">
      <c r="P4884" s="27">
        <v>3.2548184716220556E-2</v>
      </c>
      <c r="Q4884" s="28">
        <f t="shared" si="80"/>
        <v>3.5548184716220559E-2</v>
      </c>
      <c r="R4884" s="33">
        <v>0.16282860775771735</v>
      </c>
      <c r="S4884" s="34">
        <v>4.9149999999999999E-2</v>
      </c>
    </row>
    <row r="4885" spans="16:19" x14ac:dyDescent="0.25">
      <c r="P4885" s="27">
        <v>3.2548184716220556E-2</v>
      </c>
      <c r="Q4885" s="28">
        <f t="shared" si="80"/>
        <v>3.5548184716220559E-2</v>
      </c>
      <c r="R4885" s="33">
        <v>0.16282860775771735</v>
      </c>
      <c r="S4885" s="34">
        <v>4.7009999999999996E-2</v>
      </c>
    </row>
    <row r="4886" spans="16:19" x14ac:dyDescent="0.25">
      <c r="P4886" s="27">
        <v>3.2548184716220556E-2</v>
      </c>
      <c r="Q4886" s="28">
        <f t="shared" si="80"/>
        <v>3.5548184716220559E-2</v>
      </c>
      <c r="R4886" s="33">
        <v>0.16282860775771735</v>
      </c>
      <c r="S4886" s="34">
        <v>4.7840000000000001E-2</v>
      </c>
    </row>
    <row r="4887" spans="16:19" x14ac:dyDescent="0.25">
      <c r="P4887" s="27">
        <v>3.2548184716220556E-2</v>
      </c>
      <c r="Q4887" s="28">
        <f t="shared" si="80"/>
        <v>3.5548184716220559E-2</v>
      </c>
      <c r="R4887" s="33">
        <v>0.16282860775771735</v>
      </c>
      <c r="S4887" s="34">
        <v>4.4569999999999999E-2</v>
      </c>
    </row>
    <row r="4888" spans="16:19" x14ac:dyDescent="0.25">
      <c r="P4888" s="27">
        <v>3.2548184716220556E-2</v>
      </c>
      <c r="Q4888" s="28">
        <f t="shared" si="80"/>
        <v>3.5548184716220559E-2</v>
      </c>
      <c r="R4888" s="33">
        <v>0.16282860775771735</v>
      </c>
      <c r="S4888" s="34">
        <v>4.4569999999999999E-2</v>
      </c>
    </row>
    <row r="4889" spans="16:19" x14ac:dyDescent="0.25">
      <c r="P4889" s="27">
        <v>3.2548184716220556E-2</v>
      </c>
      <c r="Q4889" s="28">
        <f t="shared" si="80"/>
        <v>3.5548184716220559E-2</v>
      </c>
      <c r="R4889" s="33">
        <v>0.16282860775771735</v>
      </c>
      <c r="S4889" s="34">
        <v>4.8545534000000001E-2</v>
      </c>
    </row>
    <row r="4890" spans="16:19" x14ac:dyDescent="0.25">
      <c r="P4890" s="27">
        <v>3.2548184716220556E-2</v>
      </c>
      <c r="Q4890" s="28">
        <f t="shared" si="80"/>
        <v>3.5548184716220559E-2</v>
      </c>
      <c r="R4890" s="33">
        <v>0.16282860775771735</v>
      </c>
      <c r="S4890" s="34">
        <v>5.1749999999999997E-2</v>
      </c>
    </row>
    <row r="4891" spans="16:19" x14ac:dyDescent="0.25">
      <c r="P4891" s="27">
        <v>3.2548184716220556E-2</v>
      </c>
      <c r="Q4891" s="28">
        <f t="shared" si="80"/>
        <v>3.5548184716220559E-2</v>
      </c>
      <c r="R4891" s="33">
        <v>0.16282860775771735</v>
      </c>
      <c r="S4891" s="34">
        <v>5.2990000000000002E-2</v>
      </c>
    </row>
    <row r="4892" spans="16:19" x14ac:dyDescent="0.25">
      <c r="P4892" s="27">
        <v>3.2548184716220556E-2</v>
      </c>
      <c r="Q4892" s="28">
        <f t="shared" si="80"/>
        <v>3.5548184716220559E-2</v>
      </c>
      <c r="R4892" s="33">
        <v>0.16282860775771735</v>
      </c>
      <c r="S4892" s="34">
        <v>4.999E-2</v>
      </c>
    </row>
    <row r="4893" spans="16:19" x14ac:dyDescent="0.25">
      <c r="P4893" s="27">
        <v>3.2548184716220556E-2</v>
      </c>
      <c r="Q4893" s="28">
        <f t="shared" si="80"/>
        <v>3.5548184716220559E-2</v>
      </c>
      <c r="R4893" s="33">
        <v>0.16282860775771735</v>
      </c>
      <c r="S4893" s="34">
        <v>4.999E-2</v>
      </c>
    </row>
    <row r="4894" spans="16:19" x14ac:dyDescent="0.25">
      <c r="P4894" s="27">
        <v>3.2548184716220556E-2</v>
      </c>
      <c r="Q4894" s="28">
        <f t="shared" si="80"/>
        <v>3.5548184716220559E-2</v>
      </c>
      <c r="R4894" s="33">
        <v>0.16282860775771735</v>
      </c>
      <c r="S4894" s="34">
        <v>5.0999999999999997E-2</v>
      </c>
    </row>
    <row r="4895" spans="16:19" x14ac:dyDescent="0.25">
      <c r="P4895" s="27">
        <v>3.2548184716220556E-2</v>
      </c>
      <c r="Q4895" s="28">
        <f t="shared" si="80"/>
        <v>3.5548184716220559E-2</v>
      </c>
      <c r="R4895" s="31">
        <v>0.15939660775771733</v>
      </c>
      <c r="S4895" s="32">
        <v>5.2517029999999999E-2</v>
      </c>
    </row>
    <row r="4896" spans="16:19" x14ac:dyDescent="0.25">
      <c r="P4896" s="27">
        <v>3.2548184716220556E-2</v>
      </c>
      <c r="Q4896" s="28">
        <f t="shared" si="80"/>
        <v>3.5548184716220559E-2</v>
      </c>
      <c r="R4896" s="31">
        <v>0.15939660775771733</v>
      </c>
      <c r="S4896" s="32">
        <v>5.7489999999999999E-2</v>
      </c>
    </row>
    <row r="4897" spans="16:19" x14ac:dyDescent="0.25">
      <c r="P4897" s="27">
        <v>3.2548184716220556E-2</v>
      </c>
      <c r="Q4897" s="28">
        <f t="shared" si="80"/>
        <v>3.5548184716220559E-2</v>
      </c>
      <c r="R4897" s="31">
        <v>0.15939660775771733</v>
      </c>
      <c r="S4897" s="32">
        <v>4.8549999999999996E-2</v>
      </c>
    </row>
    <row r="4898" spans="16:19" x14ac:dyDescent="0.25">
      <c r="P4898" s="27">
        <v>3.2548184716220556E-2</v>
      </c>
      <c r="Q4898" s="28">
        <f t="shared" si="80"/>
        <v>3.5548184716220559E-2</v>
      </c>
      <c r="R4898" s="31">
        <v>0.15939660775771733</v>
      </c>
      <c r="S4898" s="32">
        <v>4.9149999999999999E-2</v>
      </c>
    </row>
    <row r="4899" spans="16:19" x14ac:dyDescent="0.25">
      <c r="P4899" s="27">
        <v>3.2548184716220556E-2</v>
      </c>
      <c r="Q4899" s="28">
        <f t="shared" si="80"/>
        <v>3.5548184716220559E-2</v>
      </c>
      <c r="R4899" s="29">
        <v>0.15003660775771735</v>
      </c>
      <c r="S4899" s="30">
        <v>4.4539999999999996E-2</v>
      </c>
    </row>
    <row r="4900" spans="16:19" x14ac:dyDescent="0.25">
      <c r="P4900" s="27">
        <v>3.2548184716220556E-2</v>
      </c>
      <c r="Q4900" s="28">
        <f t="shared" si="80"/>
        <v>3.5548184716220559E-2</v>
      </c>
      <c r="R4900" s="29">
        <v>0.15003660775771735</v>
      </c>
      <c r="S4900" s="30">
        <v>4.0549999999999996E-2</v>
      </c>
    </row>
    <row r="4901" spans="16:19" x14ac:dyDescent="0.25">
      <c r="P4901" s="27">
        <v>3.2548184716220556E-2</v>
      </c>
      <c r="Q4901" s="28">
        <f t="shared" si="80"/>
        <v>3.5548184716220559E-2</v>
      </c>
      <c r="R4901" s="29">
        <v>0.15003660775771735</v>
      </c>
      <c r="S4901" s="30">
        <v>3.9939999999999996E-2</v>
      </c>
    </row>
    <row r="4902" spans="16:19" x14ac:dyDescent="0.25">
      <c r="P4902" s="27">
        <v>3.2548184716220556E-2</v>
      </c>
      <c r="Q4902" s="28">
        <f t="shared" si="80"/>
        <v>3.5548184716220559E-2</v>
      </c>
      <c r="R4902" s="29">
        <v>0.15003660775771735</v>
      </c>
      <c r="S4902" s="30">
        <v>3.9229999999999994E-2</v>
      </c>
    </row>
    <row r="4903" spans="16:19" x14ac:dyDescent="0.25">
      <c r="P4903" s="27">
        <v>3.2548184716220556E-2</v>
      </c>
      <c r="Q4903" s="28">
        <f t="shared" si="80"/>
        <v>3.5548184716220559E-2</v>
      </c>
      <c r="R4903" s="29">
        <v>0.15003660775771735</v>
      </c>
      <c r="S4903" s="30">
        <v>3.9149999999999997E-2</v>
      </c>
    </row>
    <row r="4904" spans="16:19" x14ac:dyDescent="0.25">
      <c r="P4904" s="27">
        <v>3.2548184716220556E-2</v>
      </c>
      <c r="Q4904" s="28">
        <f t="shared" si="80"/>
        <v>3.5548184716220559E-2</v>
      </c>
      <c r="R4904" s="29">
        <v>0.15003660775771735</v>
      </c>
      <c r="S4904" s="30">
        <v>3.9409999999999994E-2</v>
      </c>
    </row>
    <row r="4905" spans="16:19" x14ac:dyDescent="0.25">
      <c r="P4905" s="27">
        <v>3.2548184716220556E-2</v>
      </c>
      <c r="Q4905" s="28">
        <f t="shared" si="80"/>
        <v>3.5548184716220559E-2</v>
      </c>
      <c r="R4905" s="29">
        <v>0.15003660775771735</v>
      </c>
      <c r="S4905" s="30">
        <v>4.2630000000000001E-2</v>
      </c>
    </row>
    <row r="4906" spans="16:19" x14ac:dyDescent="0.25">
      <c r="P4906" s="27">
        <v>3.2548184716220556E-2</v>
      </c>
      <c r="Q4906" s="28">
        <f t="shared" si="80"/>
        <v>3.5548184716220559E-2</v>
      </c>
      <c r="R4906" s="29">
        <v>0.15003660775771735</v>
      </c>
      <c r="S4906" s="30">
        <v>4.4670000000000001E-2</v>
      </c>
    </row>
    <row r="4907" spans="16:19" x14ac:dyDescent="0.25">
      <c r="P4907" s="27">
        <v>3.2548184716220556E-2</v>
      </c>
      <c r="Q4907" s="28">
        <f t="shared" si="80"/>
        <v>3.5548184716220559E-2</v>
      </c>
      <c r="R4907" s="31">
        <v>0.15939660775771733</v>
      </c>
      <c r="S4907" s="32">
        <v>4.7960000000000003E-2</v>
      </c>
    </row>
    <row r="4908" spans="16:19" x14ac:dyDescent="0.25">
      <c r="P4908" s="27">
        <v>3.2548184716220556E-2</v>
      </c>
      <c r="Q4908" s="28">
        <f t="shared" si="80"/>
        <v>3.5548184716220559E-2</v>
      </c>
      <c r="R4908" s="33">
        <v>0.16282860775771735</v>
      </c>
      <c r="S4908" s="34">
        <v>4.999E-2</v>
      </c>
    </row>
    <row r="4909" spans="16:19" x14ac:dyDescent="0.25">
      <c r="P4909" s="27">
        <v>3.2548184716220556E-2</v>
      </c>
      <c r="Q4909" s="28">
        <f t="shared" si="80"/>
        <v>3.5548184716220559E-2</v>
      </c>
      <c r="R4909" s="33">
        <v>0.16282860775771735</v>
      </c>
      <c r="S4909" s="34">
        <v>4.999E-2</v>
      </c>
    </row>
    <row r="4910" spans="16:19" x14ac:dyDescent="0.25">
      <c r="P4910" s="27">
        <v>3.2548184716220556E-2</v>
      </c>
      <c r="Q4910" s="28">
        <f t="shared" si="80"/>
        <v>3.5548184716220559E-2</v>
      </c>
      <c r="R4910" s="33">
        <v>0.16282860775771735</v>
      </c>
      <c r="S4910" s="34">
        <v>5.1990000000000001E-2</v>
      </c>
    </row>
    <row r="4911" spans="16:19" x14ac:dyDescent="0.25">
      <c r="P4911" s="27">
        <v>3.2548184716220556E-2</v>
      </c>
      <c r="Q4911" s="28">
        <f t="shared" si="80"/>
        <v>3.5548184716220559E-2</v>
      </c>
      <c r="R4911" s="33">
        <v>0.16282860775771735</v>
      </c>
      <c r="S4911" s="34">
        <v>4.6850000000000003E-2</v>
      </c>
    </row>
    <row r="4912" spans="16:19" x14ac:dyDescent="0.25">
      <c r="P4912" s="27">
        <v>3.2548184716220556E-2</v>
      </c>
      <c r="Q4912" s="28">
        <f t="shared" si="80"/>
        <v>3.5548184716220559E-2</v>
      </c>
      <c r="R4912" s="33">
        <v>0.16282860775771735</v>
      </c>
      <c r="S4912" s="34">
        <v>4.6890000000000001E-2</v>
      </c>
    </row>
    <row r="4913" spans="16:19" x14ac:dyDescent="0.25">
      <c r="P4913" s="27">
        <v>3.2548184716220556E-2</v>
      </c>
      <c r="Q4913" s="28">
        <f t="shared" si="80"/>
        <v>3.5548184716220559E-2</v>
      </c>
      <c r="R4913" s="33">
        <v>0.16282860775771735</v>
      </c>
      <c r="S4913" s="34">
        <v>4.7549999999999995E-2</v>
      </c>
    </row>
    <row r="4914" spans="16:19" x14ac:dyDescent="0.25">
      <c r="P4914" s="27">
        <v>3.2548184716220556E-2</v>
      </c>
      <c r="Q4914" s="28">
        <f t="shared" si="80"/>
        <v>3.5548184716220559E-2</v>
      </c>
      <c r="R4914" s="33">
        <v>0.16282860775771735</v>
      </c>
      <c r="S4914" s="34">
        <v>4.7E-2</v>
      </c>
    </row>
    <row r="4915" spans="16:19" x14ac:dyDescent="0.25">
      <c r="P4915" s="27">
        <v>3.2548184716220556E-2</v>
      </c>
      <c r="Q4915" s="28">
        <f t="shared" si="80"/>
        <v>3.5548184716220559E-2</v>
      </c>
      <c r="R4915" s="33">
        <v>0.16282860775771735</v>
      </c>
      <c r="S4915" s="34">
        <v>4.7229999999999994E-2</v>
      </c>
    </row>
    <row r="4916" spans="16:19" x14ac:dyDescent="0.25">
      <c r="P4916" s="27">
        <v>3.2548184716220556E-2</v>
      </c>
      <c r="Q4916" s="28">
        <f t="shared" si="80"/>
        <v>3.5548184716220559E-2</v>
      </c>
      <c r="R4916" s="33">
        <v>0.16282860775771735</v>
      </c>
      <c r="S4916" s="34">
        <v>4.7E-2</v>
      </c>
    </row>
    <row r="4917" spans="16:19" x14ac:dyDescent="0.25">
      <c r="P4917" s="27">
        <v>3.2548184716220556E-2</v>
      </c>
      <c r="Q4917" s="28">
        <f t="shared" si="80"/>
        <v>3.5548184716220559E-2</v>
      </c>
      <c r="R4917" s="33">
        <v>0.16282860775771735</v>
      </c>
      <c r="S4917" s="34">
        <v>4.7020000000000006E-2</v>
      </c>
    </row>
    <row r="4918" spans="16:19" x14ac:dyDescent="0.25">
      <c r="P4918" s="27">
        <v>3.2548184716220556E-2</v>
      </c>
      <c r="Q4918" s="28">
        <f t="shared" si="80"/>
        <v>3.5548184716220559E-2</v>
      </c>
      <c r="R4918" s="33">
        <v>0.16282860775771735</v>
      </c>
      <c r="S4918" s="34">
        <v>4.7659999999999994E-2</v>
      </c>
    </row>
    <row r="4919" spans="16:19" x14ac:dyDescent="0.25">
      <c r="P4919" s="27">
        <v>3.2548184716220556E-2</v>
      </c>
      <c r="Q4919" s="28">
        <f t="shared" si="80"/>
        <v>3.5548184716220559E-2</v>
      </c>
      <c r="R4919" s="31">
        <v>0.15939660775771733</v>
      </c>
      <c r="S4919" s="32">
        <v>4.7840000000000001E-2</v>
      </c>
    </row>
    <row r="4920" spans="16:19" x14ac:dyDescent="0.25">
      <c r="P4920" s="27">
        <v>3.2548184716220556E-2</v>
      </c>
      <c r="Q4920" s="28">
        <f t="shared" si="80"/>
        <v>3.5548184716220559E-2</v>
      </c>
      <c r="R4920" s="31">
        <v>0.15939660775771733</v>
      </c>
      <c r="S4920" s="32">
        <v>4.9979999999999997E-2</v>
      </c>
    </row>
    <row r="4921" spans="16:19" x14ac:dyDescent="0.25">
      <c r="P4921" s="27">
        <v>3.2548184716220556E-2</v>
      </c>
      <c r="Q4921" s="28">
        <f t="shared" si="80"/>
        <v>3.5548184716220559E-2</v>
      </c>
      <c r="R4921" s="31">
        <v>0.15939660775771733</v>
      </c>
      <c r="S4921" s="32">
        <v>4.5569999999999999E-2</v>
      </c>
    </row>
    <row r="4922" spans="16:19" x14ac:dyDescent="0.25">
      <c r="P4922" s="27">
        <v>3.2548184716220556E-2</v>
      </c>
      <c r="Q4922" s="28">
        <f t="shared" si="80"/>
        <v>3.5548184716220559E-2</v>
      </c>
      <c r="R4922" s="31">
        <v>0.15939660775771733</v>
      </c>
      <c r="S4922" s="32">
        <v>4.2040000000000001E-2</v>
      </c>
    </row>
    <row r="4923" spans="16:19" x14ac:dyDescent="0.25">
      <c r="P4923" s="27">
        <v>3.2548184716220556E-2</v>
      </c>
      <c r="Q4923" s="28">
        <f t="shared" si="80"/>
        <v>3.5548184716220559E-2</v>
      </c>
      <c r="R4923" s="29">
        <v>0.15003660775771735</v>
      </c>
      <c r="S4923" s="30">
        <v>4.308E-2</v>
      </c>
    </row>
    <row r="4924" spans="16:19" x14ac:dyDescent="0.25">
      <c r="P4924" s="27">
        <v>3.2548184716220556E-2</v>
      </c>
      <c r="Q4924" s="28">
        <f t="shared" si="80"/>
        <v>3.5548184716220559E-2</v>
      </c>
      <c r="R4924" s="29">
        <v>0.15003660775771735</v>
      </c>
      <c r="S4924" s="30">
        <v>3.9939999999999996E-2</v>
      </c>
    </row>
    <row r="4925" spans="16:19" x14ac:dyDescent="0.25">
      <c r="P4925" s="27">
        <v>3.2548184716220556E-2</v>
      </c>
      <c r="Q4925" s="28">
        <f t="shared" si="80"/>
        <v>3.5548184716220559E-2</v>
      </c>
      <c r="R4925" s="29">
        <v>0.15003660775771735</v>
      </c>
      <c r="S4925" s="30">
        <v>3.9319195000000001E-2</v>
      </c>
    </row>
    <row r="4926" spans="16:19" x14ac:dyDescent="0.25">
      <c r="P4926" s="27">
        <v>3.2548184716220556E-2</v>
      </c>
      <c r="Q4926" s="28">
        <f t="shared" si="80"/>
        <v>3.5548184716220559E-2</v>
      </c>
      <c r="R4926" s="29">
        <v>0.15003660775771735</v>
      </c>
      <c r="S4926" s="30">
        <v>3.9E-2</v>
      </c>
    </row>
    <row r="4927" spans="16:19" x14ac:dyDescent="0.25">
      <c r="P4927" s="27">
        <v>3.2548184716220556E-2</v>
      </c>
      <c r="Q4927" s="28">
        <f t="shared" si="80"/>
        <v>3.5548184716220559E-2</v>
      </c>
      <c r="R4927" s="29">
        <v>0.15003660775771735</v>
      </c>
      <c r="S4927" s="30">
        <v>3.8759999999999996E-2</v>
      </c>
    </row>
    <row r="4928" spans="16:19" x14ac:dyDescent="0.25">
      <c r="P4928" s="27">
        <v>3.2548184716220556E-2</v>
      </c>
      <c r="Q4928" s="28">
        <f t="shared" si="80"/>
        <v>3.5548184716220559E-2</v>
      </c>
      <c r="R4928" s="29">
        <v>0.15003660775771735</v>
      </c>
      <c r="S4928" s="30">
        <v>3.9200000000000006E-2</v>
      </c>
    </row>
    <row r="4929" spans="16:19" x14ac:dyDescent="0.25">
      <c r="P4929" s="27">
        <v>3.2548184716220556E-2</v>
      </c>
      <c r="Q4929" s="28">
        <f t="shared" si="80"/>
        <v>3.5548184716220559E-2</v>
      </c>
      <c r="R4929" s="29">
        <v>0.15003660775771735</v>
      </c>
      <c r="S4929" s="30">
        <v>4.3229999999999998E-2</v>
      </c>
    </row>
    <row r="4930" spans="16:19" x14ac:dyDescent="0.25">
      <c r="P4930" s="27">
        <v>3.2548184716220556E-2</v>
      </c>
      <c r="Q4930" s="28">
        <f t="shared" si="80"/>
        <v>3.5548184716220559E-2</v>
      </c>
      <c r="R4930" s="29">
        <v>0.15003660775771735</v>
      </c>
      <c r="S4930" s="30">
        <v>4.4749999999999998E-2</v>
      </c>
    </row>
    <row r="4931" spans="16:19" x14ac:dyDescent="0.25">
      <c r="P4931" s="27">
        <v>3.2548184716220556E-2</v>
      </c>
      <c r="Q4931" s="28">
        <f t="shared" si="80"/>
        <v>3.5548184716220559E-2</v>
      </c>
      <c r="R4931" s="31">
        <v>0.15939660775771733</v>
      </c>
      <c r="S4931" s="32">
        <v>4.7630000000000006E-2</v>
      </c>
    </row>
    <row r="4932" spans="16:19" x14ac:dyDescent="0.25">
      <c r="P4932" s="27">
        <v>3.2548184716220556E-2</v>
      </c>
      <c r="Q4932" s="28">
        <f t="shared" si="80"/>
        <v>3.5548184716220559E-2</v>
      </c>
      <c r="R4932" s="33">
        <v>0.16282860775771735</v>
      </c>
      <c r="S4932" s="34">
        <v>4.7500000000000001E-2</v>
      </c>
    </row>
    <row r="4933" spans="16:19" x14ac:dyDescent="0.25">
      <c r="P4933" s="27">
        <v>3.2548184716220556E-2</v>
      </c>
      <c r="Q4933" s="28">
        <f t="shared" ref="Q4933:Q4996" si="81">P4933+0.003</f>
        <v>3.5548184716220559E-2</v>
      </c>
      <c r="R4933" s="33">
        <v>0.16282860775771735</v>
      </c>
      <c r="S4933" s="34">
        <v>4.7E-2</v>
      </c>
    </row>
    <row r="4934" spans="16:19" x14ac:dyDescent="0.25">
      <c r="P4934" s="27">
        <v>3.2548184716220556E-2</v>
      </c>
      <c r="Q4934" s="28">
        <f t="shared" si="81"/>
        <v>3.5548184716220559E-2</v>
      </c>
      <c r="R4934" s="33">
        <v>0.16282860775771735</v>
      </c>
      <c r="S4934" s="34">
        <v>4.675E-2</v>
      </c>
    </row>
    <row r="4935" spans="16:19" x14ac:dyDescent="0.25">
      <c r="P4935" s="27">
        <v>3.2548184716220556E-2</v>
      </c>
      <c r="Q4935" s="28">
        <f t="shared" si="81"/>
        <v>3.5548184716220559E-2</v>
      </c>
      <c r="R4935" s="33">
        <v>0.16282860775771735</v>
      </c>
      <c r="S4935" s="34">
        <v>4.301E-2</v>
      </c>
    </row>
    <row r="4936" spans="16:19" x14ac:dyDescent="0.25">
      <c r="P4936" s="27">
        <v>3.2548184716220556E-2</v>
      </c>
      <c r="Q4936" s="28">
        <f t="shared" si="81"/>
        <v>3.5548184716220559E-2</v>
      </c>
      <c r="R4936" s="33">
        <v>0.16282860775771735</v>
      </c>
      <c r="S4936" s="34">
        <v>4.301E-2</v>
      </c>
    </row>
    <row r="4937" spans="16:19" x14ac:dyDescent="0.25">
      <c r="P4937" s="27">
        <v>3.2548184716220556E-2</v>
      </c>
      <c r="Q4937" s="28">
        <f t="shared" si="81"/>
        <v>3.5548184716220559E-2</v>
      </c>
      <c r="R4937" s="33">
        <v>0.16282860775771735</v>
      </c>
      <c r="S4937" s="34">
        <v>4.4109999999999996E-2</v>
      </c>
    </row>
    <row r="4938" spans="16:19" x14ac:dyDescent="0.25">
      <c r="P4938" s="27">
        <v>3.2548184716220556E-2</v>
      </c>
      <c r="Q4938" s="28">
        <f t="shared" si="81"/>
        <v>3.5548184716220559E-2</v>
      </c>
      <c r="R4938" s="33">
        <v>0.16282860775771735</v>
      </c>
      <c r="S4938" s="34">
        <v>4.5999999999999999E-2</v>
      </c>
    </row>
    <row r="4939" spans="16:19" x14ac:dyDescent="0.25">
      <c r="P4939" s="27">
        <v>3.2548184716220556E-2</v>
      </c>
      <c r="Q4939" s="28">
        <f t="shared" si="81"/>
        <v>3.5548184716220559E-2</v>
      </c>
      <c r="R4939" s="33">
        <v>0.16282860775771735</v>
      </c>
      <c r="S4939" s="34">
        <v>4.6399999999999997E-2</v>
      </c>
    </row>
    <row r="4940" spans="16:19" x14ac:dyDescent="0.25">
      <c r="P4940" s="27">
        <v>3.2548184716220556E-2</v>
      </c>
      <c r="Q4940" s="28">
        <f t="shared" si="81"/>
        <v>3.5548184716220559E-2</v>
      </c>
      <c r="R4940" s="33">
        <v>0.16282860775771735</v>
      </c>
      <c r="S4940" s="34">
        <v>4.5999999999999999E-2</v>
      </c>
    </row>
    <row r="4941" spans="16:19" x14ac:dyDescent="0.25">
      <c r="P4941" s="27">
        <v>3.2548184716220556E-2</v>
      </c>
      <c r="Q4941" s="28">
        <f t="shared" si="81"/>
        <v>3.5548184716220559E-2</v>
      </c>
      <c r="R4941" s="33">
        <v>0.16282860775771735</v>
      </c>
      <c r="S4941" s="34">
        <v>4.6979999999999994E-2</v>
      </c>
    </row>
    <row r="4942" spans="16:19" x14ac:dyDescent="0.25">
      <c r="P4942" s="27">
        <v>3.2548184716220556E-2</v>
      </c>
      <c r="Q4942" s="28">
        <f t="shared" si="81"/>
        <v>3.5548184716220559E-2</v>
      </c>
      <c r="R4942" s="33">
        <v>0.16282860775771735</v>
      </c>
      <c r="S4942" s="34">
        <v>4.7080325999999999E-2</v>
      </c>
    </row>
    <row r="4943" spans="16:19" x14ac:dyDescent="0.25">
      <c r="P4943" s="27">
        <v>3.2548184716220556E-2</v>
      </c>
      <c r="Q4943" s="28">
        <f t="shared" si="81"/>
        <v>3.5548184716220559E-2</v>
      </c>
      <c r="R4943" s="31">
        <v>0.15939660775771733</v>
      </c>
      <c r="S4943" s="32">
        <v>4.7549999999999995E-2</v>
      </c>
    </row>
    <row r="4944" spans="16:19" x14ac:dyDescent="0.25">
      <c r="P4944" s="27">
        <v>3.2548184716220556E-2</v>
      </c>
      <c r="Q4944" s="28">
        <f t="shared" si="81"/>
        <v>3.5548184716220559E-2</v>
      </c>
      <c r="R4944" s="31">
        <v>0.15939660775771733</v>
      </c>
      <c r="S4944" s="32">
        <v>4.7759999999999997E-2</v>
      </c>
    </row>
    <row r="4945" spans="16:19" x14ac:dyDescent="0.25">
      <c r="P4945" s="27">
        <v>3.2548184716220556E-2</v>
      </c>
      <c r="Q4945" s="28">
        <f t="shared" si="81"/>
        <v>3.5548184716220559E-2</v>
      </c>
      <c r="R4945" s="31">
        <v>0.15939660775771733</v>
      </c>
      <c r="S4945" s="32">
        <v>4.4880000000000003E-2</v>
      </c>
    </row>
    <row r="4946" spans="16:19" x14ac:dyDescent="0.25">
      <c r="P4946" s="27">
        <v>3.2548184716220556E-2</v>
      </c>
      <c r="Q4946" s="28">
        <f t="shared" si="81"/>
        <v>3.5548184716220559E-2</v>
      </c>
      <c r="R4946" s="31">
        <v>0.15939660775771733</v>
      </c>
      <c r="S4946" s="32">
        <v>4.2999999999999997E-2</v>
      </c>
    </row>
    <row r="4947" spans="16:19" x14ac:dyDescent="0.25">
      <c r="P4947" s="27">
        <v>3.2548184716220556E-2</v>
      </c>
      <c r="Q4947" s="28">
        <f t="shared" si="81"/>
        <v>3.5548184716220559E-2</v>
      </c>
      <c r="R4947" s="29">
        <v>0.15003660775771735</v>
      </c>
      <c r="S4947" s="30">
        <v>4.65E-2</v>
      </c>
    </row>
    <row r="4948" spans="16:19" x14ac:dyDescent="0.25">
      <c r="P4948" s="27">
        <v>3.2548184716220556E-2</v>
      </c>
      <c r="Q4948" s="28">
        <f t="shared" si="81"/>
        <v>3.5548184716220559E-2</v>
      </c>
      <c r="R4948" s="29">
        <v>0.15003660775771735</v>
      </c>
      <c r="S4948" s="30">
        <v>4.1909999999999996E-2</v>
      </c>
    </row>
    <row r="4949" spans="16:19" x14ac:dyDescent="0.25">
      <c r="P4949" s="27">
        <v>3.2548184716220556E-2</v>
      </c>
      <c r="Q4949" s="28">
        <f t="shared" si="81"/>
        <v>3.5548184716220559E-2</v>
      </c>
      <c r="R4949" s="29">
        <v>0.15003660775771735</v>
      </c>
      <c r="S4949" s="30">
        <v>4.1009999999999998E-2</v>
      </c>
    </row>
    <row r="4950" spans="16:19" x14ac:dyDescent="0.25">
      <c r="P4950" s="27">
        <v>3.2548184716220556E-2</v>
      </c>
      <c r="Q4950" s="28">
        <f t="shared" si="81"/>
        <v>3.5548184716220559E-2</v>
      </c>
      <c r="R4950" s="29">
        <v>0.15003660775771735</v>
      </c>
      <c r="S4950" s="30">
        <v>4.1299999999999996E-2</v>
      </c>
    </row>
    <row r="4951" spans="16:19" x14ac:dyDescent="0.25">
      <c r="P4951" s="27">
        <v>3.2548184716220556E-2</v>
      </c>
      <c r="Q4951" s="28">
        <f t="shared" si="81"/>
        <v>3.5548184716220559E-2</v>
      </c>
      <c r="R4951" s="29">
        <v>0.15003660775771735</v>
      </c>
      <c r="S4951" s="30">
        <v>4.0390000000000002E-2</v>
      </c>
    </row>
    <row r="4952" spans="16:19" x14ac:dyDescent="0.25">
      <c r="P4952" s="27">
        <v>3.2548184716220556E-2</v>
      </c>
      <c r="Q4952" s="28">
        <f t="shared" si="81"/>
        <v>3.5548184716220559E-2</v>
      </c>
      <c r="R4952" s="29">
        <v>0.15003660775771735</v>
      </c>
      <c r="S4952" s="30">
        <v>4.0350000000000004E-2</v>
      </c>
    </row>
    <row r="4953" spans="16:19" x14ac:dyDescent="0.25">
      <c r="P4953" s="27">
        <v>3.2548184716220556E-2</v>
      </c>
      <c r="Q4953" s="28">
        <f t="shared" si="81"/>
        <v>3.5548184716220559E-2</v>
      </c>
      <c r="R4953" s="29">
        <v>0.15003660775771735</v>
      </c>
      <c r="S4953" s="30">
        <v>4.1489999999999999E-2</v>
      </c>
    </row>
    <row r="4954" spans="16:19" x14ac:dyDescent="0.25">
      <c r="P4954" s="27">
        <v>3.2548184716220556E-2</v>
      </c>
      <c r="Q4954" s="28">
        <f t="shared" si="81"/>
        <v>3.5548184716220559E-2</v>
      </c>
      <c r="R4954" s="29">
        <v>0.15003660775771735</v>
      </c>
      <c r="S4954" s="30">
        <v>4.4990000000000002E-2</v>
      </c>
    </row>
    <row r="4955" spans="16:19" x14ac:dyDescent="0.25">
      <c r="P4955" s="27">
        <v>3.2548184716220556E-2</v>
      </c>
      <c r="Q4955" s="28">
        <f t="shared" si="81"/>
        <v>3.5548184716220559E-2</v>
      </c>
      <c r="R4955" s="31">
        <v>0.15939660775771733</v>
      </c>
      <c r="S4955" s="32">
        <v>4.616E-2</v>
      </c>
    </row>
    <row r="4956" spans="16:19" x14ac:dyDescent="0.25">
      <c r="P4956" s="27">
        <v>3.2548184716220556E-2</v>
      </c>
      <c r="Q4956" s="28">
        <f t="shared" si="81"/>
        <v>3.5548184716220559E-2</v>
      </c>
      <c r="R4956" s="33">
        <v>0.16282860775771735</v>
      </c>
      <c r="S4956" s="34">
        <v>4.999E-2</v>
      </c>
    </row>
    <row r="4957" spans="16:19" x14ac:dyDescent="0.25">
      <c r="P4957" s="27">
        <v>3.2548184716220556E-2</v>
      </c>
      <c r="Q4957" s="28">
        <f t="shared" si="81"/>
        <v>3.5548184716220559E-2</v>
      </c>
      <c r="R4957" s="33">
        <v>0.16282860775771735</v>
      </c>
      <c r="S4957" s="34">
        <v>4.5999999999999999E-2</v>
      </c>
    </row>
    <row r="4958" spans="16:19" x14ac:dyDescent="0.25">
      <c r="P4958" s="27">
        <v>3.2548184716220556E-2</v>
      </c>
      <c r="Q4958" s="28">
        <f t="shared" si="81"/>
        <v>3.5548184716220559E-2</v>
      </c>
      <c r="R4958" s="33">
        <v>0.16282860775771735</v>
      </c>
      <c r="S4958" s="34">
        <v>4.4999999999999998E-2</v>
      </c>
    </row>
    <row r="4959" spans="16:19" x14ac:dyDescent="0.25">
      <c r="P4959" s="27">
        <v>3.2548184716220556E-2</v>
      </c>
      <c r="Q4959" s="28">
        <f t="shared" si="81"/>
        <v>3.5548184716220559E-2</v>
      </c>
      <c r="R4959" s="33">
        <v>0.16282860775771735</v>
      </c>
      <c r="S4959" s="34">
        <v>4.3999999999999997E-2</v>
      </c>
    </row>
    <row r="4960" spans="16:19" x14ac:dyDescent="0.25">
      <c r="P4960" s="27">
        <v>3.2548184716220556E-2</v>
      </c>
      <c r="Q4960" s="28">
        <f t="shared" si="81"/>
        <v>3.5548184716220559E-2</v>
      </c>
      <c r="R4960" s="33">
        <v>0.16282860775771735</v>
      </c>
      <c r="S4960" s="34">
        <v>4.0890000000000003E-2</v>
      </c>
    </row>
    <row r="4961" spans="16:19" x14ac:dyDescent="0.25">
      <c r="P4961" s="27">
        <v>3.2548184716220556E-2</v>
      </c>
      <c r="Q4961" s="28">
        <f t="shared" si="81"/>
        <v>3.5548184716220559E-2</v>
      </c>
      <c r="R4961" s="33">
        <v>0.16282860775771735</v>
      </c>
      <c r="S4961" s="34">
        <v>3.9979999999999995E-2</v>
      </c>
    </row>
    <row r="4962" spans="16:19" x14ac:dyDescent="0.25">
      <c r="P4962" s="27">
        <v>3.2548184716220556E-2</v>
      </c>
      <c r="Q4962" s="28">
        <f t="shared" si="81"/>
        <v>3.5548184716220559E-2</v>
      </c>
      <c r="R4962" s="33">
        <v>0.16282860775771735</v>
      </c>
      <c r="S4962" s="34">
        <v>4.02E-2</v>
      </c>
    </row>
    <row r="4963" spans="16:19" x14ac:dyDescent="0.25">
      <c r="P4963" s="27">
        <v>3.2548184716220556E-2</v>
      </c>
      <c r="Q4963" s="28">
        <f t="shared" si="81"/>
        <v>3.5548184716220559E-2</v>
      </c>
      <c r="R4963" s="33">
        <v>0.16282860775771735</v>
      </c>
      <c r="S4963" s="34">
        <v>3.9530000000000003E-2</v>
      </c>
    </row>
    <row r="4964" spans="16:19" x14ac:dyDescent="0.25">
      <c r="P4964" s="27">
        <v>3.2548184716220556E-2</v>
      </c>
      <c r="Q4964" s="28">
        <f t="shared" si="81"/>
        <v>3.5548184716220559E-2</v>
      </c>
      <c r="R4964" s="33">
        <v>0.16282860775771735</v>
      </c>
      <c r="S4964" s="34">
        <v>4.1140000000000003E-2</v>
      </c>
    </row>
    <row r="4965" spans="16:19" x14ac:dyDescent="0.25">
      <c r="P4965" s="27">
        <v>3.2548184716220556E-2</v>
      </c>
      <c r="Q4965" s="28">
        <f t="shared" si="81"/>
        <v>3.5548184716220559E-2</v>
      </c>
      <c r="R4965" s="33">
        <v>0.16282860775771735</v>
      </c>
      <c r="S4965" s="34">
        <v>4.299E-2</v>
      </c>
    </row>
    <row r="4966" spans="16:19" x14ac:dyDescent="0.25">
      <c r="P4966" s="27">
        <v>3.2548184716220556E-2</v>
      </c>
      <c r="Q4966" s="28">
        <f t="shared" si="81"/>
        <v>3.5548184716220559E-2</v>
      </c>
      <c r="R4966" s="33">
        <v>0.16282860775771735</v>
      </c>
      <c r="S4966" s="34">
        <v>4.4389999999999999E-2</v>
      </c>
    </row>
    <row r="4967" spans="16:19" x14ac:dyDescent="0.25">
      <c r="P4967" s="27">
        <v>3.2548184716220556E-2</v>
      </c>
      <c r="Q4967" s="28">
        <f t="shared" si="81"/>
        <v>3.5548184716220559E-2</v>
      </c>
      <c r="R4967" s="31">
        <v>0.15939660775771733</v>
      </c>
      <c r="S4967" s="32">
        <v>4.3840000000000004E-2</v>
      </c>
    </row>
    <row r="4968" spans="16:19" x14ac:dyDescent="0.25">
      <c r="P4968" s="27">
        <v>3.2548184716220556E-2</v>
      </c>
      <c r="Q4968" s="28">
        <f t="shared" si="81"/>
        <v>3.5548184716220559E-2</v>
      </c>
      <c r="R4968" s="31">
        <v>0.15939660775771733</v>
      </c>
      <c r="S4968" s="32">
        <v>4.3999999999999997E-2</v>
      </c>
    </row>
    <row r="4969" spans="16:19" x14ac:dyDescent="0.25">
      <c r="P4969" s="27">
        <v>3.2548184716220556E-2</v>
      </c>
      <c r="Q4969" s="28">
        <f t="shared" si="81"/>
        <v>3.5548184716220559E-2</v>
      </c>
      <c r="R4969" s="31">
        <v>0.15939660775771733</v>
      </c>
      <c r="S4969" s="32">
        <v>4.1489999999999999E-2</v>
      </c>
    </row>
    <row r="4970" spans="16:19" x14ac:dyDescent="0.25">
      <c r="P4970" s="27">
        <v>3.2548184716220556E-2</v>
      </c>
      <c r="Q4970" s="28">
        <f t="shared" si="81"/>
        <v>3.5548184716220559E-2</v>
      </c>
      <c r="R4970" s="31">
        <v>0.15939660775771733</v>
      </c>
      <c r="S4970" s="32">
        <v>4.1619999999999997E-2</v>
      </c>
    </row>
    <row r="4971" spans="16:19" x14ac:dyDescent="0.25">
      <c r="P4971" s="27">
        <v>3.2548184716220556E-2</v>
      </c>
      <c r="Q4971" s="28">
        <f t="shared" si="81"/>
        <v>3.5548184716220559E-2</v>
      </c>
      <c r="R4971" s="29">
        <v>0.15003660775771735</v>
      </c>
      <c r="S4971" s="30">
        <v>4.2430000000000002E-2</v>
      </c>
    </row>
    <row r="4972" spans="16:19" x14ac:dyDescent="0.25">
      <c r="P4972" s="27">
        <v>3.2548184716220556E-2</v>
      </c>
      <c r="Q4972" s="28">
        <f t="shared" si="81"/>
        <v>3.5548184716220559E-2</v>
      </c>
      <c r="R4972" s="29">
        <v>0.15003660775771735</v>
      </c>
      <c r="S4972" s="30">
        <v>4.113E-2</v>
      </c>
    </row>
    <row r="4973" spans="16:19" x14ac:dyDescent="0.25">
      <c r="P4973" s="27">
        <v>3.2548184716220556E-2</v>
      </c>
      <c r="Q4973" s="28">
        <f t="shared" si="81"/>
        <v>3.5548184716220559E-2</v>
      </c>
      <c r="R4973" s="29">
        <v>0.15003660775771735</v>
      </c>
      <c r="S4973" s="30">
        <v>4.0350000000000004E-2</v>
      </c>
    </row>
    <row r="4974" spans="16:19" x14ac:dyDescent="0.25">
      <c r="P4974" s="27">
        <v>3.2548184716220556E-2</v>
      </c>
      <c r="Q4974" s="28">
        <f t="shared" si="81"/>
        <v>3.5548184716220559E-2</v>
      </c>
      <c r="R4974" s="29">
        <v>0.15003660775771735</v>
      </c>
      <c r="S4974" s="30">
        <v>3.9200000000000006E-2</v>
      </c>
    </row>
    <row r="4975" spans="16:19" x14ac:dyDescent="0.25">
      <c r="P4975" s="27">
        <v>3.2548184716220556E-2</v>
      </c>
      <c r="Q4975" s="28">
        <f t="shared" si="81"/>
        <v>3.5548184716220559E-2</v>
      </c>
      <c r="R4975" s="29">
        <v>0.15003660775771735</v>
      </c>
      <c r="S4975" s="30">
        <v>3.7065544999999998E-2</v>
      </c>
    </row>
    <row r="4976" spans="16:19" x14ac:dyDescent="0.25">
      <c r="P4976" s="27">
        <v>3.2548184716220556E-2</v>
      </c>
      <c r="Q4976" s="28">
        <f t="shared" si="81"/>
        <v>3.5548184716220559E-2</v>
      </c>
      <c r="R4976" s="29">
        <v>0.15003660775771735</v>
      </c>
      <c r="S4976" s="30">
        <v>3.6479999999999999E-2</v>
      </c>
    </row>
    <row r="4977" spans="16:19" x14ac:dyDescent="0.25">
      <c r="P4977" s="27">
        <v>3.2548184716220556E-2</v>
      </c>
      <c r="Q4977" s="28">
        <f t="shared" si="81"/>
        <v>3.5548184716220559E-2</v>
      </c>
      <c r="R4977" s="29">
        <v>0.15003660775771735</v>
      </c>
      <c r="S4977" s="30">
        <v>3.175E-2</v>
      </c>
    </row>
    <row r="4978" spans="16:19" x14ac:dyDescent="0.25">
      <c r="P4978" s="27">
        <v>3.2548184716220556E-2</v>
      </c>
      <c r="Q4978" s="28">
        <f t="shared" si="81"/>
        <v>3.5548184716220559E-2</v>
      </c>
      <c r="R4978" s="29">
        <v>0.15003660775771735</v>
      </c>
      <c r="S4978" s="30">
        <v>3.3516789999999998E-2</v>
      </c>
    </row>
    <row r="4979" spans="16:19" x14ac:dyDescent="0.25">
      <c r="P4979" s="27">
        <v>3.2548184716220556E-2</v>
      </c>
      <c r="Q4979" s="28">
        <f t="shared" si="81"/>
        <v>3.5548184716220559E-2</v>
      </c>
      <c r="R4979" s="31">
        <v>0.15939660775771733</v>
      </c>
      <c r="S4979" s="32">
        <v>3.3399999999999999E-2</v>
      </c>
    </row>
    <row r="4980" spans="16:19" x14ac:dyDescent="0.25">
      <c r="P4980" s="27">
        <v>3.2548184716220556E-2</v>
      </c>
      <c r="Q4980" s="28">
        <f t="shared" si="81"/>
        <v>3.5548184716220559E-2</v>
      </c>
      <c r="R4980" s="33">
        <v>0.16282860775771735</v>
      </c>
      <c r="S4980" s="34">
        <v>3.4279999999999998E-2</v>
      </c>
    </row>
    <row r="4981" spans="16:19" x14ac:dyDescent="0.25">
      <c r="P4981" s="27">
        <v>3.2548184716220556E-2</v>
      </c>
      <c r="Q4981" s="28">
        <f t="shared" si="81"/>
        <v>3.5548184716220559E-2</v>
      </c>
      <c r="R4981" s="33">
        <v>0.16282860775771735</v>
      </c>
      <c r="S4981" s="34">
        <v>3.3890000000000003E-2</v>
      </c>
    </row>
    <row r="4982" spans="16:19" x14ac:dyDescent="0.25">
      <c r="P4982" s="27">
        <v>3.2548184716220556E-2</v>
      </c>
      <c r="Q4982" s="28">
        <f t="shared" si="81"/>
        <v>3.5548184716220559E-2</v>
      </c>
      <c r="R4982" s="33">
        <v>0.16282860775771735</v>
      </c>
      <c r="S4982" s="34">
        <v>0.03</v>
      </c>
    </row>
    <row r="4983" spans="16:19" x14ac:dyDescent="0.25">
      <c r="P4983" s="27">
        <v>3.2548184716220556E-2</v>
      </c>
      <c r="Q4983" s="28">
        <f t="shared" si="81"/>
        <v>3.5548184716220559E-2</v>
      </c>
      <c r="R4983" s="33">
        <v>0.16282860775771735</v>
      </c>
      <c r="S4983" s="34">
        <v>2.8910000000000002E-2</v>
      </c>
    </row>
    <row r="4984" spans="16:19" x14ac:dyDescent="0.25">
      <c r="P4984" s="27">
        <v>3.2548184716220556E-2</v>
      </c>
      <c r="Q4984" s="28">
        <f t="shared" si="81"/>
        <v>3.5548184716220559E-2</v>
      </c>
      <c r="R4984" s="33">
        <v>0.16282860775771735</v>
      </c>
      <c r="S4984" s="34">
        <v>2.4E-2</v>
      </c>
    </row>
    <row r="4985" spans="16:19" x14ac:dyDescent="0.25">
      <c r="P4985" s="27">
        <v>3.2548184716220556E-2</v>
      </c>
      <c r="Q4985" s="28">
        <f t="shared" si="81"/>
        <v>3.5548184716220559E-2</v>
      </c>
      <c r="R4985" s="33">
        <v>0.16282860775771735</v>
      </c>
      <c r="S4985" s="34">
        <v>2.23E-2</v>
      </c>
    </row>
    <row r="4986" spans="16:19" x14ac:dyDescent="0.25">
      <c r="P4986" s="27">
        <v>3.2548184716220556E-2</v>
      </c>
      <c r="Q4986" s="28">
        <f t="shared" si="81"/>
        <v>3.5548184716220559E-2</v>
      </c>
      <c r="R4986" s="33">
        <v>0.16282860775771735</v>
      </c>
      <c r="S4986" s="34">
        <v>2.2923941E-2</v>
      </c>
    </row>
    <row r="4987" spans="16:19" x14ac:dyDescent="0.25">
      <c r="P4987" s="27">
        <v>3.2548184716220556E-2</v>
      </c>
      <c r="Q4987" s="28">
        <f t="shared" si="81"/>
        <v>3.5548184716220559E-2</v>
      </c>
      <c r="R4987" s="33">
        <v>0.16282860775771735</v>
      </c>
      <c r="S4987" s="34">
        <v>2.8516335E-2</v>
      </c>
    </row>
    <row r="4988" spans="16:19" x14ac:dyDescent="0.25">
      <c r="P4988" s="27">
        <v>3.2548184716220556E-2</v>
      </c>
      <c r="Q4988" s="28">
        <f t="shared" si="81"/>
        <v>3.5548184716220559E-2</v>
      </c>
      <c r="R4988" s="33">
        <v>0.16282860775771735</v>
      </c>
      <c r="S4988" s="34">
        <v>3.3640000000000003E-2</v>
      </c>
    </row>
    <row r="4989" spans="16:19" x14ac:dyDescent="0.25">
      <c r="P4989" s="27">
        <v>3.2548184716220556E-2</v>
      </c>
      <c r="Q4989" s="28">
        <f t="shared" si="81"/>
        <v>3.5548184716220559E-2</v>
      </c>
      <c r="R4989" s="33">
        <v>0.16282860775771735</v>
      </c>
      <c r="S4989" s="34">
        <v>3.6060000000000002E-2</v>
      </c>
    </row>
    <row r="4990" spans="16:19" x14ac:dyDescent="0.25">
      <c r="P4990" s="27">
        <v>3.2548184716220556E-2</v>
      </c>
      <c r="Q4990" s="28">
        <f t="shared" si="81"/>
        <v>3.5548184716220559E-2</v>
      </c>
      <c r="R4990" s="33">
        <v>0.16282860775771735</v>
      </c>
      <c r="S4990" s="34">
        <v>4.258E-2</v>
      </c>
    </row>
    <row r="4991" spans="16:19" x14ac:dyDescent="0.25">
      <c r="P4991" s="27">
        <v>3.2548184716220556E-2</v>
      </c>
      <c r="Q4991" s="28">
        <f t="shared" si="81"/>
        <v>3.5548184716220559E-2</v>
      </c>
      <c r="R4991" s="31">
        <v>0.15939660775771733</v>
      </c>
      <c r="S4991" s="32">
        <v>4.4899999999999995E-2</v>
      </c>
    </row>
    <row r="4992" spans="16:19" x14ac:dyDescent="0.25">
      <c r="P4992" s="27">
        <v>3.2548184716220556E-2</v>
      </c>
      <c r="Q4992" s="28">
        <f t="shared" si="81"/>
        <v>3.5548184716220559E-2</v>
      </c>
      <c r="R4992" s="31">
        <v>0.15939660775771733</v>
      </c>
      <c r="S4992" s="32">
        <v>4.5020000000000004E-2</v>
      </c>
    </row>
    <row r="4993" spans="16:19" x14ac:dyDescent="0.25">
      <c r="P4993" s="27">
        <v>3.2548184716220556E-2</v>
      </c>
      <c r="Q4993" s="28">
        <f t="shared" si="81"/>
        <v>3.5548184716220559E-2</v>
      </c>
      <c r="R4993" s="31">
        <v>0.15939660775771733</v>
      </c>
      <c r="S4993" s="32">
        <v>4.231E-2</v>
      </c>
    </row>
    <row r="4994" spans="16:19" x14ac:dyDescent="0.25">
      <c r="P4994" s="27">
        <v>3.2548184716220556E-2</v>
      </c>
      <c r="Q4994" s="28">
        <f t="shared" si="81"/>
        <v>3.5548184716220559E-2</v>
      </c>
      <c r="R4994" s="31">
        <v>0.15939660775771733</v>
      </c>
      <c r="S4994" s="32">
        <v>4.2099999999999999E-2</v>
      </c>
    </row>
    <row r="4995" spans="16:19" x14ac:dyDescent="0.25">
      <c r="P4995" s="27">
        <v>3.2548184716220556E-2</v>
      </c>
      <c r="Q4995" s="28">
        <f t="shared" si="81"/>
        <v>3.5548184716220559E-2</v>
      </c>
      <c r="R4995" s="29">
        <v>0.15003660775771735</v>
      </c>
      <c r="S4995" s="30">
        <v>4.4109999999999996E-2</v>
      </c>
    </row>
    <row r="4996" spans="16:19" x14ac:dyDescent="0.25">
      <c r="P4996" s="27">
        <v>3.2548184716220556E-2</v>
      </c>
      <c r="Q4996" s="28">
        <f t="shared" si="81"/>
        <v>3.5548184716220559E-2</v>
      </c>
      <c r="R4996" s="29">
        <v>0.15003660775771735</v>
      </c>
      <c r="S4996" s="30">
        <v>4.0479999999999995E-2</v>
      </c>
    </row>
    <row r="4997" spans="16:19" x14ac:dyDescent="0.25">
      <c r="P4997" s="27">
        <v>3.2548184716220556E-2</v>
      </c>
      <c r="Q4997" s="28">
        <f t="shared" ref="Q4997:Q5060" si="82">P4997+0.003</f>
        <v>3.5548184716220559E-2</v>
      </c>
      <c r="R4997" s="29">
        <v>0.15003660775771735</v>
      </c>
      <c r="S4997" s="30">
        <v>4.0350000000000004E-2</v>
      </c>
    </row>
    <row r="4998" spans="16:19" x14ac:dyDescent="0.25">
      <c r="P4998" s="27">
        <v>3.2548184716220556E-2</v>
      </c>
      <c r="Q4998" s="28">
        <f t="shared" si="82"/>
        <v>3.5548184716220559E-2</v>
      </c>
      <c r="R4998" s="29">
        <v>0.15003660775771735</v>
      </c>
      <c r="S4998" s="30">
        <v>3.9949999999999999E-2</v>
      </c>
    </row>
    <row r="4999" spans="16:19" x14ac:dyDescent="0.25">
      <c r="P4999" s="27">
        <v>3.2548184716220556E-2</v>
      </c>
      <c r="Q4999" s="28">
        <f t="shared" si="82"/>
        <v>3.5548184716220559E-2</v>
      </c>
      <c r="R4999" s="29">
        <v>0.15003660775771735</v>
      </c>
      <c r="S4999" s="30">
        <v>3.9490000000000004E-2</v>
      </c>
    </row>
    <row r="5000" spans="16:19" x14ac:dyDescent="0.25">
      <c r="P5000" s="27">
        <v>3.2548184716220556E-2</v>
      </c>
      <c r="Q5000" s="28">
        <f t="shared" si="82"/>
        <v>3.5548184716220559E-2</v>
      </c>
      <c r="R5000" s="29">
        <v>0.15003660775771735</v>
      </c>
      <c r="S5000" s="30">
        <v>4.0989999999999999E-2</v>
      </c>
    </row>
    <row r="5001" spans="16:19" x14ac:dyDescent="0.25">
      <c r="P5001" s="27">
        <v>3.2548184716220556E-2</v>
      </c>
      <c r="Q5001" s="28">
        <f t="shared" si="82"/>
        <v>3.5548184716220559E-2</v>
      </c>
      <c r="R5001" s="29">
        <v>0.15003660775771735</v>
      </c>
      <c r="S5001" s="30">
        <v>4.0549999999999996E-2</v>
      </c>
    </row>
    <row r="5002" spans="16:19" x14ac:dyDescent="0.25">
      <c r="P5002" s="27">
        <v>3.2548184716220556E-2</v>
      </c>
      <c r="Q5002" s="28">
        <f t="shared" si="82"/>
        <v>3.5548184716220559E-2</v>
      </c>
      <c r="R5002" s="29">
        <v>0.15003660775771735</v>
      </c>
      <c r="S5002" s="30">
        <v>4.6767692E-2</v>
      </c>
    </row>
    <row r="5003" spans="16:19" x14ac:dyDescent="0.25">
      <c r="P5003" s="27">
        <v>3.2548184716220556E-2</v>
      </c>
      <c r="Q5003" s="28">
        <f t="shared" si="82"/>
        <v>3.5548184716220559E-2</v>
      </c>
      <c r="R5003" s="31">
        <v>0.15939999999999999</v>
      </c>
      <c r="S5003" s="32">
        <v>5.6439999999999997E-2</v>
      </c>
    </row>
    <row r="5004" spans="16:19" x14ac:dyDescent="0.25">
      <c r="P5004" s="27">
        <v>3.2548184716220556E-2</v>
      </c>
      <c r="Q5004" s="28">
        <f t="shared" si="82"/>
        <v>3.5548184716220559E-2</v>
      </c>
      <c r="R5004" s="31">
        <v>0.15939999999999999</v>
      </c>
      <c r="S5004" s="32">
        <v>5.5750000000000001E-2</v>
      </c>
    </row>
    <row r="5005" spans="16:19" x14ac:dyDescent="0.25">
      <c r="P5005" s="27">
        <v>3.2548184716220556E-2</v>
      </c>
      <c r="Q5005" s="28">
        <f t="shared" si="82"/>
        <v>3.5548184716220559E-2</v>
      </c>
      <c r="R5005" s="31">
        <v>0.15939999999999999</v>
      </c>
      <c r="S5005" s="32">
        <v>4.9119999999999997E-2</v>
      </c>
    </row>
    <row r="5006" spans="16:19" x14ac:dyDescent="0.25">
      <c r="P5006" s="27">
        <v>3.2548184716220556E-2</v>
      </c>
      <c r="Q5006" s="28">
        <f t="shared" si="82"/>
        <v>3.5548184716220559E-2</v>
      </c>
      <c r="R5006" s="31">
        <v>0.15939999999999999</v>
      </c>
      <c r="S5006" s="32">
        <v>4.9090000000000002E-2</v>
      </c>
    </row>
    <row r="5007" spans="16:19" x14ac:dyDescent="0.25">
      <c r="P5007" s="27">
        <v>3.2548184716220556E-2</v>
      </c>
      <c r="Q5007" s="28">
        <f t="shared" si="82"/>
        <v>3.5548184716220559E-2</v>
      </c>
      <c r="R5007" s="31">
        <v>0.15939999999999999</v>
      </c>
      <c r="S5007" s="32">
        <v>4.4549999999999999E-2</v>
      </c>
    </row>
    <row r="5008" spans="16:19" x14ac:dyDescent="0.25">
      <c r="P5008" s="27">
        <v>3.2548184716220556E-2</v>
      </c>
      <c r="Q5008" s="28">
        <f t="shared" si="82"/>
        <v>3.5548184716220559E-2</v>
      </c>
      <c r="R5008" s="31">
        <v>0.15939999999999999</v>
      </c>
      <c r="S5008" s="32">
        <v>4.4670000000000001E-2</v>
      </c>
    </row>
    <row r="5009" spans="16:19" x14ac:dyDescent="0.25">
      <c r="P5009" s="27">
        <v>3.2548184716220556E-2</v>
      </c>
      <c r="Q5009" s="28">
        <f t="shared" si="82"/>
        <v>3.5548184716220559E-2</v>
      </c>
      <c r="R5009" s="31">
        <v>0.15939999999999999</v>
      </c>
      <c r="S5009" s="32">
        <v>4.6850000000000003E-2</v>
      </c>
    </row>
    <row r="5010" spans="16:19" x14ac:dyDescent="0.25">
      <c r="P5010" s="27">
        <v>3.2548184716220556E-2</v>
      </c>
      <c r="Q5010" s="28">
        <f t="shared" si="82"/>
        <v>3.5548184716220559E-2</v>
      </c>
      <c r="R5010" s="31">
        <v>0.15939999999999999</v>
      </c>
      <c r="S5010" s="32">
        <v>4.999E-2</v>
      </c>
    </row>
    <row r="5011" spans="16:19" x14ac:dyDescent="0.25">
      <c r="P5011" s="27">
        <v>3.2548184716220556E-2</v>
      </c>
      <c r="Q5011" s="28">
        <f t="shared" si="82"/>
        <v>3.5548184716220559E-2</v>
      </c>
      <c r="R5011" s="31">
        <v>0.15939999999999999</v>
      </c>
      <c r="S5011" s="32">
        <v>4.8909999999999995E-2</v>
      </c>
    </row>
    <row r="5012" spans="16:19" x14ac:dyDescent="0.25">
      <c r="P5012" s="27">
        <v>3.2548184716220556E-2</v>
      </c>
      <c r="Q5012" s="28">
        <f t="shared" si="82"/>
        <v>3.5548184716220559E-2</v>
      </c>
      <c r="R5012" s="31">
        <v>0.15939999999999999</v>
      </c>
      <c r="S5012" s="32">
        <v>4.7E-2</v>
      </c>
    </row>
    <row r="5013" spans="16:19" x14ac:dyDescent="0.25">
      <c r="P5013" s="27">
        <v>3.2548184716220556E-2</v>
      </c>
      <c r="Q5013" s="28">
        <f t="shared" si="82"/>
        <v>3.5548184716220559E-2</v>
      </c>
      <c r="R5013" s="31">
        <v>0.15939999999999999</v>
      </c>
      <c r="S5013" s="32">
        <v>4.7960000000000003E-2</v>
      </c>
    </row>
    <row r="5014" spans="16:19" x14ac:dyDescent="0.25">
      <c r="P5014" s="27">
        <v>3.2548184716220556E-2</v>
      </c>
      <c r="Q5014" s="28">
        <f t="shared" si="82"/>
        <v>3.5548184716220559E-2</v>
      </c>
      <c r="R5014" s="31">
        <v>0.15939999999999999</v>
      </c>
      <c r="S5014" s="32">
        <v>4.829E-2</v>
      </c>
    </row>
    <row r="5015" spans="16:19" x14ac:dyDescent="0.25">
      <c r="P5015" s="27">
        <v>3.2548184716220556E-2</v>
      </c>
      <c r="Q5015" s="28">
        <f t="shared" si="82"/>
        <v>3.5548184716220559E-2</v>
      </c>
      <c r="R5015" s="31">
        <v>0.15939999999999999</v>
      </c>
      <c r="S5015" s="32">
        <v>4.8310000000000006E-2</v>
      </c>
    </row>
    <row r="5016" spans="16:19" x14ac:dyDescent="0.25">
      <c r="P5016" s="27">
        <v>3.2548184716220556E-2</v>
      </c>
      <c r="Q5016" s="28">
        <f t="shared" si="82"/>
        <v>3.5548184716220559E-2</v>
      </c>
      <c r="R5016" s="31">
        <v>0.15939999999999999</v>
      </c>
      <c r="S5016" s="32">
        <v>4.8409999999999995E-2</v>
      </c>
    </row>
    <row r="5017" spans="16:19" x14ac:dyDescent="0.25">
      <c r="P5017" s="27">
        <v>3.2548184716220556E-2</v>
      </c>
      <c r="Q5017" s="28">
        <f t="shared" si="82"/>
        <v>3.5548184716220559E-2</v>
      </c>
      <c r="R5017" s="31">
        <v>0.15939999999999999</v>
      </c>
      <c r="S5017" s="32">
        <v>4.505E-2</v>
      </c>
    </row>
    <row r="5018" spans="16:19" x14ac:dyDescent="0.25">
      <c r="P5018" s="27">
        <v>3.2548184716220556E-2</v>
      </c>
      <c r="Q5018" s="28">
        <f t="shared" si="82"/>
        <v>3.5548184716220559E-2</v>
      </c>
      <c r="R5018" s="31">
        <v>0.15939999999999999</v>
      </c>
      <c r="S5018" s="32">
        <v>4.4999999999999998E-2</v>
      </c>
    </row>
    <row r="5019" spans="16:19" x14ac:dyDescent="0.25">
      <c r="P5019" s="27">
        <v>3.2548184716220556E-2</v>
      </c>
      <c r="Q5019" s="28">
        <f t="shared" si="82"/>
        <v>3.5548184716220559E-2</v>
      </c>
      <c r="R5019" s="29">
        <v>0.15</v>
      </c>
      <c r="S5019" s="30">
        <v>4.4299999999999999E-2</v>
      </c>
    </row>
    <row r="5020" spans="16:19" x14ac:dyDescent="0.25">
      <c r="P5020" s="27">
        <v>3.2548184716220556E-2</v>
      </c>
      <c r="Q5020" s="28">
        <f t="shared" si="82"/>
        <v>3.5548184716220559E-2</v>
      </c>
      <c r="R5020" s="29">
        <v>0.15</v>
      </c>
      <c r="S5020" s="30">
        <v>4.045E-2</v>
      </c>
    </row>
    <row r="5021" spans="16:19" x14ac:dyDescent="0.25">
      <c r="P5021" s="27">
        <v>3.2548184716220556E-2</v>
      </c>
      <c r="Q5021" s="28">
        <f t="shared" si="82"/>
        <v>3.5548184716220559E-2</v>
      </c>
      <c r="R5021" s="29">
        <v>0.15</v>
      </c>
      <c r="S5021" s="30">
        <v>3.8539999999999998E-2</v>
      </c>
    </row>
    <row r="5022" spans="16:19" x14ac:dyDescent="0.25">
      <c r="P5022" s="27">
        <v>3.2548184716220556E-2</v>
      </c>
      <c r="Q5022" s="28">
        <f t="shared" si="82"/>
        <v>3.5548184716220559E-2</v>
      </c>
      <c r="R5022" s="29">
        <v>0.15</v>
      </c>
      <c r="S5022" s="30">
        <v>3.8490000000000003E-2</v>
      </c>
    </row>
    <row r="5023" spans="16:19" x14ac:dyDescent="0.25">
      <c r="P5023" s="27">
        <v>3.2548184716220556E-2</v>
      </c>
      <c r="Q5023" s="28">
        <f t="shared" si="82"/>
        <v>3.5548184716220559E-2</v>
      </c>
      <c r="R5023" s="29">
        <v>0.15</v>
      </c>
      <c r="S5023" s="30">
        <v>3.8490000000000003E-2</v>
      </c>
    </row>
    <row r="5024" spans="16:19" x14ac:dyDescent="0.25">
      <c r="P5024" s="27">
        <v>3.2548184716220556E-2</v>
      </c>
      <c r="Q5024" s="28">
        <f t="shared" si="82"/>
        <v>3.5548184716220559E-2</v>
      </c>
      <c r="R5024" s="29">
        <v>0.15</v>
      </c>
      <c r="S5024" s="30">
        <v>0.04</v>
      </c>
    </row>
    <row r="5025" spans="16:19" x14ac:dyDescent="0.25">
      <c r="P5025" s="27">
        <v>3.2548184716220556E-2</v>
      </c>
      <c r="Q5025" s="28">
        <f t="shared" si="82"/>
        <v>3.5548184716220559E-2</v>
      </c>
      <c r="R5025" s="29">
        <v>0.15</v>
      </c>
      <c r="S5025" s="30">
        <v>4.1489999999999999E-2</v>
      </c>
    </row>
    <row r="5026" spans="16:19" x14ac:dyDescent="0.25">
      <c r="P5026" s="27">
        <v>3.2548184716220556E-2</v>
      </c>
      <c r="Q5026" s="28">
        <f t="shared" si="82"/>
        <v>3.5548184716220559E-2</v>
      </c>
      <c r="R5026" s="29">
        <v>0.15</v>
      </c>
      <c r="S5026" s="30">
        <v>4.512E-2</v>
      </c>
    </row>
    <row r="5027" spans="16:19" x14ac:dyDescent="0.25">
      <c r="P5027" s="27">
        <v>3.2548184716220556E-2</v>
      </c>
      <c r="Q5027" s="28">
        <f t="shared" si="82"/>
        <v>3.5548184716220559E-2</v>
      </c>
      <c r="R5027" s="29">
        <v>0.15</v>
      </c>
      <c r="S5027" s="30">
        <v>4.9890000000000004E-2</v>
      </c>
    </row>
    <row r="5028" spans="16:19" x14ac:dyDescent="0.25">
      <c r="P5028" s="27">
        <v>3.2548184716220556E-2</v>
      </c>
      <c r="Q5028" s="28">
        <f t="shared" si="82"/>
        <v>3.5548184716220559E-2</v>
      </c>
      <c r="R5028" s="29">
        <v>0.15</v>
      </c>
      <c r="S5028" s="30">
        <v>5.5E-2</v>
      </c>
    </row>
    <row r="5029" spans="16:19" x14ac:dyDescent="0.25">
      <c r="P5029" s="27">
        <v>3.2548184716220556E-2</v>
      </c>
      <c r="Q5029" s="28">
        <f t="shared" si="82"/>
        <v>3.5548184716220559E-2</v>
      </c>
      <c r="R5029" s="29">
        <v>0.15</v>
      </c>
      <c r="S5029" s="30">
        <v>5.3579999999999996E-2</v>
      </c>
    </row>
    <row r="5030" spans="16:19" x14ac:dyDescent="0.25">
      <c r="P5030" s="27">
        <v>3.2548184716220556E-2</v>
      </c>
      <c r="Q5030" s="28">
        <f t="shared" si="82"/>
        <v>3.5548184716220559E-2</v>
      </c>
      <c r="R5030" s="29">
        <v>0.15</v>
      </c>
      <c r="S5030" s="30">
        <v>0.05</v>
      </c>
    </row>
    <row r="5031" spans="16:19" x14ac:dyDescent="0.25">
      <c r="P5031" s="27">
        <v>3.2548184716220556E-2</v>
      </c>
      <c r="Q5031" s="28">
        <f t="shared" si="82"/>
        <v>3.5548184716220559E-2</v>
      </c>
      <c r="R5031" s="29">
        <v>0.15</v>
      </c>
      <c r="S5031" s="30">
        <v>4.65E-2</v>
      </c>
    </row>
    <row r="5032" spans="16:19" x14ac:dyDescent="0.25">
      <c r="P5032" s="27">
        <v>3.2548184716220556E-2</v>
      </c>
      <c r="Q5032" s="28">
        <f t="shared" si="82"/>
        <v>3.5548184716220559E-2</v>
      </c>
      <c r="R5032" s="29">
        <v>0.15</v>
      </c>
      <c r="S5032" s="30">
        <v>4.616E-2</v>
      </c>
    </row>
    <row r="5033" spans="16:19" x14ac:dyDescent="0.25">
      <c r="P5033" s="27">
        <v>3.2548184716220556E-2</v>
      </c>
      <c r="Q5033" s="28">
        <f t="shared" si="82"/>
        <v>3.5548184716220559E-2</v>
      </c>
      <c r="R5033" s="29">
        <v>0.15</v>
      </c>
      <c r="S5033" s="30">
        <v>4.725E-2</v>
      </c>
    </row>
    <row r="5034" spans="16:19" x14ac:dyDescent="0.25">
      <c r="P5034" s="27">
        <v>3.2548184716220556E-2</v>
      </c>
      <c r="Q5034" s="28">
        <f t="shared" si="82"/>
        <v>3.5548184716220559E-2</v>
      </c>
      <c r="R5034" s="29">
        <v>0.15</v>
      </c>
      <c r="S5034" s="30">
        <v>4.8939999999999997E-2</v>
      </c>
    </row>
    <row r="5035" spans="16:19" x14ac:dyDescent="0.25">
      <c r="P5035" s="27">
        <v>3.2548184716220556E-2</v>
      </c>
      <c r="Q5035" s="28">
        <f t="shared" si="82"/>
        <v>3.5548184716220559E-2</v>
      </c>
      <c r="R5035" s="29">
        <v>0.15</v>
      </c>
      <c r="S5035" s="30">
        <v>4.8600000000000004E-2</v>
      </c>
    </row>
    <row r="5036" spans="16:19" x14ac:dyDescent="0.25">
      <c r="P5036" s="27">
        <v>3.2548184716220556E-2</v>
      </c>
      <c r="Q5036" s="28">
        <f t="shared" si="82"/>
        <v>3.5548184716220559E-2</v>
      </c>
      <c r="R5036" s="29">
        <v>0.15</v>
      </c>
      <c r="S5036" s="30">
        <v>4.7E-2</v>
      </c>
    </row>
    <row r="5037" spans="16:19" x14ac:dyDescent="0.25">
      <c r="P5037" s="27">
        <v>3.2548184716220556E-2</v>
      </c>
      <c r="Q5037" s="28">
        <f t="shared" si="82"/>
        <v>3.5548184716220559E-2</v>
      </c>
      <c r="R5037" s="29">
        <v>0.15</v>
      </c>
      <c r="S5037" s="30">
        <v>4.7E-2</v>
      </c>
    </row>
    <row r="5038" spans="16:19" x14ac:dyDescent="0.25">
      <c r="P5038" s="27">
        <v>3.2548184716220556E-2</v>
      </c>
      <c r="Q5038" s="28">
        <f t="shared" si="82"/>
        <v>3.5548184716220559E-2</v>
      </c>
      <c r="R5038" s="29">
        <v>0.15</v>
      </c>
      <c r="S5038" s="30">
        <v>4.7200000000000006E-2</v>
      </c>
    </row>
    <row r="5039" spans="16:19" x14ac:dyDescent="0.25">
      <c r="P5039" s="27">
        <v>3.2548184716220556E-2</v>
      </c>
      <c r="Q5039" s="28">
        <f t="shared" si="82"/>
        <v>3.5548184716220559E-2</v>
      </c>
      <c r="R5039" s="29">
        <v>0.15</v>
      </c>
      <c r="S5039" s="30">
        <v>4.7E-2</v>
      </c>
    </row>
    <row r="5040" spans="16:19" x14ac:dyDescent="0.25">
      <c r="P5040" s="27">
        <v>3.2548184716220556E-2</v>
      </c>
      <c r="Q5040" s="28">
        <f t="shared" si="82"/>
        <v>3.5548184716220559E-2</v>
      </c>
      <c r="R5040" s="29">
        <v>0.15</v>
      </c>
      <c r="S5040" s="30">
        <v>4.7409999999999994E-2</v>
      </c>
    </row>
    <row r="5041" spans="16:19" x14ac:dyDescent="0.25">
      <c r="P5041" s="27">
        <v>3.2548184716220556E-2</v>
      </c>
      <c r="Q5041" s="28">
        <f t="shared" si="82"/>
        <v>3.5548184716220559E-2</v>
      </c>
      <c r="R5041" s="29">
        <v>0.15</v>
      </c>
      <c r="S5041" s="30">
        <v>4.3779999999999999E-2</v>
      </c>
    </row>
    <row r="5042" spans="16:19" x14ac:dyDescent="0.25">
      <c r="P5042" s="27">
        <v>3.2548184716220556E-2</v>
      </c>
      <c r="Q5042" s="28">
        <f t="shared" si="82"/>
        <v>3.5548184716220559E-2</v>
      </c>
      <c r="R5042" s="29">
        <v>0.15</v>
      </c>
      <c r="S5042" s="30">
        <v>4.1479999999999996E-2</v>
      </c>
    </row>
    <row r="5043" spans="16:19" x14ac:dyDescent="0.25">
      <c r="P5043" s="27">
        <v>3.2548184716220556E-2</v>
      </c>
      <c r="Q5043" s="28">
        <f t="shared" si="82"/>
        <v>3.5548184716220559E-2</v>
      </c>
      <c r="R5043" s="29">
        <v>0.15</v>
      </c>
      <c r="S5043" s="30">
        <v>4.1979999999999996E-2</v>
      </c>
    </row>
    <row r="5044" spans="16:19" x14ac:dyDescent="0.25">
      <c r="P5044" s="27">
        <v>3.2548184716220556E-2</v>
      </c>
      <c r="Q5044" s="28">
        <f t="shared" si="82"/>
        <v>3.5548184716220559E-2</v>
      </c>
      <c r="R5044" s="29">
        <v>0.15</v>
      </c>
      <c r="S5044" s="30">
        <v>3.8490000000000003E-2</v>
      </c>
    </row>
    <row r="5045" spans="16:19" x14ac:dyDescent="0.25">
      <c r="P5045" s="27">
        <v>3.2548184716220556E-2</v>
      </c>
      <c r="Q5045" s="28">
        <f t="shared" si="82"/>
        <v>3.5548184716220559E-2</v>
      </c>
      <c r="R5045" s="29">
        <v>0.15</v>
      </c>
      <c r="S5045" s="30">
        <v>3.5000000000000003E-2</v>
      </c>
    </row>
    <row r="5046" spans="16:19" x14ac:dyDescent="0.25">
      <c r="P5046" s="27">
        <v>3.2548184716220556E-2</v>
      </c>
      <c r="Q5046" s="28">
        <f t="shared" si="82"/>
        <v>3.5548184716220559E-2</v>
      </c>
      <c r="R5046" s="29">
        <v>0.15</v>
      </c>
      <c r="S5046" s="30">
        <v>3.2490000000000005E-2</v>
      </c>
    </row>
    <row r="5047" spans="16:19" x14ac:dyDescent="0.25">
      <c r="P5047" s="27">
        <v>3.2548184716220556E-2</v>
      </c>
      <c r="Q5047" s="28">
        <f t="shared" si="82"/>
        <v>3.5548184716220559E-2</v>
      </c>
      <c r="R5047" s="29">
        <v>0.15</v>
      </c>
      <c r="S5047" s="30">
        <v>3.2280000000000003E-2</v>
      </c>
    </row>
    <row r="5048" spans="16:19" x14ac:dyDescent="0.25">
      <c r="P5048" s="27">
        <v>3.2548184716220556E-2</v>
      </c>
      <c r="Q5048" s="28">
        <f t="shared" si="82"/>
        <v>3.5548184716220559E-2</v>
      </c>
      <c r="R5048" s="29">
        <v>0.15</v>
      </c>
      <c r="S5048" s="30">
        <v>3.2750000000000001E-2</v>
      </c>
    </row>
    <row r="5049" spans="16:19" x14ac:dyDescent="0.25">
      <c r="P5049" s="27">
        <v>3.2548184716220556E-2</v>
      </c>
      <c r="Q5049" s="28">
        <f t="shared" si="82"/>
        <v>3.5548184716220559E-2</v>
      </c>
      <c r="R5049" s="29">
        <v>0.15</v>
      </c>
      <c r="S5049" s="30">
        <v>3.8490000000000003E-2</v>
      </c>
    </row>
    <row r="5050" spans="16:19" x14ac:dyDescent="0.25">
      <c r="P5050" s="27">
        <v>3.2548184716220556E-2</v>
      </c>
      <c r="Q5050" s="28">
        <f t="shared" si="82"/>
        <v>3.5548184716220559E-2</v>
      </c>
      <c r="R5050" s="29">
        <v>0.15</v>
      </c>
      <c r="S5050" s="30">
        <v>4.3529999999999999E-2</v>
      </c>
    </row>
    <row r="5051" spans="16:19" x14ac:dyDescent="0.25">
      <c r="P5051" s="27">
        <v>3.2548184716220556E-2</v>
      </c>
      <c r="Q5051" s="28">
        <f t="shared" si="82"/>
        <v>3.5548184716220559E-2</v>
      </c>
      <c r="R5051" s="31">
        <v>0.15939660775771733</v>
      </c>
      <c r="S5051" s="32">
        <v>4.7270000000000006E-2</v>
      </c>
    </row>
    <row r="5052" spans="16:19" x14ac:dyDescent="0.25">
      <c r="P5052" s="27">
        <v>3.2548184716220556E-2</v>
      </c>
      <c r="Q5052" s="28">
        <f t="shared" si="82"/>
        <v>3.5548184716220559E-2</v>
      </c>
      <c r="R5052" s="33">
        <v>0.16282860775771735</v>
      </c>
      <c r="S5052" s="34">
        <v>4.8350000000000004E-2</v>
      </c>
    </row>
    <row r="5053" spans="16:19" x14ac:dyDescent="0.25">
      <c r="P5053" s="27">
        <v>3.2548184716220556E-2</v>
      </c>
      <c r="Q5053" s="28">
        <f t="shared" si="82"/>
        <v>3.5548184716220559E-2</v>
      </c>
      <c r="R5053" s="33">
        <v>0.16282860775771735</v>
      </c>
      <c r="S5053" s="34">
        <v>5.0750000000000003E-2</v>
      </c>
    </row>
    <row r="5054" spans="16:19" x14ac:dyDescent="0.25">
      <c r="P5054" s="27">
        <v>3.2548184716220556E-2</v>
      </c>
      <c r="Q5054" s="28">
        <f t="shared" si="82"/>
        <v>3.5548184716220559E-2</v>
      </c>
      <c r="R5054" s="33">
        <v>0.16282860775771735</v>
      </c>
      <c r="S5054" s="34">
        <v>4.8119999999999996E-2</v>
      </c>
    </row>
    <row r="5055" spans="16:19" x14ac:dyDescent="0.25">
      <c r="P5055" s="27">
        <v>3.2548184716220556E-2</v>
      </c>
      <c r="Q5055" s="28">
        <f t="shared" si="82"/>
        <v>3.5548184716220559E-2</v>
      </c>
      <c r="R5055" s="33">
        <v>0.16282860775771735</v>
      </c>
      <c r="S5055" s="34">
        <v>4.3159999999999997E-2</v>
      </c>
    </row>
    <row r="5056" spans="16:19" x14ac:dyDescent="0.25">
      <c r="P5056" s="27">
        <v>3.2548184716220556E-2</v>
      </c>
      <c r="Q5056" s="28">
        <f t="shared" si="82"/>
        <v>3.5548184716220559E-2</v>
      </c>
      <c r="R5056" s="33">
        <v>0.16282860775771735</v>
      </c>
      <c r="S5056" s="34">
        <v>4.299E-2</v>
      </c>
    </row>
    <row r="5057" spans="16:19" x14ac:dyDescent="0.25">
      <c r="P5057" s="27">
        <v>3.2548184716220556E-2</v>
      </c>
      <c r="Q5057" s="28">
        <f t="shared" si="82"/>
        <v>3.5548184716220559E-2</v>
      </c>
      <c r="R5057" s="33">
        <v>0.16282860775771735</v>
      </c>
      <c r="S5057" s="34">
        <v>4.478E-2</v>
      </c>
    </row>
    <row r="5058" spans="16:19" x14ac:dyDescent="0.25">
      <c r="P5058" s="27">
        <v>3.2548184716220556E-2</v>
      </c>
      <c r="Q5058" s="28">
        <f t="shared" si="82"/>
        <v>3.5548184716220559E-2</v>
      </c>
      <c r="R5058" s="33">
        <v>0.16282860775771735</v>
      </c>
      <c r="S5058" s="34">
        <v>4.7119999999999995E-2</v>
      </c>
    </row>
    <row r="5059" spans="16:19" x14ac:dyDescent="0.25">
      <c r="P5059" s="27">
        <v>3.2548184716220556E-2</v>
      </c>
      <c r="Q5059" s="28">
        <f t="shared" si="82"/>
        <v>3.5548184716220559E-2</v>
      </c>
      <c r="R5059" s="33">
        <v>0.16282860775771735</v>
      </c>
      <c r="S5059" s="34">
        <v>4.5899999999999996E-2</v>
      </c>
    </row>
    <row r="5060" spans="16:19" x14ac:dyDescent="0.25">
      <c r="P5060" s="27">
        <v>3.2548184716220556E-2</v>
      </c>
      <c r="Q5060" s="28">
        <f t="shared" si="82"/>
        <v>3.5548184716220559E-2</v>
      </c>
      <c r="R5060" s="33">
        <v>0.16282860775771735</v>
      </c>
      <c r="S5060" s="34">
        <v>4.4990000000000002E-2</v>
      </c>
    </row>
    <row r="5061" spans="16:19" x14ac:dyDescent="0.25">
      <c r="P5061" s="27">
        <v>3.2548184716220556E-2</v>
      </c>
      <c r="Q5061" s="28">
        <f t="shared" ref="Q5061:Q5124" si="83">P5061+0.003</f>
        <v>3.5548184716220559E-2</v>
      </c>
      <c r="R5061" s="33">
        <v>0.16282860775771735</v>
      </c>
      <c r="S5061" s="34">
        <v>4.333E-2</v>
      </c>
    </row>
    <row r="5062" spans="16:19" x14ac:dyDescent="0.25">
      <c r="P5062" s="27">
        <v>3.2548184716220556E-2</v>
      </c>
      <c r="Q5062" s="28">
        <f t="shared" si="83"/>
        <v>3.5548184716220559E-2</v>
      </c>
      <c r="R5062" s="33">
        <v>0.16282860775771735</v>
      </c>
      <c r="S5062" s="34">
        <v>4.3622551000000002E-2</v>
      </c>
    </row>
    <row r="5063" spans="16:19" x14ac:dyDescent="0.25">
      <c r="P5063" s="27">
        <v>3.2548184716220556E-2</v>
      </c>
      <c r="Q5063" s="28">
        <f t="shared" si="83"/>
        <v>3.5548184716220559E-2</v>
      </c>
      <c r="R5063" s="31">
        <v>0.15939660775771733</v>
      </c>
      <c r="S5063" s="32">
        <v>4.5969999999999997E-2</v>
      </c>
    </row>
    <row r="5064" spans="16:19" x14ac:dyDescent="0.25">
      <c r="P5064" s="27">
        <v>3.2548184716220556E-2</v>
      </c>
      <c r="Q5064" s="28">
        <f t="shared" si="83"/>
        <v>3.5548184716220559E-2</v>
      </c>
      <c r="R5064" s="31">
        <v>0.15939660775771733</v>
      </c>
      <c r="S5064" s="32">
        <v>4.5539999999999997E-2</v>
      </c>
    </row>
    <row r="5065" spans="16:19" x14ac:dyDescent="0.25">
      <c r="P5065" s="27">
        <v>3.2548184716220556E-2</v>
      </c>
      <c r="Q5065" s="28">
        <f t="shared" si="83"/>
        <v>3.5548184716220559E-2</v>
      </c>
      <c r="R5065" s="31">
        <v>0.15939660775771733</v>
      </c>
      <c r="S5065" s="32">
        <v>4.199E-2</v>
      </c>
    </row>
    <row r="5066" spans="16:19" x14ac:dyDescent="0.25">
      <c r="P5066" s="27">
        <v>3.2548184716220556E-2</v>
      </c>
      <c r="Q5066" s="28">
        <f t="shared" si="83"/>
        <v>3.5548184716220559E-2</v>
      </c>
      <c r="R5066" s="31">
        <v>0.15939660775771733</v>
      </c>
      <c r="S5066" s="32">
        <v>3.9490000000000004E-2</v>
      </c>
    </row>
    <row r="5067" spans="16:19" x14ac:dyDescent="0.25">
      <c r="P5067" s="27">
        <v>3.2548184716220556E-2</v>
      </c>
      <c r="Q5067" s="28">
        <f t="shared" si="83"/>
        <v>3.5548184716220559E-2</v>
      </c>
      <c r="R5067" s="29">
        <v>0.15003660775771735</v>
      </c>
      <c r="S5067" s="30">
        <v>3.7990000000000003E-2</v>
      </c>
    </row>
    <row r="5068" spans="16:19" x14ac:dyDescent="0.25">
      <c r="P5068" s="27">
        <v>3.2548184716220556E-2</v>
      </c>
      <c r="Q5068" s="28">
        <f t="shared" si="83"/>
        <v>3.5548184716220559E-2</v>
      </c>
      <c r="R5068" s="29">
        <v>0.15003660775771735</v>
      </c>
      <c r="S5068" s="30">
        <v>3.7270000000000005E-2</v>
      </c>
    </row>
    <row r="5069" spans="16:19" x14ac:dyDescent="0.25">
      <c r="P5069" s="27">
        <v>3.2548184716220556E-2</v>
      </c>
      <c r="Q5069" s="28">
        <f t="shared" si="83"/>
        <v>3.5548184716220559E-2</v>
      </c>
      <c r="R5069" s="29">
        <v>0.15003660775771735</v>
      </c>
      <c r="S5069" s="30">
        <v>3.5749999999999997E-2</v>
      </c>
    </row>
    <row r="5070" spans="16:19" x14ac:dyDescent="0.25">
      <c r="P5070" s="27">
        <v>3.2548184716220556E-2</v>
      </c>
      <c r="Q5070" s="28">
        <f t="shared" si="83"/>
        <v>3.5548184716220559E-2</v>
      </c>
      <c r="R5070" s="29">
        <v>0.15003660775771735</v>
      </c>
      <c r="S5070" s="30">
        <v>3.8990000000000004E-2</v>
      </c>
    </row>
    <row r="5071" spans="16:19" x14ac:dyDescent="0.25">
      <c r="P5071" s="27">
        <v>3.2548184716220556E-2</v>
      </c>
      <c r="Q5071" s="28">
        <f t="shared" si="83"/>
        <v>3.5548184716220559E-2</v>
      </c>
      <c r="R5071" s="29">
        <v>0.15003660775771735</v>
      </c>
      <c r="S5071" s="30">
        <v>3.8990000000000004E-2</v>
      </c>
    </row>
    <row r="5072" spans="16:19" x14ac:dyDescent="0.25">
      <c r="P5072" s="27">
        <v>3.2548184716220556E-2</v>
      </c>
      <c r="Q5072" s="28">
        <f t="shared" si="83"/>
        <v>3.5548184716220559E-2</v>
      </c>
      <c r="R5072" s="29">
        <v>0.15003660775771735</v>
      </c>
      <c r="S5072" s="30">
        <v>4.0549999999999996E-2</v>
      </c>
    </row>
    <row r="5073" spans="16:19" x14ac:dyDescent="0.25">
      <c r="P5073" s="27">
        <v>3.2548184716220556E-2</v>
      </c>
      <c r="Q5073" s="28">
        <f t="shared" si="83"/>
        <v>3.5548184716220559E-2</v>
      </c>
      <c r="R5073" s="29">
        <v>0.15003660775771735</v>
      </c>
      <c r="S5073" s="30">
        <v>4.3490000000000001E-2</v>
      </c>
    </row>
    <row r="5074" spans="16:19" x14ac:dyDescent="0.25">
      <c r="P5074" s="27">
        <v>3.2548184716220556E-2</v>
      </c>
      <c r="Q5074" s="28">
        <f t="shared" si="83"/>
        <v>3.5548184716220559E-2</v>
      </c>
      <c r="R5074" s="29">
        <v>0.15003660775771735</v>
      </c>
      <c r="S5074" s="30">
        <v>4.5560000000000003E-2</v>
      </c>
    </row>
    <row r="5075" spans="16:19" x14ac:dyDescent="0.25">
      <c r="P5075" s="27">
        <v>3.2548184716220556E-2</v>
      </c>
      <c r="Q5075" s="28">
        <f t="shared" si="83"/>
        <v>3.5548184716220559E-2</v>
      </c>
      <c r="R5075" s="31">
        <v>0.15939660775771733</v>
      </c>
      <c r="S5075" s="32">
        <v>4.8890000000000003E-2</v>
      </c>
    </row>
    <row r="5076" spans="16:19" x14ac:dyDescent="0.25">
      <c r="P5076" s="27">
        <v>3.2548184716220556E-2</v>
      </c>
      <c r="Q5076" s="28">
        <f t="shared" si="83"/>
        <v>3.5548184716220559E-2</v>
      </c>
      <c r="R5076" s="33">
        <v>0.16282860775771735</v>
      </c>
      <c r="S5076" s="34">
        <v>4.9250000000000002E-2</v>
      </c>
    </row>
    <row r="5077" spans="16:19" x14ac:dyDescent="0.25">
      <c r="P5077" s="27">
        <v>3.2548184716220556E-2</v>
      </c>
      <c r="Q5077" s="28">
        <f t="shared" si="83"/>
        <v>3.5548184716220559E-2</v>
      </c>
      <c r="R5077" s="33">
        <v>0.16282860775771735</v>
      </c>
      <c r="S5077" s="34">
        <v>4.598E-2</v>
      </c>
    </row>
    <row r="5078" spans="16:19" x14ac:dyDescent="0.25">
      <c r="P5078" s="27">
        <v>3.2548184716220556E-2</v>
      </c>
      <c r="Q5078" s="28">
        <f t="shared" si="83"/>
        <v>3.5548184716220559E-2</v>
      </c>
      <c r="R5078" s="33">
        <v>0.16282860775771735</v>
      </c>
      <c r="S5078" s="34">
        <v>4.512E-2</v>
      </c>
    </row>
    <row r="5079" spans="16:19" x14ac:dyDescent="0.25">
      <c r="P5079" s="27">
        <v>3.2548184716220556E-2</v>
      </c>
      <c r="Q5079" s="28">
        <f t="shared" si="83"/>
        <v>3.5548184716220559E-2</v>
      </c>
      <c r="R5079" s="33">
        <v>0.16282860775771735</v>
      </c>
      <c r="S5079" s="34">
        <v>4.0549999999999996E-2</v>
      </c>
    </row>
    <row r="5080" spans="16:19" x14ac:dyDescent="0.25">
      <c r="P5080" s="27">
        <v>3.2548184716220556E-2</v>
      </c>
      <c r="Q5080" s="28">
        <f t="shared" si="83"/>
        <v>3.5548184716220559E-2</v>
      </c>
      <c r="R5080" s="33">
        <v>0.16282860775771735</v>
      </c>
      <c r="S5080" s="34">
        <v>4.1779999999999998E-2</v>
      </c>
    </row>
    <row r="5081" spans="16:19" x14ac:dyDescent="0.25">
      <c r="P5081" s="27">
        <v>3.2548184716220556E-2</v>
      </c>
      <c r="Q5081" s="28">
        <f t="shared" si="83"/>
        <v>3.5548184716220559E-2</v>
      </c>
      <c r="R5081" s="33">
        <v>0.16282860775771735</v>
      </c>
      <c r="S5081" s="34">
        <v>4.3999999999999997E-2</v>
      </c>
    </row>
    <row r="5082" spans="16:19" x14ac:dyDescent="0.25">
      <c r="P5082" s="27">
        <v>3.2548184716220556E-2</v>
      </c>
      <c r="Q5082" s="28">
        <f t="shared" si="83"/>
        <v>3.5548184716220559E-2</v>
      </c>
      <c r="R5082" s="33">
        <v>0.16282860775771735</v>
      </c>
      <c r="S5082" s="34">
        <v>4.7109999999999999E-2</v>
      </c>
    </row>
    <row r="5083" spans="16:19" x14ac:dyDescent="0.25">
      <c r="P5083" s="27">
        <v>3.2548184716220556E-2</v>
      </c>
      <c r="Q5083" s="28">
        <f t="shared" si="83"/>
        <v>3.5548184716220559E-2</v>
      </c>
      <c r="R5083" s="33">
        <v>0.16282860775771735</v>
      </c>
      <c r="S5083" s="34">
        <v>4.5899999999999996E-2</v>
      </c>
    </row>
    <row r="5084" spans="16:19" x14ac:dyDescent="0.25">
      <c r="P5084" s="27">
        <v>3.2548184716220556E-2</v>
      </c>
      <c r="Q5084" s="28">
        <f t="shared" si="83"/>
        <v>3.5548184716220559E-2</v>
      </c>
      <c r="R5084" s="33">
        <v>0.16282860775771735</v>
      </c>
      <c r="S5084" s="34">
        <v>4.6109999999999998E-2</v>
      </c>
    </row>
    <row r="5085" spans="16:19" x14ac:dyDescent="0.25">
      <c r="P5085" s="27">
        <v>3.2548184716220556E-2</v>
      </c>
      <c r="Q5085" s="28">
        <f t="shared" si="83"/>
        <v>3.5548184716220559E-2</v>
      </c>
      <c r="R5085" s="33">
        <v>0.16282860775771735</v>
      </c>
      <c r="S5085" s="34">
        <v>4.6509999999999996E-2</v>
      </c>
    </row>
    <row r="5086" spans="16:19" x14ac:dyDescent="0.25">
      <c r="P5086" s="27">
        <v>3.2548184716220556E-2</v>
      </c>
      <c r="Q5086" s="28">
        <f t="shared" si="83"/>
        <v>3.5548184716220559E-2</v>
      </c>
      <c r="R5086" s="33">
        <v>0.16282860775771735</v>
      </c>
      <c r="S5086" s="34">
        <v>4.8049999999999995E-2</v>
      </c>
    </row>
    <row r="5087" spans="16:19" x14ac:dyDescent="0.25">
      <c r="P5087" s="27">
        <v>3.2548184716220556E-2</v>
      </c>
      <c r="Q5087" s="28">
        <f t="shared" si="83"/>
        <v>3.5548184716220559E-2</v>
      </c>
      <c r="R5087" s="31">
        <v>0.15939660775771733</v>
      </c>
      <c r="S5087" s="32">
        <v>4.9439999999999998E-2</v>
      </c>
    </row>
    <row r="5088" spans="16:19" x14ac:dyDescent="0.25">
      <c r="P5088" s="27">
        <v>3.2548184716220556E-2</v>
      </c>
      <c r="Q5088" s="28">
        <f t="shared" si="83"/>
        <v>3.5548184716220559E-2</v>
      </c>
      <c r="R5088" s="31">
        <v>0.15939660775771733</v>
      </c>
      <c r="S5088" s="32">
        <v>4.761E-2</v>
      </c>
    </row>
    <row r="5089" spans="16:19" x14ac:dyDescent="0.25">
      <c r="P5089" s="27">
        <v>3.2548184716220556E-2</v>
      </c>
      <c r="Q5089" s="28">
        <f t="shared" si="83"/>
        <v>3.5548184716220559E-2</v>
      </c>
      <c r="R5089" s="31">
        <v>0.15939660775771733</v>
      </c>
      <c r="S5089" s="32">
        <v>4.546E-2</v>
      </c>
    </row>
    <row r="5090" spans="16:19" x14ac:dyDescent="0.25">
      <c r="P5090" s="27">
        <v>3.2548184716220556E-2</v>
      </c>
      <c r="Q5090" s="28">
        <f t="shared" si="83"/>
        <v>3.5548184716220559E-2</v>
      </c>
      <c r="R5090" s="31">
        <v>0.15939660775771733</v>
      </c>
      <c r="S5090" s="32">
        <v>4.3999999999999997E-2</v>
      </c>
    </row>
    <row r="5091" spans="16:19" x14ac:dyDescent="0.25">
      <c r="P5091" s="27">
        <v>3.2548184716220556E-2</v>
      </c>
      <c r="Q5091" s="28">
        <f t="shared" si="83"/>
        <v>3.5548184716220559E-2</v>
      </c>
      <c r="R5091" s="29">
        <v>0.15003660775771735</v>
      </c>
      <c r="S5091" s="30">
        <v>4.0509999999999997E-2</v>
      </c>
    </row>
    <row r="5092" spans="16:19" x14ac:dyDescent="0.25">
      <c r="P5092" s="27">
        <v>3.2548184716220556E-2</v>
      </c>
      <c r="Q5092" s="28">
        <f t="shared" si="83"/>
        <v>3.5548184716220559E-2</v>
      </c>
      <c r="R5092" s="29">
        <v>0.15003660775771735</v>
      </c>
      <c r="S5092" s="30">
        <v>4.0460000000000003E-2</v>
      </c>
    </row>
    <row r="5093" spans="16:19" x14ac:dyDescent="0.25">
      <c r="P5093" s="27">
        <v>3.2548184716220556E-2</v>
      </c>
      <c r="Q5093" s="28">
        <f t="shared" si="83"/>
        <v>3.5548184716220559E-2</v>
      </c>
      <c r="R5093" s="29">
        <v>0.15003660775771735</v>
      </c>
      <c r="S5093" s="30">
        <v>3.9560000000000005E-2</v>
      </c>
    </row>
    <row r="5094" spans="16:19" x14ac:dyDescent="0.25">
      <c r="P5094" s="27">
        <v>3.2548184716220556E-2</v>
      </c>
      <c r="Q5094" s="28">
        <f t="shared" si="83"/>
        <v>3.5548184716220559E-2</v>
      </c>
      <c r="R5094" s="29">
        <v>0.15003660775771735</v>
      </c>
      <c r="S5094" s="30">
        <v>3.8030000000000001E-2</v>
      </c>
    </row>
    <row r="5095" spans="16:19" x14ac:dyDescent="0.25">
      <c r="P5095" s="27">
        <v>3.2548184716220556E-2</v>
      </c>
      <c r="Q5095" s="28">
        <f t="shared" si="83"/>
        <v>3.5548184716220559E-2</v>
      </c>
      <c r="R5095" s="29">
        <v>0.15003660775771735</v>
      </c>
      <c r="S5095" s="30">
        <v>3.9560000000000005E-2</v>
      </c>
    </row>
    <row r="5096" spans="16:19" x14ac:dyDescent="0.25">
      <c r="P5096" s="27">
        <v>3.2548184716220556E-2</v>
      </c>
      <c r="Q5096" s="28">
        <f t="shared" si="83"/>
        <v>3.5548184716220559E-2</v>
      </c>
      <c r="R5096" s="29">
        <v>0.15003660775771735</v>
      </c>
      <c r="S5096" s="30">
        <v>4.0060000000000005E-2</v>
      </c>
    </row>
    <row r="5097" spans="16:19" x14ac:dyDescent="0.25">
      <c r="P5097" s="27">
        <v>3.2548184716220556E-2</v>
      </c>
      <c r="Q5097" s="28">
        <f t="shared" si="83"/>
        <v>3.5548184716220559E-2</v>
      </c>
      <c r="R5097" s="29">
        <v>0.15003660775771735</v>
      </c>
      <c r="S5097" s="30">
        <v>4.1880000000000001E-2</v>
      </c>
    </row>
    <row r="5098" spans="16:19" x14ac:dyDescent="0.25">
      <c r="P5098" s="27">
        <v>3.2548184716220556E-2</v>
      </c>
      <c r="Q5098" s="28">
        <f t="shared" si="83"/>
        <v>3.5548184716220559E-2</v>
      </c>
      <c r="R5098" s="29">
        <v>0.15003660775771735</v>
      </c>
      <c r="S5098" s="30">
        <v>4.5999999999999999E-2</v>
      </c>
    </row>
    <row r="5099" spans="16:19" x14ac:dyDescent="0.25">
      <c r="P5099" s="27">
        <v>3.2548184716220556E-2</v>
      </c>
      <c r="Q5099" s="28">
        <f t="shared" si="83"/>
        <v>3.5548184716220559E-2</v>
      </c>
      <c r="R5099" s="31">
        <v>0.15939660775771733</v>
      </c>
      <c r="S5099" s="32">
        <v>5.0477105000000001E-2</v>
      </c>
    </row>
    <row r="5100" spans="16:19" x14ac:dyDescent="0.25">
      <c r="P5100" s="27">
        <v>3.2548184716220556E-2</v>
      </c>
      <c r="Q5100" s="28">
        <f t="shared" si="83"/>
        <v>3.5548184716220559E-2</v>
      </c>
      <c r="R5100" s="33">
        <v>0.16282860775771735</v>
      </c>
      <c r="S5100" s="34">
        <v>4.999E-2</v>
      </c>
    </row>
    <row r="5101" spans="16:19" x14ac:dyDescent="0.25">
      <c r="P5101" s="27">
        <v>3.2548184716220556E-2</v>
      </c>
      <c r="Q5101" s="28">
        <f t="shared" si="83"/>
        <v>3.5548184716220559E-2</v>
      </c>
      <c r="R5101" s="33">
        <v>0.16282860775771735</v>
      </c>
      <c r="S5101" s="34">
        <v>4.5560000000000003E-2</v>
      </c>
    </row>
    <row r="5102" spans="16:19" x14ac:dyDescent="0.25">
      <c r="P5102" s="27">
        <v>3.2548184716220556E-2</v>
      </c>
      <c r="Q5102" s="28">
        <f t="shared" si="83"/>
        <v>3.5548184716220559E-2</v>
      </c>
      <c r="R5102" s="33">
        <v>0.16282860775771735</v>
      </c>
      <c r="S5102" s="34">
        <v>4.5069999999999999E-2</v>
      </c>
    </row>
    <row r="5103" spans="16:19" x14ac:dyDescent="0.25">
      <c r="P5103" s="27">
        <v>3.2548184716220556E-2</v>
      </c>
      <c r="Q5103" s="28">
        <f t="shared" si="83"/>
        <v>3.5548184716220559E-2</v>
      </c>
      <c r="R5103" s="33">
        <v>0.16282860775771735</v>
      </c>
      <c r="S5103" s="34">
        <v>4.0509999999999997E-2</v>
      </c>
    </row>
    <row r="5104" spans="16:19" x14ac:dyDescent="0.25">
      <c r="P5104" s="27">
        <v>3.2548184716220556E-2</v>
      </c>
      <c r="Q5104" s="28">
        <f t="shared" si="83"/>
        <v>3.5548184716220559E-2</v>
      </c>
      <c r="R5104" s="33">
        <v>0.16282860775771735</v>
      </c>
      <c r="S5104" s="34">
        <v>4.02E-2</v>
      </c>
    </row>
    <row r="5105" spans="16:19" x14ac:dyDescent="0.25">
      <c r="P5105" s="27">
        <v>3.2548184716220556E-2</v>
      </c>
      <c r="Q5105" s="28">
        <f t="shared" si="83"/>
        <v>3.5548184716220559E-2</v>
      </c>
      <c r="R5105" s="33">
        <v>0.16282860775771735</v>
      </c>
      <c r="S5105" s="34">
        <v>4.2939999999999999E-2</v>
      </c>
    </row>
    <row r="5106" spans="16:19" x14ac:dyDescent="0.25">
      <c r="P5106" s="27">
        <v>3.2548184716220556E-2</v>
      </c>
      <c r="Q5106" s="28">
        <f t="shared" si="83"/>
        <v>3.5548184716220559E-2</v>
      </c>
      <c r="R5106" s="33">
        <v>0.16282860775771735</v>
      </c>
      <c r="S5106" s="34">
        <v>4.4719999999999996E-2</v>
      </c>
    </row>
    <row r="5107" spans="16:19" x14ac:dyDescent="0.25">
      <c r="P5107" s="27">
        <v>3.2548184716220556E-2</v>
      </c>
      <c r="Q5107" s="28">
        <f t="shared" si="83"/>
        <v>3.5548184716220559E-2</v>
      </c>
      <c r="R5107" s="33">
        <v>0.16282860775771735</v>
      </c>
      <c r="S5107" s="34">
        <v>4.4520000000000004E-2</v>
      </c>
    </row>
    <row r="5108" spans="16:19" x14ac:dyDescent="0.25">
      <c r="P5108" s="27">
        <v>3.2548184716220556E-2</v>
      </c>
      <c r="Q5108" s="28">
        <f t="shared" si="83"/>
        <v>3.5548184716220559E-2</v>
      </c>
      <c r="R5108" s="33">
        <v>0.16282860775771735</v>
      </c>
      <c r="S5108" s="34">
        <v>4.5560000000000003E-2</v>
      </c>
    </row>
    <row r="5109" spans="16:19" x14ac:dyDescent="0.25">
      <c r="P5109" s="27">
        <v>3.2548184716220556E-2</v>
      </c>
      <c r="Q5109" s="28">
        <f t="shared" si="83"/>
        <v>3.5548184716220559E-2</v>
      </c>
      <c r="R5109" s="33">
        <v>0.16282860775771735</v>
      </c>
      <c r="S5109" s="34">
        <v>4.5960000000000001E-2</v>
      </c>
    </row>
    <row r="5110" spans="16:19" x14ac:dyDescent="0.25">
      <c r="P5110" s="27">
        <v>3.2548184716220556E-2</v>
      </c>
      <c r="Q5110" s="28">
        <f t="shared" si="83"/>
        <v>3.5548184716220559E-2</v>
      </c>
      <c r="R5110" s="33">
        <v>0.16282860775771735</v>
      </c>
      <c r="S5110" s="34">
        <v>4.9419999999999999E-2</v>
      </c>
    </row>
    <row r="5111" spans="16:19" x14ac:dyDescent="0.25">
      <c r="P5111" s="27">
        <v>3.2548184716220556E-2</v>
      </c>
      <c r="Q5111" s="28">
        <f t="shared" si="83"/>
        <v>3.5548184716220559E-2</v>
      </c>
      <c r="R5111" s="31">
        <v>0.15939660775771733</v>
      </c>
      <c r="S5111" s="32">
        <v>4.999E-2</v>
      </c>
    </row>
    <row r="5112" spans="16:19" x14ac:dyDescent="0.25">
      <c r="P5112" s="27">
        <v>3.2548184716220556E-2</v>
      </c>
      <c r="Q5112" s="28">
        <f t="shared" si="83"/>
        <v>3.5548184716220559E-2</v>
      </c>
      <c r="R5112" s="31">
        <v>0.15939660775771733</v>
      </c>
      <c r="S5112" s="32">
        <v>4.904E-2</v>
      </c>
    </row>
    <row r="5113" spans="16:19" x14ac:dyDescent="0.25">
      <c r="P5113" s="27">
        <v>3.2548184716220556E-2</v>
      </c>
      <c r="Q5113" s="28">
        <f t="shared" si="83"/>
        <v>3.5548184716220559E-2</v>
      </c>
      <c r="R5113" s="31">
        <v>0.15939660775771733</v>
      </c>
      <c r="S5113" s="32">
        <v>4.4979999999999999E-2</v>
      </c>
    </row>
    <row r="5114" spans="16:19" x14ac:dyDescent="0.25">
      <c r="P5114" s="27">
        <v>3.2548184716220556E-2</v>
      </c>
      <c r="Q5114" s="28">
        <f t="shared" si="83"/>
        <v>3.5548184716220559E-2</v>
      </c>
      <c r="R5114" s="31">
        <v>0.15939660775771733</v>
      </c>
      <c r="S5114" s="32">
        <v>4.4429999999999997E-2</v>
      </c>
    </row>
    <row r="5115" spans="16:19" x14ac:dyDescent="0.25">
      <c r="P5115" s="27">
        <v>3.2548184716220556E-2</v>
      </c>
      <c r="Q5115" s="28">
        <f t="shared" si="83"/>
        <v>3.5548184716220559E-2</v>
      </c>
      <c r="R5115" s="29">
        <v>0.15003660775771735</v>
      </c>
      <c r="S5115" s="30">
        <v>4.0750000000000001E-2</v>
      </c>
    </row>
    <row r="5116" spans="16:19" x14ac:dyDescent="0.25">
      <c r="P5116" s="27">
        <v>3.2548184716220556E-2</v>
      </c>
      <c r="Q5116" s="28">
        <f t="shared" si="83"/>
        <v>3.5548184716220559E-2</v>
      </c>
      <c r="R5116" s="29">
        <v>0.15003660775771735</v>
      </c>
      <c r="S5116" s="30">
        <v>3.9229999999999994E-2</v>
      </c>
    </row>
    <row r="5117" spans="16:19" x14ac:dyDescent="0.25">
      <c r="P5117" s="27">
        <v>3.2548184716220556E-2</v>
      </c>
      <c r="Q5117" s="28">
        <f t="shared" si="83"/>
        <v>3.5548184716220559E-2</v>
      </c>
      <c r="R5117" s="29">
        <v>0.15003660775771735</v>
      </c>
      <c r="S5117" s="30">
        <v>3.6469999999999995E-2</v>
      </c>
    </row>
    <row r="5118" spans="16:19" x14ac:dyDescent="0.25">
      <c r="P5118" s="27">
        <v>3.2548184716220556E-2</v>
      </c>
      <c r="Q5118" s="28">
        <f t="shared" si="83"/>
        <v>3.5548184716220559E-2</v>
      </c>
      <c r="R5118" s="29">
        <v>0.15003660775771735</v>
      </c>
      <c r="S5118" s="30">
        <v>3.6060000000000002E-2</v>
      </c>
    </row>
    <row r="5119" spans="16:19" x14ac:dyDescent="0.25">
      <c r="P5119" s="27">
        <v>3.2548184716220556E-2</v>
      </c>
      <c r="Q5119" s="28">
        <f t="shared" si="83"/>
        <v>3.5548184716220559E-2</v>
      </c>
      <c r="R5119" s="29">
        <v>0.15003660775771735</v>
      </c>
      <c r="S5119" s="30">
        <v>3.6060000000000002E-2</v>
      </c>
    </row>
    <row r="5120" spans="16:19" x14ac:dyDescent="0.25">
      <c r="P5120" s="27">
        <v>3.2548184716220556E-2</v>
      </c>
      <c r="Q5120" s="28">
        <f t="shared" si="83"/>
        <v>3.5548184716220559E-2</v>
      </c>
      <c r="R5120" s="29">
        <v>0.15003660775771735</v>
      </c>
      <c r="S5120" s="30">
        <v>3.6200000000000003E-2</v>
      </c>
    </row>
    <row r="5121" spans="16:19" x14ac:dyDescent="0.25">
      <c r="P5121" s="27">
        <v>3.2548184716220556E-2</v>
      </c>
      <c r="Q5121" s="28">
        <f t="shared" si="83"/>
        <v>3.5548184716220559E-2</v>
      </c>
      <c r="R5121" s="29">
        <v>0.15003660775771735</v>
      </c>
      <c r="S5121" s="30">
        <v>3.6060000000000002E-2</v>
      </c>
    </row>
    <row r="5122" spans="16:19" x14ac:dyDescent="0.25">
      <c r="P5122" s="27">
        <v>3.2548184716220556E-2</v>
      </c>
      <c r="Q5122" s="28">
        <f t="shared" si="83"/>
        <v>3.5548184716220559E-2</v>
      </c>
      <c r="R5122" s="29">
        <v>0.15003660775771735</v>
      </c>
      <c r="S5122" s="30">
        <v>3.9659999999999994E-2</v>
      </c>
    </row>
    <row r="5123" spans="16:19" x14ac:dyDescent="0.25">
      <c r="P5123" s="27">
        <v>3.2548184716220556E-2</v>
      </c>
      <c r="Q5123" s="28">
        <f t="shared" si="83"/>
        <v>3.5548184716220559E-2</v>
      </c>
      <c r="R5123" s="31">
        <v>0.15939660775771733</v>
      </c>
      <c r="S5123" s="32">
        <v>4.0899999999999999E-2</v>
      </c>
    </row>
    <row r="5124" spans="16:19" x14ac:dyDescent="0.25">
      <c r="P5124" s="27">
        <v>3.2548184716220556E-2</v>
      </c>
      <c r="Q5124" s="28">
        <f t="shared" si="83"/>
        <v>3.5548184716220559E-2</v>
      </c>
      <c r="R5124" s="33">
        <v>0.16282860775771735</v>
      </c>
      <c r="S5124" s="34">
        <v>4.206E-2</v>
      </c>
    </row>
    <row r="5125" spans="16:19" x14ac:dyDescent="0.25">
      <c r="P5125" s="27">
        <v>3.2548184716220556E-2</v>
      </c>
      <c r="Q5125" s="28">
        <f t="shared" ref="Q5125:Q5188" si="84">P5125+0.003</f>
        <v>3.5548184716220559E-2</v>
      </c>
      <c r="R5125" s="33">
        <v>0.16282860775771735</v>
      </c>
      <c r="S5125" s="34">
        <v>3.6569999999999998E-2</v>
      </c>
    </row>
    <row r="5126" spans="16:19" x14ac:dyDescent="0.25">
      <c r="P5126" s="27">
        <v>3.2548184716220556E-2</v>
      </c>
      <c r="Q5126" s="28">
        <f t="shared" si="84"/>
        <v>3.5548184716220559E-2</v>
      </c>
      <c r="R5126" s="33">
        <v>0.16282860775771735</v>
      </c>
      <c r="S5126" s="34">
        <v>3.1199999999999999E-2</v>
      </c>
    </row>
    <row r="5127" spans="16:19" x14ac:dyDescent="0.25">
      <c r="P5127" s="27">
        <v>3.2548184716220556E-2</v>
      </c>
      <c r="Q5127" s="28">
        <f t="shared" si="84"/>
        <v>3.5548184716220559E-2</v>
      </c>
      <c r="R5127" s="33">
        <v>0.16282860775771735</v>
      </c>
      <c r="S5127" s="34">
        <v>2.92E-2</v>
      </c>
    </row>
    <row r="5128" spans="16:19" x14ac:dyDescent="0.25">
      <c r="P5128" s="27">
        <v>3.2548184716220556E-2</v>
      </c>
      <c r="Q5128" s="28">
        <f t="shared" si="84"/>
        <v>3.5548184716220559E-2</v>
      </c>
      <c r="R5128" s="33">
        <v>0.16282860775771735</v>
      </c>
      <c r="S5128" s="34">
        <v>2.3699999999999999E-2</v>
      </c>
    </row>
    <row r="5129" spans="16:19" x14ac:dyDescent="0.25">
      <c r="P5129" s="27">
        <v>3.2548184716220556E-2</v>
      </c>
      <c r="Q5129" s="28">
        <f t="shared" si="84"/>
        <v>3.5548184716220559E-2</v>
      </c>
      <c r="R5129" s="33">
        <v>0.16282860775771735</v>
      </c>
      <c r="S5129" s="34">
        <v>2.1499999999999998E-2</v>
      </c>
    </row>
    <row r="5130" spans="16:19" x14ac:dyDescent="0.25">
      <c r="P5130" s="27">
        <v>3.2548184716220556E-2</v>
      </c>
      <c r="Q5130" s="28">
        <f t="shared" si="84"/>
        <v>3.5548184716220559E-2</v>
      </c>
      <c r="R5130" s="33">
        <v>0.16282860775771735</v>
      </c>
      <c r="S5130" s="34">
        <v>2.3850000000000003E-2</v>
      </c>
    </row>
    <row r="5131" spans="16:19" x14ac:dyDescent="0.25">
      <c r="P5131" s="27">
        <v>3.2548184716220556E-2</v>
      </c>
      <c r="Q5131" s="28">
        <f t="shared" si="84"/>
        <v>3.5548184716220559E-2</v>
      </c>
      <c r="R5131" s="33">
        <v>0.16282860775771735</v>
      </c>
      <c r="S5131" s="34">
        <v>2.9100000000000001E-2</v>
      </c>
    </row>
    <row r="5132" spans="16:19" x14ac:dyDescent="0.25">
      <c r="P5132" s="27">
        <v>3.2548184716220556E-2</v>
      </c>
      <c r="Q5132" s="28">
        <f t="shared" si="84"/>
        <v>3.5548184716220559E-2</v>
      </c>
      <c r="R5132" s="33">
        <v>0.16282860775771735</v>
      </c>
      <c r="S5132" s="34">
        <v>3.5000000000000003E-2</v>
      </c>
    </row>
    <row r="5133" spans="16:19" x14ac:dyDescent="0.25">
      <c r="P5133" s="27">
        <v>3.2548184716220556E-2</v>
      </c>
      <c r="Q5133" s="28">
        <f t="shared" si="84"/>
        <v>3.5548184716220559E-2</v>
      </c>
      <c r="R5133" s="33">
        <v>0.16282860775771735</v>
      </c>
      <c r="S5133" s="34">
        <v>3.9200000000000006E-2</v>
      </c>
    </row>
    <row r="5134" spans="16:19" x14ac:dyDescent="0.25">
      <c r="P5134" s="27">
        <v>3.2548184716220556E-2</v>
      </c>
      <c r="Q5134" s="28">
        <f t="shared" si="84"/>
        <v>3.5548184716220559E-2</v>
      </c>
      <c r="R5134" s="33">
        <v>0.16282860775771735</v>
      </c>
      <c r="S5134" s="34">
        <v>4.3990000000000001E-2</v>
      </c>
    </row>
    <row r="5135" spans="16:19" x14ac:dyDescent="0.25">
      <c r="P5135" s="27">
        <v>3.2548184716220556E-2</v>
      </c>
      <c r="Q5135" s="28">
        <f t="shared" si="84"/>
        <v>3.5548184716220559E-2</v>
      </c>
      <c r="R5135" s="31">
        <v>0.15939660775771733</v>
      </c>
      <c r="S5135" s="32">
        <v>4.4990000000000002E-2</v>
      </c>
    </row>
    <row r="5136" spans="16:19" x14ac:dyDescent="0.25">
      <c r="P5136" s="27">
        <v>3.2548184716220556E-2</v>
      </c>
      <c r="Q5136" s="28">
        <f t="shared" si="84"/>
        <v>3.5548184716220559E-2</v>
      </c>
      <c r="R5136" s="31">
        <v>0.15939660775771733</v>
      </c>
      <c r="S5136" s="32">
        <v>4.4299999999999999E-2</v>
      </c>
    </row>
    <row r="5137" spans="16:19" x14ac:dyDescent="0.25">
      <c r="P5137" s="27">
        <v>3.2548184716220556E-2</v>
      </c>
      <c r="Q5137" s="28">
        <f t="shared" si="84"/>
        <v>3.5548184716220559E-2</v>
      </c>
      <c r="R5137" s="31">
        <v>0.15939660775771733</v>
      </c>
      <c r="S5137" s="32">
        <v>4.1140000000000003E-2</v>
      </c>
    </row>
    <row r="5138" spans="16:19" x14ac:dyDescent="0.25">
      <c r="P5138" s="27">
        <v>3.2548184716220556E-2</v>
      </c>
      <c r="Q5138" s="28">
        <f t="shared" si="84"/>
        <v>3.5548184716220559E-2</v>
      </c>
      <c r="R5138" s="31">
        <v>0.15939660775771733</v>
      </c>
      <c r="S5138" s="32">
        <v>3.8689999999999995E-2</v>
      </c>
    </row>
    <row r="5139" spans="16:19" x14ac:dyDescent="0.25">
      <c r="P5139" s="27">
        <v>3.2548184716220556E-2</v>
      </c>
      <c r="Q5139" s="28">
        <f t="shared" si="84"/>
        <v>3.5548184716220559E-2</v>
      </c>
      <c r="R5139" s="29">
        <v>0.15003660775771735</v>
      </c>
      <c r="S5139" s="30">
        <v>3.4000000000000002E-2</v>
      </c>
    </row>
    <row r="5140" spans="16:19" x14ac:dyDescent="0.25">
      <c r="P5140" s="27">
        <v>3.2548184716220556E-2</v>
      </c>
      <c r="Q5140" s="28">
        <f t="shared" si="84"/>
        <v>3.5548184716220559E-2</v>
      </c>
      <c r="R5140" s="29">
        <v>0.15003660775771735</v>
      </c>
      <c r="S5140" s="30">
        <v>2.1389999999999999E-2</v>
      </c>
    </row>
    <row r="5141" spans="16:19" x14ac:dyDescent="0.25">
      <c r="P5141" s="27">
        <v>3.2548184716220556E-2</v>
      </c>
      <c r="Q5141" s="28">
        <f t="shared" si="84"/>
        <v>3.5548184716220559E-2</v>
      </c>
      <c r="R5141" s="29">
        <v>0.15003660775771735</v>
      </c>
      <c r="S5141" s="30">
        <v>1.9359999999999999E-2</v>
      </c>
    </row>
    <row r="5142" spans="16:19" x14ac:dyDescent="0.25">
      <c r="P5142" s="27">
        <v>3.2548184716220556E-2</v>
      </c>
      <c r="Q5142" s="28">
        <f t="shared" si="84"/>
        <v>3.5548184716220559E-2</v>
      </c>
      <c r="R5142" s="29">
        <v>0.15003660775771735</v>
      </c>
      <c r="S5142" s="30">
        <v>1.78E-2</v>
      </c>
    </row>
    <row r="5143" spans="16:19" x14ac:dyDescent="0.25">
      <c r="P5143" s="27">
        <v>3.2548184716220556E-2</v>
      </c>
      <c r="Q5143" s="28">
        <f t="shared" si="84"/>
        <v>3.5548184716220559E-2</v>
      </c>
      <c r="R5143" s="29">
        <v>0.15003660775771735</v>
      </c>
      <c r="S5143" s="30">
        <v>1.8530000000000001E-2</v>
      </c>
    </row>
    <row r="5144" spans="16:19" x14ac:dyDescent="0.25">
      <c r="P5144" s="27">
        <v>3.2548184716220556E-2</v>
      </c>
      <c r="Q5144" s="28">
        <f t="shared" si="84"/>
        <v>3.5548184716220559E-2</v>
      </c>
      <c r="R5144" s="29">
        <v>0.15003660775771735</v>
      </c>
      <c r="S5144" s="30">
        <v>1.9570000000000001E-2</v>
      </c>
    </row>
    <row r="5145" spans="16:19" x14ac:dyDescent="0.25">
      <c r="P5145" s="27">
        <v>3.2548184716220556E-2</v>
      </c>
      <c r="Q5145" s="28">
        <f t="shared" si="84"/>
        <v>3.5548184716220559E-2</v>
      </c>
      <c r="R5145" s="29">
        <v>0.15003660775771735</v>
      </c>
      <c r="S5145" s="30">
        <v>1.61E-2</v>
      </c>
    </row>
    <row r="5146" spans="16:19" x14ac:dyDescent="0.25">
      <c r="P5146" s="27">
        <v>3.2548184716220556E-2</v>
      </c>
      <c r="Q5146" s="28">
        <f t="shared" si="84"/>
        <v>3.5548184716220559E-2</v>
      </c>
      <c r="R5146" s="29">
        <v>0.15003660775771735</v>
      </c>
      <c r="S5146" s="30">
        <v>1.66E-2</v>
      </c>
    </row>
    <row r="5147" spans="16:19" x14ac:dyDescent="0.25">
      <c r="P5147" s="27">
        <v>3.2548184716220556E-2</v>
      </c>
      <c r="Q5147" s="28">
        <f t="shared" si="84"/>
        <v>3.5548184716220559E-2</v>
      </c>
      <c r="R5147" s="31">
        <v>0.15939660775771733</v>
      </c>
      <c r="S5147" s="32">
        <v>3.1E-2</v>
      </c>
    </row>
    <row r="5148" spans="16:19" x14ac:dyDescent="0.25">
      <c r="P5148" s="27">
        <v>3.2548184716220556E-2</v>
      </c>
      <c r="Q5148" s="28">
        <f t="shared" si="84"/>
        <v>3.5548184716220559E-2</v>
      </c>
      <c r="R5148" s="33">
        <v>0.16282860775771735</v>
      </c>
      <c r="S5148" s="34">
        <v>3.4200000000000001E-2</v>
      </c>
    </row>
    <row r="5149" spans="16:19" x14ac:dyDescent="0.25">
      <c r="P5149" s="27">
        <v>3.2548184716220556E-2</v>
      </c>
      <c r="Q5149" s="28">
        <f t="shared" si="84"/>
        <v>3.5548184716220559E-2</v>
      </c>
      <c r="R5149" s="33">
        <v>0.16282860775771735</v>
      </c>
      <c r="S5149" s="34">
        <v>3.1699999999999999E-2</v>
      </c>
    </row>
    <row r="5150" spans="16:19" x14ac:dyDescent="0.25">
      <c r="P5150" s="27">
        <v>3.2548184716220556E-2</v>
      </c>
      <c r="Q5150" s="28">
        <f t="shared" si="84"/>
        <v>3.5548184716220559E-2</v>
      </c>
      <c r="R5150" s="33">
        <v>0.16282860775771735</v>
      </c>
      <c r="S5150" s="34">
        <v>3.1E-2</v>
      </c>
    </row>
    <row r="5151" spans="16:19" x14ac:dyDescent="0.25">
      <c r="P5151" s="27">
        <v>3.2548184716220556E-2</v>
      </c>
      <c r="Q5151" s="28">
        <f t="shared" si="84"/>
        <v>3.5548184716220559E-2</v>
      </c>
      <c r="R5151" s="33">
        <v>0.16282860775771735</v>
      </c>
      <c r="S5151" s="34">
        <v>3.1199999999999999E-2</v>
      </c>
    </row>
    <row r="5152" spans="16:19" x14ac:dyDescent="0.25">
      <c r="P5152" s="27">
        <v>3.2548184716220556E-2</v>
      </c>
      <c r="Q5152" s="28">
        <f t="shared" si="84"/>
        <v>3.5548184716220559E-2</v>
      </c>
      <c r="R5152" s="33">
        <v>0.16282860775771735</v>
      </c>
      <c r="S5152" s="34">
        <v>2.1149999999999999E-2</v>
      </c>
    </row>
    <row r="5153" spans="16:19" x14ac:dyDescent="0.25">
      <c r="P5153" s="27">
        <v>3.2548184716220556E-2</v>
      </c>
      <c r="Q5153" s="28">
        <f t="shared" si="84"/>
        <v>3.5548184716220559E-2</v>
      </c>
      <c r="R5153" s="33">
        <v>0.16282860775771735</v>
      </c>
      <c r="S5153" s="34">
        <v>0.02</v>
      </c>
    </row>
    <row r="5154" spans="16:19" x14ac:dyDescent="0.25">
      <c r="P5154" s="27">
        <v>3.2548184716220556E-2</v>
      </c>
      <c r="Q5154" s="28">
        <f t="shared" si="84"/>
        <v>3.5548184716220559E-2</v>
      </c>
      <c r="R5154" s="33">
        <v>0.16282860775771735</v>
      </c>
      <c r="S5154" s="34">
        <v>2.2499999999999999E-2</v>
      </c>
    </row>
    <row r="5155" spans="16:19" x14ac:dyDescent="0.25">
      <c r="P5155" s="27">
        <v>3.2548184716220556E-2</v>
      </c>
      <c r="Q5155" s="28">
        <f t="shared" si="84"/>
        <v>3.5548184716220559E-2</v>
      </c>
      <c r="R5155" s="33">
        <v>0.16282860775771735</v>
      </c>
      <c r="S5155" s="34">
        <v>2.298E-2</v>
      </c>
    </row>
    <row r="5156" spans="16:19" x14ac:dyDescent="0.25">
      <c r="P5156" s="27">
        <v>3.2548184716220556E-2</v>
      </c>
      <c r="Q5156" s="28">
        <f t="shared" si="84"/>
        <v>3.5548184716220559E-2</v>
      </c>
      <c r="R5156" s="33">
        <v>0.16282860775771735</v>
      </c>
      <c r="S5156" s="34">
        <v>3.32E-2</v>
      </c>
    </row>
    <row r="5157" spans="16:19" x14ac:dyDescent="0.25">
      <c r="P5157" s="27">
        <v>3.2548184716220556E-2</v>
      </c>
      <c r="Q5157" s="28">
        <f t="shared" si="84"/>
        <v>3.5548184716220559E-2</v>
      </c>
      <c r="R5157" s="33">
        <v>0.16282860775771735</v>
      </c>
      <c r="S5157" s="34">
        <v>3.0647785E-2</v>
      </c>
    </row>
    <row r="5158" spans="16:19" x14ac:dyDescent="0.25">
      <c r="P5158" s="27">
        <v>3.2548184716220556E-2</v>
      </c>
      <c r="Q5158" s="28">
        <f t="shared" si="84"/>
        <v>3.5548184716220559E-2</v>
      </c>
      <c r="R5158" s="33">
        <v>0.16282860775771735</v>
      </c>
      <c r="S5158" s="34">
        <v>3.866E-2</v>
      </c>
    </row>
    <row r="5159" spans="16:19" x14ac:dyDescent="0.25">
      <c r="P5159" s="27">
        <v>3.2548184716220556E-2</v>
      </c>
      <c r="Q5159" s="28">
        <f t="shared" si="84"/>
        <v>3.5548184716220559E-2</v>
      </c>
      <c r="R5159" s="31">
        <v>0.15939660775771733</v>
      </c>
      <c r="S5159" s="32">
        <v>4.4299999999999999E-2</v>
      </c>
    </row>
    <row r="5160" spans="16:19" x14ac:dyDescent="0.25">
      <c r="P5160" s="27">
        <v>3.2548184716220556E-2</v>
      </c>
      <c r="Q5160" s="28">
        <f t="shared" si="84"/>
        <v>3.5548184716220559E-2</v>
      </c>
      <c r="R5160" s="31">
        <v>0.15939660775771733</v>
      </c>
      <c r="S5160" s="32">
        <v>4.3970000000000002E-2</v>
      </c>
    </row>
    <row r="5161" spans="16:19" x14ac:dyDescent="0.25">
      <c r="P5161" s="27">
        <v>3.2548184716220556E-2</v>
      </c>
      <c r="Q5161" s="28">
        <f t="shared" si="84"/>
        <v>3.5548184716220559E-2</v>
      </c>
      <c r="R5161" s="31">
        <v>0.15939660775771733</v>
      </c>
      <c r="S5161" s="32">
        <v>3.7659999999999999E-2</v>
      </c>
    </row>
    <row r="5162" spans="16:19" x14ac:dyDescent="0.25">
      <c r="P5162" s="27">
        <v>3.2548184716220556E-2</v>
      </c>
      <c r="Q5162" s="28">
        <f t="shared" si="84"/>
        <v>3.5548184716220559E-2</v>
      </c>
      <c r="R5162" s="31">
        <v>0.15939660775771733</v>
      </c>
      <c r="S5162" s="32">
        <v>3.057E-2</v>
      </c>
    </row>
    <row r="5163" spans="16:19" x14ac:dyDescent="0.25">
      <c r="P5163" s="27">
        <v>3.2548184716220556E-2</v>
      </c>
      <c r="Q5163" s="28">
        <f t="shared" si="84"/>
        <v>3.5548184716220559E-2</v>
      </c>
      <c r="R5163" s="29">
        <v>0.15003660775771735</v>
      </c>
      <c r="S5163" s="30">
        <v>2.8944928000000002E-2</v>
      </c>
    </row>
    <row r="5164" spans="16:19" x14ac:dyDescent="0.25">
      <c r="P5164" s="27">
        <v>3.2548184716220556E-2</v>
      </c>
      <c r="Q5164" s="28">
        <f t="shared" si="84"/>
        <v>3.5548184716220559E-2</v>
      </c>
      <c r="R5164" s="29">
        <v>0.15003660775771735</v>
      </c>
      <c r="S5164" s="30">
        <v>2.5000000000000001E-2</v>
      </c>
    </row>
    <row r="5165" spans="16:19" x14ac:dyDescent="0.25">
      <c r="P5165" s="27">
        <v>3.2548184716220556E-2</v>
      </c>
      <c r="Q5165" s="28">
        <f t="shared" si="84"/>
        <v>3.5548184716220559E-2</v>
      </c>
      <c r="R5165" s="29">
        <v>0.15003660775771735</v>
      </c>
      <c r="S5165" s="30">
        <v>2.2860123000000003E-2</v>
      </c>
    </row>
    <row r="5166" spans="16:19" x14ac:dyDescent="0.25">
      <c r="P5166" s="27">
        <v>3.2548184716220556E-2</v>
      </c>
      <c r="Q5166" s="28">
        <f t="shared" si="84"/>
        <v>3.5548184716220559E-2</v>
      </c>
      <c r="R5166" s="29">
        <v>0.15003660775771735</v>
      </c>
      <c r="S5166" s="30">
        <v>2.1414413E-2</v>
      </c>
    </row>
    <row r="5167" spans="16:19" x14ac:dyDescent="0.25">
      <c r="P5167" s="27">
        <v>3.2548184716220556E-2</v>
      </c>
      <c r="Q5167" s="28">
        <f t="shared" si="84"/>
        <v>3.5548184716220559E-2</v>
      </c>
      <c r="R5167" s="29">
        <v>0.15003660775771735</v>
      </c>
      <c r="S5167" s="30">
        <v>2.3899999999999998E-2</v>
      </c>
    </row>
    <row r="5168" spans="16:19" x14ac:dyDescent="0.25">
      <c r="P5168" s="27">
        <v>3.2548184716220556E-2</v>
      </c>
      <c r="Q5168" s="28">
        <f t="shared" si="84"/>
        <v>3.5548184716220559E-2</v>
      </c>
      <c r="R5168" s="29">
        <v>0.15003660775771735</v>
      </c>
      <c r="S5168" s="30">
        <v>3.5009999999999999E-2</v>
      </c>
    </row>
    <row r="5169" spans="16:19" x14ac:dyDescent="0.25">
      <c r="P5169" s="27">
        <v>3.2548184716220556E-2</v>
      </c>
      <c r="Q5169" s="28">
        <f t="shared" si="84"/>
        <v>3.5548184716220559E-2</v>
      </c>
      <c r="R5169" s="29">
        <v>0.15003660775771735</v>
      </c>
      <c r="S5169" s="30">
        <v>3.9990000000000005E-2</v>
      </c>
    </row>
    <row r="5170" spans="16:19" x14ac:dyDescent="0.25">
      <c r="P5170" s="27">
        <v>3.2548184716220556E-2</v>
      </c>
      <c r="Q5170" s="28">
        <f t="shared" si="84"/>
        <v>3.5548184716220559E-2</v>
      </c>
      <c r="R5170" s="29">
        <v>0.15003660775771735</v>
      </c>
      <c r="S5170" s="30">
        <v>4.2590000000000003E-2</v>
      </c>
    </row>
    <row r="5171" spans="16:19" x14ac:dyDescent="0.25">
      <c r="P5171" s="27">
        <v>3.2548184716220556E-2</v>
      </c>
      <c r="Q5171" s="28">
        <f t="shared" si="84"/>
        <v>3.5548184716220559E-2</v>
      </c>
      <c r="R5171" s="31">
        <v>0.15939999999999999</v>
      </c>
      <c r="S5171" s="32">
        <v>4.5060000000000003E-2</v>
      </c>
    </row>
    <row r="5172" spans="16:19" x14ac:dyDescent="0.25">
      <c r="P5172" s="27">
        <v>3.2548184716220556E-2</v>
      </c>
      <c r="Q5172" s="28">
        <f t="shared" si="84"/>
        <v>3.5548184716220559E-2</v>
      </c>
      <c r="R5172" s="31">
        <v>0.15939999999999999</v>
      </c>
      <c r="S5172" s="32">
        <v>4.4999999999999998E-2</v>
      </c>
    </row>
    <row r="5173" spans="16:19" x14ac:dyDescent="0.25">
      <c r="P5173" s="27">
        <v>3.2548184716220556E-2</v>
      </c>
      <c r="Q5173" s="28">
        <f t="shared" si="84"/>
        <v>3.5548184716220559E-2</v>
      </c>
      <c r="R5173" s="31">
        <v>0.15939999999999999</v>
      </c>
      <c r="S5173" s="32">
        <v>4.446E-2</v>
      </c>
    </row>
    <row r="5174" spans="16:19" x14ac:dyDescent="0.25">
      <c r="P5174" s="27">
        <v>3.2548184716220556E-2</v>
      </c>
      <c r="Q5174" s="28">
        <f t="shared" si="84"/>
        <v>3.5548184716220559E-2</v>
      </c>
      <c r="R5174" s="31">
        <v>0.15939999999999999</v>
      </c>
      <c r="S5174" s="32">
        <v>4.2930000000000003E-2</v>
      </c>
    </row>
    <row r="5175" spans="16:19" x14ac:dyDescent="0.25">
      <c r="P5175" s="27">
        <v>3.2548184716220556E-2</v>
      </c>
      <c r="Q5175" s="28">
        <f t="shared" si="84"/>
        <v>3.5548184716220559E-2</v>
      </c>
      <c r="R5175" s="31">
        <v>0.15939999999999999</v>
      </c>
      <c r="S5175" s="32">
        <v>3.8990000000000004E-2</v>
      </c>
    </row>
    <row r="5176" spans="16:19" x14ac:dyDescent="0.25">
      <c r="P5176" s="27">
        <v>3.2548184716220556E-2</v>
      </c>
      <c r="Q5176" s="28">
        <f t="shared" si="84"/>
        <v>3.5548184716220559E-2</v>
      </c>
      <c r="R5176" s="31">
        <v>0.15939999999999999</v>
      </c>
      <c r="S5176" s="32">
        <v>3.7409999999999999E-2</v>
      </c>
    </row>
    <row r="5177" spans="16:19" x14ac:dyDescent="0.25">
      <c r="P5177" s="27">
        <v>3.2548184716220556E-2</v>
      </c>
      <c r="Q5177" s="28">
        <f t="shared" si="84"/>
        <v>3.5548184716220559E-2</v>
      </c>
      <c r="R5177" s="31">
        <v>0.15939999999999999</v>
      </c>
      <c r="S5177" s="32">
        <v>3.9119999999999995E-2</v>
      </c>
    </row>
    <row r="5178" spans="16:19" x14ac:dyDescent="0.25">
      <c r="P5178" s="27">
        <v>3.2548184716220556E-2</v>
      </c>
      <c r="Q5178" s="28">
        <f t="shared" si="84"/>
        <v>3.5548184716220559E-2</v>
      </c>
      <c r="R5178" s="31">
        <v>0.15939999999999999</v>
      </c>
      <c r="S5178" s="32">
        <v>4.02E-2</v>
      </c>
    </row>
    <row r="5179" spans="16:19" x14ac:dyDescent="0.25">
      <c r="P5179" s="27">
        <v>3.2548184716220556E-2</v>
      </c>
      <c r="Q5179" s="28">
        <f t="shared" si="84"/>
        <v>3.5548184716220559E-2</v>
      </c>
      <c r="R5179" s="31">
        <v>0.15939999999999999</v>
      </c>
      <c r="S5179" s="32">
        <v>4.0509999999999997E-2</v>
      </c>
    </row>
    <row r="5180" spans="16:19" x14ac:dyDescent="0.25">
      <c r="P5180" s="27">
        <v>3.2548184716220556E-2</v>
      </c>
      <c r="Q5180" s="28">
        <f t="shared" si="84"/>
        <v>3.5548184716220559E-2</v>
      </c>
      <c r="R5180" s="31">
        <v>0.15939999999999999</v>
      </c>
      <c r="S5180" s="32">
        <v>4.446E-2</v>
      </c>
    </row>
    <row r="5181" spans="16:19" x14ac:dyDescent="0.25">
      <c r="P5181" s="27">
        <v>3.2548184716220556E-2</v>
      </c>
      <c r="Q5181" s="28">
        <f t="shared" si="84"/>
        <v>3.5548184716220559E-2</v>
      </c>
      <c r="R5181" s="31">
        <v>0.15939999999999999</v>
      </c>
      <c r="S5181" s="32">
        <v>4.6259999999999996E-2</v>
      </c>
    </row>
    <row r="5182" spans="16:19" x14ac:dyDescent="0.25">
      <c r="P5182" s="27">
        <v>3.2548184716220556E-2</v>
      </c>
      <c r="Q5182" s="28">
        <f t="shared" si="84"/>
        <v>3.5548184716220559E-2</v>
      </c>
      <c r="R5182" s="31">
        <v>0.15939999999999999</v>
      </c>
      <c r="S5182" s="32">
        <v>4.7960000000000003E-2</v>
      </c>
    </row>
    <row r="5183" spans="16:19" x14ac:dyDescent="0.25">
      <c r="P5183" s="27">
        <v>3.2548184716220556E-2</v>
      </c>
      <c r="Q5183" s="28">
        <f t="shared" si="84"/>
        <v>3.5548184716220559E-2</v>
      </c>
      <c r="R5183" s="31">
        <v>0.15939999999999999</v>
      </c>
      <c r="S5183" s="32">
        <v>4.9299999999999997E-2</v>
      </c>
    </row>
    <row r="5184" spans="16:19" x14ac:dyDescent="0.25">
      <c r="P5184" s="27">
        <v>3.2548184716220556E-2</v>
      </c>
      <c r="Q5184" s="28">
        <f t="shared" si="84"/>
        <v>3.5548184716220559E-2</v>
      </c>
      <c r="R5184" s="31">
        <v>0.15939999999999999</v>
      </c>
      <c r="S5184" s="32">
        <v>4.8570000000000002E-2</v>
      </c>
    </row>
    <row r="5185" spans="16:19" x14ac:dyDescent="0.25">
      <c r="P5185" s="27">
        <v>3.2548184716220556E-2</v>
      </c>
      <c r="Q5185" s="28">
        <f t="shared" si="84"/>
        <v>3.5548184716220559E-2</v>
      </c>
      <c r="R5185" s="31">
        <v>0.15939999999999999</v>
      </c>
      <c r="S5185" s="32">
        <v>4.5030000000000001E-2</v>
      </c>
    </row>
    <row r="5186" spans="16:19" x14ac:dyDescent="0.25">
      <c r="P5186" s="27">
        <v>3.2548184716220556E-2</v>
      </c>
      <c r="Q5186" s="28">
        <f t="shared" si="84"/>
        <v>3.5548184716220559E-2</v>
      </c>
      <c r="R5186" s="31">
        <v>0.15939999999999999</v>
      </c>
      <c r="S5186" s="32">
        <v>4.2981394999999999E-2</v>
      </c>
    </row>
    <row r="5187" spans="16:19" x14ac:dyDescent="0.25">
      <c r="P5187" s="27">
        <v>3.2548184716220556E-2</v>
      </c>
      <c r="Q5187" s="28">
        <f t="shared" si="84"/>
        <v>3.5548184716220559E-2</v>
      </c>
      <c r="R5187" s="29">
        <v>0.15</v>
      </c>
      <c r="S5187" s="30">
        <v>4.0460000000000003E-2</v>
      </c>
    </row>
    <row r="5188" spans="16:19" x14ac:dyDescent="0.25">
      <c r="P5188" s="27">
        <v>3.2548184716220556E-2</v>
      </c>
      <c r="Q5188" s="28">
        <f t="shared" si="84"/>
        <v>3.5548184716220559E-2</v>
      </c>
      <c r="R5188" s="29">
        <v>0.15</v>
      </c>
      <c r="S5188" s="30">
        <v>3.7490000000000002E-2</v>
      </c>
    </row>
    <row r="5189" spans="16:19" x14ac:dyDescent="0.25">
      <c r="P5189" s="27">
        <v>3.2548184716220556E-2</v>
      </c>
      <c r="Q5189" s="28">
        <f t="shared" ref="Q5189:Q5252" si="85">P5189+0.003</f>
        <v>3.5548184716220559E-2</v>
      </c>
      <c r="R5189" s="29">
        <v>0.15</v>
      </c>
      <c r="S5189" s="30">
        <v>3.5569999999999997E-2</v>
      </c>
    </row>
    <row r="5190" spans="16:19" x14ac:dyDescent="0.25">
      <c r="P5190" s="27">
        <v>3.2548184716220556E-2</v>
      </c>
      <c r="Q5190" s="28">
        <f t="shared" si="85"/>
        <v>3.5548184716220559E-2</v>
      </c>
      <c r="R5190" s="29">
        <v>0.15</v>
      </c>
      <c r="S5190" s="30">
        <v>3.5569999999999997E-2</v>
      </c>
    </row>
    <row r="5191" spans="16:19" x14ac:dyDescent="0.25">
      <c r="P5191" s="27">
        <v>3.2548184716220556E-2</v>
      </c>
      <c r="Q5191" s="28">
        <f t="shared" si="85"/>
        <v>3.5548184716220559E-2</v>
      </c>
      <c r="R5191" s="29">
        <v>0.15</v>
      </c>
      <c r="S5191" s="30">
        <v>3.5569999999999997E-2</v>
      </c>
    </row>
    <row r="5192" spans="16:19" x14ac:dyDescent="0.25">
      <c r="P5192" s="27">
        <v>3.2548184716220556E-2</v>
      </c>
      <c r="Q5192" s="28">
        <f t="shared" si="85"/>
        <v>3.5548184716220559E-2</v>
      </c>
      <c r="R5192" s="29">
        <v>0.15</v>
      </c>
      <c r="S5192" s="30">
        <v>3.8590000000000006E-2</v>
      </c>
    </row>
    <row r="5193" spans="16:19" x14ac:dyDescent="0.25">
      <c r="P5193" s="27">
        <v>3.2548184716220556E-2</v>
      </c>
      <c r="Q5193" s="28">
        <f t="shared" si="85"/>
        <v>3.5548184716220559E-2</v>
      </c>
      <c r="R5193" s="29">
        <v>0.15</v>
      </c>
      <c r="S5193" s="30">
        <v>3.9949999999999999E-2</v>
      </c>
    </row>
    <row r="5194" spans="16:19" x14ac:dyDescent="0.25">
      <c r="P5194" s="27">
        <v>3.2548184716220556E-2</v>
      </c>
      <c r="Q5194" s="28">
        <f t="shared" si="85"/>
        <v>3.5548184716220559E-2</v>
      </c>
      <c r="R5194" s="29">
        <v>0.15</v>
      </c>
      <c r="S5194" s="30">
        <v>4.4060000000000002E-2</v>
      </c>
    </row>
    <row r="5195" spans="16:19" x14ac:dyDescent="0.25">
      <c r="P5195" s="27">
        <v>3.2548184716220556E-2</v>
      </c>
      <c r="Q5195" s="28">
        <f t="shared" si="85"/>
        <v>3.5548184716220559E-2</v>
      </c>
      <c r="R5195" s="29">
        <v>0.15</v>
      </c>
      <c r="S5195" s="30">
        <v>4.5859999999999998E-2</v>
      </c>
    </row>
    <row r="5196" spans="16:19" x14ac:dyDescent="0.25">
      <c r="P5196" s="27">
        <v>3.2548184716220556E-2</v>
      </c>
      <c r="Q5196" s="28">
        <f t="shared" si="85"/>
        <v>3.5548184716220559E-2</v>
      </c>
      <c r="R5196" s="29">
        <v>0.15</v>
      </c>
      <c r="S5196" s="30">
        <v>4.7100000000000003E-2</v>
      </c>
    </row>
    <row r="5197" spans="16:19" x14ac:dyDescent="0.25">
      <c r="P5197" s="27">
        <v>3.2548184716220556E-2</v>
      </c>
      <c r="Q5197" s="28">
        <f t="shared" si="85"/>
        <v>3.5548184716220559E-2</v>
      </c>
      <c r="R5197" s="29">
        <v>0.15</v>
      </c>
      <c r="S5197" s="30">
        <v>4.4868240999999996E-2</v>
      </c>
    </row>
    <row r="5198" spans="16:19" x14ac:dyDescent="0.25">
      <c r="P5198" s="27">
        <v>3.2548184716220556E-2</v>
      </c>
      <c r="Q5198" s="28">
        <f t="shared" si="85"/>
        <v>3.5548184716220559E-2</v>
      </c>
      <c r="R5198" s="29">
        <v>0.15</v>
      </c>
      <c r="S5198" s="30">
        <v>4.4299999999999999E-2</v>
      </c>
    </row>
    <row r="5199" spans="16:19" x14ac:dyDescent="0.25">
      <c r="P5199" s="27">
        <v>3.2548184716220556E-2</v>
      </c>
      <c r="Q5199" s="28">
        <f t="shared" si="85"/>
        <v>3.5548184716220559E-2</v>
      </c>
      <c r="R5199" s="29">
        <v>0.15</v>
      </c>
      <c r="S5199" s="30">
        <v>4.0989999999999999E-2</v>
      </c>
    </row>
    <row r="5200" spans="16:19" x14ac:dyDescent="0.25">
      <c r="P5200" s="27">
        <v>3.2548184716220556E-2</v>
      </c>
      <c r="Q5200" s="28">
        <f t="shared" si="85"/>
        <v>3.5548184716220559E-2</v>
      </c>
      <c r="R5200" s="29">
        <v>0.15</v>
      </c>
      <c r="S5200" s="30">
        <v>4.0460000000000003E-2</v>
      </c>
    </row>
    <row r="5201" spans="16:19" x14ac:dyDescent="0.25">
      <c r="P5201" s="27">
        <v>3.2548184716220556E-2</v>
      </c>
      <c r="Q5201" s="28">
        <f t="shared" si="85"/>
        <v>3.5548184716220559E-2</v>
      </c>
      <c r="R5201" s="29">
        <v>0.15</v>
      </c>
      <c r="S5201" s="30">
        <v>4.2360000000000002E-2</v>
      </c>
    </row>
    <row r="5202" spans="16:19" x14ac:dyDescent="0.25">
      <c r="P5202" s="27">
        <v>3.2548184716220556E-2</v>
      </c>
      <c r="Q5202" s="28">
        <f t="shared" si="85"/>
        <v>3.5548184716220559E-2</v>
      </c>
      <c r="R5202" s="29">
        <v>0.15</v>
      </c>
      <c r="S5202" s="30">
        <v>4.3999999999999997E-2</v>
      </c>
    </row>
    <row r="5203" spans="16:19" x14ac:dyDescent="0.25">
      <c r="P5203" s="27">
        <v>3.2548184716220556E-2</v>
      </c>
      <c r="Q5203" s="28">
        <f t="shared" si="85"/>
        <v>3.5548184716220559E-2</v>
      </c>
      <c r="R5203" s="29">
        <v>0.15</v>
      </c>
      <c r="S5203" s="30">
        <v>4.3999999999999997E-2</v>
      </c>
    </row>
    <row r="5204" spans="16:19" x14ac:dyDescent="0.25">
      <c r="P5204" s="27">
        <v>3.2548184716220556E-2</v>
      </c>
      <c r="Q5204" s="28">
        <f t="shared" si="85"/>
        <v>3.5548184716220559E-2</v>
      </c>
      <c r="R5204" s="29">
        <v>0.15</v>
      </c>
      <c r="S5204" s="30">
        <v>4.4469999999999996E-2</v>
      </c>
    </row>
    <row r="5205" spans="16:19" x14ac:dyDescent="0.25">
      <c r="P5205" s="27">
        <v>3.2548184716220556E-2</v>
      </c>
      <c r="Q5205" s="28">
        <f t="shared" si="85"/>
        <v>3.5548184716220559E-2</v>
      </c>
      <c r="R5205" s="29">
        <v>0.15</v>
      </c>
      <c r="S5205" s="30">
        <v>4.5810000000000003E-2</v>
      </c>
    </row>
    <row r="5206" spans="16:19" x14ac:dyDescent="0.25">
      <c r="P5206" s="27">
        <v>3.2548184716220556E-2</v>
      </c>
      <c r="Q5206" s="28">
        <f t="shared" si="85"/>
        <v>3.5548184716220559E-2</v>
      </c>
      <c r="R5206" s="29">
        <v>0.15</v>
      </c>
      <c r="S5206" s="30">
        <v>4.8000000000000001E-2</v>
      </c>
    </row>
    <row r="5207" spans="16:19" x14ac:dyDescent="0.25">
      <c r="P5207" s="27">
        <v>3.2548184716220556E-2</v>
      </c>
      <c r="Q5207" s="28">
        <f t="shared" si="85"/>
        <v>3.5548184716220559E-2</v>
      </c>
      <c r="R5207" s="29">
        <v>0.15</v>
      </c>
      <c r="S5207" s="30">
        <v>4.9590000000000002E-2</v>
      </c>
    </row>
    <row r="5208" spans="16:19" x14ac:dyDescent="0.25">
      <c r="P5208" s="27">
        <v>3.2548184716220556E-2</v>
      </c>
      <c r="Q5208" s="28">
        <f t="shared" si="85"/>
        <v>3.5548184716220559E-2</v>
      </c>
      <c r="R5208" s="29">
        <v>0.15</v>
      </c>
      <c r="S5208" s="30">
        <v>4.904E-2</v>
      </c>
    </row>
    <row r="5209" spans="16:19" x14ac:dyDescent="0.25">
      <c r="P5209" s="27">
        <v>3.2548184716220556E-2</v>
      </c>
      <c r="Q5209" s="28">
        <f t="shared" si="85"/>
        <v>3.5548184716220559E-2</v>
      </c>
      <c r="R5209" s="29">
        <v>0.15</v>
      </c>
      <c r="S5209" s="30">
        <v>4.4560000000000002E-2</v>
      </c>
    </row>
    <row r="5210" spans="16:19" x14ac:dyDescent="0.25">
      <c r="P5210" s="27">
        <v>3.2548184716220556E-2</v>
      </c>
      <c r="Q5210" s="28">
        <f t="shared" si="85"/>
        <v>3.5548184716220559E-2</v>
      </c>
      <c r="R5210" s="29">
        <v>0.15</v>
      </c>
      <c r="S5210" s="30">
        <v>4.2880000000000001E-2</v>
      </c>
    </row>
    <row r="5211" spans="16:19" x14ac:dyDescent="0.25">
      <c r="P5211" s="27">
        <v>3.2548184716220556E-2</v>
      </c>
      <c r="Q5211" s="28">
        <f t="shared" si="85"/>
        <v>3.5548184716220559E-2</v>
      </c>
      <c r="R5211" s="29">
        <v>0.15</v>
      </c>
      <c r="S5211" s="30">
        <v>3.9949999999999999E-2</v>
      </c>
    </row>
    <row r="5212" spans="16:19" x14ac:dyDescent="0.25">
      <c r="P5212" s="27">
        <v>3.2548184716220556E-2</v>
      </c>
      <c r="Q5212" s="28">
        <f t="shared" si="85"/>
        <v>3.5548184716220559E-2</v>
      </c>
      <c r="R5212" s="29">
        <v>0.15</v>
      </c>
      <c r="S5212" s="30">
        <v>3.7359999999999997E-2</v>
      </c>
    </row>
    <row r="5213" spans="16:19" x14ac:dyDescent="0.25">
      <c r="P5213" s="27">
        <v>3.2548184716220556E-2</v>
      </c>
      <c r="Q5213" s="28">
        <f t="shared" si="85"/>
        <v>3.5548184716220559E-2</v>
      </c>
      <c r="R5213" s="29">
        <v>0.15</v>
      </c>
      <c r="S5213" s="30">
        <v>3.5569999999999997E-2</v>
      </c>
    </row>
    <row r="5214" spans="16:19" x14ac:dyDescent="0.25">
      <c r="P5214" s="27">
        <v>3.2548184716220556E-2</v>
      </c>
      <c r="Q5214" s="28">
        <f t="shared" si="85"/>
        <v>3.5548184716220559E-2</v>
      </c>
      <c r="R5214" s="29">
        <v>0.15</v>
      </c>
      <c r="S5214" s="30">
        <v>3.3350771000000001E-2</v>
      </c>
    </row>
    <row r="5215" spans="16:19" x14ac:dyDescent="0.25">
      <c r="P5215" s="27">
        <v>3.2548184716220556E-2</v>
      </c>
      <c r="Q5215" s="28">
        <f t="shared" si="85"/>
        <v>3.5548184716220559E-2</v>
      </c>
      <c r="R5215" s="29">
        <v>0.15</v>
      </c>
      <c r="S5215" s="30">
        <v>3.5000000000000003E-2</v>
      </c>
    </row>
    <row r="5216" spans="16:19" x14ac:dyDescent="0.25">
      <c r="P5216" s="27">
        <v>3.2548184716220556E-2</v>
      </c>
      <c r="Q5216" s="28">
        <f t="shared" si="85"/>
        <v>3.5548184716220559E-2</v>
      </c>
      <c r="R5216" s="29">
        <v>0.15</v>
      </c>
      <c r="S5216" s="30">
        <v>3.6049999999999999E-2</v>
      </c>
    </row>
    <row r="5217" spans="16:19" x14ac:dyDescent="0.25">
      <c r="P5217" s="27">
        <v>3.2548184716220556E-2</v>
      </c>
      <c r="Q5217" s="28">
        <f t="shared" si="85"/>
        <v>3.5548184716220559E-2</v>
      </c>
      <c r="R5217" s="29">
        <v>0.15</v>
      </c>
      <c r="S5217" s="30">
        <v>3.7417371999999997E-2</v>
      </c>
    </row>
    <row r="5218" spans="16:19" x14ac:dyDescent="0.25">
      <c r="P5218" s="27">
        <v>3.2548184716220556E-2</v>
      </c>
      <c r="Q5218" s="28">
        <f t="shared" si="85"/>
        <v>3.5548184716220559E-2</v>
      </c>
      <c r="R5218" s="29">
        <v>0.15</v>
      </c>
      <c r="S5218" s="30">
        <v>4.0490000000000005E-2</v>
      </c>
    </row>
    <row r="5219" spans="16:19" x14ac:dyDescent="0.25">
      <c r="P5219" s="27">
        <v>3.2548184716220556E-2</v>
      </c>
      <c r="Q5219" s="28">
        <f t="shared" si="85"/>
        <v>3.5548184716220559E-2</v>
      </c>
      <c r="R5219" s="31">
        <v>0.15939660775771733</v>
      </c>
      <c r="S5219" s="32">
        <v>4.446E-2</v>
      </c>
    </row>
    <row r="5220" spans="16:19" x14ac:dyDescent="0.25">
      <c r="P5220" s="27">
        <v>3.2548184716220556E-2</v>
      </c>
      <c r="Q5220" s="28">
        <f t="shared" si="85"/>
        <v>3.5548184716220559E-2</v>
      </c>
      <c r="R5220" s="33">
        <v>0.16282860775771735</v>
      </c>
      <c r="S5220" s="34">
        <v>4.3999999999999997E-2</v>
      </c>
    </row>
    <row r="5221" spans="16:19" x14ac:dyDescent="0.25">
      <c r="P5221" s="27">
        <v>3.2548184716220556E-2</v>
      </c>
      <c r="Q5221" s="28">
        <f t="shared" si="85"/>
        <v>3.5548184716220559E-2</v>
      </c>
      <c r="R5221" s="33">
        <v>0.16282860775771735</v>
      </c>
      <c r="S5221" s="34">
        <v>0.04</v>
      </c>
    </row>
    <row r="5222" spans="16:19" x14ac:dyDescent="0.25">
      <c r="P5222" s="27">
        <v>3.2548184716220556E-2</v>
      </c>
      <c r="Q5222" s="28">
        <f t="shared" si="85"/>
        <v>3.5548184716220559E-2</v>
      </c>
      <c r="R5222" s="33">
        <v>0.16282860775771735</v>
      </c>
      <c r="S5222" s="34">
        <v>3.7990000000000003E-2</v>
      </c>
    </row>
    <row r="5223" spans="16:19" x14ac:dyDescent="0.25">
      <c r="P5223" s="27">
        <v>3.2548184716220556E-2</v>
      </c>
      <c r="Q5223" s="28">
        <f t="shared" si="85"/>
        <v>3.5548184716220559E-2</v>
      </c>
      <c r="R5223" s="33">
        <v>0.16282860775771735</v>
      </c>
      <c r="S5223" s="34">
        <v>3.4570000000000004E-2</v>
      </c>
    </row>
    <row r="5224" spans="16:19" x14ac:dyDescent="0.25">
      <c r="P5224" s="27">
        <v>3.2548184716220556E-2</v>
      </c>
      <c r="Q5224" s="28">
        <f t="shared" si="85"/>
        <v>3.5548184716220559E-2</v>
      </c>
      <c r="R5224" s="33">
        <v>0.16282860775771735</v>
      </c>
      <c r="S5224" s="34">
        <v>3.227E-2</v>
      </c>
    </row>
    <row r="5225" spans="16:19" x14ac:dyDescent="0.25">
      <c r="P5225" s="27">
        <v>3.2548184716220556E-2</v>
      </c>
      <c r="Q5225" s="28">
        <f t="shared" si="85"/>
        <v>3.5548184716220559E-2</v>
      </c>
      <c r="R5225" s="33">
        <v>0.16282860775771735</v>
      </c>
      <c r="S5225" s="34">
        <v>3.3489999999999999E-2</v>
      </c>
    </row>
    <row r="5226" spans="16:19" x14ac:dyDescent="0.25">
      <c r="P5226" s="27">
        <v>3.2548184716220556E-2</v>
      </c>
      <c r="Q5226" s="28">
        <f t="shared" si="85"/>
        <v>3.5548184716220559E-2</v>
      </c>
      <c r="R5226" s="33">
        <v>0.16282860775771735</v>
      </c>
      <c r="S5226" s="34">
        <v>3.5060000000000001E-2</v>
      </c>
    </row>
    <row r="5227" spans="16:19" x14ac:dyDescent="0.25">
      <c r="P5227" s="27">
        <v>3.2548184716220556E-2</v>
      </c>
      <c r="Q5227" s="28">
        <f t="shared" si="85"/>
        <v>3.5548184716220559E-2</v>
      </c>
      <c r="R5227" s="33">
        <v>0.16282860775771735</v>
      </c>
      <c r="S5227" s="34">
        <v>3.9490000000000004E-2</v>
      </c>
    </row>
    <row r="5228" spans="16:19" x14ac:dyDescent="0.25">
      <c r="P5228" s="27">
        <v>3.2548184716220556E-2</v>
      </c>
      <c r="Q5228" s="28">
        <f t="shared" si="85"/>
        <v>3.5548184716220559E-2</v>
      </c>
      <c r="R5228" s="33">
        <v>0.16282860775771735</v>
      </c>
      <c r="S5228" s="34">
        <v>4.0659999999999995E-2</v>
      </c>
    </row>
    <row r="5229" spans="16:19" x14ac:dyDescent="0.25">
      <c r="P5229" s="27">
        <v>3.2548184716220556E-2</v>
      </c>
      <c r="Q5229" s="28">
        <f t="shared" si="85"/>
        <v>3.5548184716220559E-2</v>
      </c>
      <c r="R5229" s="33">
        <v>0.16282860775771735</v>
      </c>
      <c r="S5229" s="34">
        <v>4.4200000000000003E-2</v>
      </c>
    </row>
    <row r="5230" spans="16:19" x14ac:dyDescent="0.25">
      <c r="P5230" s="27">
        <v>3.2548184716220556E-2</v>
      </c>
      <c r="Q5230" s="28">
        <f t="shared" si="85"/>
        <v>3.5548184716220559E-2</v>
      </c>
      <c r="R5230" s="33">
        <v>0.16282860775771735</v>
      </c>
      <c r="S5230" s="34">
        <v>4.7329999999999997E-2</v>
      </c>
    </row>
    <row r="5231" spans="16:19" x14ac:dyDescent="0.25">
      <c r="P5231" s="27">
        <v>3.2548184716220556E-2</v>
      </c>
      <c r="Q5231" s="28">
        <f t="shared" si="85"/>
        <v>3.5548184716220559E-2</v>
      </c>
      <c r="R5231" s="31">
        <v>0.15939660775771733</v>
      </c>
      <c r="S5231" s="32">
        <v>4.8549999999999996E-2</v>
      </c>
    </row>
    <row r="5232" spans="16:19" x14ac:dyDescent="0.25">
      <c r="P5232" s="27">
        <v>3.2548184716220556E-2</v>
      </c>
      <c r="Q5232" s="28">
        <f t="shared" si="85"/>
        <v>3.5548184716220559E-2</v>
      </c>
      <c r="R5232" s="31">
        <v>0.15939660775771733</v>
      </c>
      <c r="S5232" s="32">
        <v>4.9299999999999997E-2</v>
      </c>
    </row>
    <row r="5233" spans="16:19" x14ac:dyDescent="0.25">
      <c r="P5233" s="27">
        <v>3.2548184716220556E-2</v>
      </c>
      <c r="Q5233" s="28">
        <f t="shared" si="85"/>
        <v>3.5548184716220559E-2</v>
      </c>
      <c r="R5233" s="31">
        <v>0.15939660775771733</v>
      </c>
      <c r="S5233" s="32">
        <v>4.3369999999999999E-2</v>
      </c>
    </row>
    <row r="5234" spans="16:19" x14ac:dyDescent="0.25">
      <c r="P5234" s="27">
        <v>3.2548184716220556E-2</v>
      </c>
      <c r="Q5234" s="28">
        <f t="shared" si="85"/>
        <v>3.5548184716220559E-2</v>
      </c>
      <c r="R5234" s="31">
        <v>0.15939660775771733</v>
      </c>
      <c r="S5234" s="32">
        <v>4.02E-2</v>
      </c>
    </row>
    <row r="5235" spans="16:19" x14ac:dyDescent="0.25">
      <c r="P5235" s="27">
        <v>3.2548184716220556E-2</v>
      </c>
      <c r="Q5235" s="28">
        <f t="shared" si="85"/>
        <v>3.5548184716220559E-2</v>
      </c>
      <c r="R5235" s="29">
        <v>0.15003660775771735</v>
      </c>
      <c r="S5235" s="30">
        <v>3.5009999999999999E-2</v>
      </c>
    </row>
    <row r="5236" spans="16:19" x14ac:dyDescent="0.25">
      <c r="P5236" s="27">
        <v>3.2548184716220556E-2</v>
      </c>
      <c r="Q5236" s="28">
        <f t="shared" si="85"/>
        <v>3.5548184716220559E-2</v>
      </c>
      <c r="R5236" s="29">
        <v>0.15003660775771735</v>
      </c>
      <c r="S5236" s="30">
        <v>3.1050000000000001E-2</v>
      </c>
    </row>
    <row r="5237" spans="16:19" x14ac:dyDescent="0.25">
      <c r="P5237" s="27">
        <v>3.2548184716220556E-2</v>
      </c>
      <c r="Q5237" s="28">
        <f t="shared" si="85"/>
        <v>3.5548184716220559E-2</v>
      </c>
      <c r="R5237" s="29">
        <v>0.15003660775771735</v>
      </c>
      <c r="S5237" s="30">
        <v>3.015E-2</v>
      </c>
    </row>
    <row r="5238" spans="16:19" x14ac:dyDescent="0.25">
      <c r="P5238" s="27">
        <v>3.2548184716220556E-2</v>
      </c>
      <c r="Q5238" s="28">
        <f t="shared" si="85"/>
        <v>3.5548184716220559E-2</v>
      </c>
      <c r="R5238" s="29">
        <v>0.15003660775771735</v>
      </c>
      <c r="S5238" s="30">
        <v>2.6339999999999999E-2</v>
      </c>
    </row>
    <row r="5239" spans="16:19" x14ac:dyDescent="0.25">
      <c r="P5239" s="27">
        <v>3.2548184716220556E-2</v>
      </c>
      <c r="Q5239" s="28">
        <f t="shared" si="85"/>
        <v>3.5548184716220559E-2</v>
      </c>
      <c r="R5239" s="29">
        <v>0.15003660775771735</v>
      </c>
      <c r="S5239" s="30">
        <v>2.7280000000000002E-2</v>
      </c>
    </row>
    <row r="5240" spans="16:19" x14ac:dyDescent="0.25">
      <c r="P5240" s="27">
        <v>3.2548184716220556E-2</v>
      </c>
      <c r="Q5240" s="28">
        <f t="shared" si="85"/>
        <v>3.5548184716220559E-2</v>
      </c>
      <c r="R5240" s="29">
        <v>0.15003660775771735</v>
      </c>
      <c r="S5240" s="30">
        <v>3.015E-2</v>
      </c>
    </row>
    <row r="5241" spans="16:19" x14ac:dyDescent="0.25">
      <c r="P5241" s="27">
        <v>3.2548184716220556E-2</v>
      </c>
      <c r="Q5241" s="28">
        <f t="shared" si="85"/>
        <v>3.5548184716220559E-2</v>
      </c>
      <c r="R5241" s="29">
        <v>0.15003660775771735</v>
      </c>
      <c r="S5241" s="30">
        <v>3.5200000000000002E-2</v>
      </c>
    </row>
    <row r="5242" spans="16:19" x14ac:dyDescent="0.25">
      <c r="P5242" s="27">
        <v>3.2548184716220556E-2</v>
      </c>
      <c r="Q5242" s="28">
        <f t="shared" si="85"/>
        <v>3.5548184716220559E-2</v>
      </c>
      <c r="R5242" s="29">
        <v>0.15003660775771735</v>
      </c>
      <c r="S5242" s="30">
        <v>4.1059999999999999E-2</v>
      </c>
    </row>
    <row r="5243" spans="16:19" x14ac:dyDescent="0.25">
      <c r="P5243" s="27">
        <v>3.2548184716220556E-2</v>
      </c>
      <c r="Q5243" s="28">
        <f t="shared" si="85"/>
        <v>3.5548184716220559E-2</v>
      </c>
      <c r="R5243" s="31">
        <v>0.15939660775771733</v>
      </c>
      <c r="S5243" s="32">
        <v>4.4999999999999998E-2</v>
      </c>
    </row>
    <row r="5244" spans="16:19" x14ac:dyDescent="0.25">
      <c r="P5244" s="27">
        <v>3.2548184716220556E-2</v>
      </c>
      <c r="Q5244" s="28">
        <f t="shared" si="85"/>
        <v>3.5548184716220559E-2</v>
      </c>
      <c r="R5244" s="33">
        <v>0.16282860775771735</v>
      </c>
      <c r="S5244" s="34">
        <v>4.3369999999999999E-2</v>
      </c>
    </row>
    <row r="5245" spans="16:19" x14ac:dyDescent="0.25">
      <c r="P5245" s="27">
        <v>3.2548184716220556E-2</v>
      </c>
      <c r="Q5245" s="28">
        <f t="shared" si="85"/>
        <v>3.5548184716220559E-2</v>
      </c>
      <c r="R5245" s="33">
        <v>0.16282860775771735</v>
      </c>
      <c r="S5245" s="34">
        <v>4.02E-2</v>
      </c>
    </row>
    <row r="5246" spans="16:19" x14ac:dyDescent="0.25">
      <c r="P5246" s="27">
        <v>3.2548184716220556E-2</v>
      </c>
      <c r="Q5246" s="28">
        <f t="shared" si="85"/>
        <v>3.5548184716220559E-2</v>
      </c>
      <c r="R5246" s="33">
        <v>0.16282860775771735</v>
      </c>
      <c r="S5246" s="34">
        <v>3.9210000000000002E-2</v>
      </c>
    </row>
    <row r="5247" spans="16:19" x14ac:dyDescent="0.25">
      <c r="P5247" s="27">
        <v>3.2548184716220556E-2</v>
      </c>
      <c r="Q5247" s="28">
        <f t="shared" si="85"/>
        <v>3.5548184716220559E-2</v>
      </c>
      <c r="R5247" s="33">
        <v>0.16282860775771735</v>
      </c>
      <c r="S5247" s="34">
        <v>3.637E-2</v>
      </c>
    </row>
    <row r="5248" spans="16:19" x14ac:dyDescent="0.25">
      <c r="P5248" s="27">
        <v>3.2548184716220556E-2</v>
      </c>
      <c r="Q5248" s="28">
        <f t="shared" si="85"/>
        <v>3.5548184716220559E-2</v>
      </c>
      <c r="R5248" s="33">
        <v>0.16282860775771735</v>
      </c>
      <c r="S5248" s="34">
        <v>3.5000000000000003E-2</v>
      </c>
    </row>
    <row r="5249" spans="16:19" x14ac:dyDescent="0.25">
      <c r="P5249" s="27">
        <v>3.2548184716220556E-2</v>
      </c>
      <c r="Q5249" s="28">
        <f t="shared" si="85"/>
        <v>3.5548184716220559E-2</v>
      </c>
      <c r="R5249" s="33">
        <v>0.16282860775771735</v>
      </c>
      <c r="S5249" s="34">
        <v>3.6270000000000004E-2</v>
      </c>
    </row>
    <row r="5250" spans="16:19" x14ac:dyDescent="0.25">
      <c r="P5250" s="27">
        <v>3.2548184716220556E-2</v>
      </c>
      <c r="Q5250" s="28">
        <f t="shared" si="85"/>
        <v>3.5548184716220559E-2</v>
      </c>
      <c r="R5250" s="33">
        <v>0.16282860775771735</v>
      </c>
      <c r="S5250" s="34">
        <v>3.9060000000000004E-2</v>
      </c>
    </row>
    <row r="5251" spans="16:19" x14ac:dyDescent="0.25">
      <c r="P5251" s="27">
        <v>3.2548184716220556E-2</v>
      </c>
      <c r="Q5251" s="28">
        <f t="shared" si="85"/>
        <v>3.5548184716220559E-2</v>
      </c>
      <c r="R5251" s="33">
        <v>0.16282860775771735</v>
      </c>
      <c r="S5251" s="34">
        <v>0.04</v>
      </c>
    </row>
    <row r="5252" spans="16:19" x14ac:dyDescent="0.25">
      <c r="P5252" s="27">
        <v>3.2548184716220556E-2</v>
      </c>
      <c r="Q5252" s="28">
        <f t="shared" si="85"/>
        <v>3.5548184716220559E-2</v>
      </c>
      <c r="R5252" s="33">
        <v>0.16282860775771735</v>
      </c>
      <c r="S5252" s="34">
        <v>4.2779999999999999E-2</v>
      </c>
    </row>
    <row r="5253" spans="16:19" x14ac:dyDescent="0.25">
      <c r="P5253" s="27">
        <v>3.2548184716220556E-2</v>
      </c>
      <c r="Q5253" s="28">
        <f t="shared" ref="Q5253:Q5316" si="86">P5253+0.003</f>
        <v>3.5548184716220559E-2</v>
      </c>
      <c r="R5253" s="33">
        <v>0.16282860775771735</v>
      </c>
      <c r="S5253" s="34">
        <v>4.4700000000000004E-2</v>
      </c>
    </row>
    <row r="5254" spans="16:19" x14ac:dyDescent="0.25">
      <c r="P5254" s="27">
        <v>3.2548184716220556E-2</v>
      </c>
      <c r="Q5254" s="28">
        <f t="shared" si="86"/>
        <v>3.5548184716220559E-2</v>
      </c>
      <c r="R5254" s="33">
        <v>0.16282860775771735</v>
      </c>
      <c r="S5254" s="34">
        <v>4.5020000000000004E-2</v>
      </c>
    </row>
    <row r="5255" spans="16:19" x14ac:dyDescent="0.25">
      <c r="P5255" s="27">
        <v>3.2548184716220556E-2</v>
      </c>
      <c r="Q5255" s="28">
        <f t="shared" si="86"/>
        <v>3.5548184716220559E-2</v>
      </c>
      <c r="R5255" s="31">
        <v>0.15939660775771733</v>
      </c>
      <c r="S5255" s="32">
        <v>4.6710000000000002E-2</v>
      </c>
    </row>
    <row r="5256" spans="16:19" x14ac:dyDescent="0.25">
      <c r="P5256" s="27">
        <v>3.2548184716220556E-2</v>
      </c>
      <c r="Q5256" s="28">
        <f t="shared" si="86"/>
        <v>3.5548184716220559E-2</v>
      </c>
      <c r="R5256" s="31">
        <v>0.15939660775771733</v>
      </c>
      <c r="S5256" s="32">
        <v>4.616E-2</v>
      </c>
    </row>
    <row r="5257" spans="16:19" x14ac:dyDescent="0.25">
      <c r="P5257" s="27">
        <v>3.2548184716220556E-2</v>
      </c>
      <c r="Q5257" s="28">
        <f t="shared" si="86"/>
        <v>3.5548184716220559E-2</v>
      </c>
      <c r="R5257" s="31">
        <v>0.15939660775771733</v>
      </c>
      <c r="S5257" s="32">
        <v>4.2930000000000003E-2</v>
      </c>
    </row>
    <row r="5258" spans="16:19" x14ac:dyDescent="0.25">
      <c r="P5258" s="27">
        <v>3.2548184716220556E-2</v>
      </c>
      <c r="Q5258" s="28">
        <f t="shared" si="86"/>
        <v>3.5548184716220559E-2</v>
      </c>
      <c r="R5258" s="31">
        <v>0.15939660775771733</v>
      </c>
      <c r="S5258" s="32">
        <v>4.0596454999999997E-2</v>
      </c>
    </row>
    <row r="5259" spans="16:19" x14ac:dyDescent="0.25">
      <c r="P5259" s="27">
        <v>3.2548184716220556E-2</v>
      </c>
      <c r="Q5259" s="28">
        <f t="shared" si="86"/>
        <v>3.5548184716220559E-2</v>
      </c>
      <c r="R5259" s="29">
        <v>0.15003660775771735</v>
      </c>
      <c r="S5259" s="30">
        <v>3.8590000000000006E-2</v>
      </c>
    </row>
    <row r="5260" spans="16:19" x14ac:dyDescent="0.25">
      <c r="P5260" s="27">
        <v>3.2548184716220556E-2</v>
      </c>
      <c r="Q5260" s="28">
        <f t="shared" si="86"/>
        <v>3.5548184716220559E-2</v>
      </c>
      <c r="R5260" s="29">
        <v>0.15003660775771735</v>
      </c>
      <c r="S5260" s="30">
        <v>3.5000000000000003E-2</v>
      </c>
    </row>
    <row r="5261" spans="16:19" x14ac:dyDescent="0.25">
      <c r="P5261" s="27">
        <v>3.2548184716220556E-2</v>
      </c>
      <c r="Q5261" s="28">
        <f t="shared" si="86"/>
        <v>3.5548184716220559E-2</v>
      </c>
      <c r="R5261" s="29">
        <v>0.15003660775771735</v>
      </c>
      <c r="S5261" s="30">
        <v>0.03</v>
      </c>
    </row>
    <row r="5262" spans="16:19" x14ac:dyDescent="0.25">
      <c r="P5262" s="27">
        <v>3.2548184716220556E-2</v>
      </c>
      <c r="Q5262" s="28">
        <f t="shared" si="86"/>
        <v>3.5548184716220559E-2</v>
      </c>
      <c r="R5262" s="29">
        <v>0.15003660775771735</v>
      </c>
      <c r="S5262" s="30">
        <v>2.6040000000000001E-2</v>
      </c>
    </row>
    <row r="5263" spans="16:19" x14ac:dyDescent="0.25">
      <c r="P5263" s="27">
        <v>3.2548184716220556E-2</v>
      </c>
      <c r="Q5263" s="28">
        <f t="shared" si="86"/>
        <v>3.5548184716220559E-2</v>
      </c>
      <c r="R5263" s="29">
        <v>0.15003660775771735</v>
      </c>
      <c r="S5263" s="30">
        <v>2.7100000000000003E-2</v>
      </c>
    </row>
    <row r="5264" spans="16:19" x14ac:dyDescent="0.25">
      <c r="P5264" s="27">
        <v>3.2548184716220556E-2</v>
      </c>
      <c r="Q5264" s="28">
        <f t="shared" si="86"/>
        <v>3.5548184716220559E-2</v>
      </c>
      <c r="R5264" s="29">
        <v>0.15003660775771735</v>
      </c>
      <c r="S5264" s="30">
        <v>3.5000000000000003E-2</v>
      </c>
    </row>
    <row r="5265" spans="16:19" x14ac:dyDescent="0.25">
      <c r="P5265" s="27">
        <v>3.2548184716220556E-2</v>
      </c>
      <c r="Q5265" s="28">
        <f t="shared" si="86"/>
        <v>3.5548184716220559E-2</v>
      </c>
      <c r="R5265" s="29">
        <v>0.15003660775771735</v>
      </c>
      <c r="S5265" s="30">
        <v>3.6335557000000004E-2</v>
      </c>
    </row>
    <row r="5266" spans="16:19" x14ac:dyDescent="0.25">
      <c r="P5266" s="27">
        <v>3.2548184716220556E-2</v>
      </c>
      <c r="Q5266" s="28">
        <f t="shared" si="86"/>
        <v>3.5548184716220559E-2</v>
      </c>
      <c r="R5266" s="29">
        <v>0.15003660775771735</v>
      </c>
      <c r="S5266" s="30">
        <v>3.9839891000000002E-2</v>
      </c>
    </row>
    <row r="5267" spans="16:19" x14ac:dyDescent="0.25">
      <c r="P5267" s="27">
        <v>3.2548184716220556E-2</v>
      </c>
      <c r="Q5267" s="28">
        <f t="shared" si="86"/>
        <v>3.5548184716220559E-2</v>
      </c>
      <c r="R5267" s="31">
        <v>0.15939660775771733</v>
      </c>
      <c r="S5267" s="32">
        <v>4.3180000000000003E-2</v>
      </c>
    </row>
    <row r="5268" spans="16:19" x14ac:dyDescent="0.25">
      <c r="P5268" s="27">
        <v>3.2548184716220556E-2</v>
      </c>
      <c r="Q5268" s="28">
        <f t="shared" si="86"/>
        <v>3.5548184716220559E-2</v>
      </c>
      <c r="R5268" s="33">
        <v>0.16282860775771735</v>
      </c>
      <c r="S5268" s="34">
        <v>4.2200000000000001E-2</v>
      </c>
    </row>
    <row r="5269" spans="16:19" x14ac:dyDescent="0.25">
      <c r="P5269" s="27">
        <v>3.2548184716220556E-2</v>
      </c>
      <c r="Q5269" s="28">
        <f t="shared" si="86"/>
        <v>3.5548184716220559E-2</v>
      </c>
      <c r="R5269" s="33">
        <v>0.16282860775771735</v>
      </c>
      <c r="S5269" s="34">
        <v>3.8072004999999999E-2</v>
      </c>
    </row>
    <row r="5270" spans="16:19" x14ac:dyDescent="0.25">
      <c r="P5270" s="27">
        <v>3.2548184716220556E-2</v>
      </c>
      <c r="Q5270" s="28">
        <f t="shared" si="86"/>
        <v>3.5548184716220559E-2</v>
      </c>
      <c r="R5270" s="33">
        <v>0.16282860775771735</v>
      </c>
      <c r="S5270" s="34">
        <v>3.6940000000000001E-2</v>
      </c>
    </row>
    <row r="5271" spans="16:19" x14ac:dyDescent="0.25">
      <c r="P5271" s="27">
        <v>3.2548184716220556E-2</v>
      </c>
      <c r="Q5271" s="28">
        <f t="shared" si="86"/>
        <v>3.5548184716220559E-2</v>
      </c>
      <c r="R5271" s="33">
        <v>0.16282860775771735</v>
      </c>
      <c r="S5271" s="34">
        <v>3.2210000000000003E-2</v>
      </c>
    </row>
    <row r="5272" spans="16:19" x14ac:dyDescent="0.25">
      <c r="P5272" s="27">
        <v>3.2548184716220556E-2</v>
      </c>
      <c r="Q5272" s="28">
        <f t="shared" si="86"/>
        <v>3.5548184716220559E-2</v>
      </c>
      <c r="R5272" s="33">
        <v>0.16282860775771735</v>
      </c>
      <c r="S5272" s="34">
        <v>3.109E-2</v>
      </c>
    </row>
    <row r="5273" spans="16:19" x14ac:dyDescent="0.25">
      <c r="P5273" s="27">
        <v>3.2548184716220556E-2</v>
      </c>
      <c r="Q5273" s="28">
        <f t="shared" si="86"/>
        <v>3.5548184716220559E-2</v>
      </c>
      <c r="R5273" s="33">
        <v>0.16282860775771735</v>
      </c>
      <c r="S5273" s="34">
        <v>3.2000000000000001E-2</v>
      </c>
    </row>
    <row r="5274" spans="16:19" x14ac:dyDescent="0.25">
      <c r="P5274" s="27">
        <v>3.2548184716220556E-2</v>
      </c>
      <c r="Q5274" s="28">
        <f t="shared" si="86"/>
        <v>3.5548184716220559E-2</v>
      </c>
      <c r="R5274" s="33">
        <v>0.16282860775771735</v>
      </c>
      <c r="S5274" s="34">
        <v>3.5000000000000003E-2</v>
      </c>
    </row>
    <row r="5275" spans="16:19" x14ac:dyDescent="0.25">
      <c r="P5275" s="27">
        <v>3.2548184716220556E-2</v>
      </c>
      <c r="Q5275" s="28">
        <f t="shared" si="86"/>
        <v>3.5548184716220559E-2</v>
      </c>
      <c r="R5275" s="33">
        <v>0.16282860775771735</v>
      </c>
      <c r="S5275" s="34">
        <v>3.8689999999999995E-2</v>
      </c>
    </row>
    <row r="5276" spans="16:19" x14ac:dyDescent="0.25">
      <c r="P5276" s="27">
        <v>3.2548184716220556E-2</v>
      </c>
      <c r="Q5276" s="28">
        <f t="shared" si="86"/>
        <v>3.5548184716220559E-2</v>
      </c>
      <c r="R5276" s="33">
        <v>0.16282860775771735</v>
      </c>
      <c r="S5276" s="34">
        <v>4.0989999999999999E-2</v>
      </c>
    </row>
    <row r="5277" spans="16:19" x14ac:dyDescent="0.25">
      <c r="P5277" s="27">
        <v>3.2548184716220556E-2</v>
      </c>
      <c r="Q5277" s="28">
        <f t="shared" si="86"/>
        <v>3.5548184716220559E-2</v>
      </c>
      <c r="R5277" s="33">
        <v>0.16282860775771735</v>
      </c>
      <c r="S5277" s="34">
        <v>4.3999999999999997E-2</v>
      </c>
    </row>
    <row r="5278" spans="16:19" x14ac:dyDescent="0.25">
      <c r="P5278" s="27">
        <v>3.2548184716220556E-2</v>
      </c>
      <c r="Q5278" s="28">
        <f t="shared" si="86"/>
        <v>3.5548184716220559E-2</v>
      </c>
      <c r="R5278" s="33">
        <v>0.16282860775771735</v>
      </c>
      <c r="S5278" s="34">
        <v>4.4150000000000002E-2</v>
      </c>
    </row>
    <row r="5279" spans="16:19" x14ac:dyDescent="0.25">
      <c r="P5279" s="27">
        <v>3.2548184716220556E-2</v>
      </c>
      <c r="Q5279" s="28">
        <f t="shared" si="86"/>
        <v>3.5548184716220559E-2</v>
      </c>
      <c r="R5279" s="31">
        <v>0.15939660775771733</v>
      </c>
      <c r="S5279" s="32">
        <v>4.5869999999999994E-2</v>
      </c>
    </row>
    <row r="5280" spans="16:19" x14ac:dyDescent="0.25">
      <c r="P5280" s="27">
        <v>3.2548184716220556E-2</v>
      </c>
      <c r="Q5280" s="28">
        <f t="shared" si="86"/>
        <v>3.5548184716220559E-2</v>
      </c>
      <c r="R5280" s="31">
        <v>0.15939660775771733</v>
      </c>
      <c r="S5280" s="32">
        <v>4.5659999999999999E-2</v>
      </c>
    </row>
    <row r="5281" spans="16:19" x14ac:dyDescent="0.25">
      <c r="P5281" s="27">
        <v>3.2548184716220556E-2</v>
      </c>
      <c r="Q5281" s="28">
        <f t="shared" si="86"/>
        <v>3.5548184716220559E-2</v>
      </c>
      <c r="R5281" s="31">
        <v>0.15939660775771733</v>
      </c>
      <c r="S5281" s="32">
        <v>4.0989999999999999E-2</v>
      </c>
    </row>
    <row r="5282" spans="16:19" x14ac:dyDescent="0.25">
      <c r="P5282" s="27">
        <v>3.2548184716220556E-2</v>
      </c>
      <c r="Q5282" s="28">
        <f t="shared" si="86"/>
        <v>3.5548184716220559E-2</v>
      </c>
      <c r="R5282" s="31">
        <v>0.15939660775771733</v>
      </c>
      <c r="S5282" s="32">
        <v>3.8009999999999995E-2</v>
      </c>
    </row>
    <row r="5283" spans="16:19" x14ac:dyDescent="0.25">
      <c r="P5283" s="27">
        <v>3.2548184716220556E-2</v>
      </c>
      <c r="Q5283" s="28">
        <f t="shared" si="86"/>
        <v>3.5548184716220559E-2</v>
      </c>
      <c r="R5283" s="29">
        <v>0.15003660775771735</v>
      </c>
      <c r="S5283" s="30">
        <v>4.1309999999999999E-2</v>
      </c>
    </row>
    <row r="5284" spans="16:19" x14ac:dyDescent="0.25">
      <c r="P5284" s="27">
        <v>3.2548184716220556E-2</v>
      </c>
      <c r="Q5284" s="28">
        <f t="shared" si="86"/>
        <v>3.5548184716220559E-2</v>
      </c>
      <c r="R5284" s="29">
        <v>0.15003660775771735</v>
      </c>
      <c r="S5284" s="30">
        <v>3.551E-2</v>
      </c>
    </row>
    <row r="5285" spans="16:19" x14ac:dyDescent="0.25">
      <c r="P5285" s="27">
        <v>3.2548184716220556E-2</v>
      </c>
      <c r="Q5285" s="28">
        <f t="shared" si="86"/>
        <v>3.5548184716220559E-2</v>
      </c>
      <c r="R5285" s="29">
        <v>0.15003660775771735</v>
      </c>
      <c r="S5285" s="30">
        <v>3.4430000000000002E-2</v>
      </c>
    </row>
    <row r="5286" spans="16:19" x14ac:dyDescent="0.25">
      <c r="P5286" s="27">
        <v>3.2548184716220556E-2</v>
      </c>
      <c r="Q5286" s="28">
        <f t="shared" si="86"/>
        <v>3.5548184716220559E-2</v>
      </c>
      <c r="R5286" s="29">
        <v>0.15003660775771735</v>
      </c>
      <c r="S5286" s="30">
        <v>3.2160567000000001E-2</v>
      </c>
    </row>
    <row r="5287" spans="16:19" x14ac:dyDescent="0.25">
      <c r="P5287" s="27">
        <v>3.2548184716220556E-2</v>
      </c>
      <c r="Q5287" s="28">
        <f t="shared" si="86"/>
        <v>3.5548184716220559E-2</v>
      </c>
      <c r="R5287" s="29">
        <v>0.15003660775771735</v>
      </c>
      <c r="S5287" s="30">
        <v>3.2750000000000001E-2</v>
      </c>
    </row>
    <row r="5288" spans="16:19" x14ac:dyDescent="0.25">
      <c r="P5288" s="27">
        <v>3.2548184716220556E-2</v>
      </c>
      <c r="Q5288" s="28">
        <f t="shared" si="86"/>
        <v>3.5548184716220559E-2</v>
      </c>
      <c r="R5288" s="29">
        <v>0.15003660775771735</v>
      </c>
      <c r="S5288" s="30">
        <v>3.551E-2</v>
      </c>
    </row>
    <row r="5289" spans="16:19" x14ac:dyDescent="0.25">
      <c r="P5289" s="27">
        <v>3.2548184716220556E-2</v>
      </c>
      <c r="Q5289" s="28">
        <f t="shared" si="86"/>
        <v>3.5548184716220559E-2</v>
      </c>
      <c r="R5289" s="29">
        <v>0.15003660775771735</v>
      </c>
      <c r="S5289" s="30">
        <v>3.551E-2</v>
      </c>
    </row>
    <row r="5290" spans="16:19" x14ac:dyDescent="0.25">
      <c r="P5290" s="27">
        <v>3.2548184716220556E-2</v>
      </c>
      <c r="Q5290" s="28">
        <f t="shared" si="86"/>
        <v>3.5548184716220559E-2</v>
      </c>
      <c r="R5290" s="29">
        <v>0.15003660775771735</v>
      </c>
      <c r="S5290" s="30">
        <v>3.6969999999999996E-2</v>
      </c>
    </row>
    <row r="5291" spans="16:19" x14ac:dyDescent="0.25">
      <c r="P5291" s="27">
        <v>3.2548184716220556E-2</v>
      </c>
      <c r="Q5291" s="28">
        <f t="shared" si="86"/>
        <v>3.5548184716220559E-2</v>
      </c>
      <c r="R5291" s="31">
        <v>0.15939660775771733</v>
      </c>
      <c r="S5291" s="32">
        <v>4.0259999999999997E-2</v>
      </c>
    </row>
    <row r="5292" spans="16:19" x14ac:dyDescent="0.25">
      <c r="P5292" s="27">
        <v>3.2548184716220556E-2</v>
      </c>
      <c r="Q5292" s="28">
        <f t="shared" si="86"/>
        <v>3.5548184716220559E-2</v>
      </c>
      <c r="R5292" s="33">
        <v>0.16282860775771735</v>
      </c>
      <c r="S5292" s="34">
        <v>3.7999999999999999E-2</v>
      </c>
    </row>
    <row r="5293" spans="16:19" x14ac:dyDescent="0.25">
      <c r="P5293" s="27">
        <v>3.2548184716220556E-2</v>
      </c>
      <c r="Q5293" s="28">
        <f t="shared" si="86"/>
        <v>3.5548184716220559E-2</v>
      </c>
      <c r="R5293" s="33">
        <v>0.16282860775771735</v>
      </c>
      <c r="S5293" s="34">
        <v>3.6539999999999996E-2</v>
      </c>
    </row>
    <row r="5294" spans="16:19" x14ac:dyDescent="0.25">
      <c r="P5294" s="27">
        <v>3.2548184716220556E-2</v>
      </c>
      <c r="Q5294" s="28">
        <f t="shared" si="86"/>
        <v>3.5548184716220559E-2</v>
      </c>
      <c r="R5294" s="33">
        <v>0.16282860775771735</v>
      </c>
      <c r="S5294" s="34">
        <v>3.1539999999999999E-2</v>
      </c>
    </row>
    <row r="5295" spans="16:19" x14ac:dyDescent="0.25">
      <c r="P5295" s="27">
        <v>3.2548184716220556E-2</v>
      </c>
      <c r="Q5295" s="28">
        <f t="shared" si="86"/>
        <v>3.5548184716220559E-2</v>
      </c>
      <c r="R5295" s="33">
        <v>0.16282860775771735</v>
      </c>
      <c r="S5295" s="34">
        <v>2.8969999999999999E-2</v>
      </c>
    </row>
    <row r="5296" spans="16:19" x14ac:dyDescent="0.25">
      <c r="P5296" s="27">
        <v>3.2548184716220556E-2</v>
      </c>
      <c r="Q5296" s="28">
        <f t="shared" si="86"/>
        <v>3.5548184716220559E-2</v>
      </c>
      <c r="R5296" s="33">
        <v>0.16282860775771735</v>
      </c>
      <c r="S5296" s="34">
        <v>1.7591977000000002E-2</v>
      </c>
    </row>
    <row r="5297" spans="16:19" x14ac:dyDescent="0.25">
      <c r="P5297" s="27">
        <v>3.2548184716220556E-2</v>
      </c>
      <c r="Q5297" s="28">
        <f t="shared" si="86"/>
        <v>3.5548184716220559E-2</v>
      </c>
      <c r="R5297" s="33">
        <v>0.16282860775771735</v>
      </c>
      <c r="S5297" s="34">
        <v>1.7260000000000001E-2</v>
      </c>
    </row>
    <row r="5298" spans="16:19" x14ac:dyDescent="0.25">
      <c r="P5298" s="27">
        <v>3.2548184716220556E-2</v>
      </c>
      <c r="Q5298" s="28">
        <f t="shared" si="86"/>
        <v>3.5548184716220559E-2</v>
      </c>
      <c r="R5298" s="33">
        <v>0.16282860775771735</v>
      </c>
      <c r="S5298" s="34">
        <v>2.1170688E-2</v>
      </c>
    </row>
    <row r="5299" spans="16:19" x14ac:dyDescent="0.25">
      <c r="P5299" s="27">
        <v>3.2548184716220556E-2</v>
      </c>
      <c r="Q5299" s="28">
        <f t="shared" si="86"/>
        <v>3.5548184716220559E-2</v>
      </c>
      <c r="R5299" s="33">
        <v>0.16282860775771735</v>
      </c>
      <c r="S5299" s="34">
        <v>2.896E-2</v>
      </c>
    </row>
    <row r="5300" spans="16:19" x14ac:dyDescent="0.25">
      <c r="P5300" s="27">
        <v>3.2548184716220556E-2</v>
      </c>
      <c r="Q5300" s="28">
        <f t="shared" si="86"/>
        <v>3.5548184716220559E-2</v>
      </c>
      <c r="R5300" s="33">
        <v>0.16282860775771735</v>
      </c>
      <c r="S5300" s="34">
        <v>3.6429999999999997E-2</v>
      </c>
    </row>
    <row r="5301" spans="16:19" x14ac:dyDescent="0.25">
      <c r="P5301" s="27">
        <v>3.2548184716220556E-2</v>
      </c>
      <c r="Q5301" s="28">
        <f t="shared" si="86"/>
        <v>3.5548184716220559E-2</v>
      </c>
      <c r="R5301" s="33">
        <v>0.16282860775771735</v>
      </c>
      <c r="S5301" s="34">
        <v>4.0989999999999999E-2</v>
      </c>
    </row>
    <row r="5302" spans="16:19" x14ac:dyDescent="0.25">
      <c r="P5302" s="27">
        <v>3.2548184716220556E-2</v>
      </c>
      <c r="Q5302" s="28">
        <f t="shared" si="86"/>
        <v>3.5548184716220559E-2</v>
      </c>
      <c r="R5302" s="33">
        <v>0.16282860775771735</v>
      </c>
      <c r="S5302" s="34">
        <v>4.8180000000000001E-2</v>
      </c>
    </row>
    <row r="5303" spans="16:19" x14ac:dyDescent="0.25">
      <c r="P5303" s="27">
        <v>3.2548184716220556E-2</v>
      </c>
      <c r="Q5303" s="28">
        <f t="shared" si="86"/>
        <v>3.5548184716220559E-2</v>
      </c>
      <c r="R5303" s="31">
        <v>0.15939660775771733</v>
      </c>
      <c r="S5303" s="32">
        <v>4.8590000000000001E-2</v>
      </c>
    </row>
    <row r="5304" spans="16:19" x14ac:dyDescent="0.25">
      <c r="P5304" s="27">
        <v>3.2548184716220556E-2</v>
      </c>
      <c r="Q5304" s="28">
        <f t="shared" si="86"/>
        <v>3.5548184716220559E-2</v>
      </c>
      <c r="R5304" s="31">
        <v>0.15939660775771733</v>
      </c>
      <c r="S5304" s="32">
        <v>5.0140000000000004E-2</v>
      </c>
    </row>
    <row r="5305" spans="16:19" x14ac:dyDescent="0.25">
      <c r="P5305" s="27">
        <v>3.2548184716220556E-2</v>
      </c>
      <c r="Q5305" s="28">
        <f t="shared" si="86"/>
        <v>3.5548184716220559E-2</v>
      </c>
      <c r="R5305" s="31">
        <v>0.15939660775771733</v>
      </c>
      <c r="S5305" s="32">
        <v>4.3749999999999997E-2</v>
      </c>
    </row>
    <row r="5306" spans="16:19" x14ac:dyDescent="0.25">
      <c r="P5306" s="27">
        <v>3.2548184716220556E-2</v>
      </c>
      <c r="Q5306" s="28">
        <f t="shared" si="86"/>
        <v>3.5548184716220559E-2</v>
      </c>
      <c r="R5306" s="31">
        <v>0.15939660775771733</v>
      </c>
      <c r="S5306" s="32">
        <v>4.0989999999999999E-2</v>
      </c>
    </row>
    <row r="5307" spans="16:19" x14ac:dyDescent="0.25">
      <c r="P5307" s="27">
        <v>3.2548184716220556E-2</v>
      </c>
      <c r="Q5307" s="28">
        <f t="shared" si="86"/>
        <v>3.5548184716220559E-2</v>
      </c>
      <c r="R5307" s="29">
        <v>0.15003660775771735</v>
      </c>
      <c r="S5307" s="30">
        <v>9.0040000000000009E-2</v>
      </c>
    </row>
    <row r="5308" spans="16:19" x14ac:dyDescent="0.25">
      <c r="P5308" s="27">
        <v>3.2548184716220556E-2</v>
      </c>
      <c r="Q5308" s="28">
        <f t="shared" si="86"/>
        <v>3.5548184716220559E-2</v>
      </c>
      <c r="R5308" s="29">
        <v>0.15003660775771735</v>
      </c>
      <c r="S5308" s="30">
        <v>7.4999999999999997E-2</v>
      </c>
    </row>
    <row r="5309" spans="16:19" x14ac:dyDescent="0.25">
      <c r="P5309" s="27">
        <v>3.2548184716220556E-2</v>
      </c>
      <c r="Q5309" s="28">
        <f t="shared" si="86"/>
        <v>3.5548184716220559E-2</v>
      </c>
      <c r="R5309" s="29">
        <v>0.15003660775771735</v>
      </c>
      <c r="S5309" s="30">
        <v>6.6000000000000003E-2</v>
      </c>
    </row>
    <row r="5310" spans="16:19" x14ac:dyDescent="0.25">
      <c r="P5310" s="27">
        <v>3.2548184716220556E-2</v>
      </c>
      <c r="Q5310" s="28">
        <f t="shared" si="86"/>
        <v>3.5548184716220559E-2</v>
      </c>
      <c r="R5310" s="29">
        <v>0.15003660775771735</v>
      </c>
      <c r="S5310" s="30">
        <v>0.05</v>
      </c>
    </row>
    <row r="5311" spans="16:19" x14ac:dyDescent="0.25">
      <c r="P5311" s="27">
        <v>3.2548184716220556E-2</v>
      </c>
      <c r="Q5311" s="28">
        <f t="shared" si="86"/>
        <v>3.5548184716220559E-2</v>
      </c>
      <c r="R5311" s="29">
        <v>0.15003660775771735</v>
      </c>
      <c r="S5311" s="30">
        <v>0.05</v>
      </c>
    </row>
    <row r="5312" spans="16:19" x14ac:dyDescent="0.25">
      <c r="P5312" s="27">
        <v>3.2548184716220556E-2</v>
      </c>
      <c r="Q5312" s="28">
        <f t="shared" si="86"/>
        <v>3.5548184716220559E-2</v>
      </c>
      <c r="R5312" s="29">
        <v>0.15003660775771735</v>
      </c>
      <c r="S5312" s="30">
        <v>0.05</v>
      </c>
    </row>
    <row r="5313" spans="16:19" x14ac:dyDescent="0.25">
      <c r="P5313" s="27">
        <v>3.2548184716220556E-2</v>
      </c>
      <c r="Q5313" s="28">
        <f t="shared" si="86"/>
        <v>3.5548184716220559E-2</v>
      </c>
      <c r="R5313" s="29">
        <v>0.15003660775771735</v>
      </c>
      <c r="S5313" s="30">
        <v>4.7E-2</v>
      </c>
    </row>
    <row r="5314" spans="16:19" x14ac:dyDescent="0.25">
      <c r="P5314" s="27">
        <v>3.2548184716220556E-2</v>
      </c>
      <c r="Q5314" s="28">
        <f t="shared" si="86"/>
        <v>3.5548184716220559E-2</v>
      </c>
      <c r="R5314" s="29">
        <v>0.15003660775771735</v>
      </c>
      <c r="S5314" s="30">
        <v>4.0989999999999999E-2</v>
      </c>
    </row>
    <row r="5315" spans="16:19" x14ac:dyDescent="0.25">
      <c r="P5315" s="27">
        <v>3.2548184716220556E-2</v>
      </c>
      <c r="Q5315" s="28">
        <f t="shared" si="86"/>
        <v>3.5548184716220559E-2</v>
      </c>
      <c r="R5315" s="31">
        <v>0.15939660775771733</v>
      </c>
      <c r="S5315" s="32">
        <v>4.2719634999999999E-2</v>
      </c>
    </row>
    <row r="5316" spans="16:19" x14ac:dyDescent="0.25">
      <c r="P5316" s="27">
        <v>3.2548184716220556E-2</v>
      </c>
      <c r="Q5316" s="28">
        <f t="shared" si="86"/>
        <v>3.5548184716220559E-2</v>
      </c>
      <c r="R5316" s="33">
        <v>0.16282860775771735</v>
      </c>
      <c r="S5316" s="34">
        <v>4.0100000000000004E-2</v>
      </c>
    </row>
    <row r="5317" spans="16:19" x14ac:dyDescent="0.25">
      <c r="P5317" s="27">
        <v>3.2548184716220556E-2</v>
      </c>
      <c r="Q5317" s="28">
        <f t="shared" ref="Q5317:Q5380" si="87">P5317+0.003</f>
        <v>3.5548184716220559E-2</v>
      </c>
      <c r="R5317" s="33">
        <v>0.16282860775771735</v>
      </c>
      <c r="S5317" s="34">
        <v>3.9509999999999997E-2</v>
      </c>
    </row>
    <row r="5318" spans="16:19" x14ac:dyDescent="0.25">
      <c r="P5318" s="27">
        <v>3.2548184716220556E-2</v>
      </c>
      <c r="Q5318" s="28">
        <f t="shared" si="87"/>
        <v>3.5548184716220559E-2</v>
      </c>
      <c r="R5318" s="33">
        <v>0.16282860775771735</v>
      </c>
      <c r="S5318" s="34">
        <v>3.7990000000000003E-2</v>
      </c>
    </row>
    <row r="5319" spans="16:19" x14ac:dyDescent="0.25">
      <c r="P5319" s="27">
        <v>3.2548184716220556E-2</v>
      </c>
      <c r="Q5319" s="28">
        <f t="shared" si="87"/>
        <v>3.5548184716220559E-2</v>
      </c>
      <c r="R5319" s="33">
        <v>0.16282860775771735</v>
      </c>
      <c r="S5319" s="34">
        <v>3.3989999999999999E-2</v>
      </c>
    </row>
    <row r="5320" spans="16:19" x14ac:dyDescent="0.25">
      <c r="P5320" s="27">
        <v>3.2548184716220556E-2</v>
      </c>
      <c r="Q5320" s="28">
        <f t="shared" si="87"/>
        <v>3.5548184716220559E-2</v>
      </c>
      <c r="R5320" s="33">
        <v>0.16282860775771735</v>
      </c>
      <c r="S5320" s="34">
        <v>3.015E-2</v>
      </c>
    </row>
    <row r="5321" spans="16:19" x14ac:dyDescent="0.25">
      <c r="P5321" s="27">
        <v>3.2548184716220556E-2</v>
      </c>
      <c r="Q5321" s="28">
        <f t="shared" si="87"/>
        <v>3.5548184716220559E-2</v>
      </c>
      <c r="R5321" s="33">
        <v>0.16282860775771735</v>
      </c>
      <c r="S5321" s="34">
        <v>3.015E-2</v>
      </c>
    </row>
    <row r="5322" spans="16:19" x14ac:dyDescent="0.25">
      <c r="P5322" s="27">
        <v>3.2548184716220556E-2</v>
      </c>
      <c r="Q5322" s="28">
        <f t="shared" si="87"/>
        <v>3.5548184716220559E-2</v>
      </c>
      <c r="R5322" s="33">
        <v>0.16282860775771735</v>
      </c>
      <c r="S5322" s="34">
        <v>3.2539999999999999E-2</v>
      </c>
    </row>
    <row r="5323" spans="16:19" x14ac:dyDescent="0.25">
      <c r="P5323" s="27">
        <v>3.2548184716220556E-2</v>
      </c>
      <c r="Q5323" s="28">
        <f t="shared" si="87"/>
        <v>3.5548184716220559E-2</v>
      </c>
      <c r="R5323" s="33">
        <v>0.16282860775771735</v>
      </c>
      <c r="S5323" s="34">
        <v>3.696E-2</v>
      </c>
    </row>
    <row r="5324" spans="16:19" x14ac:dyDescent="0.25">
      <c r="P5324" s="27">
        <v>3.2548184716220556E-2</v>
      </c>
      <c r="Q5324" s="28">
        <f t="shared" si="87"/>
        <v>3.5548184716220559E-2</v>
      </c>
      <c r="R5324" s="33">
        <v>0.16282860775771735</v>
      </c>
      <c r="S5324" s="34">
        <v>3.9960000000000002E-2</v>
      </c>
    </row>
    <row r="5325" spans="16:19" x14ac:dyDescent="0.25">
      <c r="P5325" s="27">
        <v>3.2548184716220556E-2</v>
      </c>
      <c r="Q5325" s="28">
        <f t="shared" si="87"/>
        <v>3.5548184716220559E-2</v>
      </c>
      <c r="R5325" s="33">
        <v>0.16282860775771735</v>
      </c>
      <c r="S5325" s="34">
        <v>4.5069999999999999E-2</v>
      </c>
    </row>
    <row r="5326" spans="16:19" x14ac:dyDescent="0.25">
      <c r="P5326" s="27">
        <v>3.2548184716220556E-2</v>
      </c>
      <c r="Q5326" s="28">
        <f t="shared" si="87"/>
        <v>3.5548184716220559E-2</v>
      </c>
      <c r="R5326" s="33">
        <v>0.16282860775771735</v>
      </c>
      <c r="S5326" s="34">
        <v>5.2999999999999999E-2</v>
      </c>
    </row>
    <row r="5327" spans="16:19" x14ac:dyDescent="0.25">
      <c r="P5327" s="27">
        <v>3.2548184716220556E-2</v>
      </c>
      <c r="Q5327" s="28">
        <f t="shared" si="87"/>
        <v>3.5548184716220559E-2</v>
      </c>
      <c r="R5327" s="31">
        <v>0.15939660775771733</v>
      </c>
      <c r="S5327" s="32">
        <v>5.602E-2</v>
      </c>
    </row>
    <row r="5328" spans="16:19" x14ac:dyDescent="0.25">
      <c r="P5328" s="27">
        <v>3.2548184716220556E-2</v>
      </c>
      <c r="Q5328" s="28">
        <f t="shared" si="87"/>
        <v>3.5548184716220559E-2</v>
      </c>
      <c r="R5328" s="31">
        <v>0.15939660775771733</v>
      </c>
      <c r="S5328" s="32">
        <v>6.7970000000000003E-2</v>
      </c>
    </row>
    <row r="5329" spans="16:19" x14ac:dyDescent="0.25">
      <c r="P5329" s="27">
        <v>3.2548184716220556E-2</v>
      </c>
      <c r="Q5329" s="28">
        <f t="shared" si="87"/>
        <v>3.5548184716220559E-2</v>
      </c>
      <c r="R5329" s="31">
        <v>0.15939660775771733</v>
      </c>
      <c r="S5329" s="32">
        <v>4.8750000000000002E-2</v>
      </c>
    </row>
    <row r="5330" spans="16:19" x14ac:dyDescent="0.25">
      <c r="P5330" s="27">
        <v>3.2548184716220556E-2</v>
      </c>
      <c r="Q5330" s="28">
        <f t="shared" si="87"/>
        <v>3.5548184716220559E-2</v>
      </c>
      <c r="R5330" s="31">
        <v>0.15939660775771733</v>
      </c>
      <c r="S5330" s="32">
        <v>4.9970000000000001E-2</v>
      </c>
    </row>
    <row r="5331" spans="16:19" x14ac:dyDescent="0.25">
      <c r="P5331" s="27">
        <v>3.2548184716220556E-2</v>
      </c>
      <c r="Q5331" s="28">
        <f t="shared" si="87"/>
        <v>3.5548184716220559E-2</v>
      </c>
      <c r="R5331" s="29">
        <v>0.15003660775771735</v>
      </c>
      <c r="S5331" s="30">
        <v>4.4449561999999998E-2</v>
      </c>
    </row>
    <row r="5332" spans="16:19" x14ac:dyDescent="0.25">
      <c r="P5332" s="27">
        <v>3.2548184716220556E-2</v>
      </c>
      <c r="Q5332" s="28">
        <f t="shared" si="87"/>
        <v>3.5548184716220559E-2</v>
      </c>
      <c r="R5332" s="29">
        <v>0.15003660775771735</v>
      </c>
      <c r="S5332" s="30">
        <v>4.2470000000000001E-2</v>
      </c>
    </row>
    <row r="5333" spans="16:19" x14ac:dyDescent="0.25">
      <c r="P5333" s="27">
        <v>3.2548184716220556E-2</v>
      </c>
      <c r="Q5333" s="28">
        <f t="shared" si="87"/>
        <v>3.5548184716220559E-2</v>
      </c>
      <c r="R5333" s="29">
        <v>0.15003660775771735</v>
      </c>
      <c r="S5333" s="30">
        <v>4.0509999999999997E-2</v>
      </c>
    </row>
    <row r="5334" spans="16:19" x14ac:dyDescent="0.25">
      <c r="P5334" s="27">
        <v>3.2548184716220556E-2</v>
      </c>
      <c r="Q5334" s="28">
        <f t="shared" si="87"/>
        <v>3.5548184716220559E-2</v>
      </c>
      <c r="R5334" s="29">
        <v>0.15003660775771735</v>
      </c>
      <c r="S5334" s="30">
        <v>3.9969999999999999E-2</v>
      </c>
    </row>
    <row r="5335" spans="16:19" x14ac:dyDescent="0.25">
      <c r="P5335" s="27">
        <v>3.2548184716220556E-2</v>
      </c>
      <c r="Q5335" s="28">
        <f t="shared" si="87"/>
        <v>3.5548184716220559E-2</v>
      </c>
      <c r="R5335" s="29">
        <v>0.15003660775771735</v>
      </c>
      <c r="S5335" s="30">
        <v>4.0320000000000002E-2</v>
      </c>
    </row>
    <row r="5336" spans="16:19" x14ac:dyDescent="0.25">
      <c r="P5336" s="27">
        <v>3.2548184716220556E-2</v>
      </c>
      <c r="Q5336" s="28">
        <f t="shared" si="87"/>
        <v>3.5548184716220559E-2</v>
      </c>
      <c r="R5336" s="29">
        <v>0.15003660775771735</v>
      </c>
      <c r="S5336" s="30">
        <v>4.0960000000000003E-2</v>
      </c>
    </row>
    <row r="5337" spans="16:19" x14ac:dyDescent="0.25">
      <c r="P5337" s="27">
        <v>3.2548184716220556E-2</v>
      </c>
      <c r="Q5337" s="28">
        <f t="shared" si="87"/>
        <v>3.5548184716220559E-2</v>
      </c>
      <c r="R5337" s="29">
        <v>0.15003660775771735</v>
      </c>
      <c r="S5337" s="30">
        <v>4.0960000000000003E-2</v>
      </c>
    </row>
    <row r="5338" spans="16:19" x14ac:dyDescent="0.25">
      <c r="P5338" s="27">
        <v>3.2548184716220556E-2</v>
      </c>
      <c r="Q5338" s="28">
        <f t="shared" si="87"/>
        <v>3.5548184716220559E-2</v>
      </c>
      <c r="R5338" s="29">
        <v>0.15003660775771735</v>
      </c>
      <c r="S5338" s="30">
        <v>4.0989999999999999E-2</v>
      </c>
    </row>
    <row r="5339" spans="16:19" x14ac:dyDescent="0.25">
      <c r="P5339" s="27">
        <v>3.2548184716220556E-2</v>
      </c>
      <c r="Q5339" s="28">
        <f t="shared" si="87"/>
        <v>3.5548184716220559E-2</v>
      </c>
      <c r="R5339" s="31">
        <v>0.15939999999999999</v>
      </c>
      <c r="S5339" s="32">
        <v>4.3029999999999999E-2</v>
      </c>
    </row>
    <row r="5340" spans="16:19" x14ac:dyDescent="0.25">
      <c r="P5340" s="27">
        <v>3.2548184716220556E-2</v>
      </c>
      <c r="Q5340" s="28">
        <f t="shared" si="87"/>
        <v>3.5548184716220559E-2</v>
      </c>
      <c r="R5340" s="31">
        <v>0.15939999999999999</v>
      </c>
      <c r="S5340" s="32">
        <v>4.3099999999999999E-2</v>
      </c>
    </row>
    <row r="5341" spans="16:19" x14ac:dyDescent="0.25">
      <c r="P5341" s="27">
        <v>3.2548184716220556E-2</v>
      </c>
      <c r="Q5341" s="28">
        <f t="shared" si="87"/>
        <v>3.5548184716220559E-2</v>
      </c>
      <c r="R5341" s="31">
        <v>0.15939999999999999</v>
      </c>
      <c r="S5341" s="32">
        <v>4.1294024999999998E-2</v>
      </c>
    </row>
    <row r="5342" spans="16:19" x14ac:dyDescent="0.25">
      <c r="P5342" s="27">
        <v>3.2548184716220556E-2</v>
      </c>
      <c r="Q5342" s="28">
        <f t="shared" si="87"/>
        <v>3.5548184716220559E-2</v>
      </c>
      <c r="R5342" s="31">
        <v>0.15939999999999999</v>
      </c>
      <c r="S5342" s="32">
        <v>3.7990000000000003E-2</v>
      </c>
    </row>
    <row r="5343" spans="16:19" x14ac:dyDescent="0.25">
      <c r="P5343" s="27">
        <v>3.2548184716220556E-2</v>
      </c>
      <c r="Q5343" s="28">
        <f t="shared" si="87"/>
        <v>3.5548184716220559E-2</v>
      </c>
      <c r="R5343" s="31">
        <v>0.15939999999999999</v>
      </c>
      <c r="S5343" s="32">
        <v>3.5459999999999998E-2</v>
      </c>
    </row>
    <row r="5344" spans="16:19" x14ac:dyDescent="0.25">
      <c r="P5344" s="27">
        <v>3.2548184716220556E-2</v>
      </c>
      <c r="Q5344" s="28">
        <f t="shared" si="87"/>
        <v>3.5548184716220559E-2</v>
      </c>
      <c r="R5344" s="31">
        <v>0.15939999999999999</v>
      </c>
      <c r="S5344" s="32">
        <v>3.4514205999999999E-2</v>
      </c>
    </row>
    <row r="5345" spans="16:19" x14ac:dyDescent="0.25">
      <c r="P5345" s="27">
        <v>3.2548184716220556E-2</v>
      </c>
      <c r="Q5345" s="28">
        <f t="shared" si="87"/>
        <v>3.5548184716220559E-2</v>
      </c>
      <c r="R5345" s="31">
        <v>0.15939999999999999</v>
      </c>
      <c r="S5345" s="32">
        <v>3.5070894000000005E-2</v>
      </c>
    </row>
    <row r="5346" spans="16:19" x14ac:dyDescent="0.25">
      <c r="P5346" s="27">
        <v>3.2548184716220556E-2</v>
      </c>
      <c r="Q5346" s="28">
        <f t="shared" si="87"/>
        <v>3.5548184716220559E-2</v>
      </c>
      <c r="R5346" s="31">
        <v>0.15939999999999999</v>
      </c>
      <c r="S5346" s="32">
        <v>3.8429999999999999E-2</v>
      </c>
    </row>
    <row r="5347" spans="16:19" x14ac:dyDescent="0.25">
      <c r="P5347" s="27">
        <v>3.2548184716220556E-2</v>
      </c>
      <c r="Q5347" s="28">
        <f t="shared" si="87"/>
        <v>3.5548184716220559E-2</v>
      </c>
      <c r="R5347" s="31">
        <v>0.15939999999999999</v>
      </c>
      <c r="S5347" s="32">
        <v>4.0989999999999999E-2</v>
      </c>
    </row>
    <row r="5348" spans="16:19" x14ac:dyDescent="0.25">
      <c r="P5348" s="27">
        <v>3.2548184716220556E-2</v>
      </c>
      <c r="Q5348" s="28">
        <f t="shared" si="87"/>
        <v>3.5548184716220559E-2</v>
      </c>
      <c r="R5348" s="31">
        <v>0.15939999999999999</v>
      </c>
      <c r="S5348" s="32">
        <v>4.2599999999999999E-2</v>
      </c>
    </row>
    <row r="5349" spans="16:19" x14ac:dyDescent="0.25">
      <c r="P5349" s="27">
        <v>3.2548184716220556E-2</v>
      </c>
      <c r="Q5349" s="28">
        <f t="shared" si="87"/>
        <v>3.5548184716220559E-2</v>
      </c>
      <c r="R5349" s="31">
        <v>0.15939999999999999</v>
      </c>
      <c r="S5349" s="32">
        <v>4.5100000000000001E-2</v>
      </c>
    </row>
    <row r="5350" spans="16:19" x14ac:dyDescent="0.25">
      <c r="P5350" s="27">
        <v>3.2548184716220556E-2</v>
      </c>
      <c r="Q5350" s="28">
        <f t="shared" si="87"/>
        <v>3.5548184716220559E-2</v>
      </c>
      <c r="R5350" s="31">
        <v>0.15939999999999999</v>
      </c>
      <c r="S5350" s="32">
        <v>4.8100000000000004E-2</v>
      </c>
    </row>
    <row r="5351" spans="16:19" x14ac:dyDescent="0.25">
      <c r="P5351" s="27">
        <v>3.2548184716220556E-2</v>
      </c>
      <c r="Q5351" s="28">
        <f t="shared" si="87"/>
        <v>3.5548184716220559E-2</v>
      </c>
      <c r="R5351" s="31">
        <v>0.15939999999999999</v>
      </c>
      <c r="S5351" s="32">
        <v>5.1650000000000001E-2</v>
      </c>
    </row>
    <row r="5352" spans="16:19" x14ac:dyDescent="0.25">
      <c r="P5352" s="27">
        <v>3.2548184716220556E-2</v>
      </c>
      <c r="Q5352" s="28">
        <f t="shared" si="87"/>
        <v>3.5548184716220559E-2</v>
      </c>
      <c r="R5352" s="31">
        <v>0.15939999999999999</v>
      </c>
      <c r="S5352" s="32">
        <v>5.0990000000000001E-2</v>
      </c>
    </row>
    <row r="5353" spans="16:19" x14ac:dyDescent="0.25">
      <c r="P5353" s="27">
        <v>3.2548184716220556E-2</v>
      </c>
      <c r="Q5353" s="28">
        <f t="shared" si="87"/>
        <v>3.5548184716220559E-2</v>
      </c>
      <c r="R5353" s="31">
        <v>0.15939999999999999</v>
      </c>
      <c r="S5353" s="32">
        <v>4.4999999999999998E-2</v>
      </c>
    </row>
    <row r="5354" spans="16:19" x14ac:dyDescent="0.25">
      <c r="P5354" s="27">
        <v>3.2548184716220556E-2</v>
      </c>
      <c r="Q5354" s="28">
        <f t="shared" si="87"/>
        <v>3.5548184716220559E-2</v>
      </c>
      <c r="R5354" s="31">
        <v>0.15939999999999999</v>
      </c>
      <c r="S5354" s="32">
        <v>4.3279999999999999E-2</v>
      </c>
    </row>
    <row r="5355" spans="16:19" x14ac:dyDescent="0.25">
      <c r="P5355" s="27">
        <v>3.2548184716220556E-2</v>
      </c>
      <c r="Q5355" s="28">
        <f t="shared" si="87"/>
        <v>3.5548184716220559E-2</v>
      </c>
      <c r="R5355" s="29">
        <v>0.15</v>
      </c>
      <c r="S5355" s="30">
        <v>4.308E-2</v>
      </c>
    </row>
    <row r="5356" spans="16:19" x14ac:dyDescent="0.25">
      <c r="P5356" s="27">
        <v>3.2548184716220556E-2</v>
      </c>
      <c r="Q5356" s="28">
        <f t="shared" si="87"/>
        <v>3.5548184716220559E-2</v>
      </c>
      <c r="R5356" s="29">
        <v>0.15</v>
      </c>
      <c r="S5356" s="30">
        <v>4.2000000000000003E-2</v>
      </c>
    </row>
    <row r="5357" spans="16:19" x14ac:dyDescent="0.25">
      <c r="P5357" s="27">
        <v>3.2548184716220556E-2</v>
      </c>
      <c r="Q5357" s="28">
        <f t="shared" si="87"/>
        <v>3.5548184716220559E-2</v>
      </c>
      <c r="R5357" s="29">
        <v>0.15</v>
      </c>
      <c r="S5357" s="30">
        <v>4.0509999999999997E-2</v>
      </c>
    </row>
    <row r="5358" spans="16:19" x14ac:dyDescent="0.25">
      <c r="P5358" s="27">
        <v>3.2548184716220556E-2</v>
      </c>
      <c r="Q5358" s="28">
        <f t="shared" si="87"/>
        <v>3.5548184716220559E-2</v>
      </c>
      <c r="R5358" s="29">
        <v>0.15</v>
      </c>
      <c r="S5358" s="30">
        <v>3.7199238000000003E-2</v>
      </c>
    </row>
    <row r="5359" spans="16:19" x14ac:dyDescent="0.25">
      <c r="P5359" s="27">
        <v>3.2548184716220556E-2</v>
      </c>
      <c r="Q5359" s="28">
        <f t="shared" si="87"/>
        <v>3.5548184716220559E-2</v>
      </c>
      <c r="R5359" s="29">
        <v>0.15</v>
      </c>
      <c r="S5359" s="30">
        <v>3.8939999999999995E-2</v>
      </c>
    </row>
    <row r="5360" spans="16:19" x14ac:dyDescent="0.25">
      <c r="P5360" s="27">
        <v>3.2548184716220556E-2</v>
      </c>
      <c r="Q5360" s="28">
        <f t="shared" si="87"/>
        <v>3.5548184716220559E-2</v>
      </c>
      <c r="R5360" s="29">
        <v>0.15</v>
      </c>
      <c r="S5360" s="30">
        <v>4.0509999999999997E-2</v>
      </c>
    </row>
    <row r="5361" spans="16:19" x14ac:dyDescent="0.25">
      <c r="P5361" s="27">
        <v>3.2548184716220556E-2</v>
      </c>
      <c r="Q5361" s="28">
        <f t="shared" si="87"/>
        <v>3.5548184716220559E-2</v>
      </c>
      <c r="R5361" s="29">
        <v>0.15</v>
      </c>
      <c r="S5361" s="30">
        <v>4.0960000000000003E-2</v>
      </c>
    </row>
    <row r="5362" spans="16:19" x14ac:dyDescent="0.25">
      <c r="P5362" s="27">
        <v>3.2548184716220556E-2</v>
      </c>
      <c r="Q5362" s="28">
        <f t="shared" si="87"/>
        <v>3.5548184716220559E-2</v>
      </c>
      <c r="R5362" s="29">
        <v>0.15</v>
      </c>
      <c r="S5362" s="30">
        <v>4.1960000000000004E-2</v>
      </c>
    </row>
    <row r="5363" spans="16:19" x14ac:dyDescent="0.25">
      <c r="P5363" s="27">
        <v>3.2548184716220556E-2</v>
      </c>
      <c r="Q5363" s="28">
        <f t="shared" si="87"/>
        <v>3.5548184716220559E-2</v>
      </c>
      <c r="R5363" s="29">
        <v>0.15</v>
      </c>
      <c r="S5363" s="30">
        <v>4.4130000000000003E-2</v>
      </c>
    </row>
    <row r="5364" spans="16:19" x14ac:dyDescent="0.25">
      <c r="P5364" s="27">
        <v>3.2548184716220556E-2</v>
      </c>
      <c r="Q5364" s="28">
        <f t="shared" si="87"/>
        <v>3.5548184716220559E-2</v>
      </c>
      <c r="R5364" s="29">
        <v>0.15</v>
      </c>
      <c r="S5364" s="30">
        <v>4.308E-2</v>
      </c>
    </row>
    <row r="5365" spans="16:19" x14ac:dyDescent="0.25">
      <c r="P5365" s="27">
        <v>3.2548184716220556E-2</v>
      </c>
      <c r="Q5365" s="28">
        <f t="shared" si="87"/>
        <v>3.5548184716220559E-2</v>
      </c>
      <c r="R5365" s="29">
        <v>0.15</v>
      </c>
      <c r="S5365" s="30">
        <v>4.1189999999999997E-2</v>
      </c>
    </row>
    <row r="5366" spans="16:19" x14ac:dyDescent="0.25">
      <c r="P5366" s="27">
        <v>3.2548184716220556E-2</v>
      </c>
      <c r="Q5366" s="28">
        <f t="shared" si="87"/>
        <v>3.5548184716220559E-2</v>
      </c>
      <c r="R5366" s="29">
        <v>0.15</v>
      </c>
      <c r="S5366" s="30">
        <v>3.9880000000000006E-2</v>
      </c>
    </row>
    <row r="5367" spans="16:19" x14ac:dyDescent="0.25">
      <c r="P5367" s="27">
        <v>3.2548184716220556E-2</v>
      </c>
      <c r="Q5367" s="28">
        <f t="shared" si="87"/>
        <v>3.5548184716220559E-2</v>
      </c>
      <c r="R5367" s="29">
        <v>0.15</v>
      </c>
      <c r="S5367" s="30">
        <v>3.6730565E-2</v>
      </c>
    </row>
    <row r="5368" spans="16:19" x14ac:dyDescent="0.25">
      <c r="P5368" s="27">
        <v>3.2548184716220556E-2</v>
      </c>
      <c r="Q5368" s="28">
        <f t="shared" si="87"/>
        <v>3.5548184716220559E-2</v>
      </c>
      <c r="R5368" s="29">
        <v>0.15</v>
      </c>
      <c r="S5368" s="30">
        <v>3.5000000000000003E-2</v>
      </c>
    </row>
    <row r="5369" spans="16:19" x14ac:dyDescent="0.25">
      <c r="P5369" s="27">
        <v>3.2548184716220556E-2</v>
      </c>
      <c r="Q5369" s="28">
        <f t="shared" si="87"/>
        <v>3.5548184716220559E-2</v>
      </c>
      <c r="R5369" s="29">
        <v>0.15</v>
      </c>
      <c r="S5369" s="30">
        <v>3.5990000000000001E-2</v>
      </c>
    </row>
    <row r="5370" spans="16:19" x14ac:dyDescent="0.25">
      <c r="P5370" s="27">
        <v>3.2548184716220556E-2</v>
      </c>
      <c r="Q5370" s="28">
        <f t="shared" si="87"/>
        <v>3.5548184716220559E-2</v>
      </c>
      <c r="R5370" s="29">
        <v>0.15</v>
      </c>
      <c r="S5370" s="30">
        <v>3.7762014999999996E-2</v>
      </c>
    </row>
    <row r="5371" spans="16:19" x14ac:dyDescent="0.25">
      <c r="P5371" s="27">
        <v>3.2548184716220556E-2</v>
      </c>
      <c r="Q5371" s="28">
        <f t="shared" si="87"/>
        <v>3.5548184716220559E-2</v>
      </c>
      <c r="R5371" s="29">
        <v>0.15</v>
      </c>
      <c r="S5371" s="30">
        <v>3.9899999999999998E-2</v>
      </c>
    </row>
    <row r="5372" spans="16:19" x14ac:dyDescent="0.25">
      <c r="P5372" s="27">
        <v>3.2548184716220556E-2</v>
      </c>
      <c r="Q5372" s="28">
        <f t="shared" si="87"/>
        <v>3.5548184716220559E-2</v>
      </c>
      <c r="R5372" s="29">
        <v>0.15</v>
      </c>
      <c r="S5372" s="30">
        <v>4.2000000000000003E-2</v>
      </c>
    </row>
    <row r="5373" spans="16:19" x14ac:dyDescent="0.25">
      <c r="P5373" s="27">
        <v>3.2548184716220556E-2</v>
      </c>
      <c r="Q5373" s="28">
        <f t="shared" si="87"/>
        <v>3.5548184716220559E-2</v>
      </c>
      <c r="R5373" s="29">
        <v>0.15</v>
      </c>
      <c r="S5373" s="30">
        <v>4.3999999999999997E-2</v>
      </c>
    </row>
    <row r="5374" spans="16:19" x14ac:dyDescent="0.25">
      <c r="P5374" s="27">
        <v>3.2548184716220556E-2</v>
      </c>
      <c r="Q5374" s="28">
        <f t="shared" si="87"/>
        <v>3.5548184716220559E-2</v>
      </c>
      <c r="R5374" s="29">
        <v>0.15</v>
      </c>
      <c r="S5374" s="30">
        <v>4.6920000000000003E-2</v>
      </c>
    </row>
    <row r="5375" spans="16:19" x14ac:dyDescent="0.25">
      <c r="P5375" s="27">
        <v>3.2548184716220556E-2</v>
      </c>
      <c r="Q5375" s="28">
        <f t="shared" si="87"/>
        <v>3.5548184716220559E-2</v>
      </c>
      <c r="R5375" s="29">
        <v>0.15</v>
      </c>
      <c r="S5375" s="30">
        <v>5.0216558999999994E-2</v>
      </c>
    </row>
    <row r="5376" spans="16:19" x14ac:dyDescent="0.25">
      <c r="P5376" s="27">
        <v>3.2548184716220556E-2</v>
      </c>
      <c r="Q5376" s="28">
        <f t="shared" si="87"/>
        <v>3.5548184716220559E-2</v>
      </c>
      <c r="R5376" s="29">
        <v>0.15</v>
      </c>
      <c r="S5376" s="30">
        <v>5.1450000000000003E-2</v>
      </c>
    </row>
    <row r="5377" spans="16:19" x14ac:dyDescent="0.25">
      <c r="P5377" s="27">
        <v>3.2548184716220556E-2</v>
      </c>
      <c r="Q5377" s="28">
        <f t="shared" si="87"/>
        <v>3.5548184716220559E-2</v>
      </c>
      <c r="R5377" s="29">
        <v>0.15</v>
      </c>
      <c r="S5377" s="30">
        <v>4.462E-2</v>
      </c>
    </row>
    <row r="5378" spans="16:19" x14ac:dyDescent="0.25">
      <c r="P5378" s="27">
        <v>3.2548184716220556E-2</v>
      </c>
      <c r="Q5378" s="28">
        <f t="shared" si="87"/>
        <v>3.5548184716220559E-2</v>
      </c>
      <c r="R5378" s="29">
        <v>0.15</v>
      </c>
      <c r="S5378" s="30">
        <v>4.2889999999999998E-2</v>
      </c>
    </row>
    <row r="5379" spans="16:19" x14ac:dyDescent="0.25">
      <c r="P5379" s="27">
        <v>3.2548184716220556E-2</v>
      </c>
      <c r="Q5379" s="28">
        <f t="shared" si="87"/>
        <v>3.5548184716220559E-2</v>
      </c>
      <c r="R5379" s="29">
        <v>0.15</v>
      </c>
      <c r="S5379" s="30">
        <v>4.2599999999999999E-2</v>
      </c>
    </row>
    <row r="5380" spans="16:19" x14ac:dyDescent="0.25">
      <c r="P5380" s="27">
        <v>3.2548184716220556E-2</v>
      </c>
      <c r="Q5380" s="28">
        <f t="shared" si="87"/>
        <v>3.5548184716220559E-2</v>
      </c>
      <c r="R5380" s="29">
        <v>0.15</v>
      </c>
      <c r="S5380" s="30">
        <v>4.0299999999999996E-2</v>
      </c>
    </row>
    <row r="5381" spans="16:19" x14ac:dyDescent="0.25">
      <c r="P5381" s="27">
        <v>3.2548184716220556E-2</v>
      </c>
      <c r="Q5381" s="28">
        <f t="shared" ref="Q5381:Q5444" si="88">P5381+0.003</f>
        <v>3.5548184716220559E-2</v>
      </c>
      <c r="R5381" s="29">
        <v>0.15</v>
      </c>
      <c r="S5381" s="30">
        <v>3.7999999999999999E-2</v>
      </c>
    </row>
    <row r="5382" spans="16:19" x14ac:dyDescent="0.25">
      <c r="P5382" s="27">
        <v>3.2548184716220556E-2</v>
      </c>
      <c r="Q5382" s="28">
        <f t="shared" si="88"/>
        <v>3.5548184716220559E-2</v>
      </c>
      <c r="R5382" s="29">
        <v>0.15</v>
      </c>
      <c r="S5382" s="30">
        <v>3.4689999999999999E-2</v>
      </c>
    </row>
    <row r="5383" spans="16:19" x14ac:dyDescent="0.25">
      <c r="P5383" s="27">
        <v>3.2548184716220556E-2</v>
      </c>
      <c r="Q5383" s="28">
        <f t="shared" si="88"/>
        <v>3.5548184716220559E-2</v>
      </c>
      <c r="R5383" s="29">
        <v>0.15</v>
      </c>
      <c r="S5383" s="30">
        <v>3.4689999999999999E-2</v>
      </c>
    </row>
    <row r="5384" spans="16:19" x14ac:dyDescent="0.25">
      <c r="P5384" s="27">
        <v>3.2548184716220556E-2</v>
      </c>
      <c r="Q5384" s="28">
        <f t="shared" si="88"/>
        <v>3.5548184716220559E-2</v>
      </c>
      <c r="R5384" s="29">
        <v>0.15</v>
      </c>
      <c r="S5384" s="30">
        <v>0.04</v>
      </c>
    </row>
    <row r="5385" spans="16:19" x14ac:dyDescent="0.25">
      <c r="P5385" s="27">
        <v>3.2548184716220556E-2</v>
      </c>
      <c r="Q5385" s="28">
        <f t="shared" si="88"/>
        <v>3.5548184716220559E-2</v>
      </c>
      <c r="R5385" s="29">
        <v>0.15</v>
      </c>
      <c r="S5385" s="30">
        <v>4.054E-2</v>
      </c>
    </row>
    <row r="5386" spans="16:19" x14ac:dyDescent="0.25">
      <c r="P5386" s="27">
        <v>3.2548184716220556E-2</v>
      </c>
      <c r="Q5386" s="28">
        <f t="shared" si="88"/>
        <v>3.5548184716220559E-2</v>
      </c>
      <c r="R5386" s="29">
        <v>0.15</v>
      </c>
      <c r="S5386" s="30">
        <v>4.1960000000000004E-2</v>
      </c>
    </row>
    <row r="5387" spans="16:19" x14ac:dyDescent="0.25">
      <c r="P5387" s="27">
        <v>3.2548184716220556E-2</v>
      </c>
      <c r="Q5387" s="28">
        <f t="shared" si="88"/>
        <v>3.5548184716220559E-2</v>
      </c>
      <c r="R5387" s="31">
        <v>0.15939660775771733</v>
      </c>
      <c r="S5387" s="32">
        <v>4.3799999999999999E-2</v>
      </c>
    </row>
    <row r="5388" spans="16:19" x14ac:dyDescent="0.25">
      <c r="P5388" s="27">
        <v>3.2548184716220556E-2</v>
      </c>
      <c r="Q5388" s="28">
        <f t="shared" si="88"/>
        <v>3.5548184716220559E-2</v>
      </c>
      <c r="R5388" s="33">
        <v>0.16282860775771735</v>
      </c>
      <c r="S5388" s="34">
        <v>4.3479999999999998E-2</v>
      </c>
    </row>
    <row r="5389" spans="16:19" x14ac:dyDescent="0.25">
      <c r="P5389" s="27">
        <v>3.2548184716220556E-2</v>
      </c>
      <c r="Q5389" s="28">
        <f t="shared" si="88"/>
        <v>3.5548184716220559E-2</v>
      </c>
      <c r="R5389" s="33">
        <v>0.16282860775771735</v>
      </c>
      <c r="S5389" s="34">
        <v>4.138E-2</v>
      </c>
    </row>
    <row r="5390" spans="16:19" x14ac:dyDescent="0.25">
      <c r="P5390" s="27">
        <v>3.2548184716220556E-2</v>
      </c>
      <c r="Q5390" s="28">
        <f t="shared" si="88"/>
        <v>3.5548184716220559E-2</v>
      </c>
      <c r="R5390" s="33">
        <v>0.16282860775771735</v>
      </c>
      <c r="S5390" s="34">
        <v>4.0617832999999999E-2</v>
      </c>
    </row>
    <row r="5391" spans="16:19" x14ac:dyDescent="0.25">
      <c r="P5391" s="27">
        <v>3.2548184716220556E-2</v>
      </c>
      <c r="Q5391" s="28">
        <f t="shared" si="88"/>
        <v>3.5548184716220559E-2</v>
      </c>
      <c r="R5391" s="33">
        <v>0.16282860775771735</v>
      </c>
      <c r="S5391" s="34">
        <v>0.04</v>
      </c>
    </row>
    <row r="5392" spans="16:19" x14ac:dyDescent="0.25">
      <c r="P5392" s="27">
        <v>3.2548184716220556E-2</v>
      </c>
      <c r="Q5392" s="28">
        <f t="shared" si="88"/>
        <v>3.5548184716220559E-2</v>
      </c>
      <c r="R5392" s="33">
        <v>0.16282860775771735</v>
      </c>
      <c r="S5392" s="34">
        <v>3.7904992999999998E-2</v>
      </c>
    </row>
    <row r="5393" spans="16:19" x14ac:dyDescent="0.25">
      <c r="P5393" s="27">
        <v>3.2548184716220556E-2</v>
      </c>
      <c r="Q5393" s="28">
        <f t="shared" si="88"/>
        <v>3.5548184716220559E-2</v>
      </c>
      <c r="R5393" s="33">
        <v>0.16282860775771735</v>
      </c>
      <c r="S5393" s="34">
        <v>3.9100000000000003E-2</v>
      </c>
    </row>
    <row r="5394" spans="16:19" x14ac:dyDescent="0.25">
      <c r="P5394" s="27">
        <v>3.2548184716220556E-2</v>
      </c>
      <c r="Q5394" s="28">
        <f t="shared" si="88"/>
        <v>3.5548184716220559E-2</v>
      </c>
      <c r="R5394" s="33">
        <v>0.16282860775771735</v>
      </c>
      <c r="S5394" s="34">
        <v>3.9369999999999995E-2</v>
      </c>
    </row>
    <row r="5395" spans="16:19" x14ac:dyDescent="0.25">
      <c r="P5395" s="27">
        <v>3.2548184716220556E-2</v>
      </c>
      <c r="Q5395" s="28">
        <f t="shared" si="88"/>
        <v>3.5548184716220559E-2</v>
      </c>
      <c r="R5395" s="33">
        <v>0.16282860775771735</v>
      </c>
      <c r="S5395" s="34">
        <v>4.199E-2</v>
      </c>
    </row>
    <row r="5396" spans="16:19" x14ac:dyDescent="0.25">
      <c r="P5396" s="27">
        <v>3.2548184716220556E-2</v>
      </c>
      <c r="Q5396" s="28">
        <f t="shared" si="88"/>
        <v>3.5548184716220559E-2</v>
      </c>
      <c r="R5396" s="33">
        <v>0.16282860775771735</v>
      </c>
      <c r="S5396" s="34">
        <v>4.2909999999999997E-2</v>
      </c>
    </row>
    <row r="5397" spans="16:19" x14ac:dyDescent="0.25">
      <c r="P5397" s="27">
        <v>3.2548184716220556E-2</v>
      </c>
      <c r="Q5397" s="28">
        <f t="shared" si="88"/>
        <v>3.5548184716220559E-2</v>
      </c>
      <c r="R5397" s="33">
        <v>0.16282860775771735</v>
      </c>
      <c r="S5397" s="34">
        <v>4.4629017999999999E-2</v>
      </c>
    </row>
    <row r="5398" spans="16:19" x14ac:dyDescent="0.25">
      <c r="P5398" s="27">
        <v>3.2548184716220556E-2</v>
      </c>
      <c r="Q5398" s="28">
        <f t="shared" si="88"/>
        <v>3.5548184716220559E-2</v>
      </c>
      <c r="R5398" s="33">
        <v>0.16282860775771735</v>
      </c>
      <c r="S5398" s="34">
        <v>4.7570000000000001E-2</v>
      </c>
    </row>
    <row r="5399" spans="16:19" x14ac:dyDescent="0.25">
      <c r="P5399" s="27">
        <v>3.2548184716220556E-2</v>
      </c>
      <c r="Q5399" s="28">
        <f t="shared" si="88"/>
        <v>3.5548184716220559E-2</v>
      </c>
      <c r="R5399" s="31">
        <v>0.15939660775771733</v>
      </c>
      <c r="S5399" s="32">
        <v>5.1999999999999998E-2</v>
      </c>
    </row>
    <row r="5400" spans="16:19" x14ac:dyDescent="0.25">
      <c r="P5400" s="27">
        <v>3.2548184716220556E-2</v>
      </c>
      <c r="Q5400" s="28">
        <f t="shared" si="88"/>
        <v>3.5548184716220559E-2</v>
      </c>
      <c r="R5400" s="31">
        <v>0.15939660775771733</v>
      </c>
      <c r="S5400" s="32">
        <v>5.1999999999999998E-2</v>
      </c>
    </row>
    <row r="5401" spans="16:19" x14ac:dyDescent="0.25">
      <c r="P5401" s="27">
        <v>3.2548184716220556E-2</v>
      </c>
      <c r="Q5401" s="28">
        <f t="shared" si="88"/>
        <v>3.5548184716220559E-2</v>
      </c>
      <c r="R5401" s="31">
        <v>0.15939660775771733</v>
      </c>
      <c r="S5401" s="32">
        <v>4.4999999999999998E-2</v>
      </c>
    </row>
    <row r="5402" spans="16:19" x14ac:dyDescent="0.25">
      <c r="P5402" s="27">
        <v>3.2548184716220556E-2</v>
      </c>
      <c r="Q5402" s="28">
        <f t="shared" si="88"/>
        <v>3.5548184716220559E-2</v>
      </c>
      <c r="R5402" s="31">
        <v>0.15939660775771733</v>
      </c>
      <c r="S5402" s="32">
        <v>4.3200000000000002E-2</v>
      </c>
    </row>
    <row r="5403" spans="16:19" x14ac:dyDescent="0.25">
      <c r="P5403" s="27">
        <v>3.2548184716220556E-2</v>
      </c>
      <c r="Q5403" s="28">
        <f t="shared" si="88"/>
        <v>3.5548184716220559E-2</v>
      </c>
      <c r="R5403" s="29">
        <v>0.15003660775771735</v>
      </c>
      <c r="S5403" s="30">
        <v>0.04</v>
      </c>
    </row>
    <row r="5404" spans="16:19" x14ac:dyDescent="0.25">
      <c r="P5404" s="27">
        <v>3.2548184716220556E-2</v>
      </c>
      <c r="Q5404" s="28">
        <f t="shared" si="88"/>
        <v>3.5548184716220559E-2</v>
      </c>
      <c r="R5404" s="29">
        <v>0.15003660775771735</v>
      </c>
      <c r="S5404" s="30">
        <v>3.6950000000000004E-2</v>
      </c>
    </row>
    <row r="5405" spans="16:19" x14ac:dyDescent="0.25">
      <c r="P5405" s="27">
        <v>3.2548184716220556E-2</v>
      </c>
      <c r="Q5405" s="28">
        <f t="shared" si="88"/>
        <v>3.5548184716220559E-2</v>
      </c>
      <c r="R5405" s="29">
        <v>0.15003660775771735</v>
      </c>
      <c r="S5405" s="30">
        <v>3.1030000000000002E-2</v>
      </c>
    </row>
    <row r="5406" spans="16:19" x14ac:dyDescent="0.25">
      <c r="P5406" s="27">
        <v>3.2548184716220556E-2</v>
      </c>
      <c r="Q5406" s="28">
        <f t="shared" si="88"/>
        <v>3.5548184716220559E-2</v>
      </c>
      <c r="R5406" s="29">
        <v>0.15003660775771735</v>
      </c>
      <c r="S5406" s="30">
        <v>3.0368558E-2</v>
      </c>
    </row>
    <row r="5407" spans="16:19" x14ac:dyDescent="0.25">
      <c r="P5407" s="27">
        <v>3.2548184716220556E-2</v>
      </c>
      <c r="Q5407" s="28">
        <f t="shared" si="88"/>
        <v>3.5548184716220559E-2</v>
      </c>
      <c r="R5407" s="29">
        <v>0.15003660775771735</v>
      </c>
      <c r="S5407" s="30">
        <v>2.9559999999999999E-2</v>
      </c>
    </row>
    <row r="5408" spans="16:19" x14ac:dyDescent="0.25">
      <c r="P5408" s="27">
        <v>3.2548184716220556E-2</v>
      </c>
      <c r="Q5408" s="28">
        <f t="shared" si="88"/>
        <v>3.5548184716220559E-2</v>
      </c>
      <c r="R5408" s="29">
        <v>0.15003660775771735</v>
      </c>
      <c r="S5408" s="30">
        <v>3.3581646999999999E-2</v>
      </c>
    </row>
    <row r="5409" spans="16:19" x14ac:dyDescent="0.25">
      <c r="P5409" s="27">
        <v>3.2548184716220556E-2</v>
      </c>
      <c r="Q5409" s="28">
        <f t="shared" si="88"/>
        <v>3.5548184716220559E-2</v>
      </c>
      <c r="R5409" s="29">
        <v>0.15003660775771735</v>
      </c>
      <c r="S5409" s="30">
        <v>3.6490000000000002E-2</v>
      </c>
    </row>
    <row r="5410" spans="16:19" x14ac:dyDescent="0.25">
      <c r="P5410" s="27">
        <v>3.2548184716220556E-2</v>
      </c>
      <c r="Q5410" s="28">
        <f t="shared" si="88"/>
        <v>3.5548184716220559E-2</v>
      </c>
      <c r="R5410" s="29">
        <v>0.15003660775771735</v>
      </c>
      <c r="S5410" s="30">
        <v>3.8941257999999999E-2</v>
      </c>
    </row>
    <row r="5411" spans="16:19" x14ac:dyDescent="0.25">
      <c r="P5411" s="27">
        <v>3.2548184716220556E-2</v>
      </c>
      <c r="Q5411" s="28">
        <f t="shared" si="88"/>
        <v>3.5548184716220559E-2</v>
      </c>
      <c r="R5411" s="31">
        <v>0.15939660775771733</v>
      </c>
      <c r="S5411" s="32">
        <v>3.9899999999999998E-2</v>
      </c>
    </row>
    <row r="5412" spans="16:19" x14ac:dyDescent="0.25">
      <c r="P5412" s="27">
        <v>3.2548184716220556E-2</v>
      </c>
      <c r="Q5412" s="28">
        <f t="shared" si="88"/>
        <v>3.5548184716220559E-2</v>
      </c>
      <c r="R5412" s="33">
        <v>0.16282860775771735</v>
      </c>
      <c r="S5412" s="34">
        <v>3.8380000000000004E-2</v>
      </c>
    </row>
    <row r="5413" spans="16:19" x14ac:dyDescent="0.25">
      <c r="P5413" s="27">
        <v>3.2548184716220556E-2</v>
      </c>
      <c r="Q5413" s="28">
        <f t="shared" si="88"/>
        <v>3.5548184716220559E-2</v>
      </c>
      <c r="R5413" s="33">
        <v>0.16282860775771735</v>
      </c>
      <c r="S5413" s="34">
        <v>3.61E-2</v>
      </c>
    </row>
    <row r="5414" spans="16:19" x14ac:dyDescent="0.25">
      <c r="P5414" s="27">
        <v>3.2548184716220556E-2</v>
      </c>
      <c r="Q5414" s="28">
        <f t="shared" si="88"/>
        <v>3.5548184716220559E-2</v>
      </c>
      <c r="R5414" s="33">
        <v>0.16282860775771735</v>
      </c>
      <c r="S5414" s="34">
        <v>3.474E-2</v>
      </c>
    </row>
    <row r="5415" spans="16:19" x14ac:dyDescent="0.25">
      <c r="P5415" s="27">
        <v>3.2548184716220556E-2</v>
      </c>
      <c r="Q5415" s="28">
        <f t="shared" si="88"/>
        <v>3.5548184716220559E-2</v>
      </c>
      <c r="R5415" s="33">
        <v>0.16282860775771735</v>
      </c>
      <c r="S5415" s="34">
        <v>3.2439999999999997E-2</v>
      </c>
    </row>
    <row r="5416" spans="16:19" x14ac:dyDescent="0.25">
      <c r="P5416" s="27">
        <v>3.2548184716220556E-2</v>
      </c>
      <c r="Q5416" s="28">
        <f t="shared" si="88"/>
        <v>3.5548184716220559E-2</v>
      </c>
      <c r="R5416" s="33">
        <v>0.16282860775771735</v>
      </c>
      <c r="S5416" s="34">
        <v>3.1030000000000002E-2</v>
      </c>
    </row>
    <row r="5417" spans="16:19" x14ac:dyDescent="0.25">
      <c r="P5417" s="27">
        <v>3.2548184716220556E-2</v>
      </c>
      <c r="Q5417" s="28">
        <f t="shared" si="88"/>
        <v>3.5548184716220559E-2</v>
      </c>
      <c r="R5417" s="33">
        <v>0.16282860775771735</v>
      </c>
      <c r="S5417" s="34">
        <v>3.1E-2</v>
      </c>
    </row>
    <row r="5418" spans="16:19" x14ac:dyDescent="0.25">
      <c r="P5418" s="27">
        <v>3.2548184716220556E-2</v>
      </c>
      <c r="Q5418" s="28">
        <f t="shared" si="88"/>
        <v>3.5548184716220559E-2</v>
      </c>
      <c r="R5418" s="33">
        <v>0.16282860775771735</v>
      </c>
      <c r="S5418" s="34">
        <v>3.1519999999999999E-2</v>
      </c>
    </row>
    <row r="5419" spans="16:19" x14ac:dyDescent="0.25">
      <c r="P5419" s="27">
        <v>3.2548184716220556E-2</v>
      </c>
      <c r="Q5419" s="28">
        <f t="shared" si="88"/>
        <v>3.5548184716220559E-2</v>
      </c>
      <c r="R5419" s="33">
        <v>0.16282860775771735</v>
      </c>
      <c r="S5419" s="34">
        <v>3.3100000000000004E-2</v>
      </c>
    </row>
    <row r="5420" spans="16:19" x14ac:dyDescent="0.25">
      <c r="P5420" s="27">
        <v>3.2548184716220556E-2</v>
      </c>
      <c r="Q5420" s="28">
        <f t="shared" si="88"/>
        <v>3.5548184716220559E-2</v>
      </c>
      <c r="R5420" s="33">
        <v>0.16282860775771735</v>
      </c>
      <c r="S5420" s="34">
        <v>3.6940000000000001E-2</v>
      </c>
    </row>
    <row r="5421" spans="16:19" x14ac:dyDescent="0.25">
      <c r="P5421" s="27">
        <v>3.2548184716220556E-2</v>
      </c>
      <c r="Q5421" s="28">
        <f t="shared" si="88"/>
        <v>3.5548184716220559E-2</v>
      </c>
      <c r="R5421" s="33">
        <v>0.16282860775771735</v>
      </c>
      <c r="S5421" s="34">
        <v>3.9100000000000003E-2</v>
      </c>
    </row>
    <row r="5422" spans="16:19" x14ac:dyDescent="0.25">
      <c r="P5422" s="27">
        <v>3.2548184716220556E-2</v>
      </c>
      <c r="Q5422" s="28">
        <f t="shared" si="88"/>
        <v>3.5548184716220559E-2</v>
      </c>
      <c r="R5422" s="33">
        <v>0.16282860775771735</v>
      </c>
      <c r="S5422" s="34">
        <v>4.4940000000000001E-2</v>
      </c>
    </row>
    <row r="5423" spans="16:19" x14ac:dyDescent="0.25">
      <c r="P5423" s="27">
        <v>3.2548184716220556E-2</v>
      </c>
      <c r="Q5423" s="28">
        <f t="shared" si="88"/>
        <v>3.5548184716220559E-2</v>
      </c>
      <c r="R5423" s="31">
        <v>0.15939660775771733</v>
      </c>
      <c r="S5423" s="32">
        <v>4.9439999999999998E-2</v>
      </c>
    </row>
    <row r="5424" spans="16:19" x14ac:dyDescent="0.25">
      <c r="P5424" s="27">
        <v>3.2548184716220556E-2</v>
      </c>
      <c r="Q5424" s="28">
        <f t="shared" si="88"/>
        <v>3.5548184716220559E-2</v>
      </c>
      <c r="R5424" s="31">
        <v>0.15939660775771733</v>
      </c>
      <c r="S5424" s="32">
        <v>4.938E-2</v>
      </c>
    </row>
    <row r="5425" spans="16:19" x14ac:dyDescent="0.25">
      <c r="P5425" s="27">
        <v>3.2548184716220556E-2</v>
      </c>
      <c r="Q5425" s="28">
        <f t="shared" si="88"/>
        <v>3.5548184716220559E-2</v>
      </c>
      <c r="R5425" s="31">
        <v>0.15939660775771733</v>
      </c>
      <c r="S5425" s="32">
        <v>4.2999999999999997E-2</v>
      </c>
    </row>
    <row r="5426" spans="16:19" x14ac:dyDescent="0.25">
      <c r="P5426" s="27">
        <v>3.2548184716220556E-2</v>
      </c>
      <c r="Q5426" s="28">
        <f t="shared" si="88"/>
        <v>3.5548184716220559E-2</v>
      </c>
      <c r="R5426" s="31">
        <v>0.15939660775771733</v>
      </c>
      <c r="S5426" s="32">
        <v>3.6353157000000004E-2</v>
      </c>
    </row>
    <row r="5427" spans="16:19" x14ac:dyDescent="0.25">
      <c r="P5427" s="27">
        <v>3.2548184716220556E-2</v>
      </c>
      <c r="Q5427" s="28">
        <f t="shared" si="88"/>
        <v>3.5548184716220559E-2</v>
      </c>
      <c r="R5427" s="29">
        <v>0.15003660775771735</v>
      </c>
      <c r="S5427" s="30">
        <v>3.5499999999999997E-2</v>
      </c>
    </row>
    <row r="5428" spans="16:19" x14ac:dyDescent="0.25">
      <c r="P5428" s="27">
        <v>3.2548184716220556E-2</v>
      </c>
      <c r="Q5428" s="28">
        <f t="shared" si="88"/>
        <v>3.5548184716220559E-2</v>
      </c>
      <c r="R5428" s="29">
        <v>0.15003660775771735</v>
      </c>
      <c r="S5428" s="30">
        <v>3.4430000000000002E-2</v>
      </c>
    </row>
    <row r="5429" spans="16:19" x14ac:dyDescent="0.25">
      <c r="P5429" s="27">
        <v>3.2548184716220556E-2</v>
      </c>
      <c r="Q5429" s="28">
        <f t="shared" si="88"/>
        <v>3.5548184716220559E-2</v>
      </c>
      <c r="R5429" s="29">
        <v>0.15003660775771735</v>
      </c>
      <c r="S5429" s="30">
        <v>3.3000000000000002E-2</v>
      </c>
    </row>
    <row r="5430" spans="16:19" x14ac:dyDescent="0.25">
      <c r="P5430" s="27">
        <v>3.2548184716220556E-2</v>
      </c>
      <c r="Q5430" s="28">
        <f t="shared" si="88"/>
        <v>3.5548184716220559E-2</v>
      </c>
      <c r="R5430" s="29">
        <v>0.15003660775771735</v>
      </c>
      <c r="S5430" s="30">
        <v>3.3000000000000002E-2</v>
      </c>
    </row>
    <row r="5431" spans="16:19" x14ac:dyDescent="0.25">
      <c r="P5431" s="27">
        <v>3.2548184716220556E-2</v>
      </c>
      <c r="Q5431" s="28">
        <f t="shared" si="88"/>
        <v>3.5548184716220559E-2</v>
      </c>
      <c r="R5431" s="29">
        <v>0.15003660775771735</v>
      </c>
      <c r="S5431" s="30">
        <v>3.3000000000000002E-2</v>
      </c>
    </row>
    <row r="5432" spans="16:19" x14ac:dyDescent="0.25">
      <c r="P5432" s="27">
        <v>3.2548184716220556E-2</v>
      </c>
      <c r="Q5432" s="28">
        <f t="shared" si="88"/>
        <v>3.5548184716220559E-2</v>
      </c>
      <c r="R5432" s="29">
        <v>0.15003660775771735</v>
      </c>
      <c r="S5432" s="30">
        <v>3.3000000000000002E-2</v>
      </c>
    </row>
    <row r="5433" spans="16:19" x14ac:dyDescent="0.25">
      <c r="P5433" s="27">
        <v>3.2548184716220556E-2</v>
      </c>
      <c r="Q5433" s="28">
        <f t="shared" si="88"/>
        <v>3.5548184716220559E-2</v>
      </c>
      <c r="R5433" s="29">
        <v>0.15003660775771735</v>
      </c>
      <c r="S5433" s="30">
        <v>3.61E-2</v>
      </c>
    </row>
    <row r="5434" spans="16:19" x14ac:dyDescent="0.25">
      <c r="P5434" s="27">
        <v>3.2548184716220556E-2</v>
      </c>
      <c r="Q5434" s="28">
        <f t="shared" si="88"/>
        <v>3.5548184716220559E-2</v>
      </c>
      <c r="R5434" s="29">
        <v>0.15003660775771735</v>
      </c>
      <c r="S5434" s="30">
        <v>3.9049999999999994E-2</v>
      </c>
    </row>
    <row r="5435" spans="16:19" x14ac:dyDescent="0.25">
      <c r="P5435" s="27">
        <v>3.2548184716220556E-2</v>
      </c>
      <c r="Q5435" s="28">
        <f t="shared" si="88"/>
        <v>3.5548184716220559E-2</v>
      </c>
      <c r="R5435" s="29">
        <v>0.15003660775771735</v>
      </c>
      <c r="S5435" s="30">
        <v>3.7329999999999995E-2</v>
      </c>
    </row>
    <row r="5436" spans="16:19" x14ac:dyDescent="0.25">
      <c r="P5436" s="27">
        <v>3.2548184716220556E-2</v>
      </c>
      <c r="Q5436" s="28">
        <f t="shared" si="88"/>
        <v>3.5548184716220559E-2</v>
      </c>
      <c r="R5436" s="29">
        <v>0.15003660775771735</v>
      </c>
      <c r="S5436" s="30">
        <v>3.4799999999999998E-2</v>
      </c>
    </row>
    <row r="5437" spans="16:19" x14ac:dyDescent="0.25">
      <c r="P5437" s="27">
        <v>3.2548184716220556E-2</v>
      </c>
      <c r="Q5437" s="28">
        <f t="shared" si="88"/>
        <v>3.5548184716220559E-2</v>
      </c>
      <c r="R5437" s="29">
        <v>0.15003660775771735</v>
      </c>
      <c r="S5437" s="30">
        <v>0.03</v>
      </c>
    </row>
    <row r="5438" spans="16:19" x14ac:dyDescent="0.25">
      <c r="P5438" s="27">
        <v>3.2548184716220556E-2</v>
      </c>
      <c r="Q5438" s="28">
        <f t="shared" si="88"/>
        <v>3.5548184716220559E-2</v>
      </c>
      <c r="R5438" s="29">
        <v>0.15003660775771735</v>
      </c>
      <c r="S5438" s="30">
        <v>2.3699618000000002E-2</v>
      </c>
    </row>
    <row r="5439" spans="16:19" x14ac:dyDescent="0.25">
      <c r="P5439" s="27">
        <v>3.2548184716220556E-2</v>
      </c>
      <c r="Q5439" s="28">
        <f t="shared" si="88"/>
        <v>3.5548184716220559E-2</v>
      </c>
      <c r="R5439" s="29">
        <v>0.15003660775771735</v>
      </c>
      <c r="S5439" s="30">
        <v>2.529E-2</v>
      </c>
    </row>
    <row r="5440" spans="16:19" x14ac:dyDescent="0.25">
      <c r="P5440" s="27">
        <v>3.2548184716220556E-2</v>
      </c>
      <c r="Q5440" s="28">
        <f t="shared" si="88"/>
        <v>3.5548184716220559E-2</v>
      </c>
      <c r="R5440" s="29">
        <v>0.15003660775771735</v>
      </c>
      <c r="S5440" s="30">
        <v>2.01E-2</v>
      </c>
    </row>
    <row r="5441" spans="16:19" x14ac:dyDescent="0.25">
      <c r="P5441" s="27">
        <v>3.2548184716220556E-2</v>
      </c>
      <c r="Q5441" s="28">
        <f t="shared" si="88"/>
        <v>3.5548184716220559E-2</v>
      </c>
      <c r="R5441" s="29">
        <v>0.15003660775771735</v>
      </c>
      <c r="S5441" s="30">
        <v>2.2120000000000001E-2</v>
      </c>
    </row>
    <row r="5442" spans="16:19" x14ac:dyDescent="0.25">
      <c r="P5442" s="27">
        <v>3.2548184716220556E-2</v>
      </c>
      <c r="Q5442" s="28">
        <f t="shared" si="88"/>
        <v>3.5548184716220559E-2</v>
      </c>
      <c r="R5442" s="29">
        <v>0.15003660775771735</v>
      </c>
      <c r="S5442" s="30">
        <v>2.2900307999999998E-2</v>
      </c>
    </row>
    <row r="5443" spans="16:19" x14ac:dyDescent="0.25">
      <c r="P5443" s="27">
        <v>3.2548184716220556E-2</v>
      </c>
      <c r="Q5443" s="28">
        <f t="shared" si="88"/>
        <v>3.5548184716220559E-2</v>
      </c>
      <c r="R5443" s="29">
        <v>0.15003660775771735</v>
      </c>
      <c r="S5443" s="30">
        <v>2.793E-2</v>
      </c>
    </row>
    <row r="5444" spans="16:19" x14ac:dyDescent="0.25">
      <c r="P5444" s="27">
        <v>3.2548184716220556E-2</v>
      </c>
      <c r="Q5444" s="28">
        <f t="shared" si="88"/>
        <v>3.5548184716220559E-2</v>
      </c>
      <c r="R5444" s="29">
        <v>0.15003660775771735</v>
      </c>
      <c r="S5444" s="30">
        <v>3.4250000000000003E-2</v>
      </c>
    </row>
    <row r="5445" spans="16:19" x14ac:dyDescent="0.25">
      <c r="P5445" s="27">
        <v>3.2548184716220556E-2</v>
      </c>
      <c r="Q5445" s="28">
        <f t="shared" ref="Q5445:Q5508" si="89">P5445+0.003</f>
        <v>3.5548184716220559E-2</v>
      </c>
      <c r="R5445" s="29">
        <v>0.15003660775771735</v>
      </c>
      <c r="S5445" s="30">
        <v>3.637E-2</v>
      </c>
    </row>
    <row r="5446" spans="16:19" x14ac:dyDescent="0.25">
      <c r="P5446" s="27">
        <v>3.2548184716220556E-2</v>
      </c>
      <c r="Q5446" s="28">
        <f t="shared" si="89"/>
        <v>3.5548184716220559E-2</v>
      </c>
      <c r="R5446" s="29">
        <v>0.15003660775771735</v>
      </c>
      <c r="S5446" s="30">
        <v>3.9979999999999995E-2</v>
      </c>
    </row>
    <row r="5447" spans="16:19" x14ac:dyDescent="0.25">
      <c r="P5447" s="27">
        <v>3.2548184716220556E-2</v>
      </c>
      <c r="Q5447" s="28">
        <f t="shared" si="89"/>
        <v>3.5548184716220559E-2</v>
      </c>
      <c r="R5447" s="29">
        <v>0.15003660775771735</v>
      </c>
      <c r="S5447" s="30">
        <v>4.9000000000000002E-2</v>
      </c>
    </row>
    <row r="5448" spans="16:19" x14ac:dyDescent="0.25">
      <c r="P5448" s="27">
        <v>3.2548184716220556E-2</v>
      </c>
      <c r="Q5448" s="28">
        <f t="shared" si="89"/>
        <v>3.5548184716220559E-2</v>
      </c>
      <c r="R5448" s="29">
        <v>0.15003660775771735</v>
      </c>
      <c r="S5448" s="30">
        <v>5.0070000000000003E-2</v>
      </c>
    </row>
    <row r="5449" spans="16:19" x14ac:dyDescent="0.25">
      <c r="P5449" s="27">
        <v>3.2548184716220556E-2</v>
      </c>
      <c r="Q5449" s="28">
        <f t="shared" si="89"/>
        <v>3.5548184716220559E-2</v>
      </c>
      <c r="R5449" s="29">
        <v>0.15003660775771735</v>
      </c>
      <c r="S5449" s="30">
        <v>4.2999999999999997E-2</v>
      </c>
    </row>
    <row r="5450" spans="16:19" x14ac:dyDescent="0.25">
      <c r="P5450" s="27">
        <v>3.2548184716220556E-2</v>
      </c>
      <c r="Q5450" s="28">
        <f t="shared" si="89"/>
        <v>3.5548184716220559E-2</v>
      </c>
      <c r="R5450" s="29">
        <v>0.15003660775771735</v>
      </c>
      <c r="S5450" s="30">
        <v>4.0820000000000002E-2</v>
      </c>
    </row>
    <row r="5451" spans="16:19" x14ac:dyDescent="0.25">
      <c r="P5451" s="27">
        <v>3.2548184716220556E-2</v>
      </c>
      <c r="Q5451" s="28">
        <f t="shared" si="89"/>
        <v>3.5548184716220559E-2</v>
      </c>
      <c r="R5451" s="29">
        <v>0.15003660775771735</v>
      </c>
      <c r="S5451" s="30">
        <v>4.2000000000000003E-2</v>
      </c>
    </row>
    <row r="5452" spans="16:19" x14ac:dyDescent="0.25">
      <c r="P5452" s="27">
        <v>3.2548184716220556E-2</v>
      </c>
      <c r="Q5452" s="28">
        <f t="shared" si="89"/>
        <v>3.5548184716220559E-2</v>
      </c>
      <c r="R5452" s="29">
        <v>0.15003660775771735</v>
      </c>
      <c r="S5452" s="30">
        <v>4.1399999999999999E-2</v>
      </c>
    </row>
    <row r="5453" spans="16:19" x14ac:dyDescent="0.25">
      <c r="P5453" s="27">
        <v>3.2548184716220556E-2</v>
      </c>
      <c r="Q5453" s="28">
        <f t="shared" si="89"/>
        <v>3.5548184716220559E-2</v>
      </c>
      <c r="R5453" s="29">
        <v>0.15003660775771735</v>
      </c>
      <c r="S5453" s="30">
        <v>4.0570000000000002E-2</v>
      </c>
    </row>
    <row r="5454" spans="16:19" x14ac:dyDescent="0.25">
      <c r="P5454" s="27">
        <v>3.2548184716220556E-2</v>
      </c>
      <c r="Q5454" s="28">
        <f t="shared" si="89"/>
        <v>3.5548184716220559E-2</v>
      </c>
      <c r="R5454" s="29">
        <v>0.15003660775771735</v>
      </c>
      <c r="S5454" s="30">
        <v>3.993E-2</v>
      </c>
    </row>
    <row r="5455" spans="16:19" x14ac:dyDescent="0.25">
      <c r="P5455" s="27">
        <v>3.2548184716220556E-2</v>
      </c>
      <c r="Q5455" s="28">
        <f t="shared" si="89"/>
        <v>3.5548184716220559E-2</v>
      </c>
      <c r="R5455" s="29">
        <v>0.15003660775771735</v>
      </c>
      <c r="S5455" s="30">
        <v>4.0320000000000002E-2</v>
      </c>
    </row>
    <row r="5456" spans="16:19" x14ac:dyDescent="0.25">
      <c r="P5456" s="27">
        <v>3.2548184716220556E-2</v>
      </c>
      <c r="Q5456" s="28">
        <f t="shared" si="89"/>
        <v>3.5548184716220559E-2</v>
      </c>
      <c r="R5456" s="29">
        <v>0.15003660775771735</v>
      </c>
      <c r="S5456" s="30">
        <v>4.1399999999999999E-2</v>
      </c>
    </row>
    <row r="5457" spans="16:19" x14ac:dyDescent="0.25">
      <c r="P5457" s="27">
        <v>3.2548184716220556E-2</v>
      </c>
      <c r="Q5457" s="28">
        <f t="shared" si="89"/>
        <v>3.5548184716220559E-2</v>
      </c>
      <c r="R5457" s="29">
        <v>0.15003660775771735</v>
      </c>
      <c r="S5457" s="30">
        <v>4.1399999999999999E-2</v>
      </c>
    </row>
    <row r="5458" spans="16:19" x14ac:dyDescent="0.25">
      <c r="P5458" s="27">
        <v>3.2548184716220556E-2</v>
      </c>
      <c r="Q5458" s="28">
        <f t="shared" si="89"/>
        <v>3.5548184716220559E-2</v>
      </c>
      <c r="R5458" s="29">
        <v>0.15003660775771735</v>
      </c>
      <c r="S5458" s="30">
        <v>0.04</v>
      </c>
    </row>
    <row r="5459" spans="16:19" x14ac:dyDescent="0.25">
      <c r="P5459" s="27">
        <v>3.2548184716220556E-2</v>
      </c>
      <c r="Q5459" s="28">
        <f t="shared" si="89"/>
        <v>3.5548184716220559E-2</v>
      </c>
      <c r="R5459" s="31">
        <v>0.15939660775771733</v>
      </c>
      <c r="S5459" s="32">
        <v>4.2009999999999999E-2</v>
      </c>
    </row>
    <row r="5460" spans="16:19" x14ac:dyDescent="0.25">
      <c r="P5460" s="27">
        <v>3.2548184716220556E-2</v>
      </c>
      <c r="Q5460" s="28">
        <f t="shared" si="89"/>
        <v>3.5548184716220559E-2</v>
      </c>
      <c r="R5460" s="33">
        <v>0.16282860775771735</v>
      </c>
      <c r="S5460" s="34">
        <v>4.1399999999999999E-2</v>
      </c>
    </row>
    <row r="5461" spans="16:19" x14ac:dyDescent="0.25">
      <c r="P5461" s="27">
        <v>3.2548184716220556E-2</v>
      </c>
      <c r="Q5461" s="28">
        <f t="shared" si="89"/>
        <v>3.5548184716220559E-2</v>
      </c>
      <c r="R5461" s="33">
        <v>0.16282860775771735</v>
      </c>
      <c r="S5461" s="34">
        <v>3.7109999999999997E-2</v>
      </c>
    </row>
    <row r="5462" spans="16:19" x14ac:dyDescent="0.25">
      <c r="P5462" s="27">
        <v>3.2548184716220556E-2</v>
      </c>
      <c r="Q5462" s="28">
        <f t="shared" si="89"/>
        <v>3.5548184716220559E-2</v>
      </c>
      <c r="R5462" s="33">
        <v>0.16282860775771735</v>
      </c>
      <c r="S5462" s="34">
        <v>3.381E-2</v>
      </c>
    </row>
    <row r="5463" spans="16:19" x14ac:dyDescent="0.25">
      <c r="P5463" s="27">
        <v>3.2548184716220556E-2</v>
      </c>
      <c r="Q5463" s="28">
        <f t="shared" si="89"/>
        <v>3.5548184716220559E-2</v>
      </c>
      <c r="R5463" s="33">
        <v>0.16282860775771735</v>
      </c>
      <c r="S5463" s="34">
        <v>3.5750824E-2</v>
      </c>
    </row>
    <row r="5464" spans="16:19" x14ac:dyDescent="0.25">
      <c r="P5464" s="27">
        <v>3.2548184716220556E-2</v>
      </c>
      <c r="Q5464" s="28">
        <f t="shared" si="89"/>
        <v>3.5548184716220559E-2</v>
      </c>
      <c r="R5464" s="33">
        <v>0.16282860775771735</v>
      </c>
      <c r="S5464" s="34">
        <v>2.7E-2</v>
      </c>
    </row>
    <row r="5465" spans="16:19" x14ac:dyDescent="0.25">
      <c r="P5465" s="27">
        <v>3.2548184716220556E-2</v>
      </c>
      <c r="Q5465" s="28">
        <f t="shared" si="89"/>
        <v>3.5548184716220559E-2</v>
      </c>
      <c r="R5465" s="33">
        <v>0.16282860775771735</v>
      </c>
      <c r="S5465" s="34">
        <v>3.0690000000000002E-2</v>
      </c>
    </row>
    <row r="5466" spans="16:19" x14ac:dyDescent="0.25">
      <c r="P5466" s="27">
        <v>3.2548184716220556E-2</v>
      </c>
      <c r="Q5466" s="28">
        <f t="shared" si="89"/>
        <v>3.5548184716220559E-2</v>
      </c>
      <c r="R5466" s="33">
        <v>0.16282860775771735</v>
      </c>
      <c r="S5466" s="34">
        <v>3.5119999999999998E-2</v>
      </c>
    </row>
    <row r="5467" spans="16:19" x14ac:dyDescent="0.25">
      <c r="P5467" s="27">
        <v>3.2548184716220556E-2</v>
      </c>
      <c r="Q5467" s="28">
        <f t="shared" si="89"/>
        <v>3.5548184716220559E-2</v>
      </c>
      <c r="R5467" s="33">
        <v>0.16282860775771735</v>
      </c>
      <c r="S5467" s="34">
        <v>3.7109999999999997E-2</v>
      </c>
    </row>
    <row r="5468" spans="16:19" x14ac:dyDescent="0.25">
      <c r="P5468" s="27">
        <v>3.2548184716220556E-2</v>
      </c>
      <c r="Q5468" s="28">
        <f t="shared" si="89"/>
        <v>3.5548184716220559E-2</v>
      </c>
      <c r="R5468" s="33">
        <v>0.16282860775771735</v>
      </c>
      <c r="S5468" s="34">
        <v>3.7109999999999997E-2</v>
      </c>
    </row>
    <row r="5469" spans="16:19" x14ac:dyDescent="0.25">
      <c r="P5469" s="27">
        <v>3.2548184716220556E-2</v>
      </c>
      <c r="Q5469" s="28">
        <f t="shared" si="89"/>
        <v>3.5548184716220559E-2</v>
      </c>
      <c r="R5469" s="33">
        <v>0.16282860775771735</v>
      </c>
      <c r="S5469" s="34">
        <v>4.3529999999999999E-2</v>
      </c>
    </row>
    <row r="5470" spans="16:19" x14ac:dyDescent="0.25">
      <c r="P5470" s="27">
        <v>3.2548184716220556E-2</v>
      </c>
      <c r="Q5470" s="28">
        <f t="shared" si="89"/>
        <v>3.5548184716220559E-2</v>
      </c>
      <c r="R5470" s="33">
        <v>0.16282860775771735</v>
      </c>
      <c r="S5470" s="34">
        <v>4.5609999999999998E-2</v>
      </c>
    </row>
    <row r="5471" spans="16:19" x14ac:dyDescent="0.25">
      <c r="P5471" s="27">
        <v>3.2548184716220556E-2</v>
      </c>
      <c r="Q5471" s="28">
        <f t="shared" si="89"/>
        <v>3.5548184716220559E-2</v>
      </c>
      <c r="R5471" s="31">
        <v>0.15939660775771733</v>
      </c>
      <c r="S5471" s="32">
        <v>4.9000000000000002E-2</v>
      </c>
    </row>
    <row r="5472" spans="16:19" x14ac:dyDescent="0.25">
      <c r="P5472" s="27">
        <v>3.2548184716220556E-2</v>
      </c>
      <c r="Q5472" s="28">
        <f t="shared" si="89"/>
        <v>3.5548184716220559E-2</v>
      </c>
      <c r="R5472" s="31">
        <v>0.15939660775771733</v>
      </c>
      <c r="S5472" s="32">
        <v>4.999E-2</v>
      </c>
    </row>
    <row r="5473" spans="16:19" x14ac:dyDescent="0.25">
      <c r="P5473" s="27">
        <v>3.2548184716220556E-2</v>
      </c>
      <c r="Q5473" s="28">
        <f t="shared" si="89"/>
        <v>3.5548184716220559E-2</v>
      </c>
      <c r="R5473" s="31">
        <v>0.15939660775771733</v>
      </c>
      <c r="S5473" s="32">
        <v>4.2999999999999997E-2</v>
      </c>
    </row>
    <row r="5474" spans="16:19" x14ac:dyDescent="0.25">
      <c r="P5474" s="27">
        <v>3.2548184716220556E-2</v>
      </c>
      <c r="Q5474" s="28">
        <f t="shared" si="89"/>
        <v>3.5548184716220559E-2</v>
      </c>
      <c r="R5474" s="31">
        <v>0.15939660775771733</v>
      </c>
      <c r="S5474" s="32">
        <v>4.2009999999999999E-2</v>
      </c>
    </row>
    <row r="5475" spans="16:19" x14ac:dyDescent="0.25">
      <c r="P5475" s="27">
        <v>3.2548184716220556E-2</v>
      </c>
      <c r="Q5475" s="28">
        <f t="shared" si="89"/>
        <v>3.5548184716220559E-2</v>
      </c>
      <c r="R5475" s="29">
        <v>0.15003660775771735</v>
      </c>
      <c r="S5475" s="30">
        <v>4.1399999999999999E-2</v>
      </c>
    </row>
    <row r="5476" spans="16:19" x14ac:dyDescent="0.25">
      <c r="P5476" s="27">
        <v>3.2548184716220556E-2</v>
      </c>
      <c r="Q5476" s="28">
        <f t="shared" si="89"/>
        <v>3.5548184716220559E-2</v>
      </c>
      <c r="R5476" s="29">
        <v>0.15003660775771735</v>
      </c>
      <c r="S5476" s="30">
        <v>4.1399999999999999E-2</v>
      </c>
    </row>
    <row r="5477" spans="16:19" x14ac:dyDescent="0.25">
      <c r="P5477" s="27">
        <v>3.2548184716220556E-2</v>
      </c>
      <c r="Q5477" s="28">
        <f t="shared" si="89"/>
        <v>3.5548184716220559E-2</v>
      </c>
      <c r="R5477" s="29">
        <v>0.15003660775771735</v>
      </c>
      <c r="S5477" s="30">
        <v>4.0570000000000002E-2</v>
      </c>
    </row>
    <row r="5478" spans="16:19" x14ac:dyDescent="0.25">
      <c r="P5478" s="27">
        <v>3.2548184716220556E-2</v>
      </c>
      <c r="Q5478" s="28">
        <f t="shared" si="89"/>
        <v>3.5548184716220559E-2</v>
      </c>
      <c r="R5478" s="29">
        <v>0.15003660775771735</v>
      </c>
      <c r="S5478" s="30">
        <v>3.8890000000000001E-2</v>
      </c>
    </row>
    <row r="5479" spans="16:19" x14ac:dyDescent="0.25">
      <c r="P5479" s="27">
        <v>3.2548184716220556E-2</v>
      </c>
      <c r="Q5479" s="28">
        <f t="shared" si="89"/>
        <v>3.5548184716220559E-2</v>
      </c>
      <c r="R5479" s="29">
        <v>0.15003660775771735</v>
      </c>
      <c r="S5479" s="30">
        <v>3.9890000000000002E-2</v>
      </c>
    </row>
    <row r="5480" spans="16:19" x14ac:dyDescent="0.25">
      <c r="P5480" s="27">
        <v>3.2548184716220556E-2</v>
      </c>
      <c r="Q5480" s="28">
        <f t="shared" si="89"/>
        <v>3.5548184716220559E-2</v>
      </c>
      <c r="R5480" s="29">
        <v>0.15003660775771735</v>
      </c>
      <c r="S5480" s="30">
        <v>4.1399999999999999E-2</v>
      </c>
    </row>
    <row r="5481" spans="16:19" x14ac:dyDescent="0.25">
      <c r="P5481" s="27">
        <v>3.2548184716220556E-2</v>
      </c>
      <c r="Q5481" s="28">
        <f t="shared" si="89"/>
        <v>3.5548184716220559E-2</v>
      </c>
      <c r="R5481" s="29">
        <v>0.15003660775771735</v>
      </c>
      <c r="S5481" s="30">
        <v>3.7109999999999997E-2</v>
      </c>
    </row>
    <row r="5482" spans="16:19" x14ac:dyDescent="0.25">
      <c r="P5482" s="27">
        <v>3.2548184716220556E-2</v>
      </c>
      <c r="Q5482" s="28">
        <f t="shared" si="89"/>
        <v>3.5548184716220559E-2</v>
      </c>
      <c r="R5482" s="29">
        <v>0.15003660775771735</v>
      </c>
      <c r="S5482" s="30">
        <v>4.0549999999999996E-2</v>
      </c>
    </row>
    <row r="5483" spans="16:19" x14ac:dyDescent="0.25">
      <c r="P5483" s="27">
        <v>3.2548184716220556E-2</v>
      </c>
      <c r="Q5483" s="28">
        <f t="shared" si="89"/>
        <v>3.5548184716220559E-2</v>
      </c>
      <c r="R5483" s="31">
        <v>0.15939660775771733</v>
      </c>
      <c r="S5483" s="32">
        <v>3.7109999999999997E-2</v>
      </c>
    </row>
    <row r="5484" spans="16:19" x14ac:dyDescent="0.25">
      <c r="P5484" s="27">
        <v>3.2548184716220556E-2</v>
      </c>
      <c r="Q5484" s="28">
        <f t="shared" si="89"/>
        <v>3.5548184716220559E-2</v>
      </c>
      <c r="R5484" s="33">
        <v>0.16282860775771735</v>
      </c>
      <c r="S5484" s="34">
        <v>3.4635197E-2</v>
      </c>
    </row>
    <row r="5485" spans="16:19" x14ac:dyDescent="0.25">
      <c r="P5485" s="27">
        <v>3.2548184716220556E-2</v>
      </c>
      <c r="Q5485" s="28">
        <f t="shared" si="89"/>
        <v>3.5548184716220559E-2</v>
      </c>
      <c r="R5485" s="33">
        <v>0.16282860775771735</v>
      </c>
      <c r="S5485" s="34">
        <v>0.03</v>
      </c>
    </row>
    <row r="5486" spans="16:19" x14ac:dyDescent="0.25">
      <c r="P5486" s="27">
        <v>3.2548184716220556E-2</v>
      </c>
      <c r="Q5486" s="28">
        <f t="shared" si="89"/>
        <v>3.5548184716220559E-2</v>
      </c>
      <c r="R5486" s="33">
        <v>0.16282860775771735</v>
      </c>
      <c r="S5486" s="34">
        <v>1.4999999999999999E-2</v>
      </c>
    </row>
    <row r="5487" spans="16:19" x14ac:dyDescent="0.25">
      <c r="P5487" s="27">
        <v>3.2548184716220556E-2</v>
      </c>
      <c r="Q5487" s="28">
        <f t="shared" si="89"/>
        <v>3.5548184716220559E-2</v>
      </c>
      <c r="R5487" s="33">
        <v>0.16282860775771735</v>
      </c>
      <c r="S5487" s="34">
        <v>1.7999999999999999E-2</v>
      </c>
    </row>
    <row r="5488" spans="16:19" x14ac:dyDescent="0.25">
      <c r="P5488" s="27">
        <v>3.2548184716220556E-2</v>
      </c>
      <c r="Q5488" s="28">
        <f t="shared" si="89"/>
        <v>3.5548184716220559E-2</v>
      </c>
      <c r="R5488" s="33">
        <v>0.16282860775771735</v>
      </c>
      <c r="S5488" s="34">
        <v>3.8E-3</v>
      </c>
    </row>
    <row r="5489" spans="16:19" x14ac:dyDescent="0.25">
      <c r="P5489" s="27">
        <v>3.2548184716220556E-2</v>
      </c>
      <c r="Q5489" s="28">
        <f t="shared" si="89"/>
        <v>3.5548184716220559E-2</v>
      </c>
      <c r="R5489" s="33">
        <v>0.16282860775771735</v>
      </c>
      <c r="S5489" s="34">
        <v>4.45E-3</v>
      </c>
    </row>
    <row r="5490" spans="16:19" x14ac:dyDescent="0.25">
      <c r="P5490" s="27">
        <v>3.2548184716220556E-2</v>
      </c>
      <c r="Q5490" s="28">
        <f t="shared" si="89"/>
        <v>3.5548184716220559E-2</v>
      </c>
      <c r="R5490" s="33">
        <v>0.16282860775771735</v>
      </c>
      <c r="S5490" s="34">
        <v>1.7999999999999999E-2</v>
      </c>
    </row>
    <row r="5491" spans="16:19" x14ac:dyDescent="0.25">
      <c r="P5491" s="27">
        <v>3.2548184716220556E-2</v>
      </c>
      <c r="Q5491" s="28">
        <f t="shared" si="89"/>
        <v>3.5548184716220559E-2</v>
      </c>
      <c r="R5491" s="33">
        <v>0.16282860775771735</v>
      </c>
      <c r="S5491" s="34">
        <v>3.1489999999999997E-2</v>
      </c>
    </row>
    <row r="5492" spans="16:19" x14ac:dyDescent="0.25">
      <c r="P5492" s="27">
        <v>3.2548184716220556E-2</v>
      </c>
      <c r="Q5492" s="28">
        <f t="shared" si="89"/>
        <v>3.5548184716220559E-2</v>
      </c>
      <c r="R5492" s="33">
        <v>0.16282860775771735</v>
      </c>
      <c r="S5492" s="34">
        <v>3.7109999999999997E-2</v>
      </c>
    </row>
    <row r="5493" spans="16:19" x14ac:dyDescent="0.25">
      <c r="P5493" s="27">
        <v>3.2548184716220556E-2</v>
      </c>
      <c r="Q5493" s="28">
        <f t="shared" si="89"/>
        <v>3.5548184716220559E-2</v>
      </c>
      <c r="R5493" s="33">
        <v>0.16282860775771735</v>
      </c>
      <c r="S5493" s="34">
        <v>3.8880000000000005E-2</v>
      </c>
    </row>
    <row r="5494" spans="16:19" x14ac:dyDescent="0.25">
      <c r="P5494" s="27">
        <v>3.2548184716220556E-2</v>
      </c>
      <c r="Q5494" s="28">
        <f t="shared" si="89"/>
        <v>3.5548184716220559E-2</v>
      </c>
      <c r="R5494" s="33">
        <v>0.16282860775771735</v>
      </c>
      <c r="S5494" s="34">
        <v>4.5590000000000006E-2</v>
      </c>
    </row>
    <row r="5495" spans="16:19" x14ac:dyDescent="0.25">
      <c r="P5495" s="27">
        <v>3.2548184716220556E-2</v>
      </c>
      <c r="Q5495" s="28">
        <f t="shared" si="89"/>
        <v>3.5548184716220559E-2</v>
      </c>
      <c r="R5495" s="31">
        <v>0.15939660775771733</v>
      </c>
      <c r="S5495" s="32">
        <v>4.9000000000000002E-2</v>
      </c>
    </row>
    <row r="5496" spans="16:19" x14ac:dyDescent="0.25">
      <c r="P5496" s="27">
        <v>3.2548184716220556E-2</v>
      </c>
      <c r="Q5496" s="28">
        <f t="shared" si="89"/>
        <v>3.5548184716220559E-2</v>
      </c>
      <c r="R5496" s="31">
        <v>0.15939660775771733</v>
      </c>
      <c r="S5496" s="32">
        <v>4.999E-2</v>
      </c>
    </row>
    <row r="5497" spans="16:19" x14ac:dyDescent="0.25">
      <c r="P5497" s="27">
        <v>3.2548184716220556E-2</v>
      </c>
      <c r="Q5497" s="28">
        <f t="shared" si="89"/>
        <v>3.5548184716220559E-2</v>
      </c>
      <c r="R5497" s="31">
        <v>0.15939660775771733</v>
      </c>
      <c r="S5497" s="32">
        <v>4.3499999999999997E-2</v>
      </c>
    </row>
    <row r="5498" spans="16:19" x14ac:dyDescent="0.25">
      <c r="P5498" s="27">
        <v>3.2548184716220556E-2</v>
      </c>
      <c r="Q5498" s="28">
        <f t="shared" si="89"/>
        <v>3.5548184716220559E-2</v>
      </c>
      <c r="R5498" s="31">
        <v>0.15939660775771733</v>
      </c>
      <c r="S5498" s="32">
        <v>4.3159999999999997E-2</v>
      </c>
    </row>
    <row r="5499" spans="16:19" x14ac:dyDescent="0.25">
      <c r="P5499" s="27">
        <v>3.2548184716220556E-2</v>
      </c>
      <c r="Q5499" s="28">
        <f t="shared" si="89"/>
        <v>3.5548184716220559E-2</v>
      </c>
      <c r="R5499" s="29">
        <v>0.15003660775771735</v>
      </c>
      <c r="S5499" s="30">
        <v>4.0600000000000004E-2</v>
      </c>
    </row>
    <row r="5500" spans="16:19" x14ac:dyDescent="0.25">
      <c r="P5500" s="27">
        <v>3.2548184716220556E-2</v>
      </c>
      <c r="Q5500" s="28">
        <f t="shared" si="89"/>
        <v>3.5548184716220559E-2</v>
      </c>
      <c r="R5500" s="29">
        <v>0.15003660775771735</v>
      </c>
      <c r="S5500" s="30">
        <v>3.7999999999999999E-2</v>
      </c>
    </row>
    <row r="5501" spans="16:19" x14ac:dyDescent="0.25">
      <c r="P5501" s="27">
        <v>3.2548184716220556E-2</v>
      </c>
      <c r="Q5501" s="28">
        <f t="shared" si="89"/>
        <v>3.5548184716220559E-2</v>
      </c>
      <c r="R5501" s="29">
        <v>0.15003660775771735</v>
      </c>
      <c r="S5501" s="30">
        <v>3.5990000000000001E-2</v>
      </c>
    </row>
    <row r="5502" spans="16:19" x14ac:dyDescent="0.25">
      <c r="P5502" s="27">
        <v>3.2548184716220556E-2</v>
      </c>
      <c r="Q5502" s="28">
        <f t="shared" si="89"/>
        <v>3.5548184716220559E-2</v>
      </c>
      <c r="R5502" s="29">
        <v>0.15003660775771735</v>
      </c>
      <c r="S5502" s="30">
        <v>3.5990000000000001E-2</v>
      </c>
    </row>
    <row r="5503" spans="16:19" x14ac:dyDescent="0.25">
      <c r="P5503" s="27">
        <v>3.2548184716220556E-2</v>
      </c>
      <c r="Q5503" s="28">
        <f t="shared" si="89"/>
        <v>3.5548184716220559E-2</v>
      </c>
      <c r="R5503" s="29">
        <v>0.15003660775771735</v>
      </c>
      <c r="S5503" s="30">
        <v>3.6950000000000004E-2</v>
      </c>
    </row>
    <row r="5504" spans="16:19" x14ac:dyDescent="0.25">
      <c r="P5504" s="27">
        <v>3.2548184716220556E-2</v>
      </c>
      <c r="Q5504" s="28">
        <f t="shared" si="89"/>
        <v>3.5548184716220559E-2</v>
      </c>
      <c r="R5504" s="29">
        <v>0.15003660775771735</v>
      </c>
      <c r="S5504" s="30">
        <v>4.0600000000000004E-2</v>
      </c>
    </row>
    <row r="5505" spans="16:19" x14ac:dyDescent="0.25">
      <c r="P5505" s="27">
        <v>3.2548184716220556E-2</v>
      </c>
      <c r="Q5505" s="28">
        <f t="shared" si="89"/>
        <v>3.5548184716220559E-2</v>
      </c>
      <c r="R5505" s="29">
        <v>0.15003660775771735</v>
      </c>
      <c r="S5505" s="30">
        <v>4.1799999999999997E-2</v>
      </c>
    </row>
    <row r="5506" spans="16:19" x14ac:dyDescent="0.25">
      <c r="P5506" s="27">
        <v>3.2548184716220556E-2</v>
      </c>
      <c r="Q5506" s="28">
        <f t="shared" si="89"/>
        <v>3.5548184716220559E-2</v>
      </c>
      <c r="R5506" s="29">
        <v>0.15003660775771735</v>
      </c>
      <c r="S5506" s="30">
        <v>4.0989999999999999E-2</v>
      </c>
    </row>
    <row r="5507" spans="16:19" x14ac:dyDescent="0.25">
      <c r="P5507" s="27">
        <v>3.2548184716220556E-2</v>
      </c>
      <c r="Q5507" s="28">
        <f t="shared" si="89"/>
        <v>3.5548184716220559E-2</v>
      </c>
      <c r="R5507" s="31">
        <v>0.15939999999999999</v>
      </c>
      <c r="S5507" s="32">
        <v>4.3270000000000003E-2</v>
      </c>
    </row>
    <row r="5508" spans="16:19" x14ac:dyDescent="0.25">
      <c r="P5508" s="27">
        <v>3.2548184716220556E-2</v>
      </c>
      <c r="Q5508" s="28">
        <f t="shared" si="89"/>
        <v>3.5548184716220559E-2</v>
      </c>
      <c r="R5508" s="31">
        <v>0.15939999999999999</v>
      </c>
      <c r="S5508" s="32">
        <v>4.2009999999999999E-2</v>
      </c>
    </row>
    <row r="5509" spans="16:19" x14ac:dyDescent="0.25">
      <c r="P5509" s="27">
        <v>3.2548184716220556E-2</v>
      </c>
      <c r="Q5509" s="28">
        <f t="shared" ref="Q5509:Q5572" si="90">P5509+0.003</f>
        <v>3.5548184716220559E-2</v>
      </c>
      <c r="R5509" s="31">
        <v>0.15939999999999999</v>
      </c>
      <c r="S5509" s="32">
        <v>4.0989999999999999E-2</v>
      </c>
    </row>
    <row r="5510" spans="16:19" x14ac:dyDescent="0.25">
      <c r="P5510" s="27">
        <v>3.2548184716220556E-2</v>
      </c>
      <c r="Q5510" s="28">
        <f t="shared" si="90"/>
        <v>3.5548184716220559E-2</v>
      </c>
      <c r="R5510" s="31">
        <v>0.15939999999999999</v>
      </c>
      <c r="S5510" s="32">
        <v>3.7880000000000004E-2</v>
      </c>
    </row>
    <row r="5511" spans="16:19" x14ac:dyDescent="0.25">
      <c r="P5511" s="27">
        <v>3.2548184716220556E-2</v>
      </c>
      <c r="Q5511" s="28">
        <f t="shared" si="90"/>
        <v>3.5548184716220559E-2</v>
      </c>
      <c r="R5511" s="31">
        <v>0.15939999999999999</v>
      </c>
      <c r="S5511" s="32">
        <v>3.7499434999999998E-2</v>
      </c>
    </row>
    <row r="5512" spans="16:19" x14ac:dyDescent="0.25">
      <c r="P5512" s="27">
        <v>3.2548184716220556E-2</v>
      </c>
      <c r="Q5512" s="28">
        <f t="shared" si="90"/>
        <v>3.5548184716220559E-2</v>
      </c>
      <c r="R5512" s="31">
        <v>0.15939999999999999</v>
      </c>
      <c r="S5512" s="32">
        <v>3.5936785999999998E-2</v>
      </c>
    </row>
    <row r="5513" spans="16:19" x14ac:dyDescent="0.25">
      <c r="P5513" s="27">
        <v>3.2548184716220556E-2</v>
      </c>
      <c r="Q5513" s="28">
        <f t="shared" si="90"/>
        <v>3.5548184716220559E-2</v>
      </c>
      <c r="R5513" s="31">
        <v>0.15939999999999999</v>
      </c>
      <c r="S5513" s="32">
        <v>3.6850000000000001E-2</v>
      </c>
    </row>
    <row r="5514" spans="16:19" x14ac:dyDescent="0.25">
      <c r="P5514" s="27">
        <v>3.2548184716220556E-2</v>
      </c>
      <c r="Q5514" s="28">
        <f t="shared" si="90"/>
        <v>3.5548184716220559E-2</v>
      </c>
      <c r="R5514" s="31">
        <v>0.15939999999999999</v>
      </c>
      <c r="S5514" s="32">
        <v>3.8359999999999998E-2</v>
      </c>
    </row>
    <row r="5515" spans="16:19" x14ac:dyDescent="0.25">
      <c r="P5515" s="27">
        <v>3.2548184716220556E-2</v>
      </c>
      <c r="Q5515" s="28">
        <f t="shared" si="90"/>
        <v>3.5548184716220559E-2</v>
      </c>
      <c r="R5515" s="31">
        <v>0.15939999999999999</v>
      </c>
      <c r="S5515" s="32">
        <v>0.04</v>
      </c>
    </row>
    <row r="5516" spans="16:19" x14ac:dyDescent="0.25">
      <c r="P5516" s="27">
        <v>3.2548184716220556E-2</v>
      </c>
      <c r="Q5516" s="28">
        <f t="shared" si="90"/>
        <v>3.5548184716220559E-2</v>
      </c>
      <c r="R5516" s="31">
        <v>0.15939999999999999</v>
      </c>
      <c r="S5516" s="32">
        <v>4.2450000000000002E-2</v>
      </c>
    </row>
    <row r="5517" spans="16:19" x14ac:dyDescent="0.25">
      <c r="P5517" s="27">
        <v>3.2548184716220556E-2</v>
      </c>
      <c r="Q5517" s="28">
        <f t="shared" si="90"/>
        <v>3.5548184716220559E-2</v>
      </c>
      <c r="R5517" s="31">
        <v>0.15939999999999999</v>
      </c>
      <c r="S5517" s="32">
        <v>4.4990000000000002E-2</v>
      </c>
    </row>
    <row r="5518" spans="16:19" x14ac:dyDescent="0.25">
      <c r="P5518" s="27">
        <v>3.2548184716220556E-2</v>
      </c>
      <c r="Q5518" s="28">
        <f t="shared" si="90"/>
        <v>3.5548184716220559E-2</v>
      </c>
      <c r="R5518" s="31">
        <v>0.15939999999999999</v>
      </c>
      <c r="S5518" s="32">
        <v>4.8259999999999997E-2</v>
      </c>
    </row>
    <row r="5519" spans="16:19" x14ac:dyDescent="0.25">
      <c r="P5519" s="27">
        <v>3.2548184716220556E-2</v>
      </c>
      <c r="Q5519" s="28">
        <f t="shared" si="90"/>
        <v>3.5548184716220559E-2</v>
      </c>
      <c r="R5519" s="31">
        <v>0.15939999999999999</v>
      </c>
      <c r="S5519" s="32">
        <v>5.5119999999999995E-2</v>
      </c>
    </row>
    <row r="5520" spans="16:19" x14ac:dyDescent="0.25">
      <c r="P5520" s="27">
        <v>3.2548184716220556E-2</v>
      </c>
      <c r="Q5520" s="28">
        <f t="shared" si="90"/>
        <v>3.5548184716220559E-2</v>
      </c>
      <c r="R5520" s="31">
        <v>0.15939999999999999</v>
      </c>
      <c r="S5520" s="32">
        <v>5.2159999999999998E-2</v>
      </c>
    </row>
    <row r="5521" spans="16:19" x14ac:dyDescent="0.25">
      <c r="P5521" s="27">
        <v>3.2548184716220556E-2</v>
      </c>
      <c r="Q5521" s="28">
        <f t="shared" si="90"/>
        <v>3.5548184716220559E-2</v>
      </c>
      <c r="R5521" s="31">
        <v>0.15939999999999999</v>
      </c>
      <c r="S5521" s="32">
        <v>4.2999999999999997E-2</v>
      </c>
    </row>
    <row r="5522" spans="16:19" x14ac:dyDescent="0.25">
      <c r="P5522" s="27">
        <v>3.2548184716220556E-2</v>
      </c>
      <c r="Q5522" s="28">
        <f t="shared" si="90"/>
        <v>3.5548184716220559E-2</v>
      </c>
      <c r="R5522" s="31">
        <v>0.15939999999999999</v>
      </c>
      <c r="S5522" s="32">
        <v>4.2000000000000003E-2</v>
      </c>
    </row>
    <row r="5523" spans="16:19" x14ac:dyDescent="0.25">
      <c r="P5523" s="27">
        <v>3.2548184716220556E-2</v>
      </c>
      <c r="Q5523" s="28">
        <f t="shared" si="90"/>
        <v>3.5548184716220559E-2</v>
      </c>
      <c r="R5523" s="29">
        <v>0.15</v>
      </c>
      <c r="S5523" s="30">
        <v>4.2939999999999999E-2</v>
      </c>
    </row>
    <row r="5524" spans="16:19" x14ac:dyDescent="0.25">
      <c r="P5524" s="27">
        <v>3.2548184716220556E-2</v>
      </c>
      <c r="Q5524" s="28">
        <f t="shared" si="90"/>
        <v>3.5548184716220559E-2</v>
      </c>
      <c r="R5524" s="29">
        <v>0.15</v>
      </c>
      <c r="S5524" s="30">
        <v>3.9969999999999999E-2</v>
      </c>
    </row>
    <row r="5525" spans="16:19" x14ac:dyDescent="0.25">
      <c r="P5525" s="27">
        <v>3.2548184716220556E-2</v>
      </c>
      <c r="Q5525" s="28">
        <f t="shared" si="90"/>
        <v>3.5548184716220559E-2</v>
      </c>
      <c r="R5525" s="29">
        <v>0.15</v>
      </c>
      <c r="S5525" s="30">
        <v>3.8090000000000006E-2</v>
      </c>
    </row>
    <row r="5526" spans="16:19" x14ac:dyDescent="0.25">
      <c r="P5526" s="27">
        <v>3.2548184716220556E-2</v>
      </c>
      <c r="Q5526" s="28">
        <f t="shared" si="90"/>
        <v>3.5548184716220559E-2</v>
      </c>
      <c r="R5526" s="29">
        <v>0.15</v>
      </c>
      <c r="S5526" s="30">
        <v>3.764E-2</v>
      </c>
    </row>
    <row r="5527" spans="16:19" x14ac:dyDescent="0.25">
      <c r="P5527" s="27">
        <v>3.2548184716220556E-2</v>
      </c>
      <c r="Q5527" s="28">
        <f t="shared" si="90"/>
        <v>3.5548184716220559E-2</v>
      </c>
      <c r="R5527" s="29">
        <v>0.15</v>
      </c>
      <c r="S5527" s="30">
        <v>3.7514116E-2</v>
      </c>
    </row>
    <row r="5528" spans="16:19" x14ac:dyDescent="0.25">
      <c r="P5528" s="27">
        <v>3.2548184716220556E-2</v>
      </c>
      <c r="Q5528" s="28">
        <f t="shared" si="90"/>
        <v>3.5548184716220559E-2</v>
      </c>
      <c r="R5528" s="29">
        <v>0.15</v>
      </c>
      <c r="S5528" s="30">
        <v>3.8469999999999997E-2</v>
      </c>
    </row>
    <row r="5529" spans="16:19" x14ac:dyDescent="0.25">
      <c r="P5529" s="27">
        <v>3.2548184716220556E-2</v>
      </c>
      <c r="Q5529" s="28">
        <f t="shared" si="90"/>
        <v>3.5548184716220559E-2</v>
      </c>
      <c r="R5529" s="29">
        <v>0.15</v>
      </c>
      <c r="S5529" s="30">
        <v>4.052E-2</v>
      </c>
    </row>
    <row r="5530" spans="16:19" x14ac:dyDescent="0.25">
      <c r="P5530" s="27">
        <v>3.2548184716220556E-2</v>
      </c>
      <c r="Q5530" s="28">
        <f t="shared" si="90"/>
        <v>3.5548184716220559E-2</v>
      </c>
      <c r="R5530" s="29">
        <v>0.15</v>
      </c>
      <c r="S5530" s="30">
        <v>4.2000000000000003E-2</v>
      </c>
    </row>
    <row r="5531" spans="16:19" x14ac:dyDescent="0.25">
      <c r="P5531" s="27">
        <v>3.2548184716220556E-2</v>
      </c>
      <c r="Q5531" s="28">
        <f t="shared" si="90"/>
        <v>3.5548184716220559E-2</v>
      </c>
      <c r="R5531" s="29">
        <v>0.15</v>
      </c>
      <c r="S5531" s="30">
        <v>4.437E-2</v>
      </c>
    </row>
    <row r="5532" spans="16:19" x14ac:dyDescent="0.25">
      <c r="P5532" s="27">
        <v>3.2548184716220556E-2</v>
      </c>
      <c r="Q5532" s="28">
        <f t="shared" si="90"/>
        <v>3.5548184716220559E-2</v>
      </c>
      <c r="R5532" s="29">
        <v>0.15</v>
      </c>
      <c r="S5532" s="30">
        <v>4.2799999999999998E-2</v>
      </c>
    </row>
    <row r="5533" spans="16:19" x14ac:dyDescent="0.25">
      <c r="P5533" s="27">
        <v>3.2548184716220556E-2</v>
      </c>
      <c r="Q5533" s="28">
        <f t="shared" si="90"/>
        <v>3.5548184716220559E-2</v>
      </c>
      <c r="R5533" s="29">
        <v>0.15</v>
      </c>
      <c r="S5533" s="30">
        <v>0.04</v>
      </c>
    </row>
    <row r="5534" spans="16:19" x14ac:dyDescent="0.25">
      <c r="P5534" s="27">
        <v>3.2548184716220556E-2</v>
      </c>
      <c r="Q5534" s="28">
        <f t="shared" si="90"/>
        <v>3.5548184716220559E-2</v>
      </c>
      <c r="R5534" s="29">
        <v>0.15</v>
      </c>
      <c r="S5534" s="30">
        <v>3.9880000000000006E-2</v>
      </c>
    </row>
    <row r="5535" spans="16:19" x14ac:dyDescent="0.25">
      <c r="P5535" s="27">
        <v>3.2548184716220556E-2</v>
      </c>
      <c r="Q5535" s="28">
        <f t="shared" si="90"/>
        <v>3.5548184716220559E-2</v>
      </c>
      <c r="R5535" s="29">
        <v>0.15</v>
      </c>
      <c r="S5535" s="30">
        <v>3.8417701999999998E-2</v>
      </c>
    </row>
    <row r="5536" spans="16:19" x14ac:dyDescent="0.25">
      <c r="P5536" s="27">
        <v>3.2548184716220556E-2</v>
      </c>
      <c r="Q5536" s="28">
        <f t="shared" si="90"/>
        <v>3.5548184716220559E-2</v>
      </c>
      <c r="R5536" s="29">
        <v>0.15</v>
      </c>
      <c r="S5536" s="30">
        <v>3.7850000000000002E-2</v>
      </c>
    </row>
    <row r="5537" spans="16:19" x14ac:dyDescent="0.25">
      <c r="P5537" s="27">
        <v>3.2548184716220556E-2</v>
      </c>
      <c r="Q5537" s="28">
        <f t="shared" si="90"/>
        <v>3.5548184716220559E-2</v>
      </c>
      <c r="R5537" s="29">
        <v>0.15</v>
      </c>
      <c r="S5537" s="30">
        <v>3.8598981999999997E-2</v>
      </c>
    </row>
    <row r="5538" spans="16:19" x14ac:dyDescent="0.25">
      <c r="P5538" s="27">
        <v>3.2548184716220556E-2</v>
      </c>
      <c r="Q5538" s="28">
        <f t="shared" si="90"/>
        <v>3.5548184716220559E-2</v>
      </c>
      <c r="R5538" s="29">
        <v>0.15</v>
      </c>
      <c r="S5538" s="30">
        <v>0.04</v>
      </c>
    </row>
    <row r="5539" spans="16:19" x14ac:dyDescent="0.25">
      <c r="P5539" s="27">
        <v>3.2548184716220556E-2</v>
      </c>
      <c r="Q5539" s="28">
        <f t="shared" si="90"/>
        <v>3.5548184716220559E-2</v>
      </c>
      <c r="R5539" s="29">
        <v>0.15</v>
      </c>
      <c r="S5539" s="30">
        <v>0.04</v>
      </c>
    </row>
    <row r="5540" spans="16:19" x14ac:dyDescent="0.25">
      <c r="P5540" s="27">
        <v>3.2548184716220556E-2</v>
      </c>
      <c r="Q5540" s="28">
        <f t="shared" si="90"/>
        <v>3.5548184716220559E-2</v>
      </c>
      <c r="R5540" s="29">
        <v>0.15</v>
      </c>
      <c r="S5540" s="30">
        <v>4.2159999999999996E-2</v>
      </c>
    </row>
    <row r="5541" spans="16:19" x14ac:dyDescent="0.25">
      <c r="P5541" s="27">
        <v>3.2548184716220556E-2</v>
      </c>
      <c r="Q5541" s="28">
        <f t="shared" si="90"/>
        <v>3.5548184716220559E-2</v>
      </c>
      <c r="R5541" s="29">
        <v>0.15</v>
      </c>
      <c r="S5541" s="30">
        <v>4.403E-2</v>
      </c>
    </row>
    <row r="5542" spans="16:19" x14ac:dyDescent="0.25">
      <c r="P5542" s="27">
        <v>3.2548184716220556E-2</v>
      </c>
      <c r="Q5542" s="28">
        <f t="shared" si="90"/>
        <v>3.5548184716220559E-2</v>
      </c>
      <c r="R5542" s="29">
        <v>0.15</v>
      </c>
      <c r="S5542" s="30">
        <v>4.6990000000000004E-2</v>
      </c>
    </row>
    <row r="5543" spans="16:19" x14ac:dyDescent="0.25">
      <c r="P5543" s="27">
        <v>3.2548184716220556E-2</v>
      </c>
      <c r="Q5543" s="28">
        <f t="shared" si="90"/>
        <v>3.5548184716220559E-2</v>
      </c>
      <c r="R5543" s="29">
        <v>0.15</v>
      </c>
      <c r="S5543" s="30">
        <v>5.4600000000000003E-2</v>
      </c>
    </row>
    <row r="5544" spans="16:19" x14ac:dyDescent="0.25">
      <c r="P5544" s="27">
        <v>3.2548184716220556E-2</v>
      </c>
      <c r="Q5544" s="28">
        <f t="shared" si="90"/>
        <v>3.5548184716220559E-2</v>
      </c>
      <c r="R5544" s="29">
        <v>0.15</v>
      </c>
      <c r="S5544" s="30">
        <v>5.0999999999999997E-2</v>
      </c>
    </row>
    <row r="5545" spans="16:19" x14ac:dyDescent="0.25">
      <c r="P5545" s="27">
        <v>3.2548184716220556E-2</v>
      </c>
      <c r="Q5545" s="28">
        <f t="shared" si="90"/>
        <v>3.5548184716220559E-2</v>
      </c>
      <c r="R5545" s="29">
        <v>0.15</v>
      </c>
      <c r="S5545" s="30">
        <v>4.3880000000000002E-2</v>
      </c>
    </row>
    <row r="5546" spans="16:19" x14ac:dyDescent="0.25">
      <c r="P5546" s="27">
        <v>3.2548184716220556E-2</v>
      </c>
      <c r="Q5546" s="28">
        <f t="shared" si="90"/>
        <v>3.5548184716220559E-2</v>
      </c>
      <c r="R5546" s="29">
        <v>0.15</v>
      </c>
      <c r="S5546" s="30">
        <v>4.1849999999999998E-2</v>
      </c>
    </row>
    <row r="5547" spans="16:19" x14ac:dyDescent="0.25">
      <c r="P5547" s="27">
        <v>3.2548184716220556E-2</v>
      </c>
      <c r="Q5547" s="28">
        <f t="shared" si="90"/>
        <v>3.5548184716220559E-2</v>
      </c>
      <c r="R5547" s="29">
        <v>0.15</v>
      </c>
      <c r="S5547" s="30">
        <v>3.8679999999999999E-2</v>
      </c>
    </row>
    <row r="5548" spans="16:19" x14ac:dyDescent="0.25">
      <c r="P5548" s="27">
        <v>3.2548184716220556E-2</v>
      </c>
      <c r="Q5548" s="28">
        <f t="shared" si="90"/>
        <v>3.5548184716220559E-2</v>
      </c>
      <c r="R5548" s="29">
        <v>0.15</v>
      </c>
      <c r="S5548" s="30">
        <v>3.6999999999999998E-2</v>
      </c>
    </row>
    <row r="5549" spans="16:19" x14ac:dyDescent="0.25">
      <c r="P5549" s="27">
        <v>3.2548184716220556E-2</v>
      </c>
      <c r="Q5549" s="28">
        <f t="shared" si="90"/>
        <v>3.5548184716220559E-2</v>
      </c>
      <c r="R5549" s="29">
        <v>0.15</v>
      </c>
      <c r="S5549" s="30">
        <v>3.5000000000000003E-2</v>
      </c>
    </row>
    <row r="5550" spans="16:19" x14ac:dyDescent="0.25">
      <c r="P5550" s="27">
        <v>3.2548184716220556E-2</v>
      </c>
      <c r="Q5550" s="28">
        <f t="shared" si="90"/>
        <v>3.5548184716220559E-2</v>
      </c>
      <c r="R5550" s="29">
        <v>0.15</v>
      </c>
      <c r="S5550" s="30">
        <v>3.3689999999999998E-2</v>
      </c>
    </row>
    <row r="5551" spans="16:19" x14ac:dyDescent="0.25">
      <c r="P5551" s="27">
        <v>3.2548184716220556E-2</v>
      </c>
      <c r="Q5551" s="28">
        <f t="shared" si="90"/>
        <v>3.5548184716220559E-2</v>
      </c>
      <c r="R5551" s="29">
        <v>0.15</v>
      </c>
      <c r="S5551" s="30">
        <v>3.2273837E-2</v>
      </c>
    </row>
    <row r="5552" spans="16:19" x14ac:dyDescent="0.25">
      <c r="P5552" s="27">
        <v>3.2548184716220556E-2</v>
      </c>
      <c r="Q5552" s="28">
        <f t="shared" si="90"/>
        <v>3.5548184716220559E-2</v>
      </c>
      <c r="R5552" s="29">
        <v>0.15</v>
      </c>
      <c r="S5552" s="30">
        <v>3.5481845999999997E-2</v>
      </c>
    </row>
    <row r="5553" spans="16:19" x14ac:dyDescent="0.25">
      <c r="P5553" s="27">
        <v>3.2548184716220556E-2</v>
      </c>
      <c r="Q5553" s="28">
        <f t="shared" si="90"/>
        <v>3.5548184716220559E-2</v>
      </c>
      <c r="R5553" s="29">
        <v>0.15</v>
      </c>
      <c r="S5553" s="30">
        <v>3.7990000000000003E-2</v>
      </c>
    </row>
    <row r="5554" spans="16:19" x14ac:dyDescent="0.25">
      <c r="P5554" s="27">
        <v>3.2548184716220556E-2</v>
      </c>
      <c r="Q5554" s="28">
        <f t="shared" si="90"/>
        <v>3.5548184716220559E-2</v>
      </c>
      <c r="R5554" s="29">
        <v>0.15</v>
      </c>
      <c r="S5554" s="30">
        <v>3.8710749999999995E-2</v>
      </c>
    </row>
    <row r="5555" spans="16:19" x14ac:dyDescent="0.25">
      <c r="P5555" s="27">
        <v>3.2548184716220556E-2</v>
      </c>
      <c r="Q5555" s="28">
        <f t="shared" si="90"/>
        <v>3.5548184716220559E-2</v>
      </c>
      <c r="R5555" s="31">
        <v>0.15939660775771733</v>
      </c>
      <c r="S5555" s="32">
        <v>4.0443975E-2</v>
      </c>
    </row>
    <row r="5556" spans="16:19" x14ac:dyDescent="0.25">
      <c r="P5556" s="27">
        <v>3.2548184716220556E-2</v>
      </c>
      <c r="Q5556" s="28">
        <f t="shared" si="90"/>
        <v>3.5548184716220559E-2</v>
      </c>
      <c r="R5556" s="33">
        <v>0.16282860775771735</v>
      </c>
      <c r="S5556" s="34">
        <v>3.9659999999999994E-2</v>
      </c>
    </row>
    <row r="5557" spans="16:19" x14ac:dyDescent="0.25">
      <c r="P5557" s="27">
        <v>3.2548184716220556E-2</v>
      </c>
      <c r="Q5557" s="28">
        <f t="shared" si="90"/>
        <v>3.5548184716220559E-2</v>
      </c>
      <c r="R5557" s="33">
        <v>0.16282860775771735</v>
      </c>
      <c r="S5557" s="34">
        <v>3.6899999999999995E-2</v>
      </c>
    </row>
    <row r="5558" spans="16:19" x14ac:dyDescent="0.25">
      <c r="P5558" s="27">
        <v>3.2548184716220556E-2</v>
      </c>
      <c r="Q5558" s="28">
        <f t="shared" si="90"/>
        <v>3.5548184716220559E-2</v>
      </c>
      <c r="R5558" s="33">
        <v>0.16282860775771735</v>
      </c>
      <c r="S5558" s="34">
        <v>3.5639999999999998E-2</v>
      </c>
    </row>
    <row r="5559" spans="16:19" x14ac:dyDescent="0.25">
      <c r="P5559" s="27">
        <v>3.2548184716220556E-2</v>
      </c>
      <c r="Q5559" s="28">
        <f t="shared" si="90"/>
        <v>3.5548184716220559E-2</v>
      </c>
      <c r="R5559" s="33">
        <v>0.16282860775771735</v>
      </c>
      <c r="S5559" s="34">
        <v>3.5639999999999998E-2</v>
      </c>
    </row>
    <row r="5560" spans="16:19" x14ac:dyDescent="0.25">
      <c r="P5560" s="27">
        <v>3.2548184716220556E-2</v>
      </c>
      <c r="Q5560" s="28">
        <f t="shared" si="90"/>
        <v>3.5548184716220559E-2</v>
      </c>
      <c r="R5560" s="33">
        <v>0.16282860775771735</v>
      </c>
      <c r="S5560" s="34">
        <v>3.4639999999999997E-2</v>
      </c>
    </row>
    <row r="5561" spans="16:19" x14ac:dyDescent="0.25">
      <c r="P5561" s="27">
        <v>3.2548184716220556E-2</v>
      </c>
      <c r="Q5561" s="28">
        <f t="shared" si="90"/>
        <v>3.5548184716220559E-2</v>
      </c>
      <c r="R5561" s="33">
        <v>0.16282860775771735</v>
      </c>
      <c r="S5561" s="34">
        <v>3.4340000000000002E-2</v>
      </c>
    </row>
    <row r="5562" spans="16:19" x14ac:dyDescent="0.25">
      <c r="P5562" s="27">
        <v>3.2548184716220556E-2</v>
      </c>
      <c r="Q5562" s="28">
        <f t="shared" si="90"/>
        <v>3.5548184716220559E-2</v>
      </c>
      <c r="R5562" s="33">
        <v>0.16282860775771735</v>
      </c>
      <c r="S5562" s="34">
        <v>3.6469999999999995E-2</v>
      </c>
    </row>
    <row r="5563" spans="16:19" x14ac:dyDescent="0.25">
      <c r="P5563" s="27">
        <v>3.2548184716220556E-2</v>
      </c>
      <c r="Q5563" s="28">
        <f t="shared" si="90"/>
        <v>3.5548184716220559E-2</v>
      </c>
      <c r="R5563" s="33">
        <v>0.16282860775771735</v>
      </c>
      <c r="S5563" s="34">
        <v>3.764E-2</v>
      </c>
    </row>
    <row r="5564" spans="16:19" x14ac:dyDescent="0.25">
      <c r="P5564" s="27">
        <v>3.2548184716220556E-2</v>
      </c>
      <c r="Q5564" s="28">
        <f t="shared" si="90"/>
        <v>3.5548184716220559E-2</v>
      </c>
      <c r="R5564" s="33">
        <v>0.16282860775771735</v>
      </c>
      <c r="S5564" s="34">
        <v>4.0469999999999999E-2</v>
      </c>
    </row>
    <row r="5565" spans="16:19" x14ac:dyDescent="0.25">
      <c r="P5565" s="27">
        <v>3.2548184716220556E-2</v>
      </c>
      <c r="Q5565" s="28">
        <f t="shared" si="90"/>
        <v>3.5548184716220559E-2</v>
      </c>
      <c r="R5565" s="33">
        <v>0.16282860775771735</v>
      </c>
      <c r="S5565" s="34">
        <v>4.3779999999999999E-2</v>
      </c>
    </row>
    <row r="5566" spans="16:19" x14ac:dyDescent="0.25">
      <c r="P5566" s="27">
        <v>3.2548184716220556E-2</v>
      </c>
      <c r="Q5566" s="28">
        <f t="shared" si="90"/>
        <v>3.5548184716220559E-2</v>
      </c>
      <c r="R5566" s="33">
        <v>0.16282860775771735</v>
      </c>
      <c r="S5566" s="34">
        <v>4.6049235000000001E-2</v>
      </c>
    </row>
    <row r="5567" spans="16:19" x14ac:dyDescent="0.25">
      <c r="P5567" s="27">
        <v>3.2548184716220556E-2</v>
      </c>
      <c r="Q5567" s="28">
        <f t="shared" si="90"/>
        <v>3.5548184716220559E-2</v>
      </c>
      <c r="R5567" s="31">
        <v>0.15939660775771733</v>
      </c>
      <c r="S5567" s="32">
        <v>5.4530000000000002E-2</v>
      </c>
    </row>
    <row r="5568" spans="16:19" x14ac:dyDescent="0.25">
      <c r="P5568" s="27">
        <v>3.2548184716220556E-2</v>
      </c>
      <c r="Q5568" s="28">
        <f t="shared" si="90"/>
        <v>3.5548184716220559E-2</v>
      </c>
      <c r="R5568" s="31">
        <v>0.15939660775771733</v>
      </c>
      <c r="S5568" s="32">
        <v>4.7909999999999994E-2</v>
      </c>
    </row>
    <row r="5569" spans="16:19" x14ac:dyDescent="0.25">
      <c r="P5569" s="27">
        <v>3.2548184716220556E-2</v>
      </c>
      <c r="Q5569" s="28">
        <f t="shared" si="90"/>
        <v>3.5548184716220559E-2</v>
      </c>
      <c r="R5569" s="31">
        <v>0.15939660775771733</v>
      </c>
      <c r="S5569" s="32">
        <v>4.2849999999999999E-2</v>
      </c>
    </row>
    <row r="5570" spans="16:19" x14ac:dyDescent="0.25">
      <c r="P5570" s="27">
        <v>3.2548184716220556E-2</v>
      </c>
      <c r="Q5570" s="28">
        <f t="shared" si="90"/>
        <v>3.5548184716220559E-2</v>
      </c>
      <c r="R5570" s="31">
        <v>0.15939660775771733</v>
      </c>
      <c r="S5570" s="32">
        <v>4.0469999999999999E-2</v>
      </c>
    </row>
    <row r="5571" spans="16:19" x14ac:dyDescent="0.25">
      <c r="P5571" s="27">
        <v>3.2548184716220556E-2</v>
      </c>
      <c r="Q5571" s="28">
        <f t="shared" si="90"/>
        <v>3.5548184716220559E-2</v>
      </c>
      <c r="R5571" s="29">
        <v>0.15003660775771735</v>
      </c>
      <c r="S5571" s="30">
        <v>3.8850000000000003E-2</v>
      </c>
    </row>
    <row r="5572" spans="16:19" x14ac:dyDescent="0.25">
      <c r="P5572" s="27">
        <v>3.2548184716220556E-2</v>
      </c>
      <c r="Q5572" s="28">
        <f t="shared" si="90"/>
        <v>3.5548184716220559E-2</v>
      </c>
      <c r="R5572" s="29">
        <v>0.15003660775771735</v>
      </c>
      <c r="S5572" s="30">
        <v>3.7770000000000005E-2</v>
      </c>
    </row>
    <row r="5573" spans="16:19" x14ac:dyDescent="0.25">
      <c r="P5573" s="27">
        <v>3.2548184716220556E-2</v>
      </c>
      <c r="Q5573" s="28">
        <f t="shared" ref="Q5573:Q5636" si="91">P5573+0.003</f>
        <v>3.5548184716220559E-2</v>
      </c>
      <c r="R5573" s="29">
        <v>0.15003660775771735</v>
      </c>
      <c r="S5573" s="30">
        <v>3.6512064999999996E-2</v>
      </c>
    </row>
    <row r="5574" spans="16:19" x14ac:dyDescent="0.25">
      <c r="P5574" s="27">
        <v>3.2548184716220556E-2</v>
      </c>
      <c r="Q5574" s="28">
        <f t="shared" si="91"/>
        <v>3.5548184716220559E-2</v>
      </c>
      <c r="R5574" s="29">
        <v>0.15003660775771735</v>
      </c>
      <c r="S5574" s="30">
        <v>3.3198428999999995E-2</v>
      </c>
    </row>
    <row r="5575" spans="16:19" x14ac:dyDescent="0.25">
      <c r="P5575" s="27">
        <v>3.2548184716220556E-2</v>
      </c>
      <c r="Q5575" s="28">
        <f t="shared" si="91"/>
        <v>3.5548184716220559E-2</v>
      </c>
      <c r="R5575" s="29">
        <v>0.15003660775771735</v>
      </c>
      <c r="S5575" s="30">
        <v>3.2787779999999996E-2</v>
      </c>
    </row>
    <row r="5576" spans="16:19" x14ac:dyDescent="0.25">
      <c r="P5576" s="27">
        <v>3.2548184716220556E-2</v>
      </c>
      <c r="Q5576" s="28">
        <f t="shared" si="91"/>
        <v>3.5548184716220559E-2</v>
      </c>
      <c r="R5576" s="29">
        <v>0.15003660775771735</v>
      </c>
      <c r="S5576" s="30">
        <v>3.7620000000000001E-2</v>
      </c>
    </row>
    <row r="5577" spans="16:19" x14ac:dyDescent="0.25">
      <c r="P5577" s="27">
        <v>3.2548184716220556E-2</v>
      </c>
      <c r="Q5577" s="28">
        <f t="shared" si="91"/>
        <v>3.5548184716220559E-2</v>
      </c>
      <c r="R5577" s="29">
        <v>0.15003660775771735</v>
      </c>
      <c r="S5577" s="30">
        <v>3.875E-2</v>
      </c>
    </row>
    <row r="5578" spans="16:19" x14ac:dyDescent="0.25">
      <c r="P5578" s="27">
        <v>3.2548184716220556E-2</v>
      </c>
      <c r="Q5578" s="28">
        <f t="shared" si="91"/>
        <v>3.5548184716220559E-2</v>
      </c>
      <c r="R5578" s="29">
        <v>0.15003660775771735</v>
      </c>
      <c r="S5578" s="30">
        <v>4.0850000000000004E-2</v>
      </c>
    </row>
    <row r="5579" spans="16:19" x14ac:dyDescent="0.25">
      <c r="P5579" s="27">
        <v>3.2548184716220556E-2</v>
      </c>
      <c r="Q5579" s="28">
        <f t="shared" si="91"/>
        <v>3.5548184716220559E-2</v>
      </c>
      <c r="R5579" s="31">
        <v>0.15939660775771733</v>
      </c>
      <c r="S5579" s="32">
        <v>4.3529999999999999E-2</v>
      </c>
    </row>
    <row r="5580" spans="16:19" x14ac:dyDescent="0.25">
      <c r="P5580" s="27">
        <v>3.2548184716220556E-2</v>
      </c>
      <c r="Q5580" s="28">
        <f t="shared" si="91"/>
        <v>3.5548184716220559E-2</v>
      </c>
      <c r="R5580" s="33">
        <v>0.16282860775771735</v>
      </c>
      <c r="S5580" s="34">
        <v>4.1986282999999999E-2</v>
      </c>
    </row>
    <row r="5581" spans="16:19" x14ac:dyDescent="0.25">
      <c r="P5581" s="27">
        <v>3.2548184716220556E-2</v>
      </c>
      <c r="Q5581" s="28">
        <f t="shared" si="91"/>
        <v>3.5548184716220559E-2</v>
      </c>
      <c r="R5581" s="33">
        <v>0.16282860775771735</v>
      </c>
      <c r="S5581" s="34">
        <v>4.0500000000000001E-2</v>
      </c>
    </row>
    <row r="5582" spans="16:19" x14ac:dyDescent="0.25">
      <c r="P5582" s="27">
        <v>3.2548184716220556E-2</v>
      </c>
      <c r="Q5582" s="28">
        <f t="shared" si="91"/>
        <v>3.5548184716220559E-2</v>
      </c>
      <c r="R5582" s="33">
        <v>0.16282860775771735</v>
      </c>
      <c r="S5582" s="34">
        <v>3.8399999999999997E-2</v>
      </c>
    </row>
    <row r="5583" spans="16:19" x14ac:dyDescent="0.25">
      <c r="P5583" s="27">
        <v>3.2548184716220556E-2</v>
      </c>
      <c r="Q5583" s="28">
        <f t="shared" si="91"/>
        <v>3.5548184716220559E-2</v>
      </c>
      <c r="R5583" s="33">
        <v>0.16282860775771735</v>
      </c>
      <c r="S5583" s="34">
        <v>3.7359011999999997E-2</v>
      </c>
    </row>
    <row r="5584" spans="16:19" x14ac:dyDescent="0.25">
      <c r="P5584" s="27">
        <v>3.2548184716220556E-2</v>
      </c>
      <c r="Q5584" s="28">
        <f t="shared" si="91"/>
        <v>3.5548184716220559E-2</v>
      </c>
      <c r="R5584" s="33">
        <v>0.16282860775771735</v>
      </c>
      <c r="S5584" s="34">
        <v>3.5310000000000001E-2</v>
      </c>
    </row>
    <row r="5585" spans="16:19" x14ac:dyDescent="0.25">
      <c r="P5585" s="27">
        <v>3.2548184716220556E-2</v>
      </c>
      <c r="Q5585" s="28">
        <f t="shared" si="91"/>
        <v>3.5548184716220559E-2</v>
      </c>
      <c r="R5585" s="33">
        <v>0.16282860775771735</v>
      </c>
      <c r="S5585" s="34">
        <v>3.7899999999999996E-2</v>
      </c>
    </row>
    <row r="5586" spans="16:19" x14ac:dyDescent="0.25">
      <c r="P5586" s="27">
        <v>3.2548184716220556E-2</v>
      </c>
      <c r="Q5586" s="28">
        <f t="shared" si="91"/>
        <v>3.5548184716220559E-2</v>
      </c>
      <c r="R5586" s="33">
        <v>0.16282860775771735</v>
      </c>
      <c r="S5586" s="34">
        <v>3.925E-2</v>
      </c>
    </row>
    <row r="5587" spans="16:19" x14ac:dyDescent="0.25">
      <c r="P5587" s="27">
        <v>3.2548184716220556E-2</v>
      </c>
      <c r="Q5587" s="28">
        <f t="shared" si="91"/>
        <v>3.5548184716220559E-2</v>
      </c>
      <c r="R5587" s="33">
        <v>0.16282860775771735</v>
      </c>
      <c r="S5587" s="34">
        <v>3.9E-2</v>
      </c>
    </row>
    <row r="5588" spans="16:19" x14ac:dyDescent="0.25">
      <c r="P5588" s="27">
        <v>3.2548184716220556E-2</v>
      </c>
      <c r="Q5588" s="28">
        <f t="shared" si="91"/>
        <v>3.5548184716220559E-2</v>
      </c>
      <c r="R5588" s="33">
        <v>0.16282860775771735</v>
      </c>
      <c r="S5588" s="34">
        <v>4.0850000000000004E-2</v>
      </c>
    </row>
    <row r="5589" spans="16:19" x14ac:dyDescent="0.25">
      <c r="P5589" s="27">
        <v>3.2548184716220556E-2</v>
      </c>
      <c r="Q5589" s="28">
        <f t="shared" si="91"/>
        <v>3.5548184716220559E-2</v>
      </c>
      <c r="R5589" s="33">
        <v>0.16282860775771735</v>
      </c>
      <c r="S5589" s="34">
        <v>4.4010000000000001E-2</v>
      </c>
    </row>
    <row r="5590" spans="16:19" x14ac:dyDescent="0.25">
      <c r="P5590" s="27">
        <v>3.2548184716220556E-2</v>
      </c>
      <c r="Q5590" s="28">
        <f t="shared" si="91"/>
        <v>3.5548184716220559E-2</v>
      </c>
      <c r="R5590" s="33">
        <v>0.16282860775771735</v>
      </c>
      <c r="S5590" s="34">
        <v>4.7600000000000003E-2</v>
      </c>
    </row>
    <row r="5591" spans="16:19" x14ac:dyDescent="0.25">
      <c r="P5591" s="27">
        <v>3.2548184716220556E-2</v>
      </c>
      <c r="Q5591" s="28">
        <f t="shared" si="91"/>
        <v>3.5548184716220559E-2</v>
      </c>
      <c r="R5591" s="31">
        <v>0.15939660775771733</v>
      </c>
      <c r="S5591" s="32">
        <v>5.9990000000000002E-2</v>
      </c>
    </row>
    <row r="5592" spans="16:19" x14ac:dyDescent="0.25">
      <c r="P5592" s="27">
        <v>3.2548184716220556E-2</v>
      </c>
      <c r="Q5592" s="28">
        <f t="shared" si="91"/>
        <v>3.5548184716220559E-2</v>
      </c>
      <c r="R5592" s="31">
        <v>0.15939660775771733</v>
      </c>
      <c r="S5592" s="32">
        <v>5.0990000000000001E-2</v>
      </c>
    </row>
    <row r="5593" spans="16:19" x14ac:dyDescent="0.25">
      <c r="P5593" s="27">
        <v>3.2548184716220556E-2</v>
      </c>
      <c r="Q5593" s="28">
        <f t="shared" si="91"/>
        <v>3.5548184716220559E-2</v>
      </c>
      <c r="R5593" s="31">
        <v>0.15939660775771733</v>
      </c>
      <c r="S5593" s="32">
        <v>4.5990000000000003E-2</v>
      </c>
    </row>
    <row r="5594" spans="16:19" x14ac:dyDescent="0.25">
      <c r="P5594" s="27">
        <v>3.2548184716220556E-2</v>
      </c>
      <c r="Q5594" s="28">
        <f t="shared" si="91"/>
        <v>3.5548184716220559E-2</v>
      </c>
      <c r="R5594" s="31">
        <v>0.15939660775771733</v>
      </c>
      <c r="S5594" s="32">
        <v>4.0989999999999999E-2</v>
      </c>
    </row>
    <row r="5595" spans="16:19" x14ac:dyDescent="0.25">
      <c r="P5595" s="27">
        <v>3.2548184716220556E-2</v>
      </c>
      <c r="Q5595" s="28">
        <f t="shared" si="91"/>
        <v>3.5548184716220559E-2</v>
      </c>
      <c r="R5595" s="29">
        <v>0.15003660775771735</v>
      </c>
      <c r="S5595" s="30">
        <v>4.3529999999999999E-2</v>
      </c>
    </row>
    <row r="5596" spans="16:19" x14ac:dyDescent="0.25">
      <c r="P5596" s="27">
        <v>3.2548184716220556E-2</v>
      </c>
      <c r="Q5596" s="28">
        <f t="shared" si="91"/>
        <v>3.5548184716220559E-2</v>
      </c>
      <c r="R5596" s="29">
        <v>0.15003660775771735</v>
      </c>
      <c r="S5596" s="30">
        <v>4.1000000000000002E-2</v>
      </c>
    </row>
    <row r="5597" spans="16:19" x14ac:dyDescent="0.25">
      <c r="P5597" s="27">
        <v>3.2548184716220556E-2</v>
      </c>
      <c r="Q5597" s="28">
        <f t="shared" si="91"/>
        <v>3.5548184716220559E-2</v>
      </c>
      <c r="R5597" s="29">
        <v>0.15003660775771735</v>
      </c>
      <c r="S5597" s="30">
        <v>3.8850000000000003E-2</v>
      </c>
    </row>
    <row r="5598" spans="16:19" x14ac:dyDescent="0.25">
      <c r="P5598" s="27">
        <v>3.2548184716220556E-2</v>
      </c>
      <c r="Q5598" s="28">
        <f t="shared" si="91"/>
        <v>3.5548184716220559E-2</v>
      </c>
      <c r="R5598" s="29">
        <v>0.15003660775771735</v>
      </c>
      <c r="S5598" s="30">
        <v>3.866E-2</v>
      </c>
    </row>
    <row r="5599" spans="16:19" x14ac:dyDescent="0.25">
      <c r="P5599" s="27">
        <v>3.2548184716220556E-2</v>
      </c>
      <c r="Q5599" s="28">
        <f t="shared" si="91"/>
        <v>3.5548184716220559E-2</v>
      </c>
      <c r="R5599" s="29">
        <v>0.15003660775771735</v>
      </c>
      <c r="S5599" s="30">
        <v>3.866E-2</v>
      </c>
    </row>
    <row r="5600" spans="16:19" x14ac:dyDescent="0.25">
      <c r="P5600" s="27">
        <v>3.2548184716220556E-2</v>
      </c>
      <c r="Q5600" s="28">
        <f t="shared" si="91"/>
        <v>3.5548184716220559E-2</v>
      </c>
      <c r="R5600" s="29">
        <v>0.15003660775771735</v>
      </c>
      <c r="S5600" s="30">
        <v>4.0289999999999999E-2</v>
      </c>
    </row>
    <row r="5601" spans="16:19" x14ac:dyDescent="0.25">
      <c r="P5601" s="27">
        <v>3.2548184716220556E-2</v>
      </c>
      <c r="Q5601" s="28">
        <f t="shared" si="91"/>
        <v>3.5548184716220559E-2</v>
      </c>
      <c r="R5601" s="29">
        <v>0.15003660775771735</v>
      </c>
      <c r="S5601" s="30">
        <v>4.3999999999999997E-2</v>
      </c>
    </row>
    <row r="5602" spans="16:19" x14ac:dyDescent="0.25">
      <c r="P5602" s="27">
        <v>3.2548184716220556E-2</v>
      </c>
      <c r="Q5602" s="28">
        <f t="shared" si="91"/>
        <v>3.5548184716220559E-2</v>
      </c>
      <c r="R5602" s="29">
        <v>0.15003660775771735</v>
      </c>
      <c r="S5602" s="30">
        <v>4.1000000000000002E-2</v>
      </c>
    </row>
    <row r="5603" spans="16:19" x14ac:dyDescent="0.25">
      <c r="P5603" s="27">
        <v>3.2548184716220556E-2</v>
      </c>
      <c r="Q5603" s="28">
        <f t="shared" si="91"/>
        <v>3.5548184716220559E-2</v>
      </c>
      <c r="R5603" s="31">
        <v>0.15939660775771733</v>
      </c>
      <c r="S5603" s="32">
        <v>4.5835134E-2</v>
      </c>
    </row>
    <row r="5604" spans="16:19" x14ac:dyDescent="0.25">
      <c r="P5604" s="27">
        <v>3.2548184716220556E-2</v>
      </c>
      <c r="Q5604" s="28">
        <f t="shared" si="91"/>
        <v>3.5548184716220559E-2</v>
      </c>
      <c r="R5604" s="33">
        <v>0.16282860775771735</v>
      </c>
      <c r="S5604" s="34">
        <v>4.3073458000000002E-2</v>
      </c>
    </row>
    <row r="5605" spans="16:19" x14ac:dyDescent="0.25">
      <c r="P5605" s="27">
        <v>3.2548184716220556E-2</v>
      </c>
      <c r="Q5605" s="28">
        <f t="shared" si="91"/>
        <v>3.5548184716220559E-2</v>
      </c>
      <c r="R5605" s="33">
        <v>0.16282860775771735</v>
      </c>
      <c r="S5605" s="34">
        <v>3.9260556000000002E-2</v>
      </c>
    </row>
    <row r="5606" spans="16:19" x14ac:dyDescent="0.25">
      <c r="P5606" s="27">
        <v>3.2548184716220556E-2</v>
      </c>
      <c r="Q5606" s="28">
        <f t="shared" si="91"/>
        <v>3.5548184716220559E-2</v>
      </c>
      <c r="R5606" s="33">
        <v>0.16282860775771735</v>
      </c>
      <c r="S5606" s="34">
        <v>3.7880000000000004E-2</v>
      </c>
    </row>
    <row r="5607" spans="16:19" x14ac:dyDescent="0.25">
      <c r="P5607" s="27">
        <v>3.2548184716220556E-2</v>
      </c>
      <c r="Q5607" s="28">
        <f t="shared" si="91"/>
        <v>3.5548184716220559E-2</v>
      </c>
      <c r="R5607" s="33">
        <v>0.16282860775771735</v>
      </c>
      <c r="S5607" s="34">
        <v>3.7659999999999999E-2</v>
      </c>
    </row>
    <row r="5608" spans="16:19" x14ac:dyDescent="0.25">
      <c r="P5608" s="27">
        <v>3.2548184716220556E-2</v>
      </c>
      <c r="Q5608" s="28">
        <f t="shared" si="91"/>
        <v>3.5548184716220559E-2</v>
      </c>
      <c r="R5608" s="33">
        <v>0.16282860775771735</v>
      </c>
      <c r="S5608" s="34">
        <v>3.6810000000000002E-2</v>
      </c>
    </row>
    <row r="5609" spans="16:19" x14ac:dyDescent="0.25">
      <c r="P5609" s="27">
        <v>3.2548184716220556E-2</v>
      </c>
      <c r="Q5609" s="28">
        <f t="shared" si="91"/>
        <v>3.5548184716220559E-2</v>
      </c>
      <c r="R5609" s="33">
        <v>0.16282860775771735</v>
      </c>
      <c r="S5609" s="34">
        <v>3.7469999999999996E-2</v>
      </c>
    </row>
    <row r="5610" spans="16:19" x14ac:dyDescent="0.25">
      <c r="P5610" s="27">
        <v>3.2548184716220556E-2</v>
      </c>
      <c r="Q5610" s="28">
        <f t="shared" si="91"/>
        <v>3.5548184716220559E-2</v>
      </c>
      <c r="R5610" s="33">
        <v>0.16282860775771735</v>
      </c>
      <c r="S5610" s="34">
        <v>3.95E-2</v>
      </c>
    </row>
    <row r="5611" spans="16:19" x14ac:dyDescent="0.25">
      <c r="P5611" s="27">
        <v>3.2548184716220556E-2</v>
      </c>
      <c r="Q5611" s="28">
        <f t="shared" si="91"/>
        <v>3.5548184716220559E-2</v>
      </c>
      <c r="R5611" s="33">
        <v>0.16282860775771735</v>
      </c>
      <c r="S5611" s="34">
        <v>3.8880000000000005E-2</v>
      </c>
    </row>
    <row r="5612" spans="16:19" x14ac:dyDescent="0.25">
      <c r="P5612" s="27">
        <v>3.2548184716220556E-2</v>
      </c>
      <c r="Q5612" s="28">
        <f t="shared" si="91"/>
        <v>3.5548184716220559E-2</v>
      </c>
      <c r="R5612" s="33">
        <v>0.16282860775771735</v>
      </c>
      <c r="S5612" s="34">
        <v>4.088E-2</v>
      </c>
    </row>
    <row r="5613" spans="16:19" x14ac:dyDescent="0.25">
      <c r="P5613" s="27">
        <v>3.2548184716220556E-2</v>
      </c>
      <c r="Q5613" s="28">
        <f t="shared" si="91"/>
        <v>3.5548184716220559E-2</v>
      </c>
      <c r="R5613" s="33">
        <v>0.16282860775771735</v>
      </c>
      <c r="S5613" s="34">
        <v>4.3609999999999996E-2</v>
      </c>
    </row>
    <row r="5614" spans="16:19" x14ac:dyDescent="0.25">
      <c r="P5614" s="27">
        <v>3.2548184716220556E-2</v>
      </c>
      <c r="Q5614" s="28">
        <f t="shared" si="91"/>
        <v>3.5548184716220559E-2</v>
      </c>
      <c r="R5614" s="33">
        <v>0.16282860775771735</v>
      </c>
      <c r="S5614" s="34">
        <v>4.5850000000000002E-2</v>
      </c>
    </row>
    <row r="5615" spans="16:19" x14ac:dyDescent="0.25">
      <c r="P5615" s="27">
        <v>3.2548184716220556E-2</v>
      </c>
      <c r="Q5615" s="28">
        <f t="shared" si="91"/>
        <v>3.5548184716220559E-2</v>
      </c>
      <c r="R5615" s="31">
        <v>0.15939660775771733</v>
      </c>
      <c r="S5615" s="32">
        <v>5.2990000000000002E-2</v>
      </c>
    </row>
    <row r="5616" spans="16:19" x14ac:dyDescent="0.25">
      <c r="P5616" s="27">
        <v>3.2548184716220556E-2</v>
      </c>
      <c r="Q5616" s="28">
        <f t="shared" si="91"/>
        <v>3.5548184716220559E-2</v>
      </c>
      <c r="R5616" s="31">
        <v>0.15939660775771733</v>
      </c>
      <c r="S5616" s="32">
        <v>4.4999999999999998E-2</v>
      </c>
    </row>
    <row r="5617" spans="16:19" x14ac:dyDescent="0.25">
      <c r="P5617" s="27">
        <v>3.2548184716220556E-2</v>
      </c>
      <c r="Q5617" s="28">
        <f t="shared" si="91"/>
        <v>3.5548184716220559E-2</v>
      </c>
      <c r="R5617" s="31">
        <v>0.15939660775771733</v>
      </c>
      <c r="S5617" s="32">
        <v>3.7999999999999999E-2</v>
      </c>
    </row>
    <row r="5618" spans="16:19" x14ac:dyDescent="0.25">
      <c r="P5618" s="27">
        <v>3.2548184716220556E-2</v>
      </c>
      <c r="Q5618" s="28">
        <f t="shared" si="91"/>
        <v>3.5548184716220559E-2</v>
      </c>
      <c r="R5618" s="31">
        <v>0.15939660775771733</v>
      </c>
      <c r="S5618" s="32">
        <v>3.5000000000000003E-2</v>
      </c>
    </row>
    <row r="5619" spans="16:19" x14ac:dyDescent="0.25">
      <c r="P5619" s="27">
        <v>3.2548184716220556E-2</v>
      </c>
      <c r="Q5619" s="28">
        <f t="shared" si="91"/>
        <v>3.5548184716220559E-2</v>
      </c>
      <c r="R5619" s="29">
        <v>0.15003660775771735</v>
      </c>
      <c r="S5619" s="30">
        <v>3.126934E-2</v>
      </c>
    </row>
    <row r="5620" spans="16:19" x14ac:dyDescent="0.25">
      <c r="P5620" s="27">
        <v>3.2548184716220556E-2</v>
      </c>
      <c r="Q5620" s="28">
        <f t="shared" si="91"/>
        <v>3.5548184716220559E-2</v>
      </c>
      <c r="R5620" s="29">
        <v>0.15003660775771735</v>
      </c>
      <c r="S5620" s="30">
        <v>2.6800000000000001E-2</v>
      </c>
    </row>
    <row r="5621" spans="16:19" x14ac:dyDescent="0.25">
      <c r="P5621" s="27">
        <v>3.2548184716220556E-2</v>
      </c>
      <c r="Q5621" s="28">
        <f t="shared" si="91"/>
        <v>3.5548184716220559E-2</v>
      </c>
      <c r="R5621" s="29">
        <v>0.15003660775771735</v>
      </c>
      <c r="S5621" s="30">
        <v>2.4E-2</v>
      </c>
    </row>
    <row r="5622" spans="16:19" x14ac:dyDescent="0.25">
      <c r="P5622" s="27">
        <v>3.2548184716220556E-2</v>
      </c>
      <c r="Q5622" s="28">
        <f t="shared" si="91"/>
        <v>3.5548184716220559E-2</v>
      </c>
      <c r="R5622" s="29">
        <v>0.15003660775771735</v>
      </c>
      <c r="S5622" s="30">
        <v>2.2429999999999999E-2</v>
      </c>
    </row>
    <row r="5623" spans="16:19" x14ac:dyDescent="0.25">
      <c r="P5623" s="27">
        <v>3.2548184716220556E-2</v>
      </c>
      <c r="Q5623" s="28">
        <f t="shared" si="91"/>
        <v>3.5548184716220559E-2</v>
      </c>
      <c r="R5623" s="29">
        <v>0.15003660775771735</v>
      </c>
      <c r="S5623" s="30">
        <v>2.4521866E-2</v>
      </c>
    </row>
    <row r="5624" spans="16:19" x14ac:dyDescent="0.25">
      <c r="P5624" s="27">
        <v>3.2548184716220556E-2</v>
      </c>
      <c r="Q5624" s="28">
        <f t="shared" si="91"/>
        <v>3.5548184716220559E-2</v>
      </c>
      <c r="R5624" s="29">
        <v>0.15003660775771735</v>
      </c>
      <c r="S5624" s="30">
        <v>3.7679999999999998E-2</v>
      </c>
    </row>
    <row r="5625" spans="16:19" x14ac:dyDescent="0.25">
      <c r="P5625" s="27">
        <v>3.2548184716220556E-2</v>
      </c>
      <c r="Q5625" s="28">
        <f t="shared" si="91"/>
        <v>3.5548184716220559E-2</v>
      </c>
      <c r="R5625" s="29">
        <v>0.15003660775771735</v>
      </c>
      <c r="S5625" s="30">
        <v>4.2070000000000003E-2</v>
      </c>
    </row>
    <row r="5626" spans="16:19" x14ac:dyDescent="0.25">
      <c r="P5626" s="27">
        <v>3.2548184716220556E-2</v>
      </c>
      <c r="Q5626" s="28">
        <f t="shared" si="91"/>
        <v>3.5548184716220559E-2</v>
      </c>
      <c r="R5626" s="29">
        <v>0.15003660775771735</v>
      </c>
      <c r="S5626" s="30">
        <v>4.2000000000000003E-2</v>
      </c>
    </row>
    <row r="5627" spans="16:19" x14ac:dyDescent="0.25">
      <c r="P5627" s="27">
        <v>3.2548184716220556E-2</v>
      </c>
      <c r="Q5627" s="28">
        <f t="shared" si="91"/>
        <v>3.5548184716220559E-2</v>
      </c>
      <c r="R5627" s="31">
        <v>0.15939660775771733</v>
      </c>
      <c r="S5627" s="32">
        <v>4.2354978000000001E-2</v>
      </c>
    </row>
    <row r="5628" spans="16:19" x14ac:dyDescent="0.25">
      <c r="P5628" s="27">
        <v>3.2548184716220556E-2</v>
      </c>
      <c r="Q5628" s="28">
        <f t="shared" si="91"/>
        <v>3.5548184716220559E-2</v>
      </c>
      <c r="R5628" s="33">
        <v>0.16282860775771735</v>
      </c>
      <c r="S5628" s="34">
        <v>4.283E-2</v>
      </c>
    </row>
    <row r="5629" spans="16:19" x14ac:dyDescent="0.25">
      <c r="P5629" s="27">
        <v>3.2548184716220556E-2</v>
      </c>
      <c r="Q5629" s="28">
        <f t="shared" si="91"/>
        <v>3.5548184716220559E-2</v>
      </c>
      <c r="R5629" s="33">
        <v>0.16282860775771735</v>
      </c>
      <c r="S5629" s="34">
        <v>4.0079999999999998E-2</v>
      </c>
    </row>
    <row r="5630" spans="16:19" x14ac:dyDescent="0.25">
      <c r="P5630" s="27">
        <v>3.2548184716220556E-2</v>
      </c>
      <c r="Q5630" s="28">
        <f t="shared" si="91"/>
        <v>3.5548184716220559E-2</v>
      </c>
      <c r="R5630" s="33">
        <v>0.16282860775771735</v>
      </c>
      <c r="S5630" s="34">
        <v>3.7429999999999998E-2</v>
      </c>
    </row>
    <row r="5631" spans="16:19" x14ac:dyDescent="0.25">
      <c r="P5631" s="27">
        <v>3.2548184716220556E-2</v>
      </c>
      <c r="Q5631" s="28">
        <f t="shared" si="91"/>
        <v>3.5548184716220559E-2</v>
      </c>
      <c r="R5631" s="33">
        <v>0.16282860775771735</v>
      </c>
      <c r="S5631" s="34">
        <v>3.678E-2</v>
      </c>
    </row>
    <row r="5632" spans="16:19" x14ac:dyDescent="0.25">
      <c r="P5632" s="27">
        <v>3.2548184716220556E-2</v>
      </c>
      <c r="Q5632" s="28">
        <f t="shared" si="91"/>
        <v>3.5548184716220559E-2</v>
      </c>
      <c r="R5632" s="33">
        <v>0.16282860775771735</v>
      </c>
      <c r="S5632" s="34">
        <v>2.7989999999999998E-2</v>
      </c>
    </row>
    <row r="5633" spans="16:19" x14ac:dyDescent="0.25">
      <c r="P5633" s="27">
        <v>3.2548184716220556E-2</v>
      </c>
      <c r="Q5633" s="28">
        <f t="shared" si="91"/>
        <v>3.5548184716220559E-2</v>
      </c>
      <c r="R5633" s="33">
        <v>0.16282860775771735</v>
      </c>
      <c r="S5633" s="34">
        <v>2.7E-2</v>
      </c>
    </row>
    <row r="5634" spans="16:19" x14ac:dyDescent="0.25">
      <c r="P5634" s="27">
        <v>3.2548184716220556E-2</v>
      </c>
      <c r="Q5634" s="28">
        <f t="shared" si="91"/>
        <v>3.5548184716220559E-2</v>
      </c>
      <c r="R5634" s="33">
        <v>0.16282860775771735</v>
      </c>
      <c r="S5634" s="34">
        <v>3.1037571E-2</v>
      </c>
    </row>
    <row r="5635" spans="16:19" x14ac:dyDescent="0.25">
      <c r="P5635" s="27">
        <v>3.2548184716220556E-2</v>
      </c>
      <c r="Q5635" s="28">
        <f t="shared" si="91"/>
        <v>3.5548184716220559E-2</v>
      </c>
      <c r="R5635" s="33">
        <v>0.16282860775771735</v>
      </c>
      <c r="S5635" s="34">
        <v>3.5979999999999998E-2</v>
      </c>
    </row>
    <row r="5636" spans="16:19" x14ac:dyDescent="0.25">
      <c r="P5636" s="27">
        <v>3.2548184716220556E-2</v>
      </c>
      <c r="Q5636" s="28">
        <f t="shared" si="91"/>
        <v>3.5548184716220559E-2</v>
      </c>
      <c r="R5636" s="33">
        <v>0.16282860775771735</v>
      </c>
      <c r="S5636" s="34">
        <v>4.0381583999999998E-2</v>
      </c>
    </row>
    <row r="5637" spans="16:19" x14ac:dyDescent="0.25">
      <c r="P5637" s="27">
        <v>3.2548184716220556E-2</v>
      </c>
      <c r="Q5637" s="28">
        <f t="shared" ref="Q5637:Q5700" si="92">P5637+0.003</f>
        <v>3.5548184716220559E-2</v>
      </c>
      <c r="R5637" s="33">
        <v>0.16282860775771735</v>
      </c>
      <c r="S5637" s="34">
        <v>4.48E-2</v>
      </c>
    </row>
    <row r="5638" spans="16:19" x14ac:dyDescent="0.25">
      <c r="P5638" s="27">
        <v>3.2548184716220556E-2</v>
      </c>
      <c r="Q5638" s="28">
        <f t="shared" si="92"/>
        <v>3.5548184716220559E-2</v>
      </c>
      <c r="R5638" s="33">
        <v>0.16282860775771735</v>
      </c>
      <c r="S5638" s="34">
        <v>5.0880000000000002E-2</v>
      </c>
    </row>
    <row r="5639" spans="16:19" x14ac:dyDescent="0.25">
      <c r="P5639" s="27">
        <v>3.2548184716220556E-2</v>
      </c>
      <c r="Q5639" s="28">
        <f t="shared" si="92"/>
        <v>3.5548184716220559E-2</v>
      </c>
      <c r="R5639" s="31">
        <v>0.15939660775771733</v>
      </c>
      <c r="S5639" s="32">
        <v>5.7000000000000002E-2</v>
      </c>
    </row>
    <row r="5640" spans="16:19" x14ac:dyDescent="0.25">
      <c r="P5640" s="27">
        <v>3.2548184716220556E-2</v>
      </c>
      <c r="Q5640" s="28">
        <f t="shared" si="92"/>
        <v>3.5548184716220559E-2</v>
      </c>
      <c r="R5640" s="31">
        <v>0.15939660775771733</v>
      </c>
      <c r="S5640" s="32">
        <v>5.3051634E-2</v>
      </c>
    </row>
    <row r="5641" spans="16:19" x14ac:dyDescent="0.25">
      <c r="P5641" s="27">
        <v>3.2548184716220556E-2</v>
      </c>
      <c r="Q5641" s="28">
        <f t="shared" si="92"/>
        <v>3.5548184716220559E-2</v>
      </c>
      <c r="R5641" s="31">
        <v>0.15939660775771733</v>
      </c>
      <c r="S5641" s="32">
        <v>4.5130000000000003E-2</v>
      </c>
    </row>
    <row r="5642" spans="16:19" x14ac:dyDescent="0.25">
      <c r="P5642" s="27">
        <v>3.2548184716220556E-2</v>
      </c>
      <c r="Q5642" s="28">
        <f t="shared" si="92"/>
        <v>3.5548184716220559E-2</v>
      </c>
      <c r="R5642" s="31">
        <v>0.15939660775771733</v>
      </c>
      <c r="S5642" s="32">
        <v>4.3529999999999999E-2</v>
      </c>
    </row>
    <row r="5643" spans="16:19" x14ac:dyDescent="0.25">
      <c r="P5643" s="27">
        <v>3.2548184716220556E-2</v>
      </c>
      <c r="Q5643" s="28">
        <f t="shared" si="92"/>
        <v>3.5548184716220559E-2</v>
      </c>
      <c r="R5643" s="29">
        <v>0.15003660775771735</v>
      </c>
      <c r="S5643" s="30">
        <v>4.41E-2</v>
      </c>
    </row>
    <row r="5644" spans="16:19" x14ac:dyDescent="0.25">
      <c r="P5644" s="27">
        <v>3.2548184716220556E-2</v>
      </c>
      <c r="Q5644" s="28">
        <f t="shared" si="92"/>
        <v>3.5548184716220559E-2</v>
      </c>
      <c r="R5644" s="29">
        <v>0.15003660775771735</v>
      </c>
      <c r="S5644" s="30">
        <v>4.2409999999999996E-2</v>
      </c>
    </row>
    <row r="5645" spans="16:19" x14ac:dyDescent="0.25">
      <c r="P5645" s="27">
        <v>3.2548184716220556E-2</v>
      </c>
      <c r="Q5645" s="28">
        <f t="shared" si="92"/>
        <v>3.5548184716220559E-2</v>
      </c>
      <c r="R5645" s="29">
        <v>0.15003660775771735</v>
      </c>
      <c r="S5645" s="30">
        <v>0.04</v>
      </c>
    </row>
    <row r="5646" spans="16:19" x14ac:dyDescent="0.25">
      <c r="P5646" s="27">
        <v>3.2548184716220556E-2</v>
      </c>
      <c r="Q5646" s="28">
        <f t="shared" si="92"/>
        <v>3.5548184716220559E-2</v>
      </c>
      <c r="R5646" s="29">
        <v>0.15003660775771735</v>
      </c>
      <c r="S5646" s="30">
        <v>3.9750000000000001E-2</v>
      </c>
    </row>
    <row r="5647" spans="16:19" x14ac:dyDescent="0.25">
      <c r="P5647" s="27">
        <v>3.2548184716220556E-2</v>
      </c>
      <c r="Q5647" s="28">
        <f t="shared" si="92"/>
        <v>3.5548184716220559E-2</v>
      </c>
      <c r="R5647" s="29">
        <v>0.15003660775771735</v>
      </c>
      <c r="S5647" s="30">
        <v>4.1000000000000002E-2</v>
      </c>
    </row>
    <row r="5648" spans="16:19" x14ac:dyDescent="0.25">
      <c r="P5648" s="27">
        <v>3.2548184716220556E-2</v>
      </c>
      <c r="Q5648" s="28">
        <f t="shared" si="92"/>
        <v>3.5548184716220559E-2</v>
      </c>
      <c r="R5648" s="29">
        <v>0.15003660775771735</v>
      </c>
      <c r="S5648" s="30">
        <v>4.2880000000000001E-2</v>
      </c>
    </row>
    <row r="5649" spans="16:19" x14ac:dyDescent="0.25">
      <c r="P5649" s="27">
        <v>3.2548184716220556E-2</v>
      </c>
      <c r="Q5649" s="28">
        <f t="shared" si="92"/>
        <v>3.5548184716220559E-2</v>
      </c>
      <c r="R5649" s="29">
        <v>0.15003660775771735</v>
      </c>
      <c r="S5649" s="30">
        <v>4.2880000000000001E-2</v>
      </c>
    </row>
    <row r="5650" spans="16:19" x14ac:dyDescent="0.25">
      <c r="P5650" s="27">
        <v>3.2548184716220556E-2</v>
      </c>
      <c r="Q5650" s="28">
        <f t="shared" si="92"/>
        <v>3.5548184716220559E-2</v>
      </c>
      <c r="R5650" s="29">
        <v>0.15003660775771735</v>
      </c>
      <c r="S5650" s="30">
        <v>4.0430000000000001E-2</v>
      </c>
    </row>
    <row r="5651" spans="16:19" x14ac:dyDescent="0.25">
      <c r="P5651" s="27">
        <v>3.2548184716220556E-2</v>
      </c>
      <c r="Q5651" s="28">
        <f t="shared" si="92"/>
        <v>3.5548184716220559E-2</v>
      </c>
      <c r="R5651" s="31">
        <v>0.15939660775771733</v>
      </c>
      <c r="S5651" s="32">
        <v>4.0430000000000001E-2</v>
      </c>
    </row>
    <row r="5652" spans="16:19" x14ac:dyDescent="0.25">
      <c r="P5652" s="27">
        <v>3.2548184716220556E-2</v>
      </c>
      <c r="Q5652" s="28">
        <f t="shared" si="92"/>
        <v>3.5548184716220559E-2</v>
      </c>
      <c r="R5652" s="33">
        <v>0.16282860775771735</v>
      </c>
      <c r="S5652" s="34">
        <v>4.0140000000000002E-2</v>
      </c>
    </row>
    <row r="5653" spans="16:19" x14ac:dyDescent="0.25">
      <c r="P5653" s="27">
        <v>3.2548184716220556E-2</v>
      </c>
      <c r="Q5653" s="28">
        <f t="shared" si="92"/>
        <v>3.5548184716220559E-2</v>
      </c>
      <c r="R5653" s="33">
        <v>0.16282860775771735</v>
      </c>
      <c r="S5653" s="34">
        <v>3.4950000000000002E-2</v>
      </c>
    </row>
    <row r="5654" spans="16:19" x14ac:dyDescent="0.25">
      <c r="P5654" s="27">
        <v>3.2548184716220556E-2</v>
      </c>
      <c r="Q5654" s="28">
        <f t="shared" si="92"/>
        <v>3.5548184716220559E-2</v>
      </c>
      <c r="R5654" s="33">
        <v>0.16282860775771735</v>
      </c>
      <c r="S5654" s="34">
        <v>2.785E-2</v>
      </c>
    </row>
    <row r="5655" spans="16:19" x14ac:dyDescent="0.25">
      <c r="P5655" s="27">
        <v>3.2548184716220556E-2</v>
      </c>
      <c r="Q5655" s="28">
        <f t="shared" si="92"/>
        <v>3.5548184716220559E-2</v>
      </c>
      <c r="R5655" s="33">
        <v>0.16282860775771735</v>
      </c>
      <c r="S5655" s="34">
        <v>2.8000000000000001E-2</v>
      </c>
    </row>
    <row r="5656" spans="16:19" x14ac:dyDescent="0.25">
      <c r="P5656" s="27">
        <v>3.2548184716220556E-2</v>
      </c>
      <c r="Q5656" s="28">
        <f t="shared" si="92"/>
        <v>3.5548184716220559E-2</v>
      </c>
      <c r="R5656" s="33">
        <v>0.16282860775771735</v>
      </c>
      <c r="S5656" s="34">
        <v>1.001E-2</v>
      </c>
    </row>
    <row r="5657" spans="16:19" x14ac:dyDescent="0.25">
      <c r="P5657" s="27">
        <v>3.2548184716220556E-2</v>
      </c>
      <c r="Q5657" s="28">
        <f t="shared" si="92"/>
        <v>3.5548184716220559E-2</v>
      </c>
      <c r="R5657" s="33">
        <v>0.16282860775771735</v>
      </c>
      <c r="S5657" s="34">
        <v>7.0999999999999995E-3</v>
      </c>
    </row>
    <row r="5658" spans="16:19" x14ac:dyDescent="0.25">
      <c r="P5658" s="27">
        <v>3.2548184716220556E-2</v>
      </c>
      <c r="Q5658" s="28">
        <f t="shared" si="92"/>
        <v>3.5548184716220559E-2</v>
      </c>
      <c r="R5658" s="33">
        <v>0.16282860775771735</v>
      </c>
      <c r="S5658" s="34">
        <v>1.2113583000000001E-2</v>
      </c>
    </row>
    <row r="5659" spans="16:19" x14ac:dyDescent="0.25">
      <c r="P5659" s="27">
        <v>3.2548184716220556E-2</v>
      </c>
      <c r="Q5659" s="28">
        <f t="shared" si="92"/>
        <v>3.5548184716220559E-2</v>
      </c>
      <c r="R5659" s="33">
        <v>0.16282860775771735</v>
      </c>
      <c r="S5659" s="34">
        <v>2.8103214000000001E-2</v>
      </c>
    </row>
    <row r="5660" spans="16:19" x14ac:dyDescent="0.25">
      <c r="P5660" s="27">
        <v>3.2548184716220556E-2</v>
      </c>
      <c r="Q5660" s="28">
        <f t="shared" si="92"/>
        <v>3.5548184716220559E-2</v>
      </c>
      <c r="R5660" s="33">
        <v>0.16282860775771735</v>
      </c>
      <c r="S5660" s="34">
        <v>3.4977749000000002E-2</v>
      </c>
    </row>
    <row r="5661" spans="16:19" x14ac:dyDescent="0.25">
      <c r="P5661" s="27">
        <v>3.2548184716220556E-2</v>
      </c>
      <c r="Q5661" s="28">
        <f t="shared" si="92"/>
        <v>3.5548184716220559E-2</v>
      </c>
      <c r="R5661" s="33">
        <v>0.16282860775771735</v>
      </c>
      <c r="S5661" s="34">
        <v>4.0409999999999995E-2</v>
      </c>
    </row>
    <row r="5662" spans="16:19" x14ac:dyDescent="0.25">
      <c r="P5662" s="27">
        <v>3.2548184716220556E-2</v>
      </c>
      <c r="Q5662" s="28">
        <f t="shared" si="92"/>
        <v>3.5548184716220559E-2</v>
      </c>
      <c r="R5662" s="33">
        <v>0.16282860775771735</v>
      </c>
      <c r="S5662" s="34">
        <v>4.6119999999999994E-2</v>
      </c>
    </row>
    <row r="5663" spans="16:19" x14ac:dyDescent="0.25">
      <c r="P5663" s="27">
        <v>3.2548184716220556E-2</v>
      </c>
      <c r="Q5663" s="28">
        <f t="shared" si="92"/>
        <v>3.5548184716220559E-2</v>
      </c>
      <c r="R5663" s="31">
        <v>0.15939660775771733</v>
      </c>
      <c r="S5663" s="32">
        <v>5.7460000000000004E-2</v>
      </c>
    </row>
    <row r="5664" spans="16:19" x14ac:dyDescent="0.25">
      <c r="P5664" s="27">
        <v>3.2548184716220556E-2</v>
      </c>
      <c r="Q5664" s="28">
        <f t="shared" si="92"/>
        <v>3.5548184716220559E-2</v>
      </c>
      <c r="R5664" s="31">
        <v>0.15939660775771733</v>
      </c>
      <c r="S5664" s="32">
        <v>5.1962985000000003E-2</v>
      </c>
    </row>
    <row r="5665" spans="16:19" x14ac:dyDescent="0.25">
      <c r="P5665" s="27">
        <v>3.2548184716220556E-2</v>
      </c>
      <c r="Q5665" s="28">
        <f t="shared" si="92"/>
        <v>3.5548184716220559E-2</v>
      </c>
      <c r="R5665" s="31">
        <v>0.15939660775771733</v>
      </c>
      <c r="S5665" s="32">
        <v>4.623E-2</v>
      </c>
    </row>
    <row r="5666" spans="16:19" x14ac:dyDescent="0.25">
      <c r="P5666" s="27">
        <v>3.2548184716220556E-2</v>
      </c>
      <c r="Q5666" s="28">
        <f t="shared" si="92"/>
        <v>3.5548184716220559E-2</v>
      </c>
      <c r="R5666" s="31">
        <v>0.15939660775771733</v>
      </c>
      <c r="S5666" s="32">
        <v>4.3679999999999997E-2</v>
      </c>
    </row>
    <row r="5667" spans="16:19" x14ac:dyDescent="0.25">
      <c r="P5667" s="27">
        <v>3.2548184716220556E-2</v>
      </c>
      <c r="Q5667" s="28">
        <f t="shared" si="92"/>
        <v>3.5548184716220559E-2</v>
      </c>
      <c r="R5667" s="29">
        <v>0.15003660775771735</v>
      </c>
      <c r="S5667" s="30">
        <v>4.3859999999999996E-2</v>
      </c>
    </row>
    <row r="5668" spans="16:19" x14ac:dyDescent="0.25">
      <c r="P5668" s="27">
        <v>3.2548184716220556E-2</v>
      </c>
      <c r="Q5668" s="28">
        <f t="shared" si="92"/>
        <v>3.5548184716220559E-2</v>
      </c>
      <c r="R5668" s="29">
        <v>0.15003660775771735</v>
      </c>
      <c r="S5668" s="30">
        <v>4.0570040000000002E-2</v>
      </c>
    </row>
    <row r="5669" spans="16:19" x14ac:dyDescent="0.25">
      <c r="P5669" s="27">
        <v>3.2548184716220556E-2</v>
      </c>
      <c r="Q5669" s="28">
        <f t="shared" si="92"/>
        <v>3.5548184716220559E-2</v>
      </c>
      <c r="R5669" s="29">
        <v>0.15003660775771735</v>
      </c>
      <c r="S5669" s="30">
        <v>0.04</v>
      </c>
    </row>
    <row r="5670" spans="16:19" x14ac:dyDescent="0.25">
      <c r="P5670" s="27">
        <v>3.2548184716220556E-2</v>
      </c>
      <c r="Q5670" s="28">
        <f t="shared" si="92"/>
        <v>3.5548184716220559E-2</v>
      </c>
      <c r="R5670" s="29">
        <v>0.15003660775771735</v>
      </c>
      <c r="S5670" s="30">
        <v>3.9109999999999999E-2</v>
      </c>
    </row>
    <row r="5671" spans="16:19" x14ac:dyDescent="0.25">
      <c r="P5671" s="27">
        <v>3.2548184716220556E-2</v>
      </c>
      <c r="Q5671" s="28">
        <f t="shared" si="92"/>
        <v>3.5548184716220559E-2</v>
      </c>
      <c r="R5671" s="29">
        <v>0.15003660775771735</v>
      </c>
      <c r="S5671" s="30">
        <v>4.0320000000000002E-2</v>
      </c>
    </row>
    <row r="5672" spans="16:19" x14ac:dyDescent="0.25">
      <c r="P5672" s="27">
        <v>3.2548184716220556E-2</v>
      </c>
      <c r="Q5672" s="28">
        <f t="shared" si="92"/>
        <v>3.5548184716220559E-2</v>
      </c>
      <c r="R5672" s="29">
        <v>0.15003660775771735</v>
      </c>
      <c r="S5672" s="30">
        <v>4.1229999999999996E-2</v>
      </c>
    </row>
    <row r="5673" spans="16:19" x14ac:dyDescent="0.25">
      <c r="P5673" s="27">
        <v>3.2548184716220556E-2</v>
      </c>
      <c r="Q5673" s="28">
        <f t="shared" si="92"/>
        <v>3.5548184716220559E-2</v>
      </c>
      <c r="R5673" s="29">
        <v>0.15003660775771735</v>
      </c>
      <c r="S5673" s="30">
        <v>4.7880000000000006E-2</v>
      </c>
    </row>
    <row r="5674" spans="16:19" x14ac:dyDescent="0.25">
      <c r="P5674" s="27">
        <v>3.2548184716220556E-2</v>
      </c>
      <c r="Q5674" s="28">
        <f t="shared" si="92"/>
        <v>3.5548184716220559E-2</v>
      </c>
      <c r="R5674" s="29">
        <v>0.15003660775771735</v>
      </c>
      <c r="S5674" s="30">
        <v>4.7130000000000005E-2</v>
      </c>
    </row>
    <row r="5675" spans="16:19" x14ac:dyDescent="0.25">
      <c r="P5675" s="27">
        <v>3.2548184716220556E-2</v>
      </c>
      <c r="Q5675" s="28">
        <f t="shared" si="92"/>
        <v>3.5548184716220559E-2</v>
      </c>
      <c r="R5675" s="31">
        <v>0.15939999999999999</v>
      </c>
      <c r="S5675" s="32">
        <v>5.2260000000000001E-2</v>
      </c>
    </row>
    <row r="5676" spans="16:19" x14ac:dyDescent="0.25">
      <c r="P5676" s="27">
        <v>3.2548184716220556E-2</v>
      </c>
      <c r="Q5676" s="28">
        <f t="shared" si="92"/>
        <v>3.5548184716220559E-2</v>
      </c>
      <c r="R5676" s="31">
        <v>0.15939999999999999</v>
      </c>
      <c r="S5676" s="32">
        <v>5.355E-2</v>
      </c>
    </row>
    <row r="5677" spans="16:19" x14ac:dyDescent="0.25">
      <c r="P5677" s="27">
        <v>3.2548184716220556E-2</v>
      </c>
      <c r="Q5677" s="28">
        <f t="shared" si="92"/>
        <v>3.5548184716220559E-2</v>
      </c>
      <c r="R5677" s="31">
        <v>0.15939999999999999</v>
      </c>
      <c r="S5677" s="32">
        <v>4.5810000000000003E-2</v>
      </c>
    </row>
    <row r="5678" spans="16:19" x14ac:dyDescent="0.25">
      <c r="P5678" s="27">
        <v>3.2548184716220556E-2</v>
      </c>
      <c r="Q5678" s="28">
        <f t="shared" si="92"/>
        <v>3.5548184716220559E-2</v>
      </c>
      <c r="R5678" s="31">
        <v>0.15939999999999999</v>
      </c>
      <c r="S5678" s="32">
        <v>4.2810000000000001E-2</v>
      </c>
    </row>
    <row r="5679" spans="16:19" x14ac:dyDescent="0.25">
      <c r="P5679" s="27">
        <v>3.2548184716220556E-2</v>
      </c>
      <c r="Q5679" s="28">
        <f t="shared" si="92"/>
        <v>3.5548184716220559E-2</v>
      </c>
      <c r="R5679" s="31">
        <v>0.15939999999999999</v>
      </c>
      <c r="S5679" s="32">
        <v>4.1070000000000002E-2</v>
      </c>
    </row>
    <row r="5680" spans="16:19" x14ac:dyDescent="0.25">
      <c r="P5680" s="27">
        <v>3.2548184716220556E-2</v>
      </c>
      <c r="Q5680" s="28">
        <f t="shared" si="92"/>
        <v>3.5548184716220559E-2</v>
      </c>
      <c r="R5680" s="31">
        <v>0.15939999999999999</v>
      </c>
      <c r="S5680" s="32">
        <v>4.0989999999999999E-2</v>
      </c>
    </row>
    <row r="5681" spans="16:19" x14ac:dyDescent="0.25">
      <c r="P5681" s="27">
        <v>3.2548184716220556E-2</v>
      </c>
      <c r="Q5681" s="28">
        <f t="shared" si="92"/>
        <v>3.5548184716220559E-2</v>
      </c>
      <c r="R5681" s="31">
        <v>0.15939999999999999</v>
      </c>
      <c r="S5681" s="32">
        <v>4.2040000000000001E-2</v>
      </c>
    </row>
    <row r="5682" spans="16:19" x14ac:dyDescent="0.25">
      <c r="P5682" s="27">
        <v>3.2548184716220556E-2</v>
      </c>
      <c r="Q5682" s="28">
        <f t="shared" si="92"/>
        <v>3.5548184716220559E-2</v>
      </c>
      <c r="R5682" s="31">
        <v>0.15939999999999999</v>
      </c>
      <c r="S5682" s="32">
        <v>4.4049999999999999E-2</v>
      </c>
    </row>
    <row r="5683" spans="16:19" x14ac:dyDescent="0.25">
      <c r="P5683" s="27">
        <v>3.2548184716220556E-2</v>
      </c>
      <c r="Q5683" s="28">
        <f t="shared" si="92"/>
        <v>3.5548184716220559E-2</v>
      </c>
      <c r="R5683" s="31">
        <v>0.15939999999999999</v>
      </c>
      <c r="S5683" s="32">
        <v>4.5899999999999996E-2</v>
      </c>
    </row>
    <row r="5684" spans="16:19" x14ac:dyDescent="0.25">
      <c r="P5684" s="27">
        <v>3.2548184716220556E-2</v>
      </c>
      <c r="Q5684" s="28">
        <f t="shared" si="92"/>
        <v>3.5548184716220559E-2</v>
      </c>
      <c r="R5684" s="31">
        <v>0.15939999999999999</v>
      </c>
      <c r="S5684" s="32">
        <v>4.7030000000000002E-2</v>
      </c>
    </row>
    <row r="5685" spans="16:19" x14ac:dyDescent="0.25">
      <c r="P5685" s="27">
        <v>3.2548184716220556E-2</v>
      </c>
      <c r="Q5685" s="28">
        <f t="shared" si="92"/>
        <v>3.5548184716220559E-2</v>
      </c>
      <c r="R5685" s="31">
        <v>0.15939999999999999</v>
      </c>
      <c r="S5685" s="32">
        <v>4.8799999999999996E-2</v>
      </c>
    </row>
    <row r="5686" spans="16:19" x14ac:dyDescent="0.25">
      <c r="P5686" s="27">
        <v>3.2548184716220556E-2</v>
      </c>
      <c r="Q5686" s="28">
        <f t="shared" si="92"/>
        <v>3.5548184716220559E-2</v>
      </c>
      <c r="R5686" s="31">
        <v>0.15939999999999999</v>
      </c>
      <c r="S5686" s="32">
        <v>5.2990000000000002E-2</v>
      </c>
    </row>
    <row r="5687" spans="16:19" x14ac:dyDescent="0.25">
      <c r="P5687" s="27">
        <v>3.2548184716220556E-2</v>
      </c>
      <c r="Q5687" s="28">
        <f t="shared" si="92"/>
        <v>3.5548184716220559E-2</v>
      </c>
      <c r="R5687" s="31">
        <v>0.15939999999999999</v>
      </c>
      <c r="S5687" s="32">
        <v>6.8400000000000002E-2</v>
      </c>
    </row>
    <row r="5688" spans="16:19" x14ac:dyDescent="0.25">
      <c r="P5688" s="27">
        <v>3.2548184716220556E-2</v>
      </c>
      <c r="Q5688" s="28">
        <f t="shared" si="92"/>
        <v>3.5548184716220559E-2</v>
      </c>
      <c r="R5688" s="31">
        <v>0.15939999999999999</v>
      </c>
      <c r="S5688" s="32">
        <v>5.4600000000000003E-2</v>
      </c>
    </row>
    <row r="5689" spans="16:19" x14ac:dyDescent="0.25">
      <c r="P5689" s="27">
        <v>3.2548184716220556E-2</v>
      </c>
      <c r="Q5689" s="28">
        <f t="shared" si="92"/>
        <v>3.5548184716220559E-2</v>
      </c>
      <c r="R5689" s="31">
        <v>0.15939999999999999</v>
      </c>
      <c r="S5689" s="32">
        <v>4.8299999999999996E-2</v>
      </c>
    </row>
    <row r="5690" spans="16:19" x14ac:dyDescent="0.25">
      <c r="P5690" s="27">
        <v>3.2548184716220556E-2</v>
      </c>
      <c r="Q5690" s="28">
        <f t="shared" si="92"/>
        <v>3.5548184716220559E-2</v>
      </c>
      <c r="R5690" s="31">
        <v>0.15939999999999999</v>
      </c>
      <c r="S5690" s="32">
        <v>4.6189999999999995E-2</v>
      </c>
    </row>
    <row r="5691" spans="16:19" x14ac:dyDescent="0.25">
      <c r="P5691" s="27">
        <v>3.2548184716220556E-2</v>
      </c>
      <c r="Q5691" s="28">
        <f t="shared" si="92"/>
        <v>3.5548184716220559E-2</v>
      </c>
      <c r="R5691" s="29">
        <v>0.15</v>
      </c>
      <c r="S5691" s="30">
        <v>4.5620000000000001E-2</v>
      </c>
    </row>
    <row r="5692" spans="16:19" x14ac:dyDescent="0.25">
      <c r="P5692" s="27">
        <v>3.2548184716220556E-2</v>
      </c>
      <c r="Q5692" s="28">
        <f t="shared" si="92"/>
        <v>3.5548184716220559E-2</v>
      </c>
      <c r="R5692" s="29">
        <v>0.15</v>
      </c>
      <c r="S5692" s="30">
        <v>4.4450000000000003E-2</v>
      </c>
    </row>
    <row r="5693" spans="16:19" x14ac:dyDescent="0.25">
      <c r="P5693" s="27">
        <v>3.2548184716220556E-2</v>
      </c>
      <c r="Q5693" s="28">
        <f t="shared" si="92"/>
        <v>3.5548184716220559E-2</v>
      </c>
      <c r="R5693" s="29">
        <v>0.15</v>
      </c>
      <c r="S5693" s="30">
        <v>4.1869999999999997E-2</v>
      </c>
    </row>
    <row r="5694" spans="16:19" x14ac:dyDescent="0.25">
      <c r="P5694" s="27">
        <v>3.2548184716220556E-2</v>
      </c>
      <c r="Q5694" s="28">
        <f t="shared" si="92"/>
        <v>3.5548184716220559E-2</v>
      </c>
      <c r="R5694" s="29">
        <v>0.15</v>
      </c>
      <c r="S5694" s="30">
        <v>4.0979999999999996E-2</v>
      </c>
    </row>
    <row r="5695" spans="16:19" x14ac:dyDescent="0.25">
      <c r="P5695" s="27">
        <v>3.2548184716220556E-2</v>
      </c>
      <c r="Q5695" s="28">
        <f t="shared" si="92"/>
        <v>3.5548184716220559E-2</v>
      </c>
      <c r="R5695" s="29">
        <v>0.15</v>
      </c>
      <c r="S5695" s="30">
        <v>4.0979999999999996E-2</v>
      </c>
    </row>
    <row r="5696" spans="16:19" x14ac:dyDescent="0.25">
      <c r="P5696" s="27">
        <v>3.2548184716220556E-2</v>
      </c>
      <c r="Q5696" s="28">
        <f t="shared" si="92"/>
        <v>3.5548184716220559E-2</v>
      </c>
      <c r="R5696" s="29">
        <v>0.15</v>
      </c>
      <c r="S5696" s="30">
        <v>4.1909999999999996E-2</v>
      </c>
    </row>
    <row r="5697" spans="16:19" x14ac:dyDescent="0.25">
      <c r="P5697" s="27">
        <v>3.2548184716220556E-2</v>
      </c>
      <c r="Q5697" s="28">
        <f t="shared" si="92"/>
        <v>3.5548184716220559E-2</v>
      </c>
      <c r="R5697" s="29">
        <v>0.15</v>
      </c>
      <c r="S5697" s="30">
        <v>4.7880000000000006E-2</v>
      </c>
    </row>
    <row r="5698" spans="16:19" x14ac:dyDescent="0.25">
      <c r="P5698" s="27">
        <v>3.2548184716220556E-2</v>
      </c>
      <c r="Q5698" s="28">
        <f t="shared" si="92"/>
        <v>3.5548184716220559E-2</v>
      </c>
      <c r="R5698" s="29">
        <v>0.15</v>
      </c>
      <c r="S5698" s="30">
        <v>4.7299902000000005E-2</v>
      </c>
    </row>
    <row r="5699" spans="16:19" x14ac:dyDescent="0.25">
      <c r="P5699" s="27">
        <v>3.2548184716220556E-2</v>
      </c>
      <c r="Q5699" s="28">
        <f t="shared" si="92"/>
        <v>3.5548184716220559E-2</v>
      </c>
      <c r="R5699" s="29">
        <v>0.15</v>
      </c>
      <c r="S5699" s="30">
        <v>5.7200000000000001E-2</v>
      </c>
    </row>
    <row r="5700" spans="16:19" x14ac:dyDescent="0.25">
      <c r="P5700" s="27">
        <v>3.2548184716220556E-2</v>
      </c>
      <c r="Q5700" s="28">
        <f t="shared" si="92"/>
        <v>3.5548184716220559E-2</v>
      </c>
      <c r="R5700" s="29">
        <v>0.15</v>
      </c>
      <c r="S5700" s="30">
        <v>5.8999999999999997E-2</v>
      </c>
    </row>
    <row r="5701" spans="16:19" x14ac:dyDescent="0.25">
      <c r="P5701" s="27">
        <v>3.2548184716220556E-2</v>
      </c>
      <c r="Q5701" s="28">
        <f t="shared" ref="Q5701:Q5764" si="93">P5701+0.003</f>
        <v>3.5548184716220559E-2</v>
      </c>
      <c r="R5701" s="29">
        <v>0.15</v>
      </c>
      <c r="S5701" s="30">
        <v>5.1729999999999998E-2</v>
      </c>
    </row>
    <row r="5702" spans="16:19" x14ac:dyDescent="0.25">
      <c r="P5702" s="27">
        <v>3.2548184716220556E-2</v>
      </c>
      <c r="Q5702" s="28">
        <f t="shared" si="93"/>
        <v>3.5548184716220559E-2</v>
      </c>
      <c r="R5702" s="29">
        <v>0.15</v>
      </c>
      <c r="S5702" s="30">
        <v>5.0599999999999999E-2</v>
      </c>
    </row>
    <row r="5703" spans="16:19" x14ac:dyDescent="0.25">
      <c r="P5703" s="27">
        <v>3.2548184716220556E-2</v>
      </c>
      <c r="Q5703" s="28">
        <f t="shared" si="93"/>
        <v>3.5548184716220559E-2</v>
      </c>
      <c r="R5703" s="29">
        <v>0.15</v>
      </c>
      <c r="S5703" s="30">
        <v>4.8659999999999995E-2</v>
      </c>
    </row>
    <row r="5704" spans="16:19" x14ac:dyDescent="0.25">
      <c r="P5704" s="27">
        <v>3.2548184716220556E-2</v>
      </c>
      <c r="Q5704" s="28">
        <f t="shared" si="93"/>
        <v>3.5548184716220559E-2</v>
      </c>
      <c r="R5704" s="29">
        <v>0.15</v>
      </c>
      <c r="S5704" s="30">
        <v>4.7119999999999995E-2</v>
      </c>
    </row>
    <row r="5705" spans="16:19" x14ac:dyDescent="0.25">
      <c r="P5705" s="27">
        <v>3.2548184716220556E-2</v>
      </c>
      <c r="Q5705" s="28">
        <f t="shared" si="93"/>
        <v>3.5548184716220559E-2</v>
      </c>
      <c r="R5705" s="29">
        <v>0.15</v>
      </c>
      <c r="S5705" s="30">
        <v>4.7049999999999995E-2</v>
      </c>
    </row>
    <row r="5706" spans="16:19" x14ac:dyDescent="0.25">
      <c r="P5706" s="27">
        <v>3.2548184716220556E-2</v>
      </c>
      <c r="Q5706" s="28">
        <f t="shared" si="93"/>
        <v>3.5548184716220559E-2</v>
      </c>
      <c r="R5706" s="29">
        <v>0.15</v>
      </c>
      <c r="S5706" s="30">
        <v>4.8590000000000001E-2</v>
      </c>
    </row>
    <row r="5707" spans="16:19" x14ac:dyDescent="0.25">
      <c r="P5707" s="27">
        <v>3.2548184716220556E-2</v>
      </c>
      <c r="Q5707" s="28">
        <f t="shared" si="93"/>
        <v>3.5548184716220559E-2</v>
      </c>
      <c r="R5707" s="29">
        <v>0.15</v>
      </c>
      <c r="S5707" s="30">
        <v>4.5999999999999999E-2</v>
      </c>
    </row>
    <row r="5708" spans="16:19" x14ac:dyDescent="0.25">
      <c r="P5708" s="27">
        <v>3.2548184716220556E-2</v>
      </c>
      <c r="Q5708" s="28">
        <f t="shared" si="93"/>
        <v>3.5548184716220559E-2</v>
      </c>
      <c r="R5708" s="29">
        <v>0.15</v>
      </c>
      <c r="S5708" s="30">
        <v>4.7500000000000001E-2</v>
      </c>
    </row>
    <row r="5709" spans="16:19" x14ac:dyDescent="0.25">
      <c r="P5709" s="27">
        <v>3.2548184716220556E-2</v>
      </c>
      <c r="Q5709" s="28">
        <f t="shared" si="93"/>
        <v>3.5548184716220559E-2</v>
      </c>
      <c r="R5709" s="29">
        <v>0.15</v>
      </c>
      <c r="S5709" s="30">
        <v>4.87E-2</v>
      </c>
    </row>
    <row r="5710" spans="16:19" x14ac:dyDescent="0.25">
      <c r="P5710" s="27">
        <v>3.2548184716220556E-2</v>
      </c>
      <c r="Q5710" s="28">
        <f t="shared" si="93"/>
        <v>3.5548184716220559E-2</v>
      </c>
      <c r="R5710" s="29">
        <v>0.15</v>
      </c>
      <c r="S5710" s="30">
        <v>5.2219999999999996E-2</v>
      </c>
    </row>
    <row r="5711" spans="16:19" x14ac:dyDescent="0.25">
      <c r="P5711" s="27">
        <v>3.2548184716220556E-2</v>
      </c>
      <c r="Q5711" s="28">
        <f t="shared" si="93"/>
        <v>3.5548184716220559E-2</v>
      </c>
      <c r="R5711" s="29">
        <v>0.15</v>
      </c>
      <c r="S5711" s="30">
        <v>7.0250000000000007E-2</v>
      </c>
    </row>
    <row r="5712" spans="16:19" x14ac:dyDescent="0.25">
      <c r="P5712" s="27">
        <v>3.2548184716220556E-2</v>
      </c>
      <c r="Q5712" s="28">
        <f t="shared" si="93"/>
        <v>3.5548184716220559E-2</v>
      </c>
      <c r="R5712" s="29">
        <v>0.15</v>
      </c>
      <c r="S5712" s="30">
        <v>5.4700000000000006E-2</v>
      </c>
    </row>
    <row r="5713" spans="16:19" x14ac:dyDescent="0.25">
      <c r="P5713" s="27">
        <v>3.2548184716220556E-2</v>
      </c>
      <c r="Q5713" s="28">
        <f t="shared" si="93"/>
        <v>3.5548184716220559E-2</v>
      </c>
      <c r="R5713" s="29">
        <v>0.15</v>
      </c>
      <c r="S5713" s="30">
        <v>4.6990000000000004E-2</v>
      </c>
    </row>
    <row r="5714" spans="16:19" x14ac:dyDescent="0.25">
      <c r="P5714" s="27">
        <v>3.2548184716220556E-2</v>
      </c>
      <c r="Q5714" s="28">
        <f t="shared" si="93"/>
        <v>3.5548184716220559E-2</v>
      </c>
      <c r="R5714" s="29">
        <v>0.15</v>
      </c>
      <c r="S5714" s="30">
        <v>4.5499999999999999E-2</v>
      </c>
    </row>
    <row r="5715" spans="16:19" x14ac:dyDescent="0.25">
      <c r="P5715" s="27">
        <v>3.2548184716220556E-2</v>
      </c>
      <c r="Q5715" s="28">
        <f t="shared" si="93"/>
        <v>3.5548184716220559E-2</v>
      </c>
      <c r="R5715" s="29">
        <v>0.15</v>
      </c>
      <c r="S5715" s="30">
        <v>4.2148601999999993E-2</v>
      </c>
    </row>
    <row r="5716" spans="16:19" x14ac:dyDescent="0.25">
      <c r="P5716" s="27">
        <v>3.2548184716220556E-2</v>
      </c>
      <c r="Q5716" s="28">
        <f t="shared" si="93"/>
        <v>3.5548184716220559E-2</v>
      </c>
      <c r="R5716" s="29">
        <v>0.15</v>
      </c>
      <c r="S5716" s="30">
        <v>0.04</v>
      </c>
    </row>
    <row r="5717" spans="16:19" x14ac:dyDescent="0.25">
      <c r="P5717" s="27">
        <v>3.2548184716220556E-2</v>
      </c>
      <c r="Q5717" s="28">
        <f t="shared" si="93"/>
        <v>3.5548184716220559E-2</v>
      </c>
      <c r="R5717" s="29">
        <v>0.15</v>
      </c>
      <c r="S5717" s="30">
        <v>3.8090000000000006E-2</v>
      </c>
    </row>
    <row r="5718" spans="16:19" x14ac:dyDescent="0.25">
      <c r="P5718" s="27">
        <v>3.2548184716220556E-2</v>
      </c>
      <c r="Q5718" s="28">
        <f t="shared" si="93"/>
        <v>3.5548184716220559E-2</v>
      </c>
      <c r="R5718" s="29">
        <v>0.15</v>
      </c>
      <c r="S5718" s="30">
        <v>3.6899999999999995E-2</v>
      </c>
    </row>
    <row r="5719" spans="16:19" x14ac:dyDescent="0.25">
      <c r="P5719" s="27">
        <v>3.2548184716220556E-2</v>
      </c>
      <c r="Q5719" s="28">
        <f t="shared" si="93"/>
        <v>3.5548184716220559E-2</v>
      </c>
      <c r="R5719" s="29">
        <v>0.15</v>
      </c>
      <c r="S5719" s="30">
        <v>3.9649999999999998E-2</v>
      </c>
    </row>
    <row r="5720" spans="16:19" x14ac:dyDescent="0.25">
      <c r="P5720" s="27">
        <v>3.2548184716220556E-2</v>
      </c>
      <c r="Q5720" s="28">
        <f t="shared" si="93"/>
        <v>3.5548184716220559E-2</v>
      </c>
      <c r="R5720" s="29">
        <v>0.15</v>
      </c>
      <c r="S5720" s="30">
        <v>3.9109999999999999E-2</v>
      </c>
    </row>
    <row r="5721" spans="16:19" x14ac:dyDescent="0.25">
      <c r="P5721" s="27">
        <v>3.2548184716220556E-2</v>
      </c>
      <c r="Q5721" s="28">
        <f t="shared" si="93"/>
        <v>3.5548184716220559E-2</v>
      </c>
      <c r="R5721" s="29">
        <v>0.15</v>
      </c>
      <c r="S5721" s="30">
        <v>4.5999999999999999E-2</v>
      </c>
    </row>
    <row r="5722" spans="16:19" x14ac:dyDescent="0.25">
      <c r="P5722" s="27">
        <v>3.2548184716220556E-2</v>
      </c>
      <c r="Q5722" s="28">
        <f t="shared" si="93"/>
        <v>3.5548184716220559E-2</v>
      </c>
      <c r="R5722" s="29">
        <v>0.15</v>
      </c>
      <c r="S5722" s="30">
        <v>4.5999999999999999E-2</v>
      </c>
    </row>
    <row r="5723" spans="16:19" x14ac:dyDescent="0.25">
      <c r="P5723" s="27">
        <v>3.2548184716220556E-2</v>
      </c>
      <c r="Q5723" s="28">
        <f t="shared" si="93"/>
        <v>3.5548184716220559E-2</v>
      </c>
      <c r="R5723" s="31">
        <v>0.15939660775771733</v>
      </c>
      <c r="S5723" s="32">
        <v>5.5079999999999997E-2</v>
      </c>
    </row>
    <row r="5724" spans="16:19" x14ac:dyDescent="0.25">
      <c r="P5724" s="27">
        <v>3.2548184716220556E-2</v>
      </c>
      <c r="Q5724" s="28">
        <f t="shared" si="93"/>
        <v>3.5548184716220559E-2</v>
      </c>
      <c r="R5724" s="33">
        <v>0.16282860775771735</v>
      </c>
      <c r="S5724" s="34">
        <v>5.5E-2</v>
      </c>
    </row>
    <row r="5725" spans="16:19" x14ac:dyDescent="0.25">
      <c r="P5725" s="27">
        <v>3.2548184716220556E-2</v>
      </c>
      <c r="Q5725" s="28">
        <f t="shared" si="93"/>
        <v>3.5548184716220559E-2</v>
      </c>
      <c r="R5725" s="33">
        <v>0.16282860775771735</v>
      </c>
      <c r="S5725" s="34">
        <v>4.8640000000000003E-2</v>
      </c>
    </row>
    <row r="5726" spans="16:19" x14ac:dyDescent="0.25">
      <c r="P5726" s="27">
        <v>3.2548184716220556E-2</v>
      </c>
      <c r="Q5726" s="28">
        <f t="shared" si="93"/>
        <v>3.5548184716220559E-2</v>
      </c>
      <c r="R5726" s="33">
        <v>0.16282860775771735</v>
      </c>
      <c r="S5726" s="34">
        <v>4.8570000000000002E-2</v>
      </c>
    </row>
    <row r="5727" spans="16:19" x14ac:dyDescent="0.25">
      <c r="P5727" s="27">
        <v>3.2548184716220556E-2</v>
      </c>
      <c r="Q5727" s="28">
        <f t="shared" si="93"/>
        <v>3.5548184716220559E-2</v>
      </c>
      <c r="R5727" s="33">
        <v>0.16282860775771735</v>
      </c>
      <c r="S5727" s="34">
        <v>4.5880000000000004E-2</v>
      </c>
    </row>
    <row r="5728" spans="16:19" x14ac:dyDescent="0.25">
      <c r="P5728" s="27">
        <v>3.2548184716220556E-2</v>
      </c>
      <c r="Q5728" s="28">
        <f t="shared" si="93"/>
        <v>3.5548184716220559E-2</v>
      </c>
      <c r="R5728" s="33">
        <v>0.16282860775771735</v>
      </c>
      <c r="S5728" s="34">
        <v>4.4810000000000003E-2</v>
      </c>
    </row>
    <row r="5729" spans="16:19" x14ac:dyDescent="0.25">
      <c r="P5729" s="27">
        <v>3.2548184716220556E-2</v>
      </c>
      <c r="Q5729" s="28">
        <f t="shared" si="93"/>
        <v>3.5548184716220559E-2</v>
      </c>
      <c r="R5729" s="33">
        <v>0.16282860775771735</v>
      </c>
      <c r="S5729" s="34">
        <v>4.4119999999999999E-2</v>
      </c>
    </row>
    <row r="5730" spans="16:19" x14ac:dyDescent="0.25">
      <c r="P5730" s="27">
        <v>3.2548184716220556E-2</v>
      </c>
      <c r="Q5730" s="28">
        <f t="shared" si="93"/>
        <v>3.5548184716220559E-2</v>
      </c>
      <c r="R5730" s="33">
        <v>0.16282860775771735</v>
      </c>
      <c r="S5730" s="34">
        <v>4.5229999999999999E-2</v>
      </c>
    </row>
    <row r="5731" spans="16:19" x14ac:dyDescent="0.25">
      <c r="P5731" s="27">
        <v>3.2548184716220556E-2</v>
      </c>
      <c r="Q5731" s="28">
        <f t="shared" si="93"/>
        <v>3.5548184716220559E-2</v>
      </c>
      <c r="R5731" s="33">
        <v>0.16282860775771735</v>
      </c>
      <c r="S5731" s="34">
        <v>4.2409999999999996E-2</v>
      </c>
    </row>
    <row r="5732" spans="16:19" x14ac:dyDescent="0.25">
      <c r="P5732" s="27">
        <v>3.2548184716220556E-2</v>
      </c>
      <c r="Q5732" s="28">
        <f t="shared" si="93"/>
        <v>3.5548184716220559E-2</v>
      </c>
      <c r="R5732" s="33">
        <v>0.16282860775771735</v>
      </c>
      <c r="S5732" s="34">
        <v>4.3990000000000001E-2</v>
      </c>
    </row>
    <row r="5733" spans="16:19" x14ac:dyDescent="0.25">
      <c r="P5733" s="27">
        <v>3.2548184716220556E-2</v>
      </c>
      <c r="Q5733" s="28">
        <f t="shared" si="93"/>
        <v>3.5548184716220559E-2</v>
      </c>
      <c r="R5733" s="33">
        <v>0.16282860775771735</v>
      </c>
      <c r="S5733" s="34">
        <v>4.6670000000000003E-2</v>
      </c>
    </row>
    <row r="5734" spans="16:19" x14ac:dyDescent="0.25">
      <c r="P5734" s="27">
        <v>3.2548184716220556E-2</v>
      </c>
      <c r="Q5734" s="28">
        <f t="shared" si="93"/>
        <v>3.5548184716220559E-2</v>
      </c>
      <c r="R5734" s="33">
        <v>0.16282860775771735</v>
      </c>
      <c r="S5734" s="34">
        <v>4.9880000000000001E-2</v>
      </c>
    </row>
    <row r="5735" spans="16:19" x14ac:dyDescent="0.25">
      <c r="P5735" s="27">
        <v>3.2548184716220556E-2</v>
      </c>
      <c r="Q5735" s="28">
        <f t="shared" si="93"/>
        <v>3.5548184716220559E-2</v>
      </c>
      <c r="R5735" s="31">
        <v>0.15939660775771733</v>
      </c>
      <c r="S5735" s="32">
        <v>7.2697517000000003E-2</v>
      </c>
    </row>
    <row r="5736" spans="16:19" x14ac:dyDescent="0.25">
      <c r="P5736" s="27">
        <v>3.2548184716220556E-2</v>
      </c>
      <c r="Q5736" s="28">
        <f t="shared" si="93"/>
        <v>3.5548184716220559E-2</v>
      </c>
      <c r="R5736" s="31">
        <v>0.15939660775771733</v>
      </c>
      <c r="S5736" s="32">
        <v>5.3039999999999997E-2</v>
      </c>
    </row>
    <row r="5737" spans="16:19" x14ac:dyDescent="0.25">
      <c r="P5737" s="27">
        <v>3.2548184716220556E-2</v>
      </c>
      <c r="Q5737" s="28">
        <f t="shared" si="93"/>
        <v>3.5548184716220559E-2</v>
      </c>
      <c r="R5737" s="31">
        <v>0.15939660775771733</v>
      </c>
      <c r="S5737" s="32">
        <v>4.623E-2</v>
      </c>
    </row>
    <row r="5738" spans="16:19" x14ac:dyDescent="0.25">
      <c r="P5738" s="27">
        <v>3.2548184716220556E-2</v>
      </c>
      <c r="Q5738" s="28">
        <f t="shared" si="93"/>
        <v>3.5548184716220559E-2</v>
      </c>
      <c r="R5738" s="31">
        <v>0.15939660775771733</v>
      </c>
      <c r="S5738" s="32">
        <v>4.5229999999999999E-2</v>
      </c>
    </row>
    <row r="5739" spans="16:19" x14ac:dyDescent="0.25">
      <c r="P5739" s="27">
        <v>3.2548184716220556E-2</v>
      </c>
      <c r="Q5739" s="28">
        <f t="shared" si="93"/>
        <v>3.5548184716220559E-2</v>
      </c>
      <c r="R5739" s="29">
        <v>0.15003660775771735</v>
      </c>
      <c r="S5739" s="30">
        <v>4.6049698999999999E-2</v>
      </c>
    </row>
    <row r="5740" spans="16:19" x14ac:dyDescent="0.25">
      <c r="P5740" s="27">
        <v>3.2548184716220556E-2</v>
      </c>
      <c r="Q5740" s="28">
        <f t="shared" si="93"/>
        <v>3.5548184716220559E-2</v>
      </c>
      <c r="R5740" s="29">
        <v>0.15003660775771735</v>
      </c>
      <c r="S5740" s="30">
        <v>4.5740000000000003E-2</v>
      </c>
    </row>
    <row r="5741" spans="16:19" x14ac:dyDescent="0.25">
      <c r="P5741" s="27">
        <v>3.2548184716220556E-2</v>
      </c>
      <c r="Q5741" s="28">
        <f t="shared" si="93"/>
        <v>3.5548184716220559E-2</v>
      </c>
      <c r="R5741" s="29">
        <v>0.15003660775771735</v>
      </c>
      <c r="S5741" s="30">
        <v>4.088E-2</v>
      </c>
    </row>
    <row r="5742" spans="16:19" x14ac:dyDescent="0.25">
      <c r="P5742" s="27">
        <v>3.2548184716220556E-2</v>
      </c>
      <c r="Q5742" s="28">
        <f t="shared" si="93"/>
        <v>3.5548184716220559E-2</v>
      </c>
      <c r="R5742" s="29">
        <v>0.15003660775771735</v>
      </c>
      <c r="S5742" s="30">
        <v>4.5880000000000004E-2</v>
      </c>
    </row>
    <row r="5743" spans="16:19" x14ac:dyDescent="0.25">
      <c r="P5743" s="27">
        <v>3.2548184716220556E-2</v>
      </c>
      <c r="Q5743" s="28">
        <f t="shared" si="93"/>
        <v>3.5548184716220559E-2</v>
      </c>
      <c r="R5743" s="29">
        <v>0.15003660775771735</v>
      </c>
      <c r="S5743" s="30">
        <v>4.3529999999999999E-2</v>
      </c>
    </row>
    <row r="5744" spans="16:19" x14ac:dyDescent="0.25">
      <c r="P5744" s="27">
        <v>3.2548184716220556E-2</v>
      </c>
      <c r="Q5744" s="28">
        <f t="shared" si="93"/>
        <v>3.5548184716220559E-2</v>
      </c>
      <c r="R5744" s="29">
        <v>0.15003660775771735</v>
      </c>
      <c r="S5744" s="30">
        <v>4.5999999999999999E-2</v>
      </c>
    </row>
    <row r="5745" spans="16:19" x14ac:dyDescent="0.25">
      <c r="P5745" s="27">
        <v>3.2548184716220556E-2</v>
      </c>
      <c r="Q5745" s="28">
        <f t="shared" si="93"/>
        <v>3.5548184716220559E-2</v>
      </c>
      <c r="R5745" s="29">
        <v>0.15003660775771735</v>
      </c>
      <c r="S5745" s="30">
        <v>4.9680346E-2</v>
      </c>
    </row>
    <row r="5746" spans="16:19" x14ac:dyDescent="0.25">
      <c r="P5746" s="27">
        <v>3.2548184716220556E-2</v>
      </c>
      <c r="Q5746" s="28">
        <f t="shared" si="93"/>
        <v>3.5548184716220559E-2</v>
      </c>
      <c r="R5746" s="29">
        <v>0.15003660775771735</v>
      </c>
      <c r="S5746" s="30">
        <v>4.9869999999999998E-2</v>
      </c>
    </row>
    <row r="5747" spans="16:19" x14ac:dyDescent="0.25">
      <c r="P5747" s="27">
        <v>3.2548184716220556E-2</v>
      </c>
      <c r="Q5747" s="28">
        <f t="shared" si="93"/>
        <v>3.5548184716220559E-2</v>
      </c>
      <c r="R5747" s="31">
        <v>0.15939660775771733</v>
      </c>
      <c r="S5747" s="32">
        <v>6.5799999999999997E-2</v>
      </c>
    </row>
    <row r="5748" spans="16:19" x14ac:dyDescent="0.25">
      <c r="P5748" s="27">
        <v>3.2548184716220556E-2</v>
      </c>
      <c r="Q5748" s="28">
        <f t="shared" si="93"/>
        <v>3.5548184716220559E-2</v>
      </c>
      <c r="R5748" s="33">
        <v>0.16282860775771735</v>
      </c>
      <c r="S5748" s="34">
        <v>7.2150000000000006E-2</v>
      </c>
    </row>
    <row r="5749" spans="16:19" x14ac:dyDescent="0.25">
      <c r="P5749" s="27">
        <v>3.2548184716220556E-2</v>
      </c>
      <c r="Q5749" s="28">
        <f t="shared" si="93"/>
        <v>3.5548184716220559E-2</v>
      </c>
      <c r="R5749" s="33">
        <v>0.16282860775771735</v>
      </c>
      <c r="S5749" s="34">
        <v>5.7770000000000002E-2</v>
      </c>
    </row>
    <row r="5750" spans="16:19" x14ac:dyDescent="0.25">
      <c r="P5750" s="27">
        <v>3.2548184716220556E-2</v>
      </c>
      <c r="Q5750" s="28">
        <f t="shared" si="93"/>
        <v>3.5548184716220559E-2</v>
      </c>
      <c r="R5750" s="33">
        <v>0.16282860775771735</v>
      </c>
      <c r="S5750" s="34">
        <v>5.2241118000000003E-2</v>
      </c>
    </row>
    <row r="5751" spans="16:19" x14ac:dyDescent="0.25">
      <c r="P5751" s="27">
        <v>3.2548184716220556E-2</v>
      </c>
      <c r="Q5751" s="28">
        <f t="shared" si="93"/>
        <v>3.5548184716220559E-2</v>
      </c>
      <c r="R5751" s="33">
        <v>0.16282860775771735</v>
      </c>
      <c r="S5751" s="34">
        <v>4.8500000000000001E-2</v>
      </c>
    </row>
    <row r="5752" spans="16:19" x14ac:dyDescent="0.25">
      <c r="P5752" s="27">
        <v>3.2548184716220556E-2</v>
      </c>
      <c r="Q5752" s="28">
        <f t="shared" si="93"/>
        <v>3.5548184716220559E-2</v>
      </c>
      <c r="R5752" s="33">
        <v>0.16282860775771735</v>
      </c>
      <c r="S5752" s="34">
        <v>4.7189999999999996E-2</v>
      </c>
    </row>
    <row r="5753" spans="16:19" x14ac:dyDescent="0.25">
      <c r="P5753" s="27">
        <v>3.2548184716220556E-2</v>
      </c>
      <c r="Q5753" s="28">
        <f t="shared" si="93"/>
        <v>3.5548184716220559E-2</v>
      </c>
      <c r="R5753" s="33">
        <v>0.16282860775771735</v>
      </c>
      <c r="S5753" s="34">
        <v>4.8500000000000001E-2</v>
      </c>
    </row>
    <row r="5754" spans="16:19" x14ac:dyDescent="0.25">
      <c r="P5754" s="27">
        <v>3.2548184716220556E-2</v>
      </c>
      <c r="Q5754" s="28">
        <f t="shared" si="93"/>
        <v>3.5548184716220559E-2</v>
      </c>
      <c r="R5754" s="33">
        <v>0.16282860775771735</v>
      </c>
      <c r="S5754" s="34">
        <v>4.9049999999999996E-2</v>
      </c>
    </row>
    <row r="5755" spans="16:19" x14ac:dyDescent="0.25">
      <c r="P5755" s="27">
        <v>3.2548184716220556E-2</v>
      </c>
      <c r="Q5755" s="28">
        <f t="shared" si="93"/>
        <v>3.5548184716220559E-2</v>
      </c>
      <c r="R5755" s="33">
        <v>0.16282860775771735</v>
      </c>
      <c r="S5755" s="34">
        <v>4.8750000000000002E-2</v>
      </c>
    </row>
    <row r="5756" spans="16:19" x14ac:dyDescent="0.25">
      <c r="P5756" s="27">
        <v>3.2548184716220556E-2</v>
      </c>
      <c r="Q5756" s="28">
        <f t="shared" si="93"/>
        <v>3.5548184716220559E-2</v>
      </c>
      <c r="R5756" s="33">
        <v>0.16282860775771735</v>
      </c>
      <c r="S5756" s="34">
        <v>4.8060000000000005E-2</v>
      </c>
    </row>
    <row r="5757" spans="16:19" x14ac:dyDescent="0.25">
      <c r="P5757" s="27">
        <v>3.2548184716220556E-2</v>
      </c>
      <c r="Q5757" s="28">
        <f t="shared" si="93"/>
        <v>3.5548184716220559E-2</v>
      </c>
      <c r="R5757" s="33">
        <v>0.16282860775771735</v>
      </c>
      <c r="S5757" s="34">
        <v>4.9869999999999998E-2</v>
      </c>
    </row>
    <row r="5758" spans="16:19" x14ac:dyDescent="0.25">
      <c r="P5758" s="27">
        <v>3.2548184716220556E-2</v>
      </c>
      <c r="Q5758" s="28">
        <f t="shared" si="93"/>
        <v>3.5548184716220559E-2</v>
      </c>
      <c r="R5758" s="33">
        <v>0.16282860775771735</v>
      </c>
      <c r="S5758" s="34">
        <v>5.6697023999999999E-2</v>
      </c>
    </row>
    <row r="5759" spans="16:19" x14ac:dyDescent="0.25">
      <c r="P5759" s="27">
        <v>3.2548184716220556E-2</v>
      </c>
      <c r="Q5759" s="28">
        <f t="shared" si="93"/>
        <v>3.5548184716220559E-2</v>
      </c>
      <c r="R5759" s="31">
        <v>0.15939660775771733</v>
      </c>
      <c r="S5759" s="32">
        <v>8.3099999999999993E-2</v>
      </c>
    </row>
    <row r="5760" spans="16:19" x14ac:dyDescent="0.25">
      <c r="P5760" s="27">
        <v>3.2548184716220556E-2</v>
      </c>
      <c r="Q5760" s="28">
        <f t="shared" si="93"/>
        <v>3.5548184716220559E-2</v>
      </c>
      <c r="R5760" s="31">
        <v>0.15939660775771733</v>
      </c>
      <c r="S5760" s="32">
        <v>5.9950000000000003E-2</v>
      </c>
    </row>
    <row r="5761" spans="16:19" x14ac:dyDescent="0.25">
      <c r="P5761" s="27">
        <v>3.2548184716220556E-2</v>
      </c>
      <c r="Q5761" s="28">
        <f t="shared" si="93"/>
        <v>3.5548184716220559E-2</v>
      </c>
      <c r="R5761" s="31">
        <v>0.15939660775771733</v>
      </c>
      <c r="S5761" s="32">
        <v>4.854E-2</v>
      </c>
    </row>
    <row r="5762" spans="16:19" x14ac:dyDescent="0.25">
      <c r="P5762" s="27">
        <v>3.2548184716220556E-2</v>
      </c>
      <c r="Q5762" s="28">
        <f t="shared" si="93"/>
        <v>3.5548184716220559E-2</v>
      </c>
      <c r="R5762" s="31">
        <v>0.15939660775771733</v>
      </c>
      <c r="S5762" s="32">
        <v>4.759E-2</v>
      </c>
    </row>
    <row r="5763" spans="16:19" x14ac:dyDescent="0.25">
      <c r="P5763" s="27">
        <v>3.2548184716220556E-2</v>
      </c>
      <c r="Q5763" s="28">
        <f t="shared" si="93"/>
        <v>3.5548184716220559E-2</v>
      </c>
      <c r="R5763" s="29">
        <v>0.15003660775771735</v>
      </c>
      <c r="S5763" s="30">
        <v>0.05</v>
      </c>
    </row>
    <row r="5764" spans="16:19" x14ac:dyDescent="0.25">
      <c r="P5764" s="27">
        <v>3.2548184716220556E-2</v>
      </c>
      <c r="Q5764" s="28">
        <f t="shared" si="93"/>
        <v>3.5548184716220559E-2</v>
      </c>
      <c r="R5764" s="29">
        <v>0.15003660775771735</v>
      </c>
      <c r="S5764" s="30">
        <v>4.8219999999999999E-2</v>
      </c>
    </row>
    <row r="5765" spans="16:19" x14ac:dyDescent="0.25">
      <c r="P5765" s="27">
        <v>3.2548184716220556E-2</v>
      </c>
      <c r="Q5765" s="28">
        <f t="shared" ref="Q5765:Q5828" si="94">P5765+0.003</f>
        <v>3.5548184716220559E-2</v>
      </c>
      <c r="R5765" s="29">
        <v>0.15003660775771735</v>
      </c>
      <c r="S5765" s="30">
        <v>4.734E-2</v>
      </c>
    </row>
    <row r="5766" spans="16:19" x14ac:dyDescent="0.25">
      <c r="P5766" s="27">
        <v>3.2548184716220556E-2</v>
      </c>
      <c r="Q5766" s="28">
        <f t="shared" si="94"/>
        <v>3.5548184716220559E-2</v>
      </c>
      <c r="R5766" s="29">
        <v>0.15003660775771735</v>
      </c>
      <c r="S5766" s="30">
        <v>4.5469999999999997E-2</v>
      </c>
    </row>
    <row r="5767" spans="16:19" x14ac:dyDescent="0.25">
      <c r="P5767" s="27">
        <v>3.2548184716220556E-2</v>
      </c>
      <c r="Q5767" s="28">
        <f t="shared" si="94"/>
        <v>3.5548184716220559E-2</v>
      </c>
      <c r="R5767" s="29">
        <v>0.15003660775771735</v>
      </c>
      <c r="S5767" s="30">
        <v>4.5999999999999999E-2</v>
      </c>
    </row>
    <row r="5768" spans="16:19" x14ac:dyDescent="0.25">
      <c r="P5768" s="27">
        <v>3.2548184716220556E-2</v>
      </c>
      <c r="Q5768" s="28">
        <f t="shared" si="94"/>
        <v>3.5548184716220559E-2</v>
      </c>
      <c r="R5768" s="29">
        <v>0.15003660775771735</v>
      </c>
      <c r="S5768" s="30">
        <v>4.7E-2</v>
      </c>
    </row>
    <row r="5769" spans="16:19" x14ac:dyDescent="0.25">
      <c r="P5769" s="27">
        <v>3.2548184716220556E-2</v>
      </c>
      <c r="Q5769" s="28">
        <f t="shared" si="94"/>
        <v>3.5548184716220559E-2</v>
      </c>
      <c r="R5769" s="29">
        <v>0.15003660775771735</v>
      </c>
      <c r="S5769" s="30">
        <v>5.0999999999999997E-2</v>
      </c>
    </row>
    <row r="5770" spans="16:19" x14ac:dyDescent="0.25">
      <c r="P5770" s="27">
        <v>3.2548184716220556E-2</v>
      </c>
      <c r="Q5770" s="28">
        <f t="shared" si="94"/>
        <v>3.5548184716220559E-2</v>
      </c>
      <c r="R5770" s="29">
        <v>0.15003660775771735</v>
      </c>
      <c r="S5770" s="30">
        <v>4.9500000000000002E-2</v>
      </c>
    </row>
    <row r="5771" spans="16:19" x14ac:dyDescent="0.25">
      <c r="P5771" s="27">
        <v>3.2548184716220556E-2</v>
      </c>
      <c r="Q5771" s="28">
        <f t="shared" si="94"/>
        <v>3.5548184716220559E-2</v>
      </c>
      <c r="R5771" s="31">
        <v>0.15939660775771733</v>
      </c>
      <c r="S5771" s="32">
        <v>6.0249999999999998E-2</v>
      </c>
    </row>
    <row r="5772" spans="16:19" x14ac:dyDescent="0.25">
      <c r="P5772" s="27">
        <v>3.2548184716220556E-2</v>
      </c>
      <c r="Q5772" s="28">
        <f t="shared" si="94"/>
        <v>3.5548184716220559E-2</v>
      </c>
      <c r="R5772" s="33">
        <v>0.16282860775771735</v>
      </c>
      <c r="S5772" s="34">
        <v>5.3990000000000003E-2</v>
      </c>
    </row>
    <row r="5773" spans="16:19" x14ac:dyDescent="0.25">
      <c r="P5773" s="27">
        <v>3.2548184716220556E-2</v>
      </c>
      <c r="Q5773" s="28">
        <f t="shared" si="94"/>
        <v>3.5548184716220559E-2</v>
      </c>
      <c r="R5773" s="33">
        <v>0.16282860775771735</v>
      </c>
      <c r="S5773" s="34">
        <v>4.9018664000000003E-2</v>
      </c>
    </row>
    <row r="5774" spans="16:19" x14ac:dyDescent="0.25">
      <c r="P5774" s="27">
        <v>3.2548184716220556E-2</v>
      </c>
      <c r="Q5774" s="28">
        <f t="shared" si="94"/>
        <v>3.5548184716220559E-2</v>
      </c>
      <c r="R5774" s="33">
        <v>0.16282860775771735</v>
      </c>
      <c r="S5774" s="34">
        <v>4.8680000000000001E-2</v>
      </c>
    </row>
    <row r="5775" spans="16:19" x14ac:dyDescent="0.25">
      <c r="P5775" s="27">
        <v>3.2548184716220556E-2</v>
      </c>
      <c r="Q5775" s="28">
        <f t="shared" si="94"/>
        <v>3.5548184716220559E-2</v>
      </c>
      <c r="R5775" s="33">
        <v>0.16282860775771735</v>
      </c>
      <c r="S5775" s="34">
        <v>4.5899999999999996E-2</v>
      </c>
    </row>
    <row r="5776" spans="16:19" x14ac:dyDescent="0.25">
      <c r="P5776" s="27">
        <v>3.2548184716220556E-2</v>
      </c>
      <c r="Q5776" s="28">
        <f t="shared" si="94"/>
        <v>3.5548184716220559E-2</v>
      </c>
      <c r="R5776" s="33">
        <v>0.16282860775771735</v>
      </c>
      <c r="S5776" s="34">
        <v>4.2868118000000004E-2</v>
      </c>
    </row>
    <row r="5777" spans="16:19" x14ac:dyDescent="0.25">
      <c r="P5777" s="27">
        <v>3.2548184716220556E-2</v>
      </c>
      <c r="Q5777" s="28">
        <f t="shared" si="94"/>
        <v>3.5548184716220559E-2</v>
      </c>
      <c r="R5777" s="33">
        <v>0.16282860775771735</v>
      </c>
      <c r="S5777" s="34">
        <v>4.2409999999999996E-2</v>
      </c>
    </row>
    <row r="5778" spans="16:19" x14ac:dyDescent="0.25">
      <c r="P5778" s="27">
        <v>3.2548184716220556E-2</v>
      </c>
      <c r="Q5778" s="28">
        <f t="shared" si="94"/>
        <v>3.5548184716220559E-2</v>
      </c>
      <c r="R5778" s="33">
        <v>0.16282860775771735</v>
      </c>
      <c r="S5778" s="34">
        <v>4.7530000000000003E-2</v>
      </c>
    </row>
    <row r="5779" spans="16:19" x14ac:dyDescent="0.25">
      <c r="P5779" s="27">
        <v>3.2548184716220556E-2</v>
      </c>
      <c r="Q5779" s="28">
        <f t="shared" si="94"/>
        <v>3.5548184716220559E-2</v>
      </c>
      <c r="R5779" s="33">
        <v>0.16282860775771735</v>
      </c>
      <c r="S5779" s="34">
        <v>4.5289999999999997E-2</v>
      </c>
    </row>
    <row r="5780" spans="16:19" x14ac:dyDescent="0.25">
      <c r="P5780" s="27">
        <v>3.2548184716220556E-2</v>
      </c>
      <c r="Q5780" s="28">
        <f t="shared" si="94"/>
        <v>3.5548184716220559E-2</v>
      </c>
      <c r="R5780" s="33">
        <v>0.16282860775771735</v>
      </c>
      <c r="S5780" s="34">
        <v>4.9349999999999998E-2</v>
      </c>
    </row>
    <row r="5781" spans="16:19" x14ac:dyDescent="0.25">
      <c r="P5781" s="27">
        <v>3.2548184716220556E-2</v>
      </c>
      <c r="Q5781" s="28">
        <f t="shared" si="94"/>
        <v>3.5548184716220559E-2</v>
      </c>
      <c r="R5781" s="33">
        <v>0.16282860775771735</v>
      </c>
      <c r="S5781" s="34">
        <v>4.9970000000000001E-2</v>
      </c>
    </row>
    <row r="5782" spans="16:19" x14ac:dyDescent="0.25">
      <c r="P5782" s="27">
        <v>3.2548184716220556E-2</v>
      </c>
      <c r="Q5782" s="28">
        <f t="shared" si="94"/>
        <v>3.5548184716220559E-2</v>
      </c>
      <c r="R5782" s="33">
        <v>0.16282860775771735</v>
      </c>
      <c r="S5782" s="34">
        <v>5.3999999999999999E-2</v>
      </c>
    </row>
    <row r="5783" spans="16:19" x14ac:dyDescent="0.25">
      <c r="P5783" s="27">
        <v>3.2548184716220556E-2</v>
      </c>
      <c r="Q5783" s="28">
        <f t="shared" si="94"/>
        <v>3.5548184716220559E-2</v>
      </c>
      <c r="R5783" s="31">
        <v>0.15939660775771733</v>
      </c>
      <c r="S5783" s="32">
        <v>7.9019999999999993E-2</v>
      </c>
    </row>
    <row r="5784" spans="16:19" x14ac:dyDescent="0.25">
      <c r="P5784" s="27">
        <v>3.2548184716220556E-2</v>
      </c>
      <c r="Q5784" s="28">
        <f t="shared" si="94"/>
        <v>3.5548184716220559E-2</v>
      </c>
      <c r="R5784" s="31">
        <v>0.15939660775771733</v>
      </c>
      <c r="S5784" s="32">
        <v>5.6000000000000001E-2</v>
      </c>
    </row>
    <row r="5785" spans="16:19" x14ac:dyDescent="0.25">
      <c r="P5785" s="27">
        <v>3.2548184716220556E-2</v>
      </c>
      <c r="Q5785" s="28">
        <f t="shared" si="94"/>
        <v>3.5548184716220559E-2</v>
      </c>
      <c r="R5785" s="31">
        <v>0.15939660775771733</v>
      </c>
      <c r="S5785" s="32">
        <v>4.759E-2</v>
      </c>
    </row>
    <row r="5786" spans="16:19" x14ac:dyDescent="0.25">
      <c r="P5786" s="27">
        <v>3.2548184716220556E-2</v>
      </c>
      <c r="Q5786" s="28">
        <f t="shared" si="94"/>
        <v>3.5548184716220559E-2</v>
      </c>
      <c r="R5786" s="31">
        <v>0.15939660775771733</v>
      </c>
      <c r="S5786" s="32">
        <v>4.8759999999999998E-2</v>
      </c>
    </row>
    <row r="5787" spans="16:19" x14ac:dyDescent="0.25">
      <c r="P5787" s="27">
        <v>3.2548184716220556E-2</v>
      </c>
      <c r="Q5787" s="28">
        <f t="shared" si="94"/>
        <v>3.5548184716220559E-2</v>
      </c>
      <c r="R5787" s="29">
        <v>0.15003660775771735</v>
      </c>
      <c r="S5787" s="30">
        <v>6.7839999999999998E-2</v>
      </c>
    </row>
    <row r="5788" spans="16:19" x14ac:dyDescent="0.25">
      <c r="P5788" s="27">
        <v>3.2548184716220556E-2</v>
      </c>
      <c r="Q5788" s="28">
        <f t="shared" si="94"/>
        <v>3.5548184716220559E-2</v>
      </c>
      <c r="R5788" s="29">
        <v>0.15003660775771735</v>
      </c>
      <c r="S5788" s="30">
        <v>0.05</v>
      </c>
    </row>
    <row r="5789" spans="16:19" x14ac:dyDescent="0.25">
      <c r="P5789" s="27">
        <v>3.2548184716220556E-2</v>
      </c>
      <c r="Q5789" s="28">
        <f t="shared" si="94"/>
        <v>3.5548184716220559E-2</v>
      </c>
      <c r="R5789" s="29">
        <v>0.15003660775771735</v>
      </c>
      <c r="S5789" s="30">
        <v>4.913E-2</v>
      </c>
    </row>
    <row r="5790" spans="16:19" x14ac:dyDescent="0.25">
      <c r="P5790" s="27">
        <v>3.2548184716220556E-2</v>
      </c>
      <c r="Q5790" s="28">
        <f t="shared" si="94"/>
        <v>3.5548184716220559E-2</v>
      </c>
      <c r="R5790" s="29">
        <v>0.15003660775771735</v>
      </c>
      <c r="S5790" s="30">
        <v>4.777E-2</v>
      </c>
    </row>
    <row r="5791" spans="16:19" x14ac:dyDescent="0.25">
      <c r="P5791" s="27">
        <v>3.2548184716220556E-2</v>
      </c>
      <c r="Q5791" s="28">
        <f t="shared" si="94"/>
        <v>3.5548184716220559E-2</v>
      </c>
      <c r="R5791" s="29">
        <v>0.15003660775771735</v>
      </c>
      <c r="S5791" s="30">
        <v>4.8000000000000001E-2</v>
      </c>
    </row>
    <row r="5792" spans="16:19" x14ac:dyDescent="0.25">
      <c r="P5792" s="27">
        <v>3.2548184716220556E-2</v>
      </c>
      <c r="Q5792" s="28">
        <f t="shared" si="94"/>
        <v>3.5548184716220559E-2</v>
      </c>
      <c r="R5792" s="29">
        <v>0.15003660775771735</v>
      </c>
      <c r="S5792" s="30">
        <v>4.9000000000000002E-2</v>
      </c>
    </row>
    <row r="5793" spans="16:19" x14ac:dyDescent="0.25">
      <c r="P5793" s="27">
        <v>3.2548184716220556E-2</v>
      </c>
      <c r="Q5793" s="28">
        <f t="shared" si="94"/>
        <v>3.5548184716220559E-2</v>
      </c>
      <c r="R5793" s="29">
        <v>0.15003660775771735</v>
      </c>
      <c r="S5793" s="30">
        <v>5.0479999999999997E-2</v>
      </c>
    </row>
    <row r="5794" spans="16:19" x14ac:dyDescent="0.25">
      <c r="P5794" s="27">
        <v>3.2548184716220556E-2</v>
      </c>
      <c r="Q5794" s="28">
        <f t="shared" si="94"/>
        <v>3.5548184716220559E-2</v>
      </c>
      <c r="R5794" s="29">
        <v>0.15003660775771735</v>
      </c>
      <c r="S5794" s="30">
        <v>4.9489999999999999E-2</v>
      </c>
    </row>
    <row r="5795" spans="16:19" x14ac:dyDescent="0.25">
      <c r="P5795" s="27">
        <v>3.2548184716220556E-2</v>
      </c>
      <c r="Q5795" s="28">
        <f t="shared" si="94"/>
        <v>3.5548184716220559E-2</v>
      </c>
      <c r="R5795" s="31">
        <v>0.15939660775771733</v>
      </c>
      <c r="S5795" s="32">
        <v>5.04E-2</v>
      </c>
    </row>
    <row r="5796" spans="16:19" x14ac:dyDescent="0.25">
      <c r="P5796" s="27">
        <v>3.2548184716220556E-2</v>
      </c>
      <c r="Q5796" s="28">
        <f t="shared" si="94"/>
        <v>3.5548184716220559E-2</v>
      </c>
      <c r="R5796" s="33">
        <v>0.16282860775771735</v>
      </c>
      <c r="S5796" s="34">
        <v>4.9500000000000002E-2</v>
      </c>
    </row>
    <row r="5797" spans="16:19" x14ac:dyDescent="0.25">
      <c r="P5797" s="27">
        <v>3.2548184716220556E-2</v>
      </c>
      <c r="Q5797" s="28">
        <f t="shared" si="94"/>
        <v>3.5548184716220559E-2</v>
      </c>
      <c r="R5797" s="33">
        <v>0.16282860775771735</v>
      </c>
      <c r="S5797" s="34">
        <v>4.5659524999999999E-2</v>
      </c>
    </row>
    <row r="5798" spans="16:19" x14ac:dyDescent="0.25">
      <c r="P5798" s="27">
        <v>3.2548184716220556E-2</v>
      </c>
      <c r="Q5798" s="28">
        <f t="shared" si="94"/>
        <v>3.5548184716220559E-2</v>
      </c>
      <c r="R5798" s="33">
        <v>0.16282860775771735</v>
      </c>
      <c r="S5798" s="34">
        <v>4.1037632000000004E-2</v>
      </c>
    </row>
    <row r="5799" spans="16:19" x14ac:dyDescent="0.25">
      <c r="P5799" s="27">
        <v>3.2548184716220556E-2</v>
      </c>
      <c r="Q5799" s="28">
        <f t="shared" si="94"/>
        <v>3.5548184716220559E-2</v>
      </c>
      <c r="R5799" s="33">
        <v>0.16282860775771735</v>
      </c>
      <c r="S5799" s="34">
        <v>4.1500000000000002E-2</v>
      </c>
    </row>
    <row r="5800" spans="16:19" x14ac:dyDescent="0.25">
      <c r="P5800" s="27">
        <v>3.2548184716220556E-2</v>
      </c>
      <c r="Q5800" s="28">
        <f t="shared" si="94"/>
        <v>3.5548184716220559E-2</v>
      </c>
      <c r="R5800" s="33">
        <v>0.16282860775771735</v>
      </c>
      <c r="S5800" s="34">
        <v>3.7219999999999996E-2</v>
      </c>
    </row>
    <row r="5801" spans="16:19" x14ac:dyDescent="0.25">
      <c r="P5801" s="27">
        <v>3.2548184716220556E-2</v>
      </c>
      <c r="Q5801" s="28">
        <f t="shared" si="94"/>
        <v>3.5548184716220559E-2</v>
      </c>
      <c r="R5801" s="33">
        <v>0.16282860775771735</v>
      </c>
      <c r="S5801" s="34">
        <v>3.95E-2</v>
      </c>
    </row>
    <row r="5802" spans="16:19" x14ac:dyDescent="0.25">
      <c r="P5802" s="27">
        <v>3.2548184716220556E-2</v>
      </c>
      <c r="Q5802" s="28">
        <f t="shared" si="94"/>
        <v>3.5548184716220559E-2</v>
      </c>
      <c r="R5802" s="33">
        <v>0.16282860775771735</v>
      </c>
      <c r="S5802" s="34">
        <v>4.2999999999999997E-2</v>
      </c>
    </row>
    <row r="5803" spans="16:19" x14ac:dyDescent="0.25">
      <c r="P5803" s="27">
        <v>3.2548184716220556E-2</v>
      </c>
      <c r="Q5803" s="28">
        <f t="shared" si="94"/>
        <v>3.5548184716220559E-2</v>
      </c>
      <c r="R5803" s="33">
        <v>0.16282860775771735</v>
      </c>
      <c r="S5803" s="34">
        <v>4.2999999999999997E-2</v>
      </c>
    </row>
    <row r="5804" spans="16:19" x14ac:dyDescent="0.25">
      <c r="P5804" s="27">
        <v>3.2548184716220556E-2</v>
      </c>
      <c r="Q5804" s="28">
        <f t="shared" si="94"/>
        <v>3.5548184716220559E-2</v>
      </c>
      <c r="R5804" s="33">
        <v>0.16282860775771735</v>
      </c>
      <c r="S5804" s="34">
        <v>4.5899999999999996E-2</v>
      </c>
    </row>
    <row r="5805" spans="16:19" x14ac:dyDescent="0.25">
      <c r="P5805" s="27">
        <v>3.2548184716220556E-2</v>
      </c>
      <c r="Q5805" s="28">
        <f t="shared" si="94"/>
        <v>3.5548184716220559E-2</v>
      </c>
      <c r="R5805" s="33">
        <v>0.16282860775771735</v>
      </c>
      <c r="S5805" s="34">
        <v>5.2399999999999995E-2</v>
      </c>
    </row>
    <row r="5806" spans="16:19" x14ac:dyDescent="0.25">
      <c r="P5806" s="27">
        <v>3.2548184716220556E-2</v>
      </c>
      <c r="Q5806" s="28">
        <f t="shared" si="94"/>
        <v>3.5548184716220559E-2</v>
      </c>
      <c r="R5806" s="33">
        <v>0.16282860775771735</v>
      </c>
      <c r="S5806" s="34">
        <v>6.5790000000000001E-2</v>
      </c>
    </row>
    <row r="5807" spans="16:19" x14ac:dyDescent="0.25">
      <c r="P5807" s="27">
        <v>3.2548184716220556E-2</v>
      </c>
      <c r="Q5807" s="28">
        <f t="shared" si="94"/>
        <v>3.5548184716220559E-2</v>
      </c>
      <c r="R5807" s="31">
        <v>0.15939660775771733</v>
      </c>
      <c r="S5807" s="32">
        <v>8.4500000000000006E-2</v>
      </c>
    </row>
    <row r="5808" spans="16:19" x14ac:dyDescent="0.25">
      <c r="P5808" s="27">
        <v>3.2548184716220556E-2</v>
      </c>
      <c r="Q5808" s="28">
        <f t="shared" si="94"/>
        <v>3.5548184716220559E-2</v>
      </c>
      <c r="R5808" s="31">
        <v>0.15939660775771733</v>
      </c>
      <c r="S5808" s="32">
        <v>6.1608935000000004E-2</v>
      </c>
    </row>
    <row r="5809" spans="16:19" x14ac:dyDescent="0.25">
      <c r="P5809" s="27">
        <v>3.2548184716220556E-2</v>
      </c>
      <c r="Q5809" s="28">
        <f t="shared" si="94"/>
        <v>3.5548184716220559E-2</v>
      </c>
      <c r="R5809" s="31">
        <v>0.15939660775771733</v>
      </c>
      <c r="S5809" s="32">
        <v>5.0999999999999997E-2</v>
      </c>
    </row>
    <row r="5810" spans="16:19" x14ac:dyDescent="0.25">
      <c r="P5810" s="27">
        <v>3.2548184716220556E-2</v>
      </c>
      <c r="Q5810" s="28">
        <f t="shared" si="94"/>
        <v>3.5548184716220559E-2</v>
      </c>
      <c r="R5810" s="31">
        <v>0.15939660775771733</v>
      </c>
      <c r="S5810" s="32">
        <v>4.9409999999999996E-2</v>
      </c>
    </row>
    <row r="5811" spans="16:19" x14ac:dyDescent="0.25">
      <c r="P5811" s="27">
        <v>3.2548184716220556E-2</v>
      </c>
      <c r="Q5811" s="28">
        <f t="shared" si="94"/>
        <v>3.5548184716220559E-2</v>
      </c>
      <c r="R5811" s="29">
        <v>0.15003660775771735</v>
      </c>
      <c r="S5811" s="30">
        <v>6.9000000000000006E-2</v>
      </c>
    </row>
    <row r="5812" spans="16:19" x14ac:dyDescent="0.25">
      <c r="P5812" s="27">
        <v>3.2548184716220556E-2</v>
      </c>
      <c r="Q5812" s="28">
        <f t="shared" si="94"/>
        <v>3.5548184716220559E-2</v>
      </c>
      <c r="R5812" s="29">
        <v>0.15003660775771735</v>
      </c>
      <c r="S5812" s="30">
        <v>4.999E-2</v>
      </c>
    </row>
    <row r="5813" spans="16:19" x14ac:dyDescent="0.25">
      <c r="P5813" s="27">
        <v>3.2548184716220556E-2</v>
      </c>
      <c r="Q5813" s="28">
        <f t="shared" si="94"/>
        <v>3.5548184716220559E-2</v>
      </c>
      <c r="R5813" s="29">
        <v>0.15003660775771735</v>
      </c>
      <c r="S5813" s="30">
        <v>4.8500000000000001E-2</v>
      </c>
    </row>
    <row r="5814" spans="16:19" x14ac:dyDescent="0.25">
      <c r="P5814" s="27">
        <v>3.2548184716220556E-2</v>
      </c>
      <c r="Q5814" s="28">
        <f t="shared" si="94"/>
        <v>3.5548184716220559E-2</v>
      </c>
      <c r="R5814" s="29">
        <v>0.15003660775771735</v>
      </c>
      <c r="S5814" s="30">
        <v>4.7530000000000003E-2</v>
      </c>
    </row>
    <row r="5815" spans="16:19" x14ac:dyDescent="0.25">
      <c r="P5815" s="27">
        <v>3.2548184716220556E-2</v>
      </c>
      <c r="Q5815" s="28">
        <f t="shared" si="94"/>
        <v>3.5548184716220559E-2</v>
      </c>
      <c r="R5815" s="29">
        <v>0.15003660775771735</v>
      </c>
      <c r="S5815" s="30">
        <v>4.6890000000000001E-2</v>
      </c>
    </row>
    <row r="5816" spans="16:19" x14ac:dyDescent="0.25">
      <c r="P5816" s="27">
        <v>3.2548184716220556E-2</v>
      </c>
      <c r="Q5816" s="28">
        <f t="shared" si="94"/>
        <v>3.5548184716220559E-2</v>
      </c>
      <c r="R5816" s="29">
        <v>0.15003660775771735</v>
      </c>
      <c r="S5816" s="30">
        <v>4.5347591999999999E-2</v>
      </c>
    </row>
    <row r="5817" spans="16:19" x14ac:dyDescent="0.25">
      <c r="P5817" s="27">
        <v>3.2548184716220556E-2</v>
      </c>
      <c r="Q5817" s="28">
        <f t="shared" si="94"/>
        <v>3.5548184716220559E-2</v>
      </c>
      <c r="R5817" s="29">
        <v>0.15003660775771735</v>
      </c>
      <c r="S5817" s="30">
        <v>4.6990000000000004E-2</v>
      </c>
    </row>
    <row r="5818" spans="16:19" x14ac:dyDescent="0.25">
      <c r="P5818" s="27">
        <v>3.2548184716220556E-2</v>
      </c>
      <c r="Q5818" s="28">
        <f t="shared" si="94"/>
        <v>3.5548184716220559E-2</v>
      </c>
      <c r="R5818" s="29">
        <v>0.15003660775771735</v>
      </c>
      <c r="S5818" s="30">
        <v>4.4999999999999998E-2</v>
      </c>
    </row>
    <row r="5819" spans="16:19" x14ac:dyDescent="0.25">
      <c r="P5819" s="27">
        <v>3.2548184716220556E-2</v>
      </c>
      <c r="Q5819" s="28">
        <f t="shared" si="94"/>
        <v>3.5548184716220559E-2</v>
      </c>
      <c r="R5819" s="31">
        <v>0.15939660775771733</v>
      </c>
      <c r="S5819" s="32">
        <v>4.8000000000000001E-2</v>
      </c>
    </row>
    <row r="5820" spans="16:19" x14ac:dyDescent="0.25">
      <c r="P5820" s="27">
        <v>3.2548184716220556E-2</v>
      </c>
      <c r="Q5820" s="28">
        <f t="shared" si="94"/>
        <v>3.5548184716220559E-2</v>
      </c>
      <c r="R5820" s="33">
        <v>0.16282860775771735</v>
      </c>
      <c r="S5820" s="34">
        <v>4.4999999999999998E-2</v>
      </c>
    </row>
    <row r="5821" spans="16:19" x14ac:dyDescent="0.25">
      <c r="P5821" s="27">
        <v>3.2548184716220556E-2</v>
      </c>
      <c r="Q5821" s="28">
        <f t="shared" si="94"/>
        <v>3.5548184716220559E-2</v>
      </c>
      <c r="R5821" s="33">
        <v>0.16282860775771735</v>
      </c>
      <c r="S5821" s="34">
        <v>4.1360000000000001E-2</v>
      </c>
    </row>
    <row r="5822" spans="16:19" x14ac:dyDescent="0.25">
      <c r="P5822" s="27">
        <v>3.2548184716220556E-2</v>
      </c>
      <c r="Q5822" s="28">
        <f t="shared" si="94"/>
        <v>3.5548184716220559E-2</v>
      </c>
      <c r="R5822" s="33">
        <v>0.16282860775771735</v>
      </c>
      <c r="S5822" s="34">
        <v>4.122E-2</v>
      </c>
    </row>
    <row r="5823" spans="16:19" x14ac:dyDescent="0.25">
      <c r="P5823" s="27">
        <v>3.2548184716220556E-2</v>
      </c>
      <c r="Q5823" s="28">
        <f t="shared" si="94"/>
        <v>3.5548184716220559E-2</v>
      </c>
      <c r="R5823" s="33">
        <v>0.16282860775771735</v>
      </c>
      <c r="S5823" s="34">
        <v>3.9990000000000005E-2</v>
      </c>
    </row>
    <row r="5824" spans="16:19" x14ac:dyDescent="0.25">
      <c r="P5824" s="27">
        <v>3.2548184716220556E-2</v>
      </c>
      <c r="Q5824" s="28">
        <f t="shared" si="94"/>
        <v>3.5548184716220559E-2</v>
      </c>
      <c r="R5824" s="33">
        <v>0.16282860775771735</v>
      </c>
      <c r="S5824" s="34">
        <v>3.8719999999999997E-2</v>
      </c>
    </row>
    <row r="5825" spans="16:19" x14ac:dyDescent="0.25">
      <c r="P5825" s="27">
        <v>3.2548184716220556E-2</v>
      </c>
      <c r="Q5825" s="28">
        <f t="shared" si="94"/>
        <v>3.5548184716220559E-2</v>
      </c>
      <c r="R5825" s="33">
        <v>0.16282860775771735</v>
      </c>
      <c r="S5825" s="34">
        <v>3.5000000000000003E-2</v>
      </c>
    </row>
    <row r="5826" spans="16:19" x14ac:dyDescent="0.25">
      <c r="P5826" s="27">
        <v>3.2548184716220556E-2</v>
      </c>
      <c r="Q5826" s="28">
        <f t="shared" si="94"/>
        <v>3.5548184716220559E-2</v>
      </c>
      <c r="R5826" s="33">
        <v>0.16282860775771735</v>
      </c>
      <c r="S5826" s="34">
        <v>3.95E-2</v>
      </c>
    </row>
    <row r="5827" spans="16:19" x14ac:dyDescent="0.25">
      <c r="P5827" s="27">
        <v>3.2548184716220556E-2</v>
      </c>
      <c r="Q5827" s="28">
        <f t="shared" si="94"/>
        <v>3.5548184716220559E-2</v>
      </c>
      <c r="R5827" s="33">
        <v>0.16282860775771735</v>
      </c>
      <c r="S5827" s="34">
        <v>4.3130000000000002E-2</v>
      </c>
    </row>
    <row r="5828" spans="16:19" x14ac:dyDescent="0.25">
      <c r="P5828" s="27">
        <v>3.2548184716220556E-2</v>
      </c>
      <c r="Q5828" s="28">
        <f t="shared" si="94"/>
        <v>3.5548184716220559E-2</v>
      </c>
      <c r="R5828" s="33">
        <v>0.16282860775771735</v>
      </c>
      <c r="S5828" s="34">
        <v>4.3920000000000001E-2</v>
      </c>
    </row>
    <row r="5829" spans="16:19" x14ac:dyDescent="0.25">
      <c r="P5829" s="27">
        <v>3.2548184716220556E-2</v>
      </c>
      <c r="Q5829" s="28">
        <f t="shared" ref="Q5829:Q5892" si="95">P5829+0.003</f>
        <v>3.5548184716220559E-2</v>
      </c>
      <c r="R5829" s="33">
        <v>0.16282860775771735</v>
      </c>
      <c r="S5829" s="34">
        <v>4.7810000000000005E-2</v>
      </c>
    </row>
    <row r="5830" spans="16:19" x14ac:dyDescent="0.25">
      <c r="P5830" s="27">
        <v>3.2548184716220556E-2</v>
      </c>
      <c r="Q5830" s="28">
        <f t="shared" si="95"/>
        <v>3.5548184716220559E-2</v>
      </c>
      <c r="R5830" s="33">
        <v>0.16282860775771735</v>
      </c>
      <c r="S5830" s="34">
        <v>5.092E-2</v>
      </c>
    </row>
    <row r="5831" spans="16:19" x14ac:dyDescent="0.25">
      <c r="P5831" s="27">
        <v>3.2548184716220556E-2</v>
      </c>
      <c r="Q5831" s="28">
        <f t="shared" si="95"/>
        <v>3.5548184716220559E-2</v>
      </c>
      <c r="R5831" s="31">
        <v>0.15939660775771733</v>
      </c>
      <c r="S5831" s="32">
        <v>6.8250000000000005E-2</v>
      </c>
    </row>
    <row r="5832" spans="16:19" x14ac:dyDescent="0.25">
      <c r="P5832" s="27">
        <v>3.2548184716220556E-2</v>
      </c>
      <c r="Q5832" s="28">
        <f t="shared" si="95"/>
        <v>3.5548184716220559E-2</v>
      </c>
      <c r="R5832" s="31">
        <v>0.15939660775771733</v>
      </c>
      <c r="S5832" s="32">
        <v>5.0959999999999998E-2</v>
      </c>
    </row>
    <row r="5833" spans="16:19" x14ac:dyDescent="0.25">
      <c r="P5833" s="27">
        <v>3.2548184716220556E-2</v>
      </c>
      <c r="Q5833" s="28">
        <f t="shared" si="95"/>
        <v>3.5548184716220559E-2</v>
      </c>
      <c r="R5833" s="31">
        <v>0.15939660775771733</v>
      </c>
      <c r="S5833" s="32">
        <v>4.82E-2</v>
      </c>
    </row>
    <row r="5834" spans="16:19" x14ac:dyDescent="0.25">
      <c r="P5834" s="27">
        <v>3.2548184716220556E-2</v>
      </c>
      <c r="Q5834" s="28">
        <f t="shared" si="95"/>
        <v>3.5548184716220559E-2</v>
      </c>
      <c r="R5834" s="31">
        <v>0.15939660775771733</v>
      </c>
      <c r="S5834" s="32">
        <v>4.5469999999999997E-2</v>
      </c>
    </row>
    <row r="5835" spans="16:19" x14ac:dyDescent="0.25">
      <c r="P5835" s="27">
        <v>3.2548184716220556E-2</v>
      </c>
      <c r="Q5835" s="28">
        <f t="shared" si="95"/>
        <v>3.5548184716220559E-2</v>
      </c>
      <c r="R5835" s="29">
        <v>0.15003660775771735</v>
      </c>
      <c r="S5835" s="30">
        <v>3.6859999999999997E-2</v>
      </c>
    </row>
    <row r="5836" spans="16:19" x14ac:dyDescent="0.25">
      <c r="P5836" s="27">
        <v>3.2548184716220556E-2</v>
      </c>
      <c r="Q5836" s="28">
        <f t="shared" si="95"/>
        <v>3.5548184716220559E-2</v>
      </c>
      <c r="R5836" s="29">
        <v>0.15003660775771735</v>
      </c>
      <c r="S5836" s="30">
        <v>3.4369999999999998E-2</v>
      </c>
    </row>
    <row r="5837" spans="16:19" x14ac:dyDescent="0.25">
      <c r="P5837" s="27">
        <v>3.2548184716220556E-2</v>
      </c>
      <c r="Q5837" s="28">
        <f t="shared" si="95"/>
        <v>3.5548184716220559E-2</v>
      </c>
      <c r="R5837" s="29">
        <v>0.15003660775771735</v>
      </c>
      <c r="S5837" s="30">
        <v>0.03</v>
      </c>
    </row>
    <row r="5838" spans="16:19" x14ac:dyDescent="0.25">
      <c r="P5838" s="27">
        <v>3.2548184716220556E-2</v>
      </c>
      <c r="Q5838" s="28">
        <f t="shared" si="95"/>
        <v>3.5548184716220559E-2</v>
      </c>
      <c r="R5838" s="29">
        <v>0.15003660775771735</v>
      </c>
      <c r="S5838" s="30">
        <v>2.4E-2</v>
      </c>
    </row>
    <row r="5839" spans="16:19" x14ac:dyDescent="0.25">
      <c r="P5839" s="27">
        <v>3.2548184716220556E-2</v>
      </c>
      <c r="Q5839" s="28">
        <f t="shared" si="95"/>
        <v>3.5548184716220559E-2</v>
      </c>
      <c r="R5839" s="29">
        <v>0.15003660775771735</v>
      </c>
      <c r="S5839" s="30">
        <v>2.562E-2</v>
      </c>
    </row>
    <row r="5840" spans="16:19" x14ac:dyDescent="0.25">
      <c r="P5840" s="27">
        <v>3.2548184716220556E-2</v>
      </c>
      <c r="Q5840" s="28">
        <f t="shared" si="95"/>
        <v>3.5548184716220559E-2</v>
      </c>
      <c r="R5840" s="29">
        <v>0.15003660775771735</v>
      </c>
      <c r="S5840" s="30">
        <v>3.4369999999999998E-2</v>
      </c>
    </row>
    <row r="5841" spans="16:19" x14ac:dyDescent="0.25">
      <c r="P5841" s="27">
        <v>3.2548184716220556E-2</v>
      </c>
      <c r="Q5841" s="28">
        <f t="shared" si="95"/>
        <v>3.5548184716220559E-2</v>
      </c>
      <c r="R5841" s="29">
        <v>0.15003660775771735</v>
      </c>
      <c r="S5841" s="30">
        <v>4.7149999999999997E-2</v>
      </c>
    </row>
    <row r="5842" spans="16:19" x14ac:dyDescent="0.25">
      <c r="P5842" s="27">
        <v>3.2548184716220556E-2</v>
      </c>
      <c r="Q5842" s="28">
        <f t="shared" si="95"/>
        <v>3.5548184716220559E-2</v>
      </c>
      <c r="R5842" s="29">
        <v>0.15003660775771735</v>
      </c>
      <c r="S5842" s="30">
        <v>4.9049999999999996E-2</v>
      </c>
    </row>
    <row r="5843" spans="16:19" x14ac:dyDescent="0.25">
      <c r="P5843" s="27">
        <v>3.2548184716220556E-2</v>
      </c>
      <c r="Q5843" s="28">
        <f t="shared" si="95"/>
        <v>3.5548184716220559E-2</v>
      </c>
      <c r="R5843" s="31">
        <v>0.15939999999999999</v>
      </c>
      <c r="S5843" s="32">
        <v>5.8070000000000004E-2</v>
      </c>
    </row>
    <row r="5844" spans="16:19" x14ac:dyDescent="0.25">
      <c r="P5844" s="27">
        <v>3.2548184716220556E-2</v>
      </c>
      <c r="Q5844" s="28">
        <f t="shared" si="95"/>
        <v>3.5548184716220559E-2</v>
      </c>
      <c r="R5844" s="31">
        <v>0.15939999999999999</v>
      </c>
      <c r="S5844" s="32">
        <v>5.5079999999999997E-2</v>
      </c>
    </row>
    <row r="5845" spans="16:19" x14ac:dyDescent="0.25">
      <c r="P5845" s="27">
        <v>3.2548184716220556E-2</v>
      </c>
      <c r="Q5845" s="28">
        <f t="shared" si="95"/>
        <v>3.5548184716220559E-2</v>
      </c>
      <c r="R5845" s="31">
        <v>0.15939999999999999</v>
      </c>
      <c r="S5845" s="32">
        <v>5.024E-2</v>
      </c>
    </row>
    <row r="5846" spans="16:19" x14ac:dyDescent="0.25">
      <c r="P5846" s="27">
        <v>3.2548184716220556E-2</v>
      </c>
      <c r="Q5846" s="28">
        <f t="shared" si="95"/>
        <v>3.5548184716220559E-2</v>
      </c>
      <c r="R5846" s="31">
        <v>0.15939999999999999</v>
      </c>
      <c r="S5846" s="32">
        <v>4.9049999999999996E-2</v>
      </c>
    </row>
    <row r="5847" spans="16:19" x14ac:dyDescent="0.25">
      <c r="P5847" s="27">
        <v>3.2548184716220556E-2</v>
      </c>
      <c r="Q5847" s="28">
        <f t="shared" si="95"/>
        <v>3.5548184716220559E-2</v>
      </c>
      <c r="R5847" s="31">
        <v>0.15939999999999999</v>
      </c>
      <c r="S5847" s="32">
        <v>4.7649999999999998E-2</v>
      </c>
    </row>
    <row r="5848" spans="16:19" x14ac:dyDescent="0.25">
      <c r="P5848" s="27">
        <v>3.2548184716220556E-2</v>
      </c>
      <c r="Q5848" s="28">
        <f t="shared" si="95"/>
        <v>3.5548184716220559E-2</v>
      </c>
      <c r="R5848" s="31">
        <v>0.15939999999999999</v>
      </c>
      <c r="S5848" s="32">
        <v>4.8000000000000001E-2</v>
      </c>
    </row>
    <row r="5849" spans="16:19" x14ac:dyDescent="0.25">
      <c r="P5849" s="27">
        <v>3.2548184716220556E-2</v>
      </c>
      <c r="Q5849" s="28">
        <f t="shared" si="95"/>
        <v>3.5548184716220559E-2</v>
      </c>
      <c r="R5849" s="31">
        <v>0.15939999999999999</v>
      </c>
      <c r="S5849" s="32">
        <v>4.999E-2</v>
      </c>
    </row>
    <row r="5850" spans="16:19" x14ac:dyDescent="0.25">
      <c r="P5850" s="27">
        <v>3.2548184716220556E-2</v>
      </c>
      <c r="Q5850" s="28">
        <f t="shared" si="95"/>
        <v>3.5548184716220559E-2</v>
      </c>
      <c r="R5850" s="31">
        <v>0.15939999999999999</v>
      </c>
      <c r="S5850" s="32">
        <v>5.0180000000000002E-2</v>
      </c>
    </row>
    <row r="5851" spans="16:19" x14ac:dyDescent="0.25">
      <c r="P5851" s="27">
        <v>3.2548184716220556E-2</v>
      </c>
      <c r="Q5851" s="28">
        <f t="shared" si="95"/>
        <v>3.5548184716220559E-2</v>
      </c>
      <c r="R5851" s="31">
        <v>0.15939999999999999</v>
      </c>
      <c r="S5851" s="32">
        <v>5.0569999999999997E-2</v>
      </c>
    </row>
    <row r="5852" spans="16:19" x14ac:dyDescent="0.25">
      <c r="P5852" s="27">
        <v>3.2548184716220556E-2</v>
      </c>
      <c r="Q5852" s="28">
        <f t="shared" si="95"/>
        <v>3.5548184716220559E-2</v>
      </c>
      <c r="R5852" s="31">
        <v>0.15939999999999999</v>
      </c>
      <c r="S5852" s="32">
        <v>5.083E-2</v>
      </c>
    </row>
    <row r="5853" spans="16:19" x14ac:dyDescent="0.25">
      <c r="P5853" s="27">
        <v>3.2548184716220556E-2</v>
      </c>
      <c r="Q5853" s="28">
        <f t="shared" si="95"/>
        <v>3.5548184716220559E-2</v>
      </c>
      <c r="R5853" s="31">
        <v>0.15939999999999999</v>
      </c>
      <c r="S5853" s="32">
        <v>5.3520000000000005E-2</v>
      </c>
    </row>
    <row r="5854" spans="16:19" x14ac:dyDescent="0.25">
      <c r="P5854" s="27">
        <v>3.2548184716220556E-2</v>
      </c>
      <c r="Q5854" s="28">
        <f t="shared" si="95"/>
        <v>3.5548184716220559E-2</v>
      </c>
      <c r="R5854" s="31">
        <v>0.15939999999999999</v>
      </c>
      <c r="S5854" s="32">
        <v>5.8110000000000002E-2</v>
      </c>
    </row>
    <row r="5855" spans="16:19" x14ac:dyDescent="0.25">
      <c r="P5855" s="27">
        <v>3.2548184716220556E-2</v>
      </c>
      <c r="Q5855" s="28">
        <f t="shared" si="95"/>
        <v>3.5548184716220559E-2</v>
      </c>
      <c r="R5855" s="31">
        <v>0.15939999999999999</v>
      </c>
      <c r="S5855" s="32">
        <v>0.08</v>
      </c>
    </row>
    <row r="5856" spans="16:19" x14ac:dyDescent="0.25">
      <c r="P5856" s="27">
        <v>3.2548184716220556E-2</v>
      </c>
      <c r="Q5856" s="28">
        <f t="shared" si="95"/>
        <v>3.5548184716220559E-2</v>
      </c>
      <c r="R5856" s="31">
        <v>0.15939999999999999</v>
      </c>
      <c r="S5856" s="32">
        <v>5.7259999999999998E-2</v>
      </c>
    </row>
    <row r="5857" spans="16:19" x14ac:dyDescent="0.25">
      <c r="P5857" s="27">
        <v>3.2548184716220556E-2</v>
      </c>
      <c r="Q5857" s="28">
        <f t="shared" si="95"/>
        <v>3.5548184716220559E-2</v>
      </c>
      <c r="R5857" s="31">
        <v>0.15939999999999999</v>
      </c>
      <c r="S5857" s="32">
        <v>4.9979999999999997E-2</v>
      </c>
    </row>
    <row r="5858" spans="16:19" x14ac:dyDescent="0.25">
      <c r="P5858" s="27">
        <v>3.2548184716220556E-2</v>
      </c>
      <c r="Q5858" s="28">
        <f t="shared" si="95"/>
        <v>3.5548184716220559E-2</v>
      </c>
      <c r="R5858" s="31">
        <v>0.15939999999999999</v>
      </c>
      <c r="S5858" s="32">
        <v>4.897E-2</v>
      </c>
    </row>
    <row r="5859" spans="16:19" x14ac:dyDescent="0.25">
      <c r="P5859" s="27">
        <v>3.2548184716220556E-2</v>
      </c>
      <c r="Q5859" s="28">
        <f t="shared" si="95"/>
        <v>3.5548184716220559E-2</v>
      </c>
      <c r="R5859" s="29">
        <v>0.15</v>
      </c>
      <c r="S5859" s="30">
        <v>4.8759999999999998E-2</v>
      </c>
    </row>
    <row r="5860" spans="16:19" x14ac:dyDescent="0.25">
      <c r="P5860" s="27">
        <v>3.2548184716220556E-2</v>
      </c>
      <c r="Q5860" s="28">
        <f t="shared" si="95"/>
        <v>3.5548184716220559E-2</v>
      </c>
      <c r="R5860" s="29">
        <v>0.15</v>
      </c>
      <c r="S5860" s="30">
        <v>4.7009999999999996E-2</v>
      </c>
    </row>
    <row r="5861" spans="16:19" x14ac:dyDescent="0.25">
      <c r="P5861" s="27">
        <v>3.2548184716220556E-2</v>
      </c>
      <c r="Q5861" s="28">
        <f t="shared" si="95"/>
        <v>3.5548184716220559E-2</v>
      </c>
      <c r="R5861" s="29">
        <v>0.15</v>
      </c>
      <c r="S5861" s="30">
        <v>4.299E-2</v>
      </c>
    </row>
    <row r="5862" spans="16:19" x14ac:dyDescent="0.25">
      <c r="P5862" s="27">
        <v>3.2548184716220556E-2</v>
      </c>
      <c r="Q5862" s="28">
        <f t="shared" si="95"/>
        <v>3.5548184716220559E-2</v>
      </c>
      <c r="R5862" s="29">
        <v>0.15</v>
      </c>
      <c r="S5862" s="30">
        <v>4.1340000000000002E-2</v>
      </c>
    </row>
    <row r="5863" spans="16:19" x14ac:dyDescent="0.25">
      <c r="P5863" s="27">
        <v>3.2548184716220556E-2</v>
      </c>
      <c r="Q5863" s="28">
        <f t="shared" si="95"/>
        <v>3.5548184716220559E-2</v>
      </c>
      <c r="R5863" s="29">
        <v>0.15</v>
      </c>
      <c r="S5863" s="30">
        <v>4.1340000000000002E-2</v>
      </c>
    </row>
    <row r="5864" spans="16:19" x14ac:dyDescent="0.25">
      <c r="P5864" s="27">
        <v>3.2548184716220556E-2</v>
      </c>
      <c r="Q5864" s="28">
        <f t="shared" si="95"/>
        <v>3.5548184716220559E-2</v>
      </c>
      <c r="R5864" s="29">
        <v>0.15</v>
      </c>
      <c r="S5864" s="30">
        <v>4.3069999999999997E-2</v>
      </c>
    </row>
    <row r="5865" spans="16:19" x14ac:dyDescent="0.25">
      <c r="P5865" s="27">
        <v>3.2548184716220556E-2</v>
      </c>
      <c r="Q5865" s="28">
        <f t="shared" si="95"/>
        <v>3.5548184716220559E-2</v>
      </c>
      <c r="R5865" s="29">
        <v>0.15</v>
      </c>
      <c r="S5865" s="30">
        <v>0.05</v>
      </c>
    </row>
    <row r="5866" spans="16:19" x14ac:dyDescent="0.25">
      <c r="P5866" s="27">
        <v>3.2548184716220556E-2</v>
      </c>
      <c r="Q5866" s="28">
        <f t="shared" si="95"/>
        <v>3.5548184716220559E-2</v>
      </c>
      <c r="R5866" s="29">
        <v>0.15</v>
      </c>
      <c r="S5866" s="30">
        <v>5.0999999999999997E-2</v>
      </c>
    </row>
    <row r="5867" spans="16:19" x14ac:dyDescent="0.25">
      <c r="P5867" s="27">
        <v>3.2548184716220556E-2</v>
      </c>
      <c r="Q5867" s="28">
        <f t="shared" si="95"/>
        <v>3.5548184716220559E-2</v>
      </c>
      <c r="R5867" s="29">
        <v>0.15</v>
      </c>
      <c r="S5867" s="30">
        <v>6.2506887999999997E-2</v>
      </c>
    </row>
    <row r="5868" spans="16:19" x14ac:dyDescent="0.25">
      <c r="P5868" s="27">
        <v>3.2548184716220556E-2</v>
      </c>
      <c r="Q5868" s="28">
        <f t="shared" si="95"/>
        <v>3.5548184716220559E-2</v>
      </c>
      <c r="R5868" s="29">
        <v>0.15</v>
      </c>
      <c r="S5868" s="30">
        <v>5.704E-2</v>
      </c>
    </row>
    <row r="5869" spans="16:19" x14ac:dyDescent="0.25">
      <c r="P5869" s="27">
        <v>3.2548184716220556E-2</v>
      </c>
      <c r="Q5869" s="28">
        <f t="shared" si="95"/>
        <v>3.5548184716220559E-2</v>
      </c>
      <c r="R5869" s="29">
        <v>0.15</v>
      </c>
      <c r="S5869" s="30">
        <v>5.3009999999999995E-2</v>
      </c>
    </row>
    <row r="5870" spans="16:19" x14ac:dyDescent="0.25">
      <c r="P5870" s="27">
        <v>3.2548184716220556E-2</v>
      </c>
      <c r="Q5870" s="28">
        <f t="shared" si="95"/>
        <v>3.5548184716220559E-2</v>
      </c>
      <c r="R5870" s="29">
        <v>0.15</v>
      </c>
      <c r="S5870" s="30">
        <v>5.0569999999999997E-2</v>
      </c>
    </row>
    <row r="5871" spans="16:19" x14ac:dyDescent="0.25">
      <c r="P5871" s="27">
        <v>3.2548184716220556E-2</v>
      </c>
      <c r="Q5871" s="28">
        <f t="shared" si="95"/>
        <v>3.5548184716220559E-2</v>
      </c>
      <c r="R5871" s="29">
        <v>0.15</v>
      </c>
      <c r="S5871" s="30">
        <v>4.9570000000000003E-2</v>
      </c>
    </row>
    <row r="5872" spans="16:19" x14ac:dyDescent="0.25">
      <c r="P5872" s="27">
        <v>3.2548184716220556E-2</v>
      </c>
      <c r="Q5872" s="28">
        <f t="shared" si="95"/>
        <v>3.5548184716220559E-2</v>
      </c>
      <c r="R5872" s="29">
        <v>0.15</v>
      </c>
      <c r="S5872" s="30">
        <v>4.9119999999999997E-2</v>
      </c>
    </row>
    <row r="5873" spans="16:19" x14ac:dyDescent="0.25">
      <c r="P5873" s="27">
        <v>3.2548184716220556E-2</v>
      </c>
      <c r="Q5873" s="28">
        <f t="shared" si="95"/>
        <v>3.5548184716220559E-2</v>
      </c>
      <c r="R5873" s="29">
        <v>0.15</v>
      </c>
      <c r="S5873" s="30">
        <v>5.0569999999999997E-2</v>
      </c>
    </row>
    <row r="5874" spans="16:19" x14ac:dyDescent="0.25">
      <c r="P5874" s="27">
        <v>3.2548184716220556E-2</v>
      </c>
      <c r="Q5874" s="28">
        <f t="shared" si="95"/>
        <v>3.5548184716220559E-2</v>
      </c>
      <c r="R5874" s="29">
        <v>0.15</v>
      </c>
      <c r="S5874" s="30">
        <v>5.3009999999999995E-2</v>
      </c>
    </row>
    <row r="5875" spans="16:19" x14ac:dyDescent="0.25">
      <c r="P5875" s="27">
        <v>3.2548184716220556E-2</v>
      </c>
      <c r="Q5875" s="28">
        <f t="shared" si="95"/>
        <v>3.5548184716220559E-2</v>
      </c>
      <c r="R5875" s="29">
        <v>0.15</v>
      </c>
      <c r="S5875" s="30">
        <v>5.2990000000000002E-2</v>
      </c>
    </row>
    <row r="5876" spans="16:19" x14ac:dyDescent="0.25">
      <c r="P5876" s="27">
        <v>3.2548184716220556E-2</v>
      </c>
      <c r="Q5876" s="28">
        <f t="shared" si="95"/>
        <v>3.5548184716220559E-2</v>
      </c>
      <c r="R5876" s="29">
        <v>0.15</v>
      </c>
      <c r="S5876" s="30">
        <v>5.083E-2</v>
      </c>
    </row>
    <row r="5877" spans="16:19" x14ac:dyDescent="0.25">
      <c r="P5877" s="27">
        <v>3.2548184716220556E-2</v>
      </c>
      <c r="Q5877" s="28">
        <f t="shared" si="95"/>
        <v>3.5548184716220559E-2</v>
      </c>
      <c r="R5877" s="29">
        <v>0.15</v>
      </c>
      <c r="S5877" s="30">
        <v>5.3789999999999998E-2</v>
      </c>
    </row>
    <row r="5878" spans="16:19" x14ac:dyDescent="0.25">
      <c r="P5878" s="27">
        <v>3.2548184716220556E-2</v>
      </c>
      <c r="Q5878" s="28">
        <f t="shared" si="95"/>
        <v>3.5548184716220559E-2</v>
      </c>
      <c r="R5878" s="29">
        <v>0.15</v>
      </c>
      <c r="S5878" s="30">
        <v>0.06</v>
      </c>
    </row>
    <row r="5879" spans="16:19" x14ac:dyDescent="0.25">
      <c r="P5879" s="27">
        <v>3.2548184716220556E-2</v>
      </c>
      <c r="Q5879" s="28">
        <f t="shared" si="95"/>
        <v>3.5548184716220559E-2</v>
      </c>
      <c r="R5879" s="29">
        <v>0.15</v>
      </c>
      <c r="S5879" s="30">
        <v>8.3430000000000004E-2</v>
      </c>
    </row>
    <row r="5880" spans="16:19" x14ac:dyDescent="0.25">
      <c r="P5880" s="27">
        <v>3.2548184716220556E-2</v>
      </c>
      <c r="Q5880" s="28">
        <f t="shared" si="95"/>
        <v>3.5548184716220559E-2</v>
      </c>
      <c r="R5880" s="29">
        <v>0.15</v>
      </c>
      <c r="S5880" s="30">
        <v>5.926E-2</v>
      </c>
    </row>
    <row r="5881" spans="16:19" x14ac:dyDescent="0.25">
      <c r="P5881" s="27">
        <v>3.2548184716220556E-2</v>
      </c>
      <c r="Q5881" s="28">
        <f t="shared" si="95"/>
        <v>3.5548184716220559E-2</v>
      </c>
      <c r="R5881" s="29">
        <v>0.15</v>
      </c>
      <c r="S5881" s="30">
        <v>4.999E-2</v>
      </c>
    </row>
    <row r="5882" spans="16:19" x14ac:dyDescent="0.25">
      <c r="P5882" s="27">
        <v>3.2548184716220556E-2</v>
      </c>
      <c r="Q5882" s="28">
        <f t="shared" si="95"/>
        <v>3.5548184716220559E-2</v>
      </c>
      <c r="R5882" s="29">
        <v>0.15</v>
      </c>
      <c r="S5882" s="30">
        <v>4.9439999999999998E-2</v>
      </c>
    </row>
    <row r="5883" spans="16:19" x14ac:dyDescent="0.25">
      <c r="P5883" s="27">
        <v>3.2548184716220556E-2</v>
      </c>
      <c r="Q5883" s="28">
        <f t="shared" si="95"/>
        <v>3.5548184716220559E-2</v>
      </c>
      <c r="R5883" s="29">
        <v>0.15</v>
      </c>
      <c r="S5883" s="30">
        <v>4.9340000000000002E-2</v>
      </c>
    </row>
    <row r="5884" spans="16:19" x14ac:dyDescent="0.25">
      <c r="P5884" s="27">
        <v>3.2548184716220556E-2</v>
      </c>
      <c r="Q5884" s="28">
        <f t="shared" si="95"/>
        <v>3.5548184716220559E-2</v>
      </c>
      <c r="R5884" s="29">
        <v>0.15</v>
      </c>
      <c r="S5884" s="30">
        <v>4.8000000000000001E-2</v>
      </c>
    </row>
    <row r="5885" spans="16:19" x14ac:dyDescent="0.25">
      <c r="P5885" s="27">
        <v>3.2548184716220556E-2</v>
      </c>
      <c r="Q5885" s="28">
        <f t="shared" si="95"/>
        <v>3.5548184716220559E-2</v>
      </c>
      <c r="R5885" s="29">
        <v>0.15</v>
      </c>
      <c r="S5885" s="30">
        <v>4.7280000000000003E-2</v>
      </c>
    </row>
    <row r="5886" spans="16:19" x14ac:dyDescent="0.25">
      <c r="P5886" s="27">
        <v>3.2548184716220556E-2</v>
      </c>
      <c r="Q5886" s="28">
        <f t="shared" si="95"/>
        <v>3.5548184716220559E-2</v>
      </c>
      <c r="R5886" s="29">
        <v>0.15</v>
      </c>
      <c r="S5886" s="30">
        <v>4.3797410999999994E-2</v>
      </c>
    </row>
    <row r="5887" spans="16:19" x14ac:dyDescent="0.25">
      <c r="P5887" s="27">
        <v>3.2548184716220556E-2</v>
      </c>
      <c r="Q5887" s="28">
        <f t="shared" si="95"/>
        <v>3.5548184716220559E-2</v>
      </c>
      <c r="R5887" s="29">
        <v>0.15</v>
      </c>
      <c r="S5887" s="30">
        <v>4.3737984000000001E-2</v>
      </c>
    </row>
    <row r="5888" spans="16:19" x14ac:dyDescent="0.25">
      <c r="P5888" s="27">
        <v>3.2548184716220556E-2</v>
      </c>
      <c r="Q5888" s="28">
        <f t="shared" si="95"/>
        <v>3.5548184716220559E-2</v>
      </c>
      <c r="R5888" s="29">
        <v>0.15</v>
      </c>
      <c r="S5888" s="30">
        <v>4.8000000000000001E-2</v>
      </c>
    </row>
    <row r="5889" spans="16:19" x14ac:dyDescent="0.25">
      <c r="P5889" s="27">
        <v>3.2548184716220556E-2</v>
      </c>
      <c r="Q5889" s="28">
        <f t="shared" si="95"/>
        <v>3.5548184716220559E-2</v>
      </c>
      <c r="R5889" s="29">
        <v>0.15</v>
      </c>
      <c r="S5889" s="30">
        <v>5.3999999999999999E-2</v>
      </c>
    </row>
    <row r="5890" spans="16:19" x14ac:dyDescent="0.25">
      <c r="P5890" s="27">
        <v>3.2548184716220556E-2</v>
      </c>
      <c r="Q5890" s="28">
        <f t="shared" si="95"/>
        <v>3.5548184716220559E-2</v>
      </c>
      <c r="R5890" s="29">
        <v>0.15</v>
      </c>
      <c r="S5890" s="30">
        <v>5.5E-2</v>
      </c>
    </row>
    <row r="5891" spans="16:19" x14ac:dyDescent="0.25">
      <c r="P5891" s="27">
        <v>3.2548184716220556E-2</v>
      </c>
      <c r="Q5891" s="28">
        <f t="shared" si="95"/>
        <v>3.5548184716220559E-2</v>
      </c>
      <c r="R5891" s="31">
        <v>0.15939660775771733</v>
      </c>
      <c r="S5891" s="32">
        <v>7.621E-2</v>
      </c>
    </row>
    <row r="5892" spans="16:19" x14ac:dyDescent="0.25">
      <c r="P5892" s="27">
        <v>3.2548184716220556E-2</v>
      </c>
      <c r="Q5892" s="28">
        <f t="shared" si="95"/>
        <v>3.5548184716220559E-2</v>
      </c>
      <c r="R5892" s="33">
        <v>0.16282860775771735</v>
      </c>
      <c r="S5892" s="34">
        <v>7.9150000000000012E-2</v>
      </c>
    </row>
    <row r="5893" spans="16:19" x14ac:dyDescent="0.25">
      <c r="P5893" s="27">
        <v>3.2548184716220556E-2</v>
      </c>
      <c r="Q5893" s="28">
        <f t="shared" ref="Q5893:Q5956" si="96">P5893+0.003</f>
        <v>3.5548184716220559E-2</v>
      </c>
      <c r="R5893" s="33">
        <v>0.16282860775771735</v>
      </c>
      <c r="S5893" s="34">
        <v>7.5139999999999998E-2</v>
      </c>
    </row>
    <row r="5894" spans="16:19" x14ac:dyDescent="0.25">
      <c r="P5894" s="27">
        <v>3.2548184716220556E-2</v>
      </c>
      <c r="Q5894" s="28">
        <f t="shared" si="96"/>
        <v>3.5548184716220559E-2</v>
      </c>
      <c r="R5894" s="33">
        <v>0.16282860775771735</v>
      </c>
      <c r="S5894" s="34">
        <v>6.8890000000000007E-2</v>
      </c>
    </row>
    <row r="5895" spans="16:19" x14ac:dyDescent="0.25">
      <c r="P5895" s="27">
        <v>3.2548184716220556E-2</v>
      </c>
      <c r="Q5895" s="28">
        <f t="shared" si="96"/>
        <v>3.5548184716220559E-2</v>
      </c>
      <c r="R5895" s="33">
        <v>0.16282860775771735</v>
      </c>
      <c r="S5895" s="34">
        <v>5.9950000000000003E-2</v>
      </c>
    </row>
    <row r="5896" spans="16:19" x14ac:dyDescent="0.25">
      <c r="P5896" s="27">
        <v>3.2548184716220556E-2</v>
      </c>
      <c r="Q5896" s="28">
        <f t="shared" si="96"/>
        <v>3.5548184716220559E-2</v>
      </c>
      <c r="R5896" s="33">
        <v>0.16282860775771735</v>
      </c>
      <c r="S5896" s="34">
        <v>5.7180000000000002E-2</v>
      </c>
    </row>
    <row r="5897" spans="16:19" x14ac:dyDescent="0.25">
      <c r="P5897" s="27">
        <v>3.2548184716220556E-2</v>
      </c>
      <c r="Q5897" s="28">
        <f t="shared" si="96"/>
        <v>3.5548184716220559E-2</v>
      </c>
      <c r="R5897" s="33">
        <v>0.16282860775771735</v>
      </c>
      <c r="S5897" s="34">
        <v>5.799E-2</v>
      </c>
    </row>
    <row r="5898" spans="16:19" x14ac:dyDescent="0.25">
      <c r="P5898" s="27">
        <v>3.2548184716220556E-2</v>
      </c>
      <c r="Q5898" s="28">
        <f t="shared" si="96"/>
        <v>3.5548184716220559E-2</v>
      </c>
      <c r="R5898" s="33">
        <v>0.16282860775771735</v>
      </c>
      <c r="S5898" s="34">
        <v>5.8250000000000003E-2</v>
      </c>
    </row>
    <row r="5899" spans="16:19" x14ac:dyDescent="0.25">
      <c r="P5899" s="27">
        <v>3.2548184716220556E-2</v>
      </c>
      <c r="Q5899" s="28">
        <f t="shared" si="96"/>
        <v>3.5548184716220559E-2</v>
      </c>
      <c r="R5899" s="33">
        <v>0.16282860775771735</v>
      </c>
      <c r="S5899" s="34">
        <v>6.4750000000000002E-2</v>
      </c>
    </row>
    <row r="5900" spans="16:19" x14ac:dyDescent="0.25">
      <c r="P5900" s="27">
        <v>3.2548184716220556E-2</v>
      </c>
      <c r="Q5900" s="28">
        <f t="shared" si="96"/>
        <v>3.5548184716220559E-2</v>
      </c>
      <c r="R5900" s="33">
        <v>0.16282860775771735</v>
      </c>
      <c r="S5900" s="34">
        <v>6.3340000000000007E-2</v>
      </c>
    </row>
    <row r="5901" spans="16:19" x14ac:dyDescent="0.25">
      <c r="P5901" s="27">
        <v>3.2548184716220556E-2</v>
      </c>
      <c r="Q5901" s="28">
        <f t="shared" si="96"/>
        <v>3.5548184716220559E-2</v>
      </c>
      <c r="R5901" s="33">
        <v>0.16282860775771735</v>
      </c>
      <c r="S5901" s="34">
        <v>6.9915521999999994E-2</v>
      </c>
    </row>
    <row r="5902" spans="16:19" x14ac:dyDescent="0.25">
      <c r="P5902" s="27">
        <v>3.2548184716220556E-2</v>
      </c>
      <c r="Q5902" s="28">
        <f t="shared" si="96"/>
        <v>3.5548184716220559E-2</v>
      </c>
      <c r="R5902" s="33">
        <v>0.16282860775771735</v>
      </c>
      <c r="S5902" s="34">
        <v>7.4477886999999993E-2</v>
      </c>
    </row>
    <row r="5903" spans="16:19" x14ac:dyDescent="0.25">
      <c r="P5903" s="27">
        <v>3.2548184716220556E-2</v>
      </c>
      <c r="Q5903" s="28">
        <f t="shared" si="96"/>
        <v>3.5548184716220559E-2</v>
      </c>
      <c r="R5903" s="31">
        <v>0.15939660775771733</v>
      </c>
      <c r="S5903" s="32">
        <v>0.09</v>
      </c>
    </row>
    <row r="5904" spans="16:19" x14ac:dyDescent="0.25">
      <c r="P5904" s="27">
        <v>3.2548184716220556E-2</v>
      </c>
      <c r="Q5904" s="28">
        <f t="shared" si="96"/>
        <v>3.5548184716220559E-2</v>
      </c>
      <c r="R5904" s="31">
        <v>0.15939660775771733</v>
      </c>
      <c r="S5904" s="32">
        <v>6.0899999999999996E-2</v>
      </c>
    </row>
    <row r="5905" spans="16:19" x14ac:dyDescent="0.25">
      <c r="P5905" s="27">
        <v>3.2548184716220556E-2</v>
      </c>
      <c r="Q5905" s="28">
        <f t="shared" si="96"/>
        <v>3.5548184716220559E-2</v>
      </c>
      <c r="R5905" s="31">
        <v>0.15939660775771733</v>
      </c>
      <c r="S5905" s="32">
        <v>5.2510000000000001E-2</v>
      </c>
    </row>
    <row r="5906" spans="16:19" x14ac:dyDescent="0.25">
      <c r="P5906" s="27">
        <v>3.2548184716220556E-2</v>
      </c>
      <c r="Q5906" s="28">
        <f t="shared" si="96"/>
        <v>3.5548184716220559E-2</v>
      </c>
      <c r="R5906" s="31">
        <v>0.15939660775771733</v>
      </c>
      <c r="S5906" s="32">
        <v>5.1580000000000001E-2</v>
      </c>
    </row>
    <row r="5907" spans="16:19" x14ac:dyDescent="0.25">
      <c r="P5907" s="27">
        <v>3.2548184716220556E-2</v>
      </c>
      <c r="Q5907" s="28">
        <f t="shared" si="96"/>
        <v>3.5548184716220559E-2</v>
      </c>
      <c r="R5907" s="29">
        <v>0.15003660775771735</v>
      </c>
      <c r="S5907" s="30">
        <v>4.8860000000000001E-2</v>
      </c>
    </row>
    <row r="5908" spans="16:19" x14ac:dyDescent="0.25">
      <c r="P5908" s="27">
        <v>3.2548184716220556E-2</v>
      </c>
      <c r="Q5908" s="28">
        <f t="shared" si="96"/>
        <v>3.5548184716220559E-2</v>
      </c>
      <c r="R5908" s="29">
        <v>0.15003660775771735</v>
      </c>
      <c r="S5908" s="30">
        <v>4.8000000000000001E-2</v>
      </c>
    </row>
    <row r="5909" spans="16:19" x14ac:dyDescent="0.25">
      <c r="P5909" s="27">
        <v>3.2548184716220556E-2</v>
      </c>
      <c r="Q5909" s="28">
        <f t="shared" si="96"/>
        <v>3.5548184716220559E-2</v>
      </c>
      <c r="R5909" s="29">
        <v>0.15003660775771735</v>
      </c>
      <c r="S5909" s="30">
        <v>4.8000000000000001E-2</v>
      </c>
    </row>
    <row r="5910" spans="16:19" x14ac:dyDescent="0.25">
      <c r="P5910" s="27">
        <v>3.2548184716220556E-2</v>
      </c>
      <c r="Q5910" s="28">
        <f t="shared" si="96"/>
        <v>3.5548184716220559E-2</v>
      </c>
      <c r="R5910" s="29">
        <v>0.15003660775771735</v>
      </c>
      <c r="S5910" s="30">
        <v>4.3590000000000004E-2</v>
      </c>
    </row>
    <row r="5911" spans="16:19" x14ac:dyDescent="0.25">
      <c r="P5911" s="27">
        <v>3.2548184716220556E-2</v>
      </c>
      <c r="Q5911" s="28">
        <f t="shared" si="96"/>
        <v>3.5548184716220559E-2</v>
      </c>
      <c r="R5911" s="29">
        <v>0.15003660775771735</v>
      </c>
      <c r="S5911" s="30">
        <v>4.5999999999999999E-2</v>
      </c>
    </row>
    <row r="5912" spans="16:19" x14ac:dyDescent="0.25">
      <c r="P5912" s="27">
        <v>3.2548184716220556E-2</v>
      </c>
      <c r="Q5912" s="28">
        <f t="shared" si="96"/>
        <v>3.5548184716220559E-2</v>
      </c>
      <c r="R5912" s="29">
        <v>0.15003660775771735</v>
      </c>
      <c r="S5912" s="30">
        <v>4.8009999999999997E-2</v>
      </c>
    </row>
    <row r="5913" spans="16:19" x14ac:dyDescent="0.25">
      <c r="P5913" s="27">
        <v>3.2548184716220556E-2</v>
      </c>
      <c r="Q5913" s="28">
        <f t="shared" si="96"/>
        <v>3.5548184716220559E-2</v>
      </c>
      <c r="R5913" s="29">
        <v>0.15003660775771735</v>
      </c>
      <c r="S5913" s="30">
        <v>5.3609999999999998E-2</v>
      </c>
    </row>
    <row r="5914" spans="16:19" x14ac:dyDescent="0.25">
      <c r="P5914" s="27">
        <v>3.2548184716220556E-2</v>
      </c>
      <c r="Q5914" s="28">
        <f t="shared" si="96"/>
        <v>3.5548184716220559E-2</v>
      </c>
      <c r="R5914" s="29">
        <v>0.15003660775771735</v>
      </c>
      <c r="S5914" s="30">
        <v>5.7200000000000001E-2</v>
      </c>
    </row>
    <row r="5915" spans="16:19" x14ac:dyDescent="0.25">
      <c r="P5915" s="27">
        <v>3.2548184716220556E-2</v>
      </c>
      <c r="Q5915" s="28">
        <f t="shared" si="96"/>
        <v>3.5548184716220559E-2</v>
      </c>
      <c r="R5915" s="31">
        <v>0.15939660775771733</v>
      </c>
      <c r="S5915" s="32">
        <v>7.1222547999999997E-2</v>
      </c>
    </row>
    <row r="5916" spans="16:19" x14ac:dyDescent="0.25">
      <c r="P5916" s="27">
        <v>3.2548184716220556E-2</v>
      </c>
      <c r="Q5916" s="28">
        <f t="shared" si="96"/>
        <v>3.5548184716220559E-2</v>
      </c>
      <c r="R5916" s="33">
        <v>0.16282860775771735</v>
      </c>
      <c r="S5916" s="34">
        <v>6.6509473E-2</v>
      </c>
    </row>
    <row r="5917" spans="16:19" x14ac:dyDescent="0.25">
      <c r="P5917" s="27">
        <v>3.2548184716220556E-2</v>
      </c>
      <c r="Q5917" s="28">
        <f t="shared" si="96"/>
        <v>3.5548184716220559E-2</v>
      </c>
      <c r="R5917" s="33">
        <v>0.16282860775771735</v>
      </c>
      <c r="S5917" s="34">
        <v>5.799E-2</v>
      </c>
    </row>
    <row r="5918" spans="16:19" x14ac:dyDescent="0.25">
      <c r="P5918" s="27">
        <v>3.2548184716220556E-2</v>
      </c>
      <c r="Q5918" s="28">
        <f t="shared" si="96"/>
        <v>3.5548184716220559E-2</v>
      </c>
      <c r="R5918" s="33">
        <v>0.16282860775771735</v>
      </c>
      <c r="S5918" s="34">
        <v>5.5060000000000005E-2</v>
      </c>
    </row>
    <row r="5919" spans="16:19" x14ac:dyDescent="0.25">
      <c r="P5919" s="27">
        <v>3.2548184716220556E-2</v>
      </c>
      <c r="Q5919" s="28">
        <f t="shared" si="96"/>
        <v>3.5548184716220559E-2</v>
      </c>
      <c r="R5919" s="33">
        <v>0.16282860775771735</v>
      </c>
      <c r="S5919" s="34">
        <v>5.3450000000000004E-2</v>
      </c>
    </row>
    <row r="5920" spans="16:19" x14ac:dyDescent="0.25">
      <c r="P5920" s="27">
        <v>3.2548184716220556E-2</v>
      </c>
      <c r="Q5920" s="28">
        <f t="shared" si="96"/>
        <v>3.5548184716220559E-2</v>
      </c>
      <c r="R5920" s="33">
        <v>0.16282860775771735</v>
      </c>
      <c r="S5920" s="34">
        <v>5.5E-2</v>
      </c>
    </row>
    <row r="5921" spans="16:19" x14ac:dyDescent="0.25">
      <c r="P5921" s="27">
        <v>3.2548184716220556E-2</v>
      </c>
      <c r="Q5921" s="28">
        <f t="shared" si="96"/>
        <v>3.5548184716220559E-2</v>
      </c>
      <c r="R5921" s="33">
        <v>0.16282860775771735</v>
      </c>
      <c r="S5921" s="34">
        <v>5.7189999999999998E-2</v>
      </c>
    </row>
    <row r="5922" spans="16:19" x14ac:dyDescent="0.25">
      <c r="P5922" s="27">
        <v>3.2548184716220556E-2</v>
      </c>
      <c r="Q5922" s="28">
        <f t="shared" si="96"/>
        <v>3.5548184716220559E-2</v>
      </c>
      <c r="R5922" s="33">
        <v>0.16282860775771735</v>
      </c>
      <c r="S5922" s="34">
        <v>5.7210000000000004E-2</v>
      </c>
    </row>
    <row r="5923" spans="16:19" x14ac:dyDescent="0.25">
      <c r="P5923" s="27">
        <v>3.2548184716220556E-2</v>
      </c>
      <c r="Q5923" s="28">
        <f t="shared" si="96"/>
        <v>3.5548184716220559E-2</v>
      </c>
      <c r="R5923" s="33">
        <v>0.16282860775771735</v>
      </c>
      <c r="S5923" s="34">
        <v>5.8000000000000003E-2</v>
      </c>
    </row>
    <row r="5924" spans="16:19" x14ac:dyDescent="0.25">
      <c r="P5924" s="27">
        <v>3.2548184716220556E-2</v>
      </c>
      <c r="Q5924" s="28">
        <f t="shared" si="96"/>
        <v>3.5548184716220559E-2</v>
      </c>
      <c r="R5924" s="33">
        <v>0.16282860775771735</v>
      </c>
      <c r="S5924" s="34">
        <v>5.7210000000000004E-2</v>
      </c>
    </row>
    <row r="5925" spans="16:19" x14ac:dyDescent="0.25">
      <c r="P5925" s="27">
        <v>3.2548184716220556E-2</v>
      </c>
      <c r="Q5925" s="28">
        <f t="shared" si="96"/>
        <v>3.5548184716220559E-2</v>
      </c>
      <c r="R5925" s="33">
        <v>0.16282860775771735</v>
      </c>
      <c r="S5925" s="34">
        <v>5.6610000000000001E-2</v>
      </c>
    </row>
    <row r="5926" spans="16:19" x14ac:dyDescent="0.25">
      <c r="P5926" s="27">
        <v>3.2548184716220556E-2</v>
      </c>
      <c r="Q5926" s="28">
        <f t="shared" si="96"/>
        <v>3.5548184716220559E-2</v>
      </c>
      <c r="R5926" s="33">
        <v>0.16282860775771735</v>
      </c>
      <c r="S5926" s="34">
        <v>6.3399999999999998E-2</v>
      </c>
    </row>
    <row r="5927" spans="16:19" x14ac:dyDescent="0.25">
      <c r="P5927" s="27">
        <v>3.2548184716220556E-2</v>
      </c>
      <c r="Q5927" s="28">
        <f t="shared" si="96"/>
        <v>3.5548184716220559E-2</v>
      </c>
      <c r="R5927" s="31">
        <v>0.15939660775771733</v>
      </c>
      <c r="S5927" s="32">
        <v>7.986E-2</v>
      </c>
    </row>
    <row r="5928" spans="16:19" x14ac:dyDescent="0.25">
      <c r="P5928" s="27">
        <v>3.2548184716220556E-2</v>
      </c>
      <c r="Q5928" s="28">
        <f t="shared" si="96"/>
        <v>3.5548184716220559E-2</v>
      </c>
      <c r="R5928" s="31">
        <v>0.15939660775771733</v>
      </c>
      <c r="S5928" s="32">
        <v>5.7360000000000001E-2</v>
      </c>
    </row>
    <row r="5929" spans="16:19" x14ac:dyDescent="0.25">
      <c r="P5929" s="27">
        <v>3.2548184716220556E-2</v>
      </c>
      <c r="Q5929" s="28">
        <f t="shared" si="96"/>
        <v>3.5548184716220559E-2</v>
      </c>
      <c r="R5929" s="31">
        <v>0.15939660775771733</v>
      </c>
      <c r="S5929" s="32">
        <v>5.0999999999999997E-2</v>
      </c>
    </row>
    <row r="5930" spans="16:19" x14ac:dyDescent="0.25">
      <c r="P5930" s="27">
        <v>3.2548184716220556E-2</v>
      </c>
      <c r="Q5930" s="28">
        <f t="shared" si="96"/>
        <v>3.5548184716220559E-2</v>
      </c>
      <c r="R5930" s="31">
        <v>0.15939660775771733</v>
      </c>
      <c r="S5930" s="32">
        <v>4.9340000000000002E-2</v>
      </c>
    </row>
    <row r="5931" spans="16:19" x14ac:dyDescent="0.25">
      <c r="P5931" s="27">
        <v>3.2548184716220556E-2</v>
      </c>
      <c r="Q5931" s="28">
        <f t="shared" si="96"/>
        <v>3.5548184716220559E-2</v>
      </c>
      <c r="R5931" s="29">
        <v>0.15003660775771735</v>
      </c>
      <c r="S5931" s="30">
        <v>5.0799999999999998E-2</v>
      </c>
    </row>
    <row r="5932" spans="16:19" x14ac:dyDescent="0.25">
      <c r="P5932" s="27">
        <v>3.2548184716220556E-2</v>
      </c>
      <c r="Q5932" s="28">
        <f t="shared" si="96"/>
        <v>3.5548184716220559E-2</v>
      </c>
      <c r="R5932" s="29">
        <v>0.15003660775771735</v>
      </c>
      <c r="S5932" s="30">
        <v>4.897E-2</v>
      </c>
    </row>
    <row r="5933" spans="16:19" x14ac:dyDescent="0.25">
      <c r="P5933" s="27">
        <v>3.2548184716220556E-2</v>
      </c>
      <c r="Q5933" s="28">
        <f t="shared" si="96"/>
        <v>3.5548184716220559E-2</v>
      </c>
      <c r="R5933" s="29">
        <v>0.15003660775771735</v>
      </c>
      <c r="S5933" s="30">
        <v>4.8509999999999998E-2</v>
      </c>
    </row>
    <row r="5934" spans="16:19" x14ac:dyDescent="0.25">
      <c r="P5934" s="27">
        <v>3.2548184716220556E-2</v>
      </c>
      <c r="Q5934" s="28">
        <f t="shared" si="96"/>
        <v>3.5548184716220559E-2</v>
      </c>
      <c r="R5934" s="29">
        <v>0.15003660775771735</v>
      </c>
      <c r="S5934" s="30">
        <v>4.5999999999999999E-2</v>
      </c>
    </row>
    <row r="5935" spans="16:19" x14ac:dyDescent="0.25">
      <c r="P5935" s="27">
        <v>3.2548184716220556E-2</v>
      </c>
      <c r="Q5935" s="28">
        <f t="shared" si="96"/>
        <v>3.5548184716220559E-2</v>
      </c>
      <c r="R5935" s="29">
        <v>0.15003660775771735</v>
      </c>
      <c r="S5935" s="30">
        <v>4.5999999999999999E-2</v>
      </c>
    </row>
    <row r="5936" spans="16:19" x14ac:dyDescent="0.25">
      <c r="P5936" s="27">
        <v>3.2548184716220556E-2</v>
      </c>
      <c r="Q5936" s="28">
        <f t="shared" si="96"/>
        <v>3.5548184716220559E-2</v>
      </c>
      <c r="R5936" s="29">
        <v>0.15003660775771735</v>
      </c>
      <c r="S5936" s="30">
        <v>4.897E-2</v>
      </c>
    </row>
    <row r="5937" spans="16:19" x14ac:dyDescent="0.25">
      <c r="P5937" s="27">
        <v>3.2548184716220556E-2</v>
      </c>
      <c r="Q5937" s="28">
        <f t="shared" si="96"/>
        <v>3.5548184716220559E-2</v>
      </c>
      <c r="R5937" s="29">
        <v>0.15003660775771735</v>
      </c>
      <c r="S5937" s="30">
        <v>5.4100000000000002E-2</v>
      </c>
    </row>
    <row r="5938" spans="16:19" x14ac:dyDescent="0.25">
      <c r="P5938" s="27">
        <v>3.2548184716220556E-2</v>
      </c>
      <c r="Q5938" s="28">
        <f t="shared" si="96"/>
        <v>3.5548184716220559E-2</v>
      </c>
      <c r="R5938" s="29">
        <v>0.15003660775771735</v>
      </c>
      <c r="S5938" s="30">
        <v>5.4109999999999998E-2</v>
      </c>
    </row>
    <row r="5939" spans="16:19" x14ac:dyDescent="0.25">
      <c r="P5939" s="27">
        <v>3.2548184716220556E-2</v>
      </c>
      <c r="Q5939" s="28">
        <f t="shared" si="96"/>
        <v>3.5548184716220559E-2</v>
      </c>
      <c r="R5939" s="31">
        <v>0.15939660775771733</v>
      </c>
      <c r="S5939" s="32">
        <v>6.6813246000000007E-2</v>
      </c>
    </row>
    <row r="5940" spans="16:19" x14ac:dyDescent="0.25">
      <c r="P5940" s="27">
        <v>3.2548184716220556E-2</v>
      </c>
      <c r="Q5940" s="28">
        <f t="shared" si="96"/>
        <v>3.5548184716220559E-2</v>
      </c>
      <c r="R5940" s="33">
        <v>0.16282860775771735</v>
      </c>
      <c r="S5940" s="34">
        <v>6.0979999999999999E-2</v>
      </c>
    </row>
    <row r="5941" spans="16:19" x14ac:dyDescent="0.25">
      <c r="P5941" s="27">
        <v>3.2548184716220556E-2</v>
      </c>
      <c r="Q5941" s="28">
        <f t="shared" si="96"/>
        <v>3.5548184716220559E-2</v>
      </c>
      <c r="R5941" s="33">
        <v>0.16282860775771735</v>
      </c>
      <c r="S5941" s="34">
        <v>5.985E-2</v>
      </c>
    </row>
    <row r="5942" spans="16:19" x14ac:dyDescent="0.25">
      <c r="P5942" s="27">
        <v>3.2548184716220556E-2</v>
      </c>
      <c r="Q5942" s="28">
        <f t="shared" si="96"/>
        <v>3.5548184716220559E-2</v>
      </c>
      <c r="R5942" s="33">
        <v>0.16282860775771735</v>
      </c>
      <c r="S5942" s="34">
        <v>5.9747613999999998E-2</v>
      </c>
    </row>
    <row r="5943" spans="16:19" x14ac:dyDescent="0.25">
      <c r="P5943" s="27">
        <v>3.2548184716220556E-2</v>
      </c>
      <c r="Q5943" s="28">
        <f t="shared" si="96"/>
        <v>3.5548184716220559E-2</v>
      </c>
      <c r="R5943" s="33">
        <v>0.16282860775771735</v>
      </c>
      <c r="S5943" s="34">
        <v>5.3380000000000004E-2</v>
      </c>
    </row>
    <row r="5944" spans="16:19" x14ac:dyDescent="0.25">
      <c r="P5944" s="27">
        <v>3.2548184716220556E-2</v>
      </c>
      <c r="Q5944" s="28">
        <f t="shared" si="96"/>
        <v>3.5548184716220559E-2</v>
      </c>
      <c r="R5944" s="33">
        <v>0.16282860775771735</v>
      </c>
      <c r="S5944" s="34">
        <v>5.2999999999999999E-2</v>
      </c>
    </row>
    <row r="5945" spans="16:19" x14ac:dyDescent="0.25">
      <c r="P5945" s="27">
        <v>3.2548184716220556E-2</v>
      </c>
      <c r="Q5945" s="28">
        <f t="shared" si="96"/>
        <v>3.5548184716220559E-2</v>
      </c>
      <c r="R5945" s="33">
        <v>0.16282860775771735</v>
      </c>
      <c r="S5945" s="34">
        <v>5.7210000000000004E-2</v>
      </c>
    </row>
    <row r="5946" spans="16:19" x14ac:dyDescent="0.25">
      <c r="P5946" s="27">
        <v>3.2548184716220556E-2</v>
      </c>
      <c r="Q5946" s="28">
        <f t="shared" si="96"/>
        <v>3.5548184716220559E-2</v>
      </c>
      <c r="R5946" s="33">
        <v>0.16282860775771735</v>
      </c>
      <c r="S5946" s="34">
        <v>5.985E-2</v>
      </c>
    </row>
    <row r="5947" spans="16:19" x14ac:dyDescent="0.25">
      <c r="P5947" s="27">
        <v>3.2548184716220556E-2</v>
      </c>
      <c r="Q5947" s="28">
        <f t="shared" si="96"/>
        <v>3.5548184716220559E-2</v>
      </c>
      <c r="R5947" s="33">
        <v>0.16282860775771735</v>
      </c>
      <c r="S5947" s="34">
        <v>5.7000000000000002E-2</v>
      </c>
    </row>
    <row r="5948" spans="16:19" x14ac:dyDescent="0.25">
      <c r="P5948" s="27">
        <v>3.2548184716220556E-2</v>
      </c>
      <c r="Q5948" s="28">
        <f t="shared" si="96"/>
        <v>3.5548184716220559E-2</v>
      </c>
      <c r="R5948" s="33">
        <v>0.16282860775771735</v>
      </c>
      <c r="S5948" s="34">
        <v>5.3999999999999999E-2</v>
      </c>
    </row>
    <row r="5949" spans="16:19" x14ac:dyDescent="0.25">
      <c r="P5949" s="27">
        <v>3.2548184716220556E-2</v>
      </c>
      <c r="Q5949" s="28">
        <f t="shared" si="96"/>
        <v>3.5548184716220559E-2</v>
      </c>
      <c r="R5949" s="33">
        <v>0.16282860775771735</v>
      </c>
      <c r="S5949" s="34">
        <v>5.4530000000000002E-2</v>
      </c>
    </row>
    <row r="5950" spans="16:19" x14ac:dyDescent="0.25">
      <c r="P5950" s="27">
        <v>3.2548184716220556E-2</v>
      </c>
      <c r="Q5950" s="28">
        <f t="shared" si="96"/>
        <v>3.5548184716220559E-2</v>
      </c>
      <c r="R5950" s="33">
        <v>0.16282860775771735</v>
      </c>
      <c r="S5950" s="34">
        <v>5.8689999999999999E-2</v>
      </c>
    </row>
    <row r="5951" spans="16:19" x14ac:dyDescent="0.25">
      <c r="P5951" s="27">
        <v>3.2548184716220556E-2</v>
      </c>
      <c r="Q5951" s="28">
        <f t="shared" si="96"/>
        <v>3.5548184716220559E-2</v>
      </c>
      <c r="R5951" s="31">
        <v>0.15939660775771733</v>
      </c>
      <c r="S5951" s="32">
        <v>7.3189999999999991E-2</v>
      </c>
    </row>
    <row r="5952" spans="16:19" x14ac:dyDescent="0.25">
      <c r="P5952" s="27">
        <v>3.2548184716220556E-2</v>
      </c>
      <c r="Q5952" s="28">
        <f t="shared" si="96"/>
        <v>3.5548184716220559E-2</v>
      </c>
      <c r="R5952" s="31">
        <v>0.15939660775771733</v>
      </c>
      <c r="S5952" s="32">
        <v>5.4259999999999996E-2</v>
      </c>
    </row>
    <row r="5953" spans="16:19" x14ac:dyDescent="0.25">
      <c r="P5953" s="27">
        <v>3.2548184716220556E-2</v>
      </c>
      <c r="Q5953" s="28">
        <f t="shared" si="96"/>
        <v>3.5548184716220559E-2</v>
      </c>
      <c r="R5953" s="31">
        <v>0.15939660775771733</v>
      </c>
      <c r="S5953" s="32">
        <v>5.0009999999999999E-2</v>
      </c>
    </row>
    <row r="5954" spans="16:19" x14ac:dyDescent="0.25">
      <c r="P5954" s="27">
        <v>3.2548184716220556E-2</v>
      </c>
      <c r="Q5954" s="28">
        <f t="shared" si="96"/>
        <v>3.5548184716220559E-2</v>
      </c>
      <c r="R5954" s="31">
        <v>0.15939660775771733</v>
      </c>
      <c r="S5954" s="32">
        <v>4.999E-2</v>
      </c>
    </row>
    <row r="5955" spans="16:19" x14ac:dyDescent="0.25">
      <c r="P5955" s="27">
        <v>3.2548184716220556E-2</v>
      </c>
      <c r="Q5955" s="28">
        <f t="shared" si="96"/>
        <v>3.5548184716220559E-2</v>
      </c>
      <c r="R5955" s="29">
        <v>0.15003660775771735</v>
      </c>
      <c r="S5955" s="30">
        <v>5.126E-2</v>
      </c>
    </row>
    <row r="5956" spans="16:19" x14ac:dyDescent="0.25">
      <c r="P5956" s="27">
        <v>3.2548184716220556E-2</v>
      </c>
      <c r="Q5956" s="28">
        <f t="shared" si="96"/>
        <v>3.5548184716220559E-2</v>
      </c>
      <c r="R5956" s="29">
        <v>0.15003660775771735</v>
      </c>
      <c r="S5956" s="30">
        <v>4.9000000000000002E-2</v>
      </c>
    </row>
    <row r="5957" spans="16:19" x14ac:dyDescent="0.25">
      <c r="P5957" s="27">
        <v>3.2548184716220556E-2</v>
      </c>
      <c r="Q5957" s="28">
        <f t="shared" ref="Q5957:Q6020" si="97">P5957+0.003</f>
        <v>3.5548184716220559E-2</v>
      </c>
      <c r="R5957" s="29">
        <v>0.15003660775771735</v>
      </c>
      <c r="S5957" s="30">
        <v>4.7289999999999999E-2</v>
      </c>
    </row>
    <row r="5958" spans="16:19" x14ac:dyDescent="0.25">
      <c r="P5958" s="27">
        <v>3.2548184716220556E-2</v>
      </c>
      <c r="Q5958" s="28">
        <f t="shared" si="97"/>
        <v>3.5548184716220559E-2</v>
      </c>
      <c r="R5958" s="29">
        <v>0.15003660775771735</v>
      </c>
      <c r="S5958" s="30">
        <v>4.6528255999999997E-2</v>
      </c>
    </row>
    <row r="5959" spans="16:19" x14ac:dyDescent="0.25">
      <c r="P5959" s="27">
        <v>3.2548184716220556E-2</v>
      </c>
      <c r="Q5959" s="28">
        <f t="shared" si="97"/>
        <v>3.5548184716220559E-2</v>
      </c>
      <c r="R5959" s="29">
        <v>0.15003660775771735</v>
      </c>
      <c r="S5959" s="30">
        <v>4.8590000000000001E-2</v>
      </c>
    </row>
    <row r="5960" spans="16:19" x14ac:dyDescent="0.25">
      <c r="P5960" s="27">
        <v>3.2548184716220556E-2</v>
      </c>
      <c r="Q5960" s="28">
        <f t="shared" si="97"/>
        <v>3.5548184716220559E-2</v>
      </c>
      <c r="R5960" s="29">
        <v>0.15003660775771735</v>
      </c>
      <c r="S5960" s="30">
        <v>4.9200000000000001E-2</v>
      </c>
    </row>
    <row r="5961" spans="16:19" x14ac:dyDescent="0.25">
      <c r="P5961" s="27">
        <v>3.2548184716220556E-2</v>
      </c>
      <c r="Q5961" s="28">
        <f t="shared" si="97"/>
        <v>3.5548184716220559E-2</v>
      </c>
      <c r="R5961" s="29">
        <v>0.15003660775771735</v>
      </c>
      <c r="S5961" s="30">
        <v>5.151E-2</v>
      </c>
    </row>
    <row r="5962" spans="16:19" x14ac:dyDescent="0.25">
      <c r="P5962" s="27">
        <v>3.2548184716220556E-2</v>
      </c>
      <c r="Q5962" s="28">
        <f t="shared" si="97"/>
        <v>3.5548184716220559E-2</v>
      </c>
      <c r="R5962" s="29">
        <v>0.15003660775771735</v>
      </c>
      <c r="S5962" s="30">
        <v>5.0500000000000003E-2</v>
      </c>
    </row>
    <row r="5963" spans="16:19" x14ac:dyDescent="0.25">
      <c r="P5963" s="27">
        <v>3.2548184716220556E-2</v>
      </c>
      <c r="Q5963" s="28">
        <f t="shared" si="97"/>
        <v>3.5548184716220559E-2</v>
      </c>
      <c r="R5963" s="31">
        <v>0.15939660775771733</v>
      </c>
      <c r="S5963" s="32">
        <v>5.3411101000000002E-2</v>
      </c>
    </row>
    <row r="5964" spans="16:19" x14ac:dyDescent="0.25">
      <c r="P5964" s="27">
        <v>3.2548184716220556E-2</v>
      </c>
      <c r="Q5964" s="28">
        <f t="shared" si="97"/>
        <v>3.5548184716220559E-2</v>
      </c>
      <c r="R5964" s="33">
        <v>0.16282860775771735</v>
      </c>
      <c r="S5964" s="34">
        <v>5.2999999999999999E-2</v>
      </c>
    </row>
    <row r="5965" spans="16:19" x14ac:dyDescent="0.25">
      <c r="P5965" s="27">
        <v>3.2548184716220556E-2</v>
      </c>
      <c r="Q5965" s="28">
        <f t="shared" si="97"/>
        <v>3.5548184716220559E-2</v>
      </c>
      <c r="R5965" s="33">
        <v>0.16282860775771735</v>
      </c>
      <c r="S5965" s="34">
        <v>5.0790000000000002E-2</v>
      </c>
    </row>
    <row r="5966" spans="16:19" x14ac:dyDescent="0.25">
      <c r="P5966" s="27">
        <v>3.2548184716220556E-2</v>
      </c>
      <c r="Q5966" s="28">
        <f t="shared" si="97"/>
        <v>3.5548184716220559E-2</v>
      </c>
      <c r="R5966" s="33">
        <v>0.16282860775771735</v>
      </c>
      <c r="S5966" s="34">
        <v>4.9419999999999999E-2</v>
      </c>
    </row>
    <row r="5967" spans="16:19" x14ac:dyDescent="0.25">
      <c r="P5967" s="27">
        <v>3.2548184716220556E-2</v>
      </c>
      <c r="Q5967" s="28">
        <f t="shared" si="97"/>
        <v>3.5548184716220559E-2</v>
      </c>
      <c r="R5967" s="33">
        <v>0.16282860775771735</v>
      </c>
      <c r="S5967" s="34">
        <v>4.3529999999999999E-2</v>
      </c>
    </row>
    <row r="5968" spans="16:19" x14ac:dyDescent="0.25">
      <c r="P5968" s="27">
        <v>3.2548184716220556E-2</v>
      </c>
      <c r="Q5968" s="28">
        <f t="shared" si="97"/>
        <v>3.5548184716220559E-2</v>
      </c>
      <c r="R5968" s="33">
        <v>0.16282860775771735</v>
      </c>
      <c r="S5968" s="34">
        <v>4.0979999999999996E-2</v>
      </c>
    </row>
    <row r="5969" spans="16:19" x14ac:dyDescent="0.25">
      <c r="P5969" s="27">
        <v>3.2548184716220556E-2</v>
      </c>
      <c r="Q5969" s="28">
        <f t="shared" si="97"/>
        <v>3.5548184716220559E-2</v>
      </c>
      <c r="R5969" s="33">
        <v>0.16282860775771735</v>
      </c>
      <c r="S5969" s="34">
        <v>4.0989999999999999E-2</v>
      </c>
    </row>
    <row r="5970" spans="16:19" x14ac:dyDescent="0.25">
      <c r="P5970" s="27">
        <v>3.2548184716220556E-2</v>
      </c>
      <c r="Q5970" s="28">
        <f t="shared" si="97"/>
        <v>3.5548184716220559E-2</v>
      </c>
      <c r="R5970" s="33">
        <v>0.16282860775771735</v>
      </c>
      <c r="S5970" s="34">
        <v>4.1250000000000002E-2</v>
      </c>
    </row>
    <row r="5971" spans="16:19" x14ac:dyDescent="0.25">
      <c r="P5971" s="27">
        <v>3.2548184716220556E-2</v>
      </c>
      <c r="Q5971" s="28">
        <f t="shared" si="97"/>
        <v>3.5548184716220559E-2</v>
      </c>
      <c r="R5971" s="33">
        <v>0.16282860775771735</v>
      </c>
      <c r="S5971" s="34">
        <v>4.4549999999999999E-2</v>
      </c>
    </row>
    <row r="5972" spans="16:19" x14ac:dyDescent="0.25">
      <c r="P5972" s="27">
        <v>3.2548184716220556E-2</v>
      </c>
      <c r="Q5972" s="28">
        <f t="shared" si="97"/>
        <v>3.5548184716220559E-2</v>
      </c>
      <c r="R5972" s="33">
        <v>0.16282860775771735</v>
      </c>
      <c r="S5972" s="34">
        <v>4.6149999999999997E-2</v>
      </c>
    </row>
    <row r="5973" spans="16:19" x14ac:dyDescent="0.25">
      <c r="P5973" s="27">
        <v>3.2548184716220556E-2</v>
      </c>
      <c r="Q5973" s="28">
        <f t="shared" si="97"/>
        <v>3.5548184716220559E-2</v>
      </c>
      <c r="R5973" s="33">
        <v>0.16282860775771735</v>
      </c>
      <c r="S5973" s="34">
        <v>4.7905748000000005E-2</v>
      </c>
    </row>
    <row r="5974" spans="16:19" x14ac:dyDescent="0.25">
      <c r="P5974" s="27">
        <v>3.2548184716220556E-2</v>
      </c>
      <c r="Q5974" s="28">
        <f t="shared" si="97"/>
        <v>3.5548184716220559E-2</v>
      </c>
      <c r="R5974" s="33">
        <v>0.16282860775771735</v>
      </c>
      <c r="S5974" s="34">
        <v>5.525E-2</v>
      </c>
    </row>
    <row r="5975" spans="16:19" x14ac:dyDescent="0.25">
      <c r="P5975" s="27">
        <v>3.2548184716220556E-2</v>
      </c>
      <c r="Q5975" s="28">
        <f t="shared" si="97"/>
        <v>3.5548184716220559E-2</v>
      </c>
      <c r="R5975" s="31">
        <v>0.15939660775771733</v>
      </c>
      <c r="S5975" s="32">
        <v>5.799E-2</v>
      </c>
    </row>
    <row r="5976" spans="16:19" x14ac:dyDescent="0.25">
      <c r="P5976" s="27">
        <v>3.2548184716220556E-2</v>
      </c>
      <c r="Q5976" s="28">
        <f t="shared" si="97"/>
        <v>3.5548184716220559E-2</v>
      </c>
      <c r="R5976" s="31">
        <v>0.15939660775771733</v>
      </c>
      <c r="S5976" s="32">
        <v>0.05</v>
      </c>
    </row>
    <row r="5977" spans="16:19" x14ac:dyDescent="0.25">
      <c r="P5977" s="27">
        <v>3.2548184716220556E-2</v>
      </c>
      <c r="Q5977" s="28">
        <f t="shared" si="97"/>
        <v>3.5548184716220559E-2</v>
      </c>
      <c r="R5977" s="31">
        <v>0.15939660775771733</v>
      </c>
      <c r="S5977" s="32">
        <v>4.7979999999999995E-2</v>
      </c>
    </row>
    <row r="5978" spans="16:19" x14ac:dyDescent="0.25">
      <c r="P5978" s="27">
        <v>3.2548184716220556E-2</v>
      </c>
      <c r="Q5978" s="28">
        <f t="shared" si="97"/>
        <v>3.5548184716220559E-2</v>
      </c>
      <c r="R5978" s="31">
        <v>0.15939660775771733</v>
      </c>
      <c r="S5978" s="32">
        <v>4.5999999999999999E-2</v>
      </c>
    </row>
    <row r="5979" spans="16:19" x14ac:dyDescent="0.25">
      <c r="P5979" s="27">
        <v>3.2548184716220556E-2</v>
      </c>
      <c r="Q5979" s="28">
        <f t="shared" si="97"/>
        <v>3.5548184716220559E-2</v>
      </c>
      <c r="R5979" s="29">
        <v>0.15003660775771735</v>
      </c>
      <c r="S5979" s="30">
        <v>4.9820000000000003E-2</v>
      </c>
    </row>
    <row r="5980" spans="16:19" x14ac:dyDescent="0.25">
      <c r="P5980" s="27">
        <v>3.2548184716220556E-2</v>
      </c>
      <c r="Q5980" s="28">
        <f t="shared" si="97"/>
        <v>3.5548184716220559E-2</v>
      </c>
      <c r="R5980" s="29">
        <v>0.15003660775771735</v>
      </c>
      <c r="S5980" s="30">
        <v>4.7490000000000004E-2</v>
      </c>
    </row>
    <row r="5981" spans="16:19" x14ac:dyDescent="0.25">
      <c r="P5981" s="27">
        <v>3.2548184716220556E-2</v>
      </c>
      <c r="Q5981" s="28">
        <f t="shared" si="97"/>
        <v>3.5548184716220559E-2</v>
      </c>
      <c r="R5981" s="29">
        <v>0.15003660775771735</v>
      </c>
      <c r="S5981" s="30">
        <v>4.8000000000000001E-2</v>
      </c>
    </row>
    <row r="5982" spans="16:19" x14ac:dyDescent="0.25">
      <c r="P5982" s="27">
        <v>3.2548184716220556E-2</v>
      </c>
      <c r="Q5982" s="28">
        <f t="shared" si="97"/>
        <v>3.5548184716220559E-2</v>
      </c>
      <c r="R5982" s="29">
        <v>0.15003660775771735</v>
      </c>
      <c r="S5982" s="30">
        <v>4.4999999999999998E-2</v>
      </c>
    </row>
    <row r="5983" spans="16:19" x14ac:dyDescent="0.25">
      <c r="P5983" s="27">
        <v>3.2548184716220556E-2</v>
      </c>
      <c r="Q5983" s="28">
        <f t="shared" si="97"/>
        <v>3.5548184716220559E-2</v>
      </c>
      <c r="R5983" s="29">
        <v>0.15003660775771735</v>
      </c>
      <c r="S5983" s="30">
        <v>4.3999999999999997E-2</v>
      </c>
    </row>
    <row r="5984" spans="16:19" x14ac:dyDescent="0.25">
      <c r="P5984" s="27">
        <v>3.2548184716220556E-2</v>
      </c>
      <c r="Q5984" s="28">
        <f t="shared" si="97"/>
        <v>3.5548184716220559E-2</v>
      </c>
      <c r="R5984" s="29">
        <v>0.15003660775771735</v>
      </c>
      <c r="S5984" s="30">
        <v>4.8399999999999999E-2</v>
      </c>
    </row>
    <row r="5985" spans="16:19" x14ac:dyDescent="0.25">
      <c r="P5985" s="27">
        <v>3.2548184716220556E-2</v>
      </c>
      <c r="Q5985" s="28">
        <f t="shared" si="97"/>
        <v>3.5548184716220559E-2</v>
      </c>
      <c r="R5985" s="29">
        <v>0.15003660775771735</v>
      </c>
      <c r="S5985" s="30">
        <v>4.9590000000000002E-2</v>
      </c>
    </row>
    <row r="5986" spans="16:19" x14ac:dyDescent="0.25">
      <c r="P5986" s="27">
        <v>3.2548184716220556E-2</v>
      </c>
      <c r="Q5986" s="28">
        <f t="shared" si="97"/>
        <v>3.5548184716220559E-2</v>
      </c>
      <c r="R5986" s="29">
        <v>0.15003660775771735</v>
      </c>
      <c r="S5986" s="30">
        <v>4.4999999999999998E-2</v>
      </c>
    </row>
    <row r="5987" spans="16:19" x14ac:dyDescent="0.25">
      <c r="P5987" s="27">
        <v>3.2548184716220556E-2</v>
      </c>
      <c r="Q5987" s="28">
        <f t="shared" si="97"/>
        <v>3.5548184716220559E-2</v>
      </c>
      <c r="R5987" s="31">
        <v>0.15939660775771733</v>
      </c>
      <c r="S5987" s="32">
        <v>4.4549999999999999E-2</v>
      </c>
    </row>
    <row r="5988" spans="16:19" x14ac:dyDescent="0.25">
      <c r="P5988" s="27">
        <v>3.2548184716220556E-2</v>
      </c>
      <c r="Q5988" s="28">
        <f t="shared" si="97"/>
        <v>3.5548184716220559E-2</v>
      </c>
      <c r="R5988" s="33">
        <v>0.16282860775771735</v>
      </c>
      <c r="S5988" s="34">
        <v>4.3979999999999998E-2</v>
      </c>
    </row>
    <row r="5989" spans="16:19" x14ac:dyDescent="0.25">
      <c r="P5989" s="27">
        <v>3.2548184716220556E-2</v>
      </c>
      <c r="Q5989" s="28">
        <f t="shared" si="97"/>
        <v>3.5548184716220559E-2</v>
      </c>
      <c r="R5989" s="33">
        <v>0.16282860775771735</v>
      </c>
      <c r="S5989" s="34">
        <v>4.2549999999999998E-2</v>
      </c>
    </row>
    <row r="5990" spans="16:19" x14ac:dyDescent="0.25">
      <c r="P5990" s="27">
        <v>3.2548184716220556E-2</v>
      </c>
      <c r="Q5990" s="28">
        <f t="shared" si="97"/>
        <v>3.5548184716220559E-2</v>
      </c>
      <c r="R5990" s="33">
        <v>0.16282860775771735</v>
      </c>
      <c r="S5990" s="34">
        <v>3.9549999999999995E-2</v>
      </c>
    </row>
    <row r="5991" spans="16:19" x14ac:dyDescent="0.25">
      <c r="P5991" s="27">
        <v>3.2548184716220556E-2</v>
      </c>
      <c r="Q5991" s="28">
        <f t="shared" si="97"/>
        <v>3.5548184716220559E-2</v>
      </c>
      <c r="R5991" s="33">
        <v>0.16282860775771735</v>
      </c>
      <c r="S5991" s="34">
        <v>3.9159999999999993E-2</v>
      </c>
    </row>
    <row r="5992" spans="16:19" x14ac:dyDescent="0.25">
      <c r="P5992" s="27">
        <v>3.2548184716220556E-2</v>
      </c>
      <c r="Q5992" s="28">
        <f t="shared" si="97"/>
        <v>3.5548184716220559E-2</v>
      </c>
      <c r="R5992" s="33">
        <v>0.16282860775771735</v>
      </c>
      <c r="S5992" s="34">
        <v>3.4659999999999996E-2</v>
      </c>
    </row>
    <row r="5993" spans="16:19" x14ac:dyDescent="0.25">
      <c r="P5993" s="27">
        <v>3.2548184716220556E-2</v>
      </c>
      <c r="Q5993" s="28">
        <f t="shared" si="97"/>
        <v>3.5548184716220559E-2</v>
      </c>
      <c r="R5993" s="33">
        <v>0.16282860775771735</v>
      </c>
      <c r="S5993" s="34">
        <v>3.7719999999999997E-2</v>
      </c>
    </row>
    <row r="5994" spans="16:19" x14ac:dyDescent="0.25">
      <c r="P5994" s="27">
        <v>3.2548184716220556E-2</v>
      </c>
      <c r="Q5994" s="28">
        <f t="shared" si="97"/>
        <v>3.5548184716220559E-2</v>
      </c>
      <c r="R5994" s="33">
        <v>0.16282860775771735</v>
      </c>
      <c r="S5994" s="34">
        <v>4.0989999999999999E-2</v>
      </c>
    </row>
    <row r="5995" spans="16:19" x14ac:dyDescent="0.25">
      <c r="P5995" s="27">
        <v>3.2548184716220556E-2</v>
      </c>
      <c r="Q5995" s="28">
        <f t="shared" si="97"/>
        <v>3.5548184716220559E-2</v>
      </c>
      <c r="R5995" s="33">
        <v>0.16282860775771735</v>
      </c>
      <c r="S5995" s="34">
        <v>4.4999999999999998E-2</v>
      </c>
    </row>
    <row r="5996" spans="16:19" x14ac:dyDescent="0.25">
      <c r="P5996" s="27">
        <v>3.2548184716220556E-2</v>
      </c>
      <c r="Q5996" s="28">
        <f t="shared" si="97"/>
        <v>3.5548184716220559E-2</v>
      </c>
      <c r="R5996" s="33">
        <v>0.16282860775771735</v>
      </c>
      <c r="S5996" s="34">
        <v>4.8989999999999999E-2</v>
      </c>
    </row>
    <row r="5997" spans="16:19" x14ac:dyDescent="0.25">
      <c r="P5997" s="27">
        <v>3.2548184716220556E-2</v>
      </c>
      <c r="Q5997" s="28">
        <f t="shared" si="97"/>
        <v>3.5548184716220559E-2</v>
      </c>
      <c r="R5997" s="33">
        <v>0.16282860775771735</v>
      </c>
      <c r="S5997" s="34">
        <v>4.9970000000000001E-2</v>
      </c>
    </row>
    <row r="5998" spans="16:19" x14ac:dyDescent="0.25">
      <c r="P5998" s="27">
        <v>3.2548184716220556E-2</v>
      </c>
      <c r="Q5998" s="28">
        <f t="shared" si="97"/>
        <v>3.5548184716220559E-2</v>
      </c>
      <c r="R5998" s="33">
        <v>0.16282860775771735</v>
      </c>
      <c r="S5998" s="34">
        <v>5.4060000000000004E-2</v>
      </c>
    </row>
    <row r="5999" spans="16:19" x14ac:dyDescent="0.25">
      <c r="P5999" s="27">
        <v>3.2548184716220556E-2</v>
      </c>
      <c r="Q5999" s="28">
        <f t="shared" si="97"/>
        <v>3.5548184716220559E-2</v>
      </c>
      <c r="R5999" s="31">
        <v>0.15939660775771733</v>
      </c>
      <c r="S5999" s="32">
        <v>6.5000000000000002E-2</v>
      </c>
    </row>
    <row r="6000" spans="16:19" x14ac:dyDescent="0.25">
      <c r="P6000" s="27">
        <v>3.2548184716220556E-2</v>
      </c>
      <c r="Q6000" s="28">
        <f t="shared" si="97"/>
        <v>3.5548184716220559E-2</v>
      </c>
      <c r="R6000" s="31">
        <v>0.15939660775771733</v>
      </c>
      <c r="S6000" s="32">
        <v>5.2150000000000002E-2</v>
      </c>
    </row>
    <row r="6001" spans="16:19" x14ac:dyDescent="0.25">
      <c r="P6001" s="27">
        <v>3.2548184716220556E-2</v>
      </c>
      <c r="Q6001" s="28">
        <f t="shared" si="97"/>
        <v>3.5548184716220559E-2</v>
      </c>
      <c r="R6001" s="31">
        <v>0.15939660775771733</v>
      </c>
      <c r="S6001" s="32">
        <v>4.9779999999999998E-2</v>
      </c>
    </row>
    <row r="6002" spans="16:19" x14ac:dyDescent="0.25">
      <c r="P6002" s="27">
        <v>3.2548184716220556E-2</v>
      </c>
      <c r="Q6002" s="28">
        <f t="shared" si="97"/>
        <v>3.5548184716220559E-2</v>
      </c>
      <c r="R6002" s="31">
        <v>0.15939660775771733</v>
      </c>
      <c r="S6002" s="32">
        <v>4.8000000000000001E-2</v>
      </c>
    </row>
    <row r="6003" spans="16:19" x14ac:dyDescent="0.25">
      <c r="P6003" s="27">
        <v>3.2548184716220556E-2</v>
      </c>
      <c r="Q6003" s="28">
        <f t="shared" si="97"/>
        <v>3.5548184716220559E-2</v>
      </c>
      <c r="R6003" s="29">
        <v>0.15003660775771735</v>
      </c>
      <c r="S6003" s="30">
        <v>4.4999999999999998E-2</v>
      </c>
    </row>
    <row r="6004" spans="16:19" x14ac:dyDescent="0.25">
      <c r="P6004" s="27">
        <v>3.2548184716220556E-2</v>
      </c>
      <c r="Q6004" s="28">
        <f t="shared" si="97"/>
        <v>3.5548184716220559E-2</v>
      </c>
      <c r="R6004" s="29">
        <v>0.15003660775771735</v>
      </c>
      <c r="S6004" s="30">
        <v>4.1250000000000002E-2</v>
      </c>
    </row>
    <row r="6005" spans="16:19" x14ac:dyDescent="0.25">
      <c r="P6005" s="27">
        <v>3.2548184716220556E-2</v>
      </c>
      <c r="Q6005" s="28">
        <f t="shared" si="97"/>
        <v>3.5548184716220559E-2</v>
      </c>
      <c r="R6005" s="29">
        <v>0.15003660775771735</v>
      </c>
      <c r="S6005" s="30">
        <v>4.0350000000000004E-2</v>
      </c>
    </row>
    <row r="6006" spans="16:19" x14ac:dyDescent="0.25">
      <c r="P6006" s="27">
        <v>3.2548184716220556E-2</v>
      </c>
      <c r="Q6006" s="28">
        <f t="shared" si="97"/>
        <v>3.5548184716220559E-2</v>
      </c>
      <c r="R6006" s="29">
        <v>0.15003660775771735</v>
      </c>
      <c r="S6006" s="30">
        <v>4.0542043999999999E-2</v>
      </c>
    </row>
    <row r="6007" spans="16:19" x14ac:dyDescent="0.25">
      <c r="P6007" s="27">
        <v>3.2548184716220556E-2</v>
      </c>
      <c r="Q6007" s="28">
        <f t="shared" si="97"/>
        <v>3.5548184716220559E-2</v>
      </c>
      <c r="R6007" s="29">
        <v>0.15003660775771735</v>
      </c>
      <c r="S6007" s="30">
        <v>4.0350000000000004E-2</v>
      </c>
    </row>
    <row r="6008" spans="16:19" x14ac:dyDescent="0.25">
      <c r="P6008" s="27">
        <v>3.2548184716220556E-2</v>
      </c>
      <c r="Q6008" s="28">
        <f t="shared" si="97"/>
        <v>3.5548184716220559E-2</v>
      </c>
      <c r="R6008" s="29">
        <v>0.15003660775771735</v>
      </c>
      <c r="S6008" s="30">
        <v>4.4999999999999998E-2</v>
      </c>
    </row>
    <row r="6009" spans="16:19" x14ac:dyDescent="0.25">
      <c r="P6009" s="27">
        <v>3.2548184716220556E-2</v>
      </c>
      <c r="Q6009" s="28">
        <f t="shared" si="97"/>
        <v>3.5548184716220559E-2</v>
      </c>
      <c r="R6009" s="29">
        <v>0.15003660775771735</v>
      </c>
      <c r="S6009" s="30">
        <v>5.3450000000000004E-2</v>
      </c>
    </row>
    <row r="6010" spans="16:19" x14ac:dyDescent="0.25">
      <c r="P6010" s="27">
        <v>3.2548184716220556E-2</v>
      </c>
      <c r="Q6010" s="28">
        <f t="shared" si="97"/>
        <v>3.5548184716220559E-2</v>
      </c>
      <c r="R6010" s="29">
        <v>0.15003660775771735</v>
      </c>
      <c r="S6010" s="30">
        <v>5.0999999999999997E-2</v>
      </c>
    </row>
    <row r="6011" spans="16:19" x14ac:dyDescent="0.25">
      <c r="P6011" s="27">
        <v>3.2548184716220556E-2</v>
      </c>
      <c r="Q6011" s="28">
        <f t="shared" si="97"/>
        <v>3.5548184716220559E-2</v>
      </c>
      <c r="R6011" s="31">
        <v>0.15939999999999999</v>
      </c>
      <c r="S6011" s="32">
        <v>5.799E-2</v>
      </c>
    </row>
    <row r="6012" spans="16:19" x14ac:dyDescent="0.25">
      <c r="P6012" s="27">
        <v>3.2548184716220556E-2</v>
      </c>
      <c r="Q6012" s="28">
        <f t="shared" si="97"/>
        <v>3.5548184716220559E-2</v>
      </c>
      <c r="R6012" s="31">
        <v>0.15939999999999999</v>
      </c>
      <c r="S6012" s="32">
        <v>5.57E-2</v>
      </c>
    </row>
    <row r="6013" spans="16:19" x14ac:dyDescent="0.25">
      <c r="P6013" s="27">
        <v>3.2548184716220556E-2</v>
      </c>
      <c r="Q6013" s="28">
        <f t="shared" si="97"/>
        <v>3.5548184716220559E-2</v>
      </c>
      <c r="R6013" s="31">
        <v>0.15939999999999999</v>
      </c>
      <c r="S6013" s="32">
        <v>5.1240000000000001E-2</v>
      </c>
    </row>
    <row r="6014" spans="16:19" x14ac:dyDescent="0.25">
      <c r="P6014" s="27">
        <v>3.2548184716220556E-2</v>
      </c>
      <c r="Q6014" s="28">
        <f t="shared" si="97"/>
        <v>3.5548184716220559E-2</v>
      </c>
      <c r="R6014" s="31">
        <v>0.15939999999999999</v>
      </c>
      <c r="S6014" s="32">
        <v>4.999E-2</v>
      </c>
    </row>
    <row r="6015" spans="16:19" x14ac:dyDescent="0.25">
      <c r="P6015" s="27">
        <v>3.2548184716220556E-2</v>
      </c>
      <c r="Q6015" s="28">
        <f t="shared" si="97"/>
        <v>3.5548184716220559E-2</v>
      </c>
      <c r="R6015" s="31">
        <v>0.15939999999999999</v>
      </c>
      <c r="S6015" s="32">
        <v>4.5490000000000003E-2</v>
      </c>
    </row>
    <row r="6016" spans="16:19" x14ac:dyDescent="0.25">
      <c r="P6016" s="27">
        <v>3.2548184716220556E-2</v>
      </c>
      <c r="Q6016" s="28">
        <f t="shared" si="97"/>
        <v>3.5548184716220559E-2</v>
      </c>
      <c r="R6016" s="31">
        <v>0.15939999999999999</v>
      </c>
      <c r="S6016" s="32">
        <v>4.419E-2</v>
      </c>
    </row>
    <row r="6017" spans="16:19" x14ac:dyDescent="0.25">
      <c r="P6017" s="27">
        <v>3.2548184716220556E-2</v>
      </c>
      <c r="Q6017" s="28">
        <f t="shared" si="97"/>
        <v>3.5548184716220559E-2</v>
      </c>
      <c r="R6017" s="31">
        <v>0.15939999999999999</v>
      </c>
      <c r="S6017" s="32">
        <v>4.999E-2</v>
      </c>
    </row>
    <row r="6018" spans="16:19" x14ac:dyDescent="0.25">
      <c r="P6018" s="27">
        <v>3.2548184716220556E-2</v>
      </c>
      <c r="Q6018" s="28">
        <f t="shared" si="97"/>
        <v>3.5548184716220559E-2</v>
      </c>
      <c r="R6018" s="31">
        <v>0.15939999999999999</v>
      </c>
      <c r="S6018" s="32">
        <v>5.1179999999999996E-2</v>
      </c>
    </row>
    <row r="6019" spans="16:19" x14ac:dyDescent="0.25">
      <c r="P6019" s="27">
        <v>3.2548184716220556E-2</v>
      </c>
      <c r="Q6019" s="28">
        <f t="shared" si="97"/>
        <v>3.5548184716220559E-2</v>
      </c>
      <c r="R6019" s="31">
        <v>0.15939999999999999</v>
      </c>
      <c r="S6019" s="32">
        <v>5.3999999999999999E-2</v>
      </c>
    </row>
    <row r="6020" spans="16:19" x14ac:dyDescent="0.25">
      <c r="P6020" s="27">
        <v>3.2548184716220556E-2</v>
      </c>
      <c r="Q6020" s="28">
        <f t="shared" si="97"/>
        <v>3.5548184716220559E-2</v>
      </c>
      <c r="R6020" s="31">
        <v>0.15939999999999999</v>
      </c>
      <c r="S6020" s="32">
        <v>5.391E-2</v>
      </c>
    </row>
    <row r="6021" spans="16:19" x14ac:dyDescent="0.25">
      <c r="P6021" s="27">
        <v>3.2548184716220556E-2</v>
      </c>
      <c r="Q6021" s="28">
        <f t="shared" ref="Q6021:Q6084" si="98">P6021+0.003</f>
        <v>3.5548184716220559E-2</v>
      </c>
      <c r="R6021" s="31">
        <v>0.15939999999999999</v>
      </c>
      <c r="S6021" s="32">
        <v>5.5640000000000002E-2</v>
      </c>
    </row>
    <row r="6022" spans="16:19" x14ac:dyDescent="0.25">
      <c r="P6022" s="27">
        <v>3.2548184716220556E-2</v>
      </c>
      <c r="Q6022" s="28">
        <f t="shared" si="98"/>
        <v>3.5548184716220559E-2</v>
      </c>
      <c r="R6022" s="31">
        <v>0.15939999999999999</v>
      </c>
      <c r="S6022" s="32">
        <v>5.8689999999999999E-2</v>
      </c>
    </row>
    <row r="6023" spans="16:19" x14ac:dyDescent="0.25">
      <c r="P6023" s="27">
        <v>3.2548184716220556E-2</v>
      </c>
      <c r="Q6023" s="28">
        <f t="shared" si="98"/>
        <v>3.5548184716220559E-2</v>
      </c>
      <c r="R6023" s="31">
        <v>0.15939999999999999</v>
      </c>
      <c r="S6023" s="32">
        <v>7.1169022999999998E-2</v>
      </c>
    </row>
    <row r="6024" spans="16:19" x14ac:dyDescent="0.25">
      <c r="P6024" s="27">
        <v>3.2548184716220556E-2</v>
      </c>
      <c r="Q6024" s="28">
        <f t="shared" si="98"/>
        <v>3.5548184716220559E-2</v>
      </c>
      <c r="R6024" s="31">
        <v>0.15939999999999999</v>
      </c>
      <c r="S6024" s="32">
        <v>5.6000000000000001E-2</v>
      </c>
    </row>
    <row r="6025" spans="16:19" x14ac:dyDescent="0.25">
      <c r="P6025" s="27">
        <v>3.2548184716220556E-2</v>
      </c>
      <c r="Q6025" s="28">
        <f t="shared" si="98"/>
        <v>3.5548184716220559E-2</v>
      </c>
      <c r="R6025" s="31">
        <v>0.15939999999999999</v>
      </c>
      <c r="S6025" s="32">
        <v>5.0479999999999997E-2</v>
      </c>
    </row>
    <row r="6026" spans="16:19" x14ac:dyDescent="0.25">
      <c r="P6026" s="27">
        <v>3.2548184716220556E-2</v>
      </c>
      <c r="Q6026" s="28">
        <f t="shared" si="98"/>
        <v>3.5548184716220559E-2</v>
      </c>
      <c r="R6026" s="31">
        <v>0.15939999999999999</v>
      </c>
      <c r="S6026" s="32">
        <v>4.8989999999999999E-2</v>
      </c>
    </row>
    <row r="6027" spans="16:19" x14ac:dyDescent="0.25">
      <c r="P6027" s="27">
        <v>3.2548184716220556E-2</v>
      </c>
      <c r="Q6027" s="28">
        <f t="shared" si="98"/>
        <v>3.5548184716220559E-2</v>
      </c>
      <c r="R6027" s="29">
        <v>0.15</v>
      </c>
      <c r="S6027" s="30">
        <v>5.1069999999999997E-2</v>
      </c>
    </row>
    <row r="6028" spans="16:19" x14ac:dyDescent="0.25">
      <c r="P6028" s="27">
        <v>3.2548184716220556E-2</v>
      </c>
      <c r="Q6028" s="28">
        <f t="shared" si="98"/>
        <v>3.5548184716220559E-2</v>
      </c>
      <c r="R6028" s="29">
        <v>0.15</v>
      </c>
      <c r="S6028" s="30">
        <v>4.8250000000000001E-2</v>
      </c>
    </row>
    <row r="6029" spans="16:19" x14ac:dyDescent="0.25">
      <c r="P6029" s="27">
        <v>3.2548184716220556E-2</v>
      </c>
      <c r="Q6029" s="28">
        <f t="shared" si="98"/>
        <v>3.5548184716220559E-2</v>
      </c>
      <c r="R6029" s="29">
        <v>0.15</v>
      </c>
      <c r="S6029" s="30">
        <v>4.5912156000000003E-2</v>
      </c>
    </row>
    <row r="6030" spans="16:19" x14ac:dyDescent="0.25">
      <c r="P6030" s="27">
        <v>3.2548184716220556E-2</v>
      </c>
      <c r="Q6030" s="28">
        <f t="shared" si="98"/>
        <v>3.5548184716220559E-2</v>
      </c>
      <c r="R6030" s="29">
        <v>0.15</v>
      </c>
      <c r="S6030" s="30">
        <v>4.4999999999999998E-2</v>
      </c>
    </row>
    <row r="6031" spans="16:19" x14ac:dyDescent="0.25">
      <c r="P6031" s="27">
        <v>3.2548184716220556E-2</v>
      </c>
      <c r="Q6031" s="28">
        <f t="shared" si="98"/>
        <v>3.5548184716220559E-2</v>
      </c>
      <c r="R6031" s="29">
        <v>0.15</v>
      </c>
      <c r="S6031" s="30">
        <v>4.5689999999999995E-2</v>
      </c>
    </row>
    <row r="6032" spans="16:19" x14ac:dyDescent="0.25">
      <c r="P6032" s="27">
        <v>3.2548184716220556E-2</v>
      </c>
      <c r="Q6032" s="28">
        <f t="shared" si="98"/>
        <v>3.5548184716220559E-2</v>
      </c>
      <c r="R6032" s="29">
        <v>0.15</v>
      </c>
      <c r="S6032" s="30">
        <v>4.8590000000000001E-2</v>
      </c>
    </row>
    <row r="6033" spans="16:19" x14ac:dyDescent="0.25">
      <c r="P6033" s="27">
        <v>3.2548184716220556E-2</v>
      </c>
      <c r="Q6033" s="28">
        <f t="shared" si="98"/>
        <v>3.5548184716220559E-2</v>
      </c>
      <c r="R6033" s="29">
        <v>0.15</v>
      </c>
      <c r="S6033" s="30">
        <v>5.6079999999999998E-2</v>
      </c>
    </row>
    <row r="6034" spans="16:19" x14ac:dyDescent="0.25">
      <c r="P6034" s="27">
        <v>3.2548184716220556E-2</v>
      </c>
      <c r="Q6034" s="28">
        <f t="shared" si="98"/>
        <v>3.5548184716220559E-2</v>
      </c>
      <c r="R6034" s="29">
        <v>0.15</v>
      </c>
      <c r="S6034" s="30">
        <v>5.4520000000000006E-2</v>
      </c>
    </row>
    <row r="6035" spans="16:19" x14ac:dyDescent="0.25">
      <c r="P6035" s="27">
        <v>3.2548184716220556E-2</v>
      </c>
      <c r="Q6035" s="28">
        <f t="shared" si="98"/>
        <v>3.5548184716220559E-2</v>
      </c>
      <c r="R6035" s="29">
        <v>0.15</v>
      </c>
      <c r="S6035" s="30">
        <v>0.06</v>
      </c>
    </row>
    <row r="6036" spans="16:19" x14ac:dyDescent="0.25">
      <c r="P6036" s="27">
        <v>3.2548184716220556E-2</v>
      </c>
      <c r="Q6036" s="28">
        <f t="shared" si="98"/>
        <v>3.5548184716220559E-2</v>
      </c>
      <c r="R6036" s="29">
        <v>0.15</v>
      </c>
      <c r="S6036" s="30">
        <v>5.7460000000000004E-2</v>
      </c>
    </row>
    <row r="6037" spans="16:19" x14ac:dyDescent="0.25">
      <c r="P6037" s="27">
        <v>3.2548184716220556E-2</v>
      </c>
      <c r="Q6037" s="28">
        <f t="shared" si="98"/>
        <v>3.5548184716220559E-2</v>
      </c>
      <c r="R6037" s="29">
        <v>0.15</v>
      </c>
      <c r="S6037" s="30">
        <v>5.3329999999999995E-2</v>
      </c>
    </row>
    <row r="6038" spans="16:19" x14ac:dyDescent="0.25">
      <c r="P6038" s="27">
        <v>3.2548184716220556E-2</v>
      </c>
      <c r="Q6038" s="28">
        <f t="shared" si="98"/>
        <v>3.5548184716220559E-2</v>
      </c>
      <c r="R6038" s="29">
        <v>0.15</v>
      </c>
      <c r="S6038" s="30">
        <v>5.2600000000000001E-2</v>
      </c>
    </row>
    <row r="6039" spans="16:19" x14ac:dyDescent="0.25">
      <c r="P6039" s="27">
        <v>3.2548184716220556E-2</v>
      </c>
      <c r="Q6039" s="28">
        <f t="shared" si="98"/>
        <v>3.5548184716220559E-2</v>
      </c>
      <c r="R6039" s="29">
        <v>0.15</v>
      </c>
      <c r="S6039" s="30">
        <v>4.999E-2</v>
      </c>
    </row>
    <row r="6040" spans="16:19" x14ac:dyDescent="0.25">
      <c r="P6040" s="27">
        <v>3.2548184716220556E-2</v>
      </c>
      <c r="Q6040" s="28">
        <f t="shared" si="98"/>
        <v>3.5548184716220559E-2</v>
      </c>
      <c r="R6040" s="29">
        <v>0.15</v>
      </c>
      <c r="S6040" s="30">
        <v>5.0590000000000003E-2</v>
      </c>
    </row>
    <row r="6041" spans="16:19" x14ac:dyDescent="0.25">
      <c r="P6041" s="27">
        <v>3.2548184716220556E-2</v>
      </c>
      <c r="Q6041" s="28">
        <f t="shared" si="98"/>
        <v>3.5548184716220559E-2</v>
      </c>
      <c r="R6041" s="29">
        <v>0.15</v>
      </c>
      <c r="S6041" s="30">
        <v>5.4520000000000006E-2</v>
      </c>
    </row>
    <row r="6042" spans="16:19" x14ac:dyDescent="0.25">
      <c r="P6042" s="27">
        <v>3.2548184716220556E-2</v>
      </c>
      <c r="Q6042" s="28">
        <f t="shared" si="98"/>
        <v>3.5548184716220559E-2</v>
      </c>
      <c r="R6042" s="29">
        <v>0.15</v>
      </c>
      <c r="S6042" s="30">
        <v>5.799E-2</v>
      </c>
    </row>
    <row r="6043" spans="16:19" x14ac:dyDescent="0.25">
      <c r="P6043" s="27">
        <v>3.2548184716220556E-2</v>
      </c>
      <c r="Q6043" s="28">
        <f t="shared" si="98"/>
        <v>3.5548184716220559E-2</v>
      </c>
      <c r="R6043" s="29">
        <v>0.15</v>
      </c>
      <c r="S6043" s="30">
        <v>5.9279999999999999E-2</v>
      </c>
    </row>
    <row r="6044" spans="16:19" x14ac:dyDescent="0.25">
      <c r="P6044" s="27">
        <v>3.2548184716220556E-2</v>
      </c>
      <c r="Q6044" s="28">
        <f t="shared" si="98"/>
        <v>3.5548184716220559E-2</v>
      </c>
      <c r="R6044" s="29">
        <v>0.15</v>
      </c>
      <c r="S6044" s="30">
        <v>5.5E-2</v>
      </c>
    </row>
    <row r="6045" spans="16:19" x14ac:dyDescent="0.25">
      <c r="P6045" s="27">
        <v>3.2548184716220556E-2</v>
      </c>
      <c r="Q6045" s="28">
        <f t="shared" si="98"/>
        <v>3.5548184716220559E-2</v>
      </c>
      <c r="R6045" s="29">
        <v>0.15</v>
      </c>
      <c r="S6045" s="30">
        <v>5.6000000000000001E-2</v>
      </c>
    </row>
    <row r="6046" spans="16:19" x14ac:dyDescent="0.25">
      <c r="P6046" s="27">
        <v>3.2548184716220556E-2</v>
      </c>
      <c r="Q6046" s="28">
        <f t="shared" si="98"/>
        <v>3.5548184716220559E-2</v>
      </c>
      <c r="R6046" s="29">
        <v>0.15</v>
      </c>
      <c r="S6046" s="30">
        <v>5.9270000000000003E-2</v>
      </c>
    </row>
    <row r="6047" spans="16:19" x14ac:dyDescent="0.25">
      <c r="P6047" s="27">
        <v>3.2548184716220556E-2</v>
      </c>
      <c r="Q6047" s="28">
        <f t="shared" si="98"/>
        <v>3.5548184716220559E-2</v>
      </c>
      <c r="R6047" s="29">
        <v>0.15</v>
      </c>
      <c r="S6047" s="30">
        <v>7.153291299999999E-2</v>
      </c>
    </row>
    <row r="6048" spans="16:19" x14ac:dyDescent="0.25">
      <c r="P6048" s="27">
        <v>3.2548184716220556E-2</v>
      </c>
      <c r="Q6048" s="28">
        <f t="shared" si="98"/>
        <v>3.5548184716220559E-2</v>
      </c>
      <c r="R6048" s="29">
        <v>0.15</v>
      </c>
      <c r="S6048" s="30">
        <v>5.4880000000000005E-2</v>
      </c>
    </row>
    <row r="6049" spans="16:19" x14ac:dyDescent="0.25">
      <c r="P6049" s="27">
        <v>3.2548184716220556E-2</v>
      </c>
      <c r="Q6049" s="28">
        <f t="shared" si="98"/>
        <v>3.5548184716220559E-2</v>
      </c>
      <c r="R6049" s="29">
        <v>0.15</v>
      </c>
      <c r="S6049" s="30">
        <v>5.0979999999999998E-2</v>
      </c>
    </row>
    <row r="6050" spans="16:19" x14ac:dyDescent="0.25">
      <c r="P6050" s="27">
        <v>3.2548184716220556E-2</v>
      </c>
      <c r="Q6050" s="28">
        <f t="shared" si="98"/>
        <v>3.5548184716220559E-2</v>
      </c>
      <c r="R6050" s="29">
        <v>0.15</v>
      </c>
      <c r="S6050" s="30">
        <v>4.9970000000000001E-2</v>
      </c>
    </row>
    <row r="6051" spans="16:19" x14ac:dyDescent="0.25">
      <c r="P6051" s="27">
        <v>3.2548184716220556E-2</v>
      </c>
      <c r="Q6051" s="28">
        <f t="shared" si="98"/>
        <v>3.5548184716220559E-2</v>
      </c>
      <c r="R6051" s="29">
        <v>0.15</v>
      </c>
      <c r="S6051" s="30">
        <v>5.0799999999999998E-2</v>
      </c>
    </row>
    <row r="6052" spans="16:19" x14ac:dyDescent="0.25">
      <c r="P6052" s="27">
        <v>3.2548184716220556E-2</v>
      </c>
      <c r="Q6052" s="28">
        <f t="shared" si="98"/>
        <v>3.5548184716220559E-2</v>
      </c>
      <c r="R6052" s="29">
        <v>0.15</v>
      </c>
      <c r="S6052" s="30">
        <v>4.8000000000000001E-2</v>
      </c>
    </row>
    <row r="6053" spans="16:19" x14ac:dyDescent="0.25">
      <c r="P6053" s="27">
        <v>3.2548184716220556E-2</v>
      </c>
      <c r="Q6053" s="28">
        <f t="shared" si="98"/>
        <v>3.5548184716220559E-2</v>
      </c>
      <c r="R6053" s="29">
        <v>0.15</v>
      </c>
      <c r="S6053" s="30">
        <v>4.6979999999999994E-2</v>
      </c>
    </row>
    <row r="6054" spans="16:19" x14ac:dyDescent="0.25">
      <c r="P6054" s="27">
        <v>3.2548184716220556E-2</v>
      </c>
      <c r="Q6054" s="28">
        <f t="shared" si="98"/>
        <v>3.5548184716220559E-2</v>
      </c>
      <c r="R6054" s="29">
        <v>0.15</v>
      </c>
      <c r="S6054" s="30">
        <v>4.7799999999999995E-2</v>
      </c>
    </row>
    <row r="6055" spans="16:19" x14ac:dyDescent="0.25">
      <c r="P6055" s="27">
        <v>3.2548184716220556E-2</v>
      </c>
      <c r="Q6055" s="28">
        <f t="shared" si="98"/>
        <v>3.5548184716220559E-2</v>
      </c>
      <c r="R6055" s="29">
        <v>0.15</v>
      </c>
      <c r="S6055" s="30">
        <v>4.8000000000000001E-2</v>
      </c>
    </row>
    <row r="6056" spans="16:19" x14ac:dyDescent="0.25">
      <c r="P6056" s="27">
        <v>3.2548184716220556E-2</v>
      </c>
      <c r="Q6056" s="28">
        <f t="shared" si="98"/>
        <v>3.5548184716220559E-2</v>
      </c>
      <c r="R6056" s="29">
        <v>0.15</v>
      </c>
      <c r="S6056" s="30">
        <v>4.9020000000000001E-2</v>
      </c>
    </row>
    <row r="6057" spans="16:19" x14ac:dyDescent="0.25">
      <c r="P6057" s="27">
        <v>3.2548184716220556E-2</v>
      </c>
      <c r="Q6057" s="28">
        <f t="shared" si="98"/>
        <v>3.5548184716220559E-2</v>
      </c>
      <c r="R6057" s="29">
        <v>0.15</v>
      </c>
      <c r="S6057" s="30">
        <v>5.4549999999999994E-2</v>
      </c>
    </row>
    <row r="6058" spans="16:19" x14ac:dyDescent="0.25">
      <c r="P6058" s="27">
        <v>3.2548184716220556E-2</v>
      </c>
      <c r="Q6058" s="28">
        <f t="shared" si="98"/>
        <v>3.5548184716220559E-2</v>
      </c>
      <c r="R6058" s="29">
        <v>0.15</v>
      </c>
      <c r="S6058" s="30">
        <v>5.6770000000000001E-2</v>
      </c>
    </row>
    <row r="6059" spans="16:19" x14ac:dyDescent="0.25">
      <c r="P6059" s="27">
        <v>3.2548184716220556E-2</v>
      </c>
      <c r="Q6059" s="28">
        <f t="shared" si="98"/>
        <v>3.5548184716220559E-2</v>
      </c>
      <c r="R6059" s="31">
        <v>0.15939660775771733</v>
      </c>
      <c r="S6059" s="32">
        <v>7.7505816999999991E-2</v>
      </c>
    </row>
    <row r="6060" spans="16:19" x14ac:dyDescent="0.25">
      <c r="P6060" s="27">
        <v>3.2548184716220556E-2</v>
      </c>
      <c r="Q6060" s="28">
        <f t="shared" si="98"/>
        <v>3.5548184716220559E-2</v>
      </c>
      <c r="R6060" s="33">
        <v>0.16282860775771735</v>
      </c>
      <c r="S6060" s="34">
        <v>7.8989999999999991E-2</v>
      </c>
    </row>
    <row r="6061" spans="16:19" x14ac:dyDescent="0.25">
      <c r="P6061" s="27">
        <v>3.2548184716220556E-2</v>
      </c>
      <c r="Q6061" s="28">
        <f t="shared" si="98"/>
        <v>3.5548184716220559E-2</v>
      </c>
      <c r="R6061" s="33">
        <v>0.16282860775771735</v>
      </c>
      <c r="S6061" s="34">
        <v>7.3999999999999996E-2</v>
      </c>
    </row>
    <row r="6062" spans="16:19" x14ac:dyDescent="0.25">
      <c r="P6062" s="27">
        <v>3.2548184716220556E-2</v>
      </c>
      <c r="Q6062" s="28">
        <f t="shared" si="98"/>
        <v>3.5548184716220559E-2</v>
      </c>
      <c r="R6062" s="33">
        <v>0.16282860775771735</v>
      </c>
      <c r="S6062" s="34">
        <v>7.1649463999999996E-2</v>
      </c>
    </row>
    <row r="6063" spans="16:19" x14ac:dyDescent="0.25">
      <c r="P6063" s="27">
        <v>3.2548184716220556E-2</v>
      </c>
      <c r="Q6063" s="28">
        <f t="shared" si="98"/>
        <v>3.5548184716220559E-2</v>
      </c>
      <c r="R6063" s="33">
        <v>0.16282860775771735</v>
      </c>
      <c r="S6063" s="34">
        <v>6.3E-2</v>
      </c>
    </row>
    <row r="6064" spans="16:19" x14ac:dyDescent="0.25">
      <c r="P6064" s="27">
        <v>3.2548184716220556E-2</v>
      </c>
      <c r="Q6064" s="28">
        <f t="shared" si="98"/>
        <v>3.5548184716220559E-2</v>
      </c>
      <c r="R6064" s="33">
        <v>0.16282860775771735</v>
      </c>
      <c r="S6064" s="34">
        <v>6.0999999999999999E-2</v>
      </c>
    </row>
    <row r="6065" spans="16:19" x14ac:dyDescent="0.25">
      <c r="P6065" s="27">
        <v>3.2548184716220556E-2</v>
      </c>
      <c r="Q6065" s="28">
        <f t="shared" si="98"/>
        <v>3.5548184716220559E-2</v>
      </c>
      <c r="R6065" s="33">
        <v>0.16282860775771735</v>
      </c>
      <c r="S6065" s="34">
        <v>7.2230845000000002E-2</v>
      </c>
    </row>
    <row r="6066" spans="16:19" x14ac:dyDescent="0.25">
      <c r="P6066" s="27">
        <v>3.2548184716220556E-2</v>
      </c>
      <c r="Q6066" s="28">
        <f t="shared" si="98"/>
        <v>3.5548184716220559E-2</v>
      </c>
      <c r="R6066" s="33">
        <v>0.16282860775771735</v>
      </c>
      <c r="S6066" s="34">
        <v>8.1060000000000007E-2</v>
      </c>
    </row>
    <row r="6067" spans="16:19" x14ac:dyDescent="0.25">
      <c r="P6067" s="27">
        <v>3.2548184716220556E-2</v>
      </c>
      <c r="Q6067" s="28">
        <f t="shared" si="98"/>
        <v>3.5548184716220559E-2</v>
      </c>
      <c r="R6067" s="33">
        <v>0.16282860775771735</v>
      </c>
      <c r="S6067" s="34">
        <v>0.09</v>
      </c>
    </row>
    <row r="6068" spans="16:19" x14ac:dyDescent="0.25">
      <c r="P6068" s="27">
        <v>3.2548184716220556E-2</v>
      </c>
      <c r="Q6068" s="28">
        <f t="shared" si="98"/>
        <v>3.5548184716220559E-2</v>
      </c>
      <c r="R6068" s="33">
        <v>0.16282860775771735</v>
      </c>
      <c r="S6068" s="34">
        <v>7.2158860000000005E-2</v>
      </c>
    </row>
    <row r="6069" spans="16:19" x14ac:dyDescent="0.25">
      <c r="P6069" s="27">
        <v>3.2548184716220556E-2</v>
      </c>
      <c r="Q6069" s="28">
        <f t="shared" si="98"/>
        <v>3.5548184716220559E-2</v>
      </c>
      <c r="R6069" s="33">
        <v>0.16282860775771735</v>
      </c>
      <c r="S6069" s="34">
        <v>5.7479999999999996E-2</v>
      </c>
    </row>
    <row r="6070" spans="16:19" x14ac:dyDescent="0.25">
      <c r="P6070" s="27">
        <v>3.2548184716220556E-2</v>
      </c>
      <c r="Q6070" s="28">
        <f t="shared" si="98"/>
        <v>3.5548184716220559E-2</v>
      </c>
      <c r="R6070" s="33">
        <v>0.16282860775771735</v>
      </c>
      <c r="S6070" s="34">
        <v>6.1009999999999995E-2</v>
      </c>
    </row>
    <row r="6071" spans="16:19" x14ac:dyDescent="0.25">
      <c r="P6071" s="27">
        <v>3.2548184716220556E-2</v>
      </c>
      <c r="Q6071" s="28">
        <f t="shared" si="98"/>
        <v>3.5548184716220559E-2</v>
      </c>
      <c r="R6071" s="31">
        <v>0.15939660775771733</v>
      </c>
      <c r="S6071" s="32">
        <v>7.0889999999999995E-2</v>
      </c>
    </row>
    <row r="6072" spans="16:19" x14ac:dyDescent="0.25">
      <c r="P6072" s="27">
        <v>3.2548184716220556E-2</v>
      </c>
      <c r="Q6072" s="28">
        <f t="shared" si="98"/>
        <v>3.5548184716220559E-2</v>
      </c>
      <c r="R6072" s="31">
        <v>0.15939660775771733</v>
      </c>
      <c r="S6072" s="32">
        <v>5.28E-2</v>
      </c>
    </row>
    <row r="6073" spans="16:19" x14ac:dyDescent="0.25">
      <c r="P6073" s="27">
        <v>3.2548184716220556E-2</v>
      </c>
      <c r="Q6073" s="28">
        <f t="shared" si="98"/>
        <v>3.5548184716220559E-2</v>
      </c>
      <c r="R6073" s="31">
        <v>0.15939660775771733</v>
      </c>
      <c r="S6073" s="32">
        <v>5.0979999999999998E-2</v>
      </c>
    </row>
    <row r="6074" spans="16:19" x14ac:dyDescent="0.25">
      <c r="P6074" s="27">
        <v>3.2548184716220556E-2</v>
      </c>
      <c r="Q6074" s="28">
        <f t="shared" si="98"/>
        <v>3.5548184716220559E-2</v>
      </c>
      <c r="R6074" s="31">
        <v>0.15939660775771733</v>
      </c>
      <c r="S6074" s="32">
        <v>4.9000000000000002E-2</v>
      </c>
    </row>
    <row r="6075" spans="16:19" x14ac:dyDescent="0.25">
      <c r="P6075" s="27">
        <v>3.2548184716220556E-2</v>
      </c>
      <c r="Q6075" s="28">
        <f t="shared" si="98"/>
        <v>3.5548184716220559E-2</v>
      </c>
      <c r="R6075" s="29">
        <v>0.15003660775771735</v>
      </c>
      <c r="S6075" s="30">
        <v>5.0939999999999999E-2</v>
      </c>
    </row>
    <row r="6076" spans="16:19" x14ac:dyDescent="0.25">
      <c r="P6076" s="27">
        <v>3.2548184716220556E-2</v>
      </c>
      <c r="Q6076" s="28">
        <f t="shared" si="98"/>
        <v>3.5548184716220559E-2</v>
      </c>
      <c r="R6076" s="29">
        <v>0.15003660775771735</v>
      </c>
      <c r="S6076" s="30">
        <v>4.9540000000000001E-2</v>
      </c>
    </row>
    <row r="6077" spans="16:19" x14ac:dyDescent="0.25">
      <c r="P6077" s="27">
        <v>3.2548184716220556E-2</v>
      </c>
      <c r="Q6077" s="28">
        <f t="shared" si="98"/>
        <v>3.5548184716220559E-2</v>
      </c>
      <c r="R6077" s="29">
        <v>0.15003660775771735</v>
      </c>
      <c r="S6077" s="30">
        <v>4.8601565999999999E-2</v>
      </c>
    </row>
    <row r="6078" spans="16:19" x14ac:dyDescent="0.25">
      <c r="P6078" s="27">
        <v>3.2548184716220556E-2</v>
      </c>
      <c r="Q6078" s="28">
        <f t="shared" si="98"/>
        <v>3.5548184716220559E-2</v>
      </c>
      <c r="R6078" s="29">
        <v>0.15003660775771735</v>
      </c>
      <c r="S6078" s="30">
        <v>4.8500000000000001E-2</v>
      </c>
    </row>
    <row r="6079" spans="16:19" x14ac:dyDescent="0.25">
      <c r="P6079" s="27">
        <v>3.2548184716220556E-2</v>
      </c>
      <c r="Q6079" s="28">
        <f t="shared" si="98"/>
        <v>3.5548184716220559E-2</v>
      </c>
      <c r="R6079" s="29">
        <v>0.15003660775771735</v>
      </c>
      <c r="S6079" s="30">
        <v>4.8460000000000003E-2</v>
      </c>
    </row>
    <row r="6080" spans="16:19" x14ac:dyDescent="0.25">
      <c r="P6080" s="27">
        <v>3.2548184716220556E-2</v>
      </c>
      <c r="Q6080" s="28">
        <f t="shared" si="98"/>
        <v>3.5548184716220559E-2</v>
      </c>
      <c r="R6080" s="29">
        <v>0.15003660775771735</v>
      </c>
      <c r="S6080" s="30">
        <v>4.9000000000000002E-2</v>
      </c>
    </row>
    <row r="6081" spans="16:19" x14ac:dyDescent="0.25">
      <c r="P6081" s="27">
        <v>3.2548184716220556E-2</v>
      </c>
      <c r="Q6081" s="28">
        <f t="shared" si="98"/>
        <v>3.5548184716220559E-2</v>
      </c>
      <c r="R6081" s="29">
        <v>0.15003660775771735</v>
      </c>
      <c r="S6081" s="30">
        <v>5.425E-2</v>
      </c>
    </row>
    <row r="6082" spans="16:19" x14ac:dyDescent="0.25">
      <c r="P6082" s="27">
        <v>3.2548184716220556E-2</v>
      </c>
      <c r="Q6082" s="28">
        <f t="shared" si="98"/>
        <v>3.5548184716220559E-2</v>
      </c>
      <c r="R6082" s="29">
        <v>0.15003660775771735</v>
      </c>
      <c r="S6082" s="30">
        <v>5.7110000000000001E-2</v>
      </c>
    </row>
    <row r="6083" spans="16:19" x14ac:dyDescent="0.25">
      <c r="P6083" s="27">
        <v>3.2548184716220556E-2</v>
      </c>
      <c r="Q6083" s="28">
        <f t="shared" si="98"/>
        <v>3.5548184716220559E-2</v>
      </c>
      <c r="R6083" s="31">
        <v>0.15939660775771733</v>
      </c>
      <c r="S6083" s="32">
        <v>7.4999999999999997E-2</v>
      </c>
    </row>
    <row r="6084" spans="16:19" x14ac:dyDescent="0.25">
      <c r="P6084" s="27">
        <v>3.2548184716220556E-2</v>
      </c>
      <c r="Q6084" s="28">
        <f t="shared" si="98"/>
        <v>3.5548184716220559E-2</v>
      </c>
      <c r="R6084" s="33">
        <v>0.16282860775771735</v>
      </c>
      <c r="S6084" s="34">
        <v>7.8450000000000006E-2</v>
      </c>
    </row>
    <row r="6085" spans="16:19" x14ac:dyDescent="0.25">
      <c r="P6085" s="27">
        <v>3.2548184716220556E-2</v>
      </c>
      <c r="Q6085" s="28">
        <f t="shared" ref="Q6085:Q6148" si="99">P6085+0.003</f>
        <v>3.5548184716220559E-2</v>
      </c>
      <c r="R6085" s="33">
        <v>0.16282860775771735</v>
      </c>
      <c r="S6085" s="34">
        <v>7.349E-2</v>
      </c>
    </row>
    <row r="6086" spans="16:19" x14ac:dyDescent="0.25">
      <c r="P6086" s="27">
        <v>3.2548184716220556E-2</v>
      </c>
      <c r="Q6086" s="28">
        <f t="shared" si="99"/>
        <v>3.5548184716220559E-2</v>
      </c>
      <c r="R6086" s="33">
        <v>0.16282860775771735</v>
      </c>
      <c r="S6086" s="34">
        <v>7.3430000000000009E-2</v>
      </c>
    </row>
    <row r="6087" spans="16:19" x14ac:dyDescent="0.25">
      <c r="P6087" s="27">
        <v>3.2548184716220556E-2</v>
      </c>
      <c r="Q6087" s="28">
        <f t="shared" si="99"/>
        <v>3.5548184716220559E-2</v>
      </c>
      <c r="R6087" s="33">
        <v>0.16282860775771735</v>
      </c>
      <c r="S6087" s="34">
        <v>5.7000000000000002E-2</v>
      </c>
    </row>
    <row r="6088" spans="16:19" x14ac:dyDescent="0.25">
      <c r="P6088" s="27">
        <v>3.2548184716220556E-2</v>
      </c>
      <c r="Q6088" s="28">
        <f t="shared" si="99"/>
        <v>3.5548184716220559E-2</v>
      </c>
      <c r="R6088" s="33">
        <v>0.16282860775771735</v>
      </c>
      <c r="S6088" s="34">
        <v>5.3100000000000001E-2</v>
      </c>
    </row>
    <row r="6089" spans="16:19" x14ac:dyDescent="0.25">
      <c r="P6089" s="27">
        <v>3.2548184716220556E-2</v>
      </c>
      <c r="Q6089" s="28">
        <f t="shared" si="99"/>
        <v>3.5548184716220559E-2</v>
      </c>
      <c r="R6089" s="33">
        <v>0.16282860775771735</v>
      </c>
      <c r="S6089" s="34">
        <v>6.0048757000000001E-2</v>
      </c>
    </row>
    <row r="6090" spans="16:19" x14ac:dyDescent="0.25">
      <c r="P6090" s="27">
        <v>3.2548184716220556E-2</v>
      </c>
      <c r="Q6090" s="28">
        <f t="shared" si="99"/>
        <v>3.5548184716220559E-2</v>
      </c>
      <c r="R6090" s="33">
        <v>0.16282860775771735</v>
      </c>
      <c r="S6090" s="34">
        <v>6.4579999999999999E-2</v>
      </c>
    </row>
    <row r="6091" spans="16:19" x14ac:dyDescent="0.25">
      <c r="P6091" s="27">
        <v>3.2548184716220556E-2</v>
      </c>
      <c r="Q6091" s="28">
        <f t="shared" si="99"/>
        <v>3.5548184716220559E-2</v>
      </c>
      <c r="R6091" s="33">
        <v>0.16282860775771735</v>
      </c>
      <c r="S6091" s="34">
        <v>6.9949999999999998E-2</v>
      </c>
    </row>
    <row r="6092" spans="16:19" x14ac:dyDescent="0.25">
      <c r="P6092" s="27">
        <v>3.2548184716220556E-2</v>
      </c>
      <c r="Q6092" s="28">
        <f t="shared" si="99"/>
        <v>3.5548184716220559E-2</v>
      </c>
      <c r="R6092" s="33">
        <v>0.16282860775771735</v>
      </c>
      <c r="S6092" s="34">
        <v>6.0499999999999998E-2</v>
      </c>
    </row>
    <row r="6093" spans="16:19" x14ac:dyDescent="0.25">
      <c r="P6093" s="27">
        <v>3.2548184716220556E-2</v>
      </c>
      <c r="Q6093" s="28">
        <f t="shared" si="99"/>
        <v>3.5548184716220559E-2</v>
      </c>
      <c r="R6093" s="33">
        <v>0.16282860775771735</v>
      </c>
      <c r="S6093" s="34">
        <v>5.6799999999999996E-2</v>
      </c>
    </row>
    <row r="6094" spans="16:19" x14ac:dyDescent="0.25">
      <c r="P6094" s="27">
        <v>3.2548184716220556E-2</v>
      </c>
      <c r="Q6094" s="28">
        <f t="shared" si="99"/>
        <v>3.5548184716220559E-2</v>
      </c>
      <c r="R6094" s="33">
        <v>0.16282860775771735</v>
      </c>
      <c r="S6094" s="34">
        <v>6.2574134000000003E-2</v>
      </c>
    </row>
    <row r="6095" spans="16:19" x14ac:dyDescent="0.25">
      <c r="P6095" s="27">
        <v>3.2548184716220556E-2</v>
      </c>
      <c r="Q6095" s="28">
        <f t="shared" si="99"/>
        <v>3.5548184716220559E-2</v>
      </c>
      <c r="R6095" s="31">
        <v>0.15939660775771733</v>
      </c>
      <c r="S6095" s="32">
        <v>7.3529999999999998E-2</v>
      </c>
    </row>
    <row r="6096" spans="16:19" x14ac:dyDescent="0.25">
      <c r="P6096" s="27">
        <v>3.2548184716220556E-2</v>
      </c>
      <c r="Q6096" s="28">
        <f t="shared" si="99"/>
        <v>3.5548184716220559E-2</v>
      </c>
      <c r="R6096" s="31">
        <v>0.15939660775771733</v>
      </c>
      <c r="S6096" s="32">
        <v>5.3800000000000001E-2</v>
      </c>
    </row>
    <row r="6097" spans="16:19" x14ac:dyDescent="0.25">
      <c r="P6097" s="27">
        <v>3.2548184716220556E-2</v>
      </c>
      <c r="Q6097" s="28">
        <f t="shared" si="99"/>
        <v>3.5548184716220559E-2</v>
      </c>
      <c r="R6097" s="31">
        <v>0.15939660775771733</v>
      </c>
      <c r="S6097" s="32">
        <v>5.0459999999999998E-2</v>
      </c>
    </row>
    <row r="6098" spans="16:19" x14ac:dyDescent="0.25">
      <c r="P6098" s="27">
        <v>3.2548184716220556E-2</v>
      </c>
      <c r="Q6098" s="28">
        <f t="shared" si="99"/>
        <v>3.5548184716220559E-2</v>
      </c>
      <c r="R6098" s="31">
        <v>0.15939660775771733</v>
      </c>
      <c r="S6098" s="32">
        <v>4.8989999999999999E-2</v>
      </c>
    </row>
    <row r="6099" spans="16:19" x14ac:dyDescent="0.25">
      <c r="P6099" s="27">
        <v>3.2548184716220556E-2</v>
      </c>
      <c r="Q6099" s="28">
        <f t="shared" si="99"/>
        <v>3.5548184716220559E-2</v>
      </c>
      <c r="R6099" s="29">
        <v>0.15003660775771735</v>
      </c>
      <c r="S6099" s="30">
        <v>4.8079999999999998E-2</v>
      </c>
    </row>
    <row r="6100" spans="16:19" x14ac:dyDescent="0.25">
      <c r="P6100" s="27">
        <v>3.2548184716220556E-2</v>
      </c>
      <c r="Q6100" s="28">
        <f t="shared" si="99"/>
        <v>3.5548184716220559E-2</v>
      </c>
      <c r="R6100" s="29">
        <v>0.15003660775771735</v>
      </c>
      <c r="S6100" s="30">
        <v>4.6176037000000003E-2</v>
      </c>
    </row>
    <row r="6101" spans="16:19" x14ac:dyDescent="0.25">
      <c r="P6101" s="27">
        <v>3.2548184716220556E-2</v>
      </c>
      <c r="Q6101" s="28">
        <f t="shared" si="99"/>
        <v>3.5548184716220559E-2</v>
      </c>
      <c r="R6101" s="29">
        <v>0.15003660775771735</v>
      </c>
      <c r="S6101" s="30">
        <v>4.4999999999999998E-2</v>
      </c>
    </row>
    <row r="6102" spans="16:19" x14ac:dyDescent="0.25">
      <c r="P6102" s="27">
        <v>3.2548184716220556E-2</v>
      </c>
      <c r="Q6102" s="28">
        <f t="shared" si="99"/>
        <v>3.5548184716220559E-2</v>
      </c>
      <c r="R6102" s="29">
        <v>0.15003660775771735</v>
      </c>
      <c r="S6102" s="30">
        <v>4.555E-2</v>
      </c>
    </row>
    <row r="6103" spans="16:19" x14ac:dyDescent="0.25">
      <c r="P6103" s="27">
        <v>3.2548184716220556E-2</v>
      </c>
      <c r="Q6103" s="28">
        <f t="shared" si="99"/>
        <v>3.5548184716220559E-2</v>
      </c>
      <c r="R6103" s="29">
        <v>0.15003660775771735</v>
      </c>
      <c r="S6103" s="30">
        <v>4.7140000000000001E-2</v>
      </c>
    </row>
    <row r="6104" spans="16:19" x14ac:dyDescent="0.25">
      <c r="P6104" s="27">
        <v>3.2548184716220556E-2</v>
      </c>
      <c r="Q6104" s="28">
        <f t="shared" si="99"/>
        <v>3.5548184716220559E-2</v>
      </c>
      <c r="R6104" s="29">
        <v>0.15003660775771735</v>
      </c>
      <c r="S6104" s="30">
        <v>4.8590000000000001E-2</v>
      </c>
    </row>
    <row r="6105" spans="16:19" x14ac:dyDescent="0.25">
      <c r="P6105" s="27">
        <v>3.2548184716220556E-2</v>
      </c>
      <c r="Q6105" s="28">
        <f t="shared" si="99"/>
        <v>3.5548184716220559E-2</v>
      </c>
      <c r="R6105" s="29">
        <v>0.15003660775771735</v>
      </c>
      <c r="S6105" s="30">
        <v>5.5420000000000004E-2</v>
      </c>
    </row>
    <row r="6106" spans="16:19" x14ac:dyDescent="0.25">
      <c r="P6106" s="27">
        <v>3.2548184716220556E-2</v>
      </c>
      <c r="Q6106" s="28">
        <f t="shared" si="99"/>
        <v>3.5548184716220559E-2</v>
      </c>
      <c r="R6106" s="29">
        <v>0.15003660775771735</v>
      </c>
      <c r="S6106" s="30">
        <v>5.8189999999999999E-2</v>
      </c>
    </row>
    <row r="6107" spans="16:19" x14ac:dyDescent="0.25">
      <c r="P6107" s="27">
        <v>3.2548184716220556E-2</v>
      </c>
      <c r="Q6107" s="28">
        <f t="shared" si="99"/>
        <v>3.5548184716220559E-2</v>
      </c>
      <c r="R6107" s="31">
        <v>0.15939660775771733</v>
      </c>
      <c r="S6107" s="32">
        <v>7.2309999999999999E-2</v>
      </c>
    </row>
    <row r="6108" spans="16:19" x14ac:dyDescent="0.25">
      <c r="P6108" s="27">
        <v>3.2548184716220556E-2</v>
      </c>
      <c r="Q6108" s="28">
        <f t="shared" si="99"/>
        <v>3.5548184716220559E-2</v>
      </c>
      <c r="R6108" s="33">
        <v>0.16282860775771735</v>
      </c>
      <c r="S6108" s="34">
        <v>7.4319999999999997E-2</v>
      </c>
    </row>
    <row r="6109" spans="16:19" x14ac:dyDescent="0.25">
      <c r="P6109" s="27">
        <v>3.2548184716220556E-2</v>
      </c>
      <c r="Q6109" s="28">
        <f t="shared" si="99"/>
        <v>3.5548184716220559E-2</v>
      </c>
      <c r="R6109" s="33">
        <v>0.16282860775771735</v>
      </c>
      <c r="S6109" s="34">
        <v>6.3E-2</v>
      </c>
    </row>
    <row r="6110" spans="16:19" x14ac:dyDescent="0.25">
      <c r="P6110" s="27">
        <v>3.2548184716220556E-2</v>
      </c>
      <c r="Q6110" s="28">
        <f t="shared" si="99"/>
        <v>3.5548184716220559E-2</v>
      </c>
      <c r="R6110" s="33">
        <v>0.16282860775771735</v>
      </c>
      <c r="S6110" s="34">
        <v>5.7659999999999996E-2</v>
      </c>
    </row>
    <row r="6111" spans="16:19" x14ac:dyDescent="0.25">
      <c r="P6111" s="27">
        <v>3.2548184716220556E-2</v>
      </c>
      <c r="Q6111" s="28">
        <f t="shared" si="99"/>
        <v>3.5548184716220559E-2</v>
      </c>
      <c r="R6111" s="33">
        <v>0.16282860775771735</v>
      </c>
      <c r="S6111" s="34">
        <v>5.237E-2</v>
      </c>
    </row>
    <row r="6112" spans="16:19" x14ac:dyDescent="0.25">
      <c r="P6112" s="27">
        <v>3.2548184716220556E-2</v>
      </c>
      <c r="Q6112" s="28">
        <f t="shared" si="99"/>
        <v>3.5548184716220559E-2</v>
      </c>
      <c r="R6112" s="33">
        <v>0.16282860775771735</v>
      </c>
      <c r="S6112" s="34">
        <v>5.2350000000000001E-2</v>
      </c>
    </row>
    <row r="6113" spans="16:19" x14ac:dyDescent="0.25">
      <c r="P6113" s="27">
        <v>3.2548184716220556E-2</v>
      </c>
      <c r="Q6113" s="28">
        <f t="shared" si="99"/>
        <v>3.5548184716220559E-2</v>
      </c>
      <c r="R6113" s="33">
        <v>0.16282860775771735</v>
      </c>
      <c r="S6113" s="34">
        <v>5.8673583000000001E-2</v>
      </c>
    </row>
    <row r="6114" spans="16:19" x14ac:dyDescent="0.25">
      <c r="P6114" s="27">
        <v>3.2548184716220556E-2</v>
      </c>
      <c r="Q6114" s="28">
        <f t="shared" si="99"/>
        <v>3.5548184716220559E-2</v>
      </c>
      <c r="R6114" s="33">
        <v>0.16282860775771735</v>
      </c>
      <c r="S6114" s="34">
        <v>5.9513461999999996E-2</v>
      </c>
    </row>
    <row r="6115" spans="16:19" x14ac:dyDescent="0.25">
      <c r="P6115" s="27">
        <v>3.2548184716220556E-2</v>
      </c>
      <c r="Q6115" s="28">
        <f t="shared" si="99"/>
        <v>3.5548184716220559E-2</v>
      </c>
      <c r="R6115" s="33">
        <v>0.16282860775771735</v>
      </c>
      <c r="S6115" s="34">
        <v>5.9909999999999998E-2</v>
      </c>
    </row>
    <row r="6116" spans="16:19" x14ac:dyDescent="0.25">
      <c r="P6116" s="27">
        <v>3.2548184716220556E-2</v>
      </c>
      <c r="Q6116" s="28">
        <f t="shared" si="99"/>
        <v>3.5548184716220559E-2</v>
      </c>
      <c r="R6116" s="33">
        <v>0.16282860775771735</v>
      </c>
      <c r="S6116" s="34">
        <v>5.6509999999999998E-2</v>
      </c>
    </row>
    <row r="6117" spans="16:19" x14ac:dyDescent="0.25">
      <c r="P6117" s="27">
        <v>3.2548184716220556E-2</v>
      </c>
      <c r="Q6117" s="28">
        <f t="shared" si="99"/>
        <v>3.5548184716220559E-2</v>
      </c>
      <c r="R6117" s="33">
        <v>0.16282860775771735</v>
      </c>
      <c r="S6117" s="34">
        <v>5.6659999999999995E-2</v>
      </c>
    </row>
    <row r="6118" spans="16:19" x14ac:dyDescent="0.25">
      <c r="P6118" s="27">
        <v>3.2548184716220556E-2</v>
      </c>
      <c r="Q6118" s="28">
        <f t="shared" si="99"/>
        <v>3.5548184716220559E-2</v>
      </c>
      <c r="R6118" s="33">
        <v>0.16282860775771735</v>
      </c>
      <c r="S6118" s="34">
        <v>6.3750000000000001E-2</v>
      </c>
    </row>
    <row r="6119" spans="16:19" x14ac:dyDescent="0.25">
      <c r="P6119" s="27">
        <v>3.2548184716220556E-2</v>
      </c>
      <c r="Q6119" s="28">
        <f t="shared" si="99"/>
        <v>3.5548184716220559E-2</v>
      </c>
      <c r="R6119" s="31">
        <v>0.15939660775771733</v>
      </c>
      <c r="S6119" s="32">
        <v>7.1529999999999996E-2</v>
      </c>
    </row>
    <row r="6120" spans="16:19" x14ac:dyDescent="0.25">
      <c r="P6120" s="27">
        <v>3.2548184716220556E-2</v>
      </c>
      <c r="Q6120" s="28">
        <f t="shared" si="99"/>
        <v>3.5548184716220559E-2</v>
      </c>
      <c r="R6120" s="31">
        <v>0.15939660775771733</v>
      </c>
      <c r="S6120" s="32">
        <v>5.5E-2</v>
      </c>
    </row>
    <row r="6121" spans="16:19" x14ac:dyDescent="0.25">
      <c r="P6121" s="27">
        <v>3.2548184716220556E-2</v>
      </c>
      <c r="Q6121" s="28">
        <f t="shared" si="99"/>
        <v>3.5548184716220559E-2</v>
      </c>
      <c r="R6121" s="31">
        <v>0.15939660775771733</v>
      </c>
      <c r="S6121" s="32">
        <v>5.0979999999999998E-2</v>
      </c>
    </row>
    <row r="6122" spans="16:19" x14ac:dyDescent="0.25">
      <c r="P6122" s="27">
        <v>3.2548184716220556E-2</v>
      </c>
      <c r="Q6122" s="28">
        <f t="shared" si="99"/>
        <v>3.5548184716220559E-2</v>
      </c>
      <c r="R6122" s="31">
        <v>0.15939660775771733</v>
      </c>
      <c r="S6122" s="32">
        <v>4.929E-2</v>
      </c>
    </row>
    <row r="6123" spans="16:19" x14ac:dyDescent="0.25">
      <c r="P6123" s="27">
        <v>3.2548184716220556E-2</v>
      </c>
      <c r="Q6123" s="28">
        <f t="shared" si="99"/>
        <v>3.5548184716220559E-2</v>
      </c>
      <c r="R6123" s="29">
        <v>0.15003660775771735</v>
      </c>
      <c r="S6123" s="30">
        <v>5.3200000000000004E-2</v>
      </c>
    </row>
    <row r="6124" spans="16:19" x14ac:dyDescent="0.25">
      <c r="P6124" s="27">
        <v>3.2548184716220556E-2</v>
      </c>
      <c r="Q6124" s="28">
        <f t="shared" si="99"/>
        <v>3.5548184716220559E-2</v>
      </c>
      <c r="R6124" s="29">
        <v>0.15003660775771735</v>
      </c>
      <c r="S6124" s="30">
        <v>5.142E-2</v>
      </c>
    </row>
    <row r="6125" spans="16:19" x14ac:dyDescent="0.25">
      <c r="P6125" s="27">
        <v>3.2548184716220556E-2</v>
      </c>
      <c r="Q6125" s="28">
        <f t="shared" si="99"/>
        <v>3.5548184716220559E-2</v>
      </c>
      <c r="R6125" s="29">
        <v>0.15003660775771735</v>
      </c>
      <c r="S6125" s="30">
        <v>5.0380000000000001E-2</v>
      </c>
    </row>
    <row r="6126" spans="16:19" x14ac:dyDescent="0.25">
      <c r="P6126" s="27">
        <v>3.2548184716220556E-2</v>
      </c>
      <c r="Q6126" s="28">
        <f t="shared" si="99"/>
        <v>3.5548184716220559E-2</v>
      </c>
      <c r="R6126" s="29">
        <v>0.15003660775771735</v>
      </c>
      <c r="S6126" s="30">
        <v>5.04E-2</v>
      </c>
    </row>
    <row r="6127" spans="16:19" x14ac:dyDescent="0.25">
      <c r="P6127" s="27">
        <v>3.2548184716220556E-2</v>
      </c>
      <c r="Q6127" s="28">
        <f t="shared" si="99"/>
        <v>3.5548184716220559E-2</v>
      </c>
      <c r="R6127" s="29">
        <v>0.15003660775771735</v>
      </c>
      <c r="S6127" s="30">
        <v>5.0409999999999996E-2</v>
      </c>
    </row>
    <row r="6128" spans="16:19" x14ac:dyDescent="0.25">
      <c r="P6128" s="27">
        <v>3.2548184716220556E-2</v>
      </c>
      <c r="Q6128" s="28">
        <f t="shared" si="99"/>
        <v>3.5548184716220559E-2</v>
      </c>
      <c r="R6128" s="29">
        <v>0.15003660775771735</v>
      </c>
      <c r="S6128" s="30">
        <v>5.1380000000000002E-2</v>
      </c>
    </row>
    <row r="6129" spans="16:19" x14ac:dyDescent="0.25">
      <c r="P6129" s="27">
        <v>3.2548184716220556E-2</v>
      </c>
      <c r="Q6129" s="28">
        <f t="shared" si="99"/>
        <v>3.5548184716220559E-2</v>
      </c>
      <c r="R6129" s="29">
        <v>0.15003660775771735</v>
      </c>
      <c r="S6129" s="30">
        <v>5.4950000000000006E-2</v>
      </c>
    </row>
    <row r="6130" spans="16:19" x14ac:dyDescent="0.25">
      <c r="P6130" s="27">
        <v>3.2548184716220556E-2</v>
      </c>
      <c r="Q6130" s="28">
        <f t="shared" si="99"/>
        <v>3.5548184716220559E-2</v>
      </c>
      <c r="R6130" s="29">
        <v>0.15003660775771735</v>
      </c>
      <c r="S6130" s="30">
        <v>5.3960000000000001E-2</v>
      </c>
    </row>
    <row r="6131" spans="16:19" x14ac:dyDescent="0.25">
      <c r="P6131" s="27">
        <v>3.2548184716220556E-2</v>
      </c>
      <c r="Q6131" s="28">
        <f t="shared" si="99"/>
        <v>3.5548184716220559E-2</v>
      </c>
      <c r="R6131" s="31">
        <v>0.15939660775771733</v>
      </c>
      <c r="S6131" s="32">
        <v>5.3759999999999995E-2</v>
      </c>
    </row>
    <row r="6132" spans="16:19" x14ac:dyDescent="0.25">
      <c r="P6132" s="27">
        <v>3.2548184716220556E-2</v>
      </c>
      <c r="Q6132" s="28">
        <f t="shared" si="99"/>
        <v>3.5548184716220559E-2</v>
      </c>
      <c r="R6132" s="33">
        <v>0.16282860775771735</v>
      </c>
      <c r="S6132" s="34">
        <v>0.05</v>
      </c>
    </row>
    <row r="6133" spans="16:19" x14ac:dyDescent="0.25">
      <c r="P6133" s="27">
        <v>3.2548184716220556E-2</v>
      </c>
      <c r="Q6133" s="28">
        <f t="shared" si="99"/>
        <v>3.5548184716220559E-2</v>
      </c>
      <c r="R6133" s="33">
        <v>0.16282860775771735</v>
      </c>
      <c r="S6133" s="34">
        <v>4.4400000000000002E-2</v>
      </c>
    </row>
    <row r="6134" spans="16:19" x14ac:dyDescent="0.25">
      <c r="P6134" s="27">
        <v>3.2548184716220556E-2</v>
      </c>
      <c r="Q6134" s="28">
        <f t="shared" si="99"/>
        <v>3.5548184716220559E-2</v>
      </c>
      <c r="R6134" s="33">
        <v>0.16282860775771735</v>
      </c>
      <c r="S6134" s="34">
        <v>4.122E-2</v>
      </c>
    </row>
    <row r="6135" spans="16:19" x14ac:dyDescent="0.25">
      <c r="P6135" s="27">
        <v>3.2548184716220556E-2</v>
      </c>
      <c r="Q6135" s="28">
        <f t="shared" si="99"/>
        <v>3.5548184716220559E-2</v>
      </c>
      <c r="R6135" s="33">
        <v>0.16282860775771735</v>
      </c>
      <c r="S6135" s="34">
        <v>4.0989999999999999E-2</v>
      </c>
    </row>
    <row r="6136" spans="16:19" x14ac:dyDescent="0.25">
      <c r="P6136" s="27">
        <v>3.2548184716220556E-2</v>
      </c>
      <c r="Q6136" s="28">
        <f t="shared" si="99"/>
        <v>3.5548184716220559E-2</v>
      </c>
      <c r="R6136" s="33">
        <v>0.16282860775771735</v>
      </c>
      <c r="S6136" s="34">
        <v>3.6840000000000005E-2</v>
      </c>
    </row>
    <row r="6137" spans="16:19" x14ac:dyDescent="0.25">
      <c r="P6137" s="27">
        <v>3.2548184716220556E-2</v>
      </c>
      <c r="Q6137" s="28">
        <f t="shared" si="99"/>
        <v>3.5548184716220559E-2</v>
      </c>
      <c r="R6137" s="33">
        <v>0.16282860775771735</v>
      </c>
      <c r="S6137" s="34">
        <v>3.8340000000000006E-2</v>
      </c>
    </row>
    <row r="6138" spans="16:19" x14ac:dyDescent="0.25">
      <c r="P6138" s="27">
        <v>3.2548184716220556E-2</v>
      </c>
      <c r="Q6138" s="28">
        <f t="shared" si="99"/>
        <v>3.5548184716220559E-2</v>
      </c>
      <c r="R6138" s="33">
        <v>0.16282860775771735</v>
      </c>
      <c r="S6138" s="34">
        <v>3.943E-2</v>
      </c>
    </row>
    <row r="6139" spans="16:19" x14ac:dyDescent="0.25">
      <c r="P6139" s="27">
        <v>3.2548184716220556E-2</v>
      </c>
      <c r="Q6139" s="28">
        <f t="shared" si="99"/>
        <v>3.5548184716220559E-2</v>
      </c>
      <c r="R6139" s="33">
        <v>0.16282860775771735</v>
      </c>
      <c r="S6139" s="34">
        <v>4.3069999999999997E-2</v>
      </c>
    </row>
    <row r="6140" spans="16:19" x14ac:dyDescent="0.25">
      <c r="P6140" s="27">
        <v>3.2548184716220556E-2</v>
      </c>
      <c r="Q6140" s="28">
        <f t="shared" si="99"/>
        <v>3.5548184716220559E-2</v>
      </c>
      <c r="R6140" s="33">
        <v>0.16282860775771735</v>
      </c>
      <c r="S6140" s="34">
        <v>4.8989999999999999E-2</v>
      </c>
    </row>
    <row r="6141" spans="16:19" x14ac:dyDescent="0.25">
      <c r="P6141" s="27">
        <v>3.2548184716220556E-2</v>
      </c>
      <c r="Q6141" s="28">
        <f t="shared" si="99"/>
        <v>3.5548184716220559E-2</v>
      </c>
      <c r="R6141" s="33">
        <v>0.16282860775771735</v>
      </c>
      <c r="S6141" s="34">
        <v>5.3429999999999998E-2</v>
      </c>
    </row>
    <row r="6142" spans="16:19" x14ac:dyDescent="0.25">
      <c r="P6142" s="27">
        <v>3.2548184716220556E-2</v>
      </c>
      <c r="Q6142" s="28">
        <f t="shared" si="99"/>
        <v>3.5548184716220559E-2</v>
      </c>
      <c r="R6142" s="33">
        <v>0.16282860775771735</v>
      </c>
      <c r="S6142" s="34">
        <v>6.5000000000000002E-2</v>
      </c>
    </row>
    <row r="6143" spans="16:19" x14ac:dyDescent="0.25">
      <c r="P6143" s="27">
        <v>3.2548184716220556E-2</v>
      </c>
      <c r="Q6143" s="28">
        <f t="shared" si="99"/>
        <v>3.5548184716220559E-2</v>
      </c>
      <c r="R6143" s="31">
        <v>0.15939660775771733</v>
      </c>
      <c r="S6143" s="32">
        <v>7.0499999999999993E-2</v>
      </c>
    </row>
    <row r="6144" spans="16:19" x14ac:dyDescent="0.25">
      <c r="P6144" s="27">
        <v>3.2548184716220556E-2</v>
      </c>
      <c r="Q6144" s="28">
        <f t="shared" si="99"/>
        <v>3.5548184716220559E-2</v>
      </c>
      <c r="R6144" s="31">
        <v>0.15939660775771733</v>
      </c>
      <c r="S6144" s="32">
        <v>5.2990000000000002E-2</v>
      </c>
    </row>
    <row r="6145" spans="16:19" x14ac:dyDescent="0.25">
      <c r="P6145" s="27">
        <v>3.2548184716220556E-2</v>
      </c>
      <c r="Q6145" s="28">
        <f t="shared" si="99"/>
        <v>3.5548184716220559E-2</v>
      </c>
      <c r="R6145" s="31">
        <v>0.15939660775771733</v>
      </c>
      <c r="S6145" s="32">
        <v>4.9399999999999999E-2</v>
      </c>
    </row>
    <row r="6146" spans="16:19" x14ac:dyDescent="0.25">
      <c r="P6146" s="27">
        <v>3.2548184716220556E-2</v>
      </c>
      <c r="Q6146" s="28">
        <f t="shared" si="99"/>
        <v>3.5548184716220559E-2</v>
      </c>
      <c r="R6146" s="31">
        <v>0.15939660775771733</v>
      </c>
      <c r="S6146" s="32">
        <v>4.8616218000000003E-2</v>
      </c>
    </row>
    <row r="6147" spans="16:19" x14ac:dyDescent="0.25">
      <c r="P6147" s="27">
        <v>3.2548184716220556E-2</v>
      </c>
      <c r="Q6147" s="28">
        <f t="shared" si="99"/>
        <v>3.5548184716220559E-2</v>
      </c>
      <c r="R6147" s="29">
        <v>0.15003660775771735</v>
      </c>
      <c r="S6147" s="30">
        <v>5.5719999999999999E-2</v>
      </c>
    </row>
    <row r="6148" spans="16:19" x14ac:dyDescent="0.25">
      <c r="P6148" s="27">
        <v>3.2548184716220556E-2</v>
      </c>
      <c r="Q6148" s="28">
        <f t="shared" si="99"/>
        <v>3.5548184716220559E-2</v>
      </c>
      <c r="R6148" s="29">
        <v>0.15003660775771735</v>
      </c>
      <c r="S6148" s="30">
        <v>5.0979999999999998E-2</v>
      </c>
    </row>
    <row r="6149" spans="16:19" x14ac:dyDescent="0.25">
      <c r="P6149" s="27">
        <v>3.2548184716220556E-2</v>
      </c>
      <c r="Q6149" s="28">
        <f t="shared" ref="Q6149:Q6212" si="100">P6149+0.003</f>
        <v>3.5548184716220559E-2</v>
      </c>
      <c r="R6149" s="29">
        <v>0.15003660775771735</v>
      </c>
      <c r="S6149" s="30">
        <v>0.05</v>
      </c>
    </row>
    <row r="6150" spans="16:19" x14ac:dyDescent="0.25">
      <c r="P6150" s="27">
        <v>3.2548184716220556E-2</v>
      </c>
      <c r="Q6150" s="28">
        <f t="shared" si="100"/>
        <v>3.5548184716220559E-2</v>
      </c>
      <c r="R6150" s="29">
        <v>0.15003660775771735</v>
      </c>
      <c r="S6150" s="30">
        <v>4.9590000000000002E-2</v>
      </c>
    </row>
    <row r="6151" spans="16:19" x14ac:dyDescent="0.25">
      <c r="P6151" s="27">
        <v>3.2548184716220556E-2</v>
      </c>
      <c r="Q6151" s="28">
        <f t="shared" si="100"/>
        <v>3.5548184716220559E-2</v>
      </c>
      <c r="R6151" s="29">
        <v>0.15003660775771735</v>
      </c>
      <c r="S6151" s="30">
        <v>4.9439999999999998E-2</v>
      </c>
    </row>
    <row r="6152" spans="16:19" x14ac:dyDescent="0.25">
      <c r="P6152" s="27">
        <v>3.2548184716220556E-2</v>
      </c>
      <c r="Q6152" s="28">
        <f t="shared" si="100"/>
        <v>3.5548184716220559E-2</v>
      </c>
      <c r="R6152" s="29">
        <v>0.15003660775771735</v>
      </c>
      <c r="S6152" s="30">
        <v>4.9950000000000001E-2</v>
      </c>
    </row>
    <row r="6153" spans="16:19" x14ac:dyDescent="0.25">
      <c r="P6153" s="27">
        <v>3.2548184716220556E-2</v>
      </c>
      <c r="Q6153" s="28">
        <f t="shared" si="100"/>
        <v>3.5548184716220559E-2</v>
      </c>
      <c r="R6153" s="29">
        <v>0.15003660775771735</v>
      </c>
      <c r="S6153" s="30">
        <v>5.0900000000000001E-2</v>
      </c>
    </row>
    <row r="6154" spans="16:19" x14ac:dyDescent="0.25">
      <c r="P6154" s="27">
        <v>3.2548184716220556E-2</v>
      </c>
      <c r="Q6154" s="28">
        <f t="shared" si="100"/>
        <v>3.5548184716220559E-2</v>
      </c>
      <c r="R6154" s="29">
        <v>0.15003660775771735</v>
      </c>
      <c r="S6154" s="30">
        <v>4.999E-2</v>
      </c>
    </row>
    <row r="6155" spans="16:19" x14ac:dyDescent="0.25">
      <c r="P6155" s="27">
        <v>3.2548184716220556E-2</v>
      </c>
      <c r="Q6155" s="28">
        <f t="shared" si="100"/>
        <v>3.5548184716220559E-2</v>
      </c>
      <c r="R6155" s="31">
        <v>0.15939660775771733</v>
      </c>
      <c r="S6155" s="32">
        <v>4.999E-2</v>
      </c>
    </row>
    <row r="6156" spans="16:19" x14ac:dyDescent="0.25">
      <c r="P6156" s="27">
        <v>3.2548184716220556E-2</v>
      </c>
      <c r="Q6156" s="28">
        <f t="shared" si="100"/>
        <v>3.5548184716220559E-2</v>
      </c>
      <c r="R6156" s="33">
        <v>0.16282860775771735</v>
      </c>
      <c r="S6156" s="34">
        <v>4.8590000000000001E-2</v>
      </c>
    </row>
    <row r="6157" spans="16:19" x14ac:dyDescent="0.25">
      <c r="P6157" s="27">
        <v>3.2548184716220556E-2</v>
      </c>
      <c r="Q6157" s="28">
        <f t="shared" si="100"/>
        <v>3.5548184716220559E-2</v>
      </c>
      <c r="R6157" s="33">
        <v>0.16282860775771735</v>
      </c>
      <c r="S6157" s="34">
        <v>4.181E-2</v>
      </c>
    </row>
    <row r="6158" spans="16:19" x14ac:dyDescent="0.25">
      <c r="P6158" s="27">
        <v>3.2548184716220556E-2</v>
      </c>
      <c r="Q6158" s="28">
        <f t="shared" si="100"/>
        <v>3.5548184716220559E-2</v>
      </c>
      <c r="R6158" s="33">
        <v>0.16282860775771735</v>
      </c>
      <c r="S6158" s="34">
        <v>3.5679999999999996E-2</v>
      </c>
    </row>
    <row r="6159" spans="16:19" x14ac:dyDescent="0.25">
      <c r="P6159" s="27">
        <v>3.2548184716220556E-2</v>
      </c>
      <c r="Q6159" s="28">
        <f t="shared" si="100"/>
        <v>3.5548184716220559E-2</v>
      </c>
      <c r="R6159" s="33">
        <v>0.16282860775771735</v>
      </c>
      <c r="S6159" s="34">
        <v>3.2920000000000005E-2</v>
      </c>
    </row>
    <row r="6160" spans="16:19" x14ac:dyDescent="0.25">
      <c r="P6160" s="27">
        <v>3.2548184716220556E-2</v>
      </c>
      <c r="Q6160" s="28">
        <f t="shared" si="100"/>
        <v>3.5548184716220559E-2</v>
      </c>
      <c r="R6160" s="33">
        <v>0.16282860775771735</v>
      </c>
      <c r="S6160" s="34">
        <v>2.69E-2</v>
      </c>
    </row>
    <row r="6161" spans="16:19" x14ac:dyDescent="0.25">
      <c r="P6161" s="27">
        <v>3.2548184716220556E-2</v>
      </c>
      <c r="Q6161" s="28">
        <f t="shared" si="100"/>
        <v>3.5548184716220559E-2</v>
      </c>
      <c r="R6161" s="33">
        <v>0.16282860775771735</v>
      </c>
      <c r="S6161" s="34">
        <v>2.5999999999999999E-2</v>
      </c>
    </row>
    <row r="6162" spans="16:19" x14ac:dyDescent="0.25">
      <c r="P6162" s="27">
        <v>3.2548184716220556E-2</v>
      </c>
      <c r="Q6162" s="28">
        <f t="shared" si="100"/>
        <v>3.5548184716220559E-2</v>
      </c>
      <c r="R6162" s="33">
        <v>0.16282860775771735</v>
      </c>
      <c r="S6162" s="34">
        <v>3.4279999999999998E-2</v>
      </c>
    </row>
    <row r="6163" spans="16:19" x14ac:dyDescent="0.25">
      <c r="P6163" s="27">
        <v>3.2548184716220556E-2</v>
      </c>
      <c r="Q6163" s="28">
        <f t="shared" si="100"/>
        <v>3.5548184716220559E-2</v>
      </c>
      <c r="R6163" s="33">
        <v>0.16282860775771735</v>
      </c>
      <c r="S6163" s="34">
        <v>4.0399999999999998E-2</v>
      </c>
    </row>
    <row r="6164" spans="16:19" x14ac:dyDescent="0.25">
      <c r="P6164" s="27">
        <v>3.2548184716220556E-2</v>
      </c>
      <c r="Q6164" s="28">
        <f t="shared" si="100"/>
        <v>3.5548184716220559E-2</v>
      </c>
      <c r="R6164" s="33">
        <v>0.16282860775771735</v>
      </c>
      <c r="S6164" s="34">
        <v>4.4810000000000003E-2</v>
      </c>
    </row>
    <row r="6165" spans="16:19" x14ac:dyDescent="0.25">
      <c r="P6165" s="27">
        <v>3.2548184716220556E-2</v>
      </c>
      <c r="Q6165" s="28">
        <f t="shared" si="100"/>
        <v>3.5548184716220559E-2</v>
      </c>
      <c r="R6165" s="33">
        <v>0.16282860775771735</v>
      </c>
      <c r="S6165" s="34">
        <v>5.4969999999999998E-2</v>
      </c>
    </row>
    <row r="6166" spans="16:19" x14ac:dyDescent="0.25">
      <c r="P6166" s="27">
        <v>3.2548184716220556E-2</v>
      </c>
      <c r="Q6166" s="28">
        <f t="shared" si="100"/>
        <v>3.5548184716220559E-2</v>
      </c>
      <c r="R6166" s="33">
        <v>0.16282860775771735</v>
      </c>
      <c r="S6166" s="34">
        <v>6.5000000000000002E-2</v>
      </c>
    </row>
    <row r="6167" spans="16:19" x14ac:dyDescent="0.25">
      <c r="P6167" s="27">
        <v>3.2548184716220556E-2</v>
      </c>
      <c r="Q6167" s="28">
        <f t="shared" si="100"/>
        <v>3.5548184716220559E-2</v>
      </c>
      <c r="R6167" s="31">
        <v>0.15939660775771733</v>
      </c>
      <c r="S6167" s="32">
        <v>7.1989999999999998E-2</v>
      </c>
    </row>
    <row r="6168" spans="16:19" x14ac:dyDescent="0.25">
      <c r="P6168" s="27">
        <v>3.2548184716220556E-2</v>
      </c>
      <c r="Q6168" s="28">
        <f t="shared" si="100"/>
        <v>3.5548184716220559E-2</v>
      </c>
      <c r="R6168" s="31">
        <v>0.15939660775771733</v>
      </c>
      <c r="S6168" s="32">
        <v>5.8290000000000002E-2</v>
      </c>
    </row>
    <row r="6169" spans="16:19" x14ac:dyDescent="0.25">
      <c r="P6169" s="27">
        <v>3.2548184716220556E-2</v>
      </c>
      <c r="Q6169" s="28">
        <f t="shared" si="100"/>
        <v>3.5548184716220559E-2</v>
      </c>
      <c r="R6169" s="31">
        <v>0.15939660775771733</v>
      </c>
      <c r="S6169" s="32">
        <v>5.2219999999999996E-2</v>
      </c>
    </row>
    <row r="6170" spans="16:19" x14ac:dyDescent="0.25">
      <c r="P6170" s="27">
        <v>3.2548184716220556E-2</v>
      </c>
      <c r="Q6170" s="28">
        <f t="shared" si="100"/>
        <v>3.5548184716220559E-2</v>
      </c>
      <c r="R6170" s="31">
        <v>0.15939660775771733</v>
      </c>
      <c r="S6170" s="32">
        <v>4.9802388999999996E-2</v>
      </c>
    </row>
    <row r="6171" spans="16:19" x14ac:dyDescent="0.25">
      <c r="P6171" s="27">
        <v>3.2548184716220556E-2</v>
      </c>
      <c r="Q6171" s="28">
        <f t="shared" si="100"/>
        <v>3.5548184716220559E-2</v>
      </c>
      <c r="R6171" s="29">
        <v>0.15003660775771735</v>
      </c>
      <c r="S6171" s="30">
        <v>5.3249999999999999E-2</v>
      </c>
    </row>
    <row r="6172" spans="16:19" x14ac:dyDescent="0.25">
      <c r="P6172" s="27">
        <v>3.2548184716220556E-2</v>
      </c>
      <c r="Q6172" s="28">
        <f t="shared" si="100"/>
        <v>3.5548184716220559E-2</v>
      </c>
      <c r="R6172" s="29">
        <v>0.15003660775771735</v>
      </c>
      <c r="S6172" s="30">
        <v>5.2829999999999995E-2</v>
      </c>
    </row>
    <row r="6173" spans="16:19" x14ac:dyDescent="0.25">
      <c r="P6173" s="27">
        <v>3.2548184716220556E-2</v>
      </c>
      <c r="Q6173" s="28">
        <f t="shared" si="100"/>
        <v>3.5548184716220559E-2</v>
      </c>
      <c r="R6173" s="29">
        <v>0.15003660775771735</v>
      </c>
      <c r="S6173" s="30">
        <v>5.0754153000000003E-2</v>
      </c>
    </row>
    <row r="6174" spans="16:19" x14ac:dyDescent="0.25">
      <c r="P6174" s="27">
        <v>3.2548184716220556E-2</v>
      </c>
      <c r="Q6174" s="28">
        <f t="shared" si="100"/>
        <v>3.5548184716220559E-2</v>
      </c>
      <c r="R6174" s="29">
        <v>0.15003660775771735</v>
      </c>
      <c r="S6174" s="30">
        <v>0.05</v>
      </c>
    </row>
    <row r="6175" spans="16:19" x14ac:dyDescent="0.25">
      <c r="P6175" s="27">
        <v>3.2548184716220556E-2</v>
      </c>
      <c r="Q6175" s="28">
        <f t="shared" si="100"/>
        <v>3.5548184716220559E-2</v>
      </c>
      <c r="R6175" s="29">
        <v>0.15003660775771735</v>
      </c>
      <c r="S6175" s="30">
        <v>4.9890000000000004E-2</v>
      </c>
    </row>
    <row r="6176" spans="16:19" x14ac:dyDescent="0.25">
      <c r="P6176" s="27">
        <v>3.2548184716220556E-2</v>
      </c>
      <c r="Q6176" s="28">
        <f t="shared" si="100"/>
        <v>3.5548184716220559E-2</v>
      </c>
      <c r="R6176" s="29">
        <v>0.15003660775771735</v>
      </c>
      <c r="S6176" s="30">
        <v>5.0770000000000003E-2</v>
      </c>
    </row>
    <row r="6177" spans="16:19" x14ac:dyDescent="0.25">
      <c r="P6177" s="27">
        <v>3.2548184716220556E-2</v>
      </c>
      <c r="Q6177" s="28">
        <f t="shared" si="100"/>
        <v>3.5548184716220559E-2</v>
      </c>
      <c r="R6177" s="29">
        <v>0.15003660775771735</v>
      </c>
      <c r="S6177" s="30">
        <v>5.6000000000000001E-2</v>
      </c>
    </row>
    <row r="6178" spans="16:19" x14ac:dyDescent="0.25">
      <c r="P6178" s="27">
        <v>3.2548184716220556E-2</v>
      </c>
      <c r="Q6178" s="28">
        <f t="shared" si="100"/>
        <v>3.5548184716220559E-2</v>
      </c>
      <c r="R6178" s="29">
        <v>0.15003660775771735</v>
      </c>
      <c r="S6178" s="30">
        <v>6.046E-2</v>
      </c>
    </row>
    <row r="6179" spans="16:19" x14ac:dyDescent="0.25">
      <c r="P6179" s="27">
        <v>3.2548184716220556E-2</v>
      </c>
      <c r="Q6179" s="28">
        <f t="shared" si="100"/>
        <v>3.5548184716220559E-2</v>
      </c>
      <c r="R6179" s="31">
        <v>0.15939999999999999</v>
      </c>
      <c r="S6179" s="32">
        <v>6.9559999999999997E-2</v>
      </c>
    </row>
    <row r="6180" spans="16:19" x14ac:dyDescent="0.25">
      <c r="P6180" s="27">
        <v>3.2548184716220556E-2</v>
      </c>
      <c r="Q6180" s="28">
        <f t="shared" si="100"/>
        <v>3.5548184716220559E-2</v>
      </c>
      <c r="R6180" s="31">
        <v>0.15939999999999999</v>
      </c>
      <c r="S6180" s="32">
        <v>5.9400000000000001E-2</v>
      </c>
    </row>
    <row r="6181" spans="16:19" x14ac:dyDescent="0.25">
      <c r="P6181" s="27">
        <v>3.2548184716220556E-2</v>
      </c>
      <c r="Q6181" s="28">
        <f t="shared" si="100"/>
        <v>3.5548184716220559E-2</v>
      </c>
      <c r="R6181" s="31">
        <v>0.15939999999999999</v>
      </c>
      <c r="S6181" s="32">
        <v>5.4009999999999996E-2</v>
      </c>
    </row>
    <row r="6182" spans="16:19" x14ac:dyDescent="0.25">
      <c r="P6182" s="27">
        <v>3.2548184716220556E-2</v>
      </c>
      <c r="Q6182" s="28">
        <f t="shared" si="100"/>
        <v>3.5548184716220559E-2</v>
      </c>
      <c r="R6182" s="31">
        <v>0.15939999999999999</v>
      </c>
      <c r="S6182" s="32">
        <v>5.1229999999999998E-2</v>
      </c>
    </row>
    <row r="6183" spans="16:19" x14ac:dyDescent="0.25">
      <c r="P6183" s="27">
        <v>3.2548184716220556E-2</v>
      </c>
      <c r="Q6183" s="28">
        <f t="shared" si="100"/>
        <v>3.5548184716220559E-2</v>
      </c>
      <c r="R6183" s="31">
        <v>0.15939999999999999</v>
      </c>
      <c r="S6183" s="32">
        <v>4.743E-2</v>
      </c>
    </row>
    <row r="6184" spans="16:19" x14ac:dyDescent="0.25">
      <c r="P6184" s="27">
        <v>3.2548184716220556E-2</v>
      </c>
      <c r="Q6184" s="28">
        <f t="shared" si="100"/>
        <v>3.5548184716220559E-2</v>
      </c>
      <c r="R6184" s="31">
        <v>0.15939999999999999</v>
      </c>
      <c r="S6184" s="32">
        <v>4.6899999999999997E-2</v>
      </c>
    </row>
    <row r="6185" spans="16:19" x14ac:dyDescent="0.25">
      <c r="P6185" s="27">
        <v>3.2548184716220556E-2</v>
      </c>
      <c r="Q6185" s="28">
        <f t="shared" si="100"/>
        <v>3.5548184716220559E-2</v>
      </c>
      <c r="R6185" s="31">
        <v>0.15939999999999999</v>
      </c>
      <c r="S6185" s="32">
        <v>4.9590000000000002E-2</v>
      </c>
    </row>
    <row r="6186" spans="16:19" x14ac:dyDescent="0.25">
      <c r="P6186" s="27">
        <v>3.2548184716220556E-2</v>
      </c>
      <c r="Q6186" s="28">
        <f t="shared" si="100"/>
        <v>3.5548184716220559E-2</v>
      </c>
      <c r="R6186" s="31">
        <v>0.15939999999999999</v>
      </c>
      <c r="S6186" s="32">
        <v>5.4590000000000007E-2</v>
      </c>
    </row>
    <row r="6187" spans="16:19" x14ac:dyDescent="0.25">
      <c r="P6187" s="27">
        <v>3.2548184716220556E-2</v>
      </c>
      <c r="Q6187" s="28">
        <f t="shared" si="100"/>
        <v>3.5548184716220559E-2</v>
      </c>
      <c r="R6187" s="31">
        <v>0.15939999999999999</v>
      </c>
      <c r="S6187" s="32">
        <v>5.3939999999999995E-2</v>
      </c>
    </row>
    <row r="6188" spans="16:19" x14ac:dyDescent="0.25">
      <c r="P6188" s="27">
        <v>3.2548184716220556E-2</v>
      </c>
      <c r="Q6188" s="28">
        <f t="shared" si="100"/>
        <v>3.5548184716220559E-2</v>
      </c>
      <c r="R6188" s="31">
        <v>0.15939999999999999</v>
      </c>
      <c r="S6188" s="32">
        <v>5.5990000000000005E-2</v>
      </c>
    </row>
    <row r="6189" spans="16:19" x14ac:dyDescent="0.25">
      <c r="P6189" s="27">
        <v>3.2548184716220556E-2</v>
      </c>
      <c r="Q6189" s="28">
        <f t="shared" si="100"/>
        <v>3.5548184716220559E-2</v>
      </c>
      <c r="R6189" s="31">
        <v>0.15939999999999999</v>
      </c>
      <c r="S6189" s="32">
        <v>5.7939999999999998E-2</v>
      </c>
    </row>
    <row r="6190" spans="16:19" x14ac:dyDescent="0.25">
      <c r="P6190" s="27">
        <v>3.2548184716220556E-2</v>
      </c>
      <c r="Q6190" s="28">
        <f t="shared" si="100"/>
        <v>3.5548184716220559E-2</v>
      </c>
      <c r="R6190" s="31">
        <v>0.15939999999999999</v>
      </c>
      <c r="S6190" s="32">
        <v>6.8559999999999996E-2</v>
      </c>
    </row>
    <row r="6191" spans="16:19" x14ac:dyDescent="0.25">
      <c r="P6191" s="27">
        <v>3.2548184716220556E-2</v>
      </c>
      <c r="Q6191" s="28">
        <f t="shared" si="100"/>
        <v>3.5548184716220559E-2</v>
      </c>
      <c r="R6191" s="31">
        <v>0.15939999999999999</v>
      </c>
      <c r="S6191" s="32">
        <v>7.0999999999999994E-2</v>
      </c>
    </row>
    <row r="6192" spans="16:19" x14ac:dyDescent="0.25">
      <c r="P6192" s="27">
        <v>3.2548184716220556E-2</v>
      </c>
      <c r="Q6192" s="28">
        <f t="shared" si="100"/>
        <v>3.5548184716220559E-2</v>
      </c>
      <c r="R6192" s="31">
        <v>0.15939999999999999</v>
      </c>
      <c r="S6192" s="32">
        <v>5.6600000000000004E-2</v>
      </c>
    </row>
    <row r="6193" spans="16:19" x14ac:dyDescent="0.25">
      <c r="P6193" s="27">
        <v>3.2548184716220556E-2</v>
      </c>
      <c r="Q6193" s="28">
        <f t="shared" si="100"/>
        <v>3.5548184716220559E-2</v>
      </c>
      <c r="R6193" s="31">
        <v>0.15939999999999999</v>
      </c>
      <c r="S6193" s="32">
        <v>5.2749999999999998E-2</v>
      </c>
    </row>
    <row r="6194" spans="16:19" x14ac:dyDescent="0.25">
      <c r="P6194" s="27">
        <v>3.2548184716220556E-2</v>
      </c>
      <c r="Q6194" s="28">
        <f t="shared" si="100"/>
        <v>3.5548184716220559E-2</v>
      </c>
      <c r="R6194" s="31">
        <v>0.15939999999999999</v>
      </c>
      <c r="S6194" s="32">
        <v>4.9059999999999999E-2</v>
      </c>
    </row>
    <row r="6195" spans="16:19" x14ac:dyDescent="0.25">
      <c r="P6195" s="27">
        <v>3.2548184716220556E-2</v>
      </c>
      <c r="Q6195" s="28">
        <f t="shared" si="100"/>
        <v>3.5548184716220559E-2</v>
      </c>
      <c r="R6195" s="29">
        <v>0.15</v>
      </c>
      <c r="S6195" s="30">
        <v>5.2469999999999996E-2</v>
      </c>
    </row>
    <row r="6196" spans="16:19" x14ac:dyDescent="0.25">
      <c r="P6196" s="27">
        <v>3.2548184716220556E-2</v>
      </c>
      <c r="Q6196" s="28">
        <f t="shared" si="100"/>
        <v>3.5548184716220559E-2</v>
      </c>
      <c r="R6196" s="29">
        <v>0.15</v>
      </c>
      <c r="S6196" s="30">
        <v>5.1529999999999999E-2</v>
      </c>
    </row>
    <row r="6197" spans="16:19" x14ac:dyDescent="0.25">
      <c r="P6197" s="27">
        <v>3.2548184716220556E-2</v>
      </c>
      <c r="Q6197" s="28">
        <f t="shared" si="100"/>
        <v>3.5548184716220559E-2</v>
      </c>
      <c r="R6197" s="29">
        <v>0.15</v>
      </c>
      <c r="S6197" s="30">
        <v>4.9860000000000002E-2</v>
      </c>
    </row>
    <row r="6198" spans="16:19" x14ac:dyDescent="0.25">
      <c r="P6198" s="27">
        <v>3.2548184716220556E-2</v>
      </c>
      <c r="Q6198" s="28">
        <f t="shared" si="100"/>
        <v>3.5548184716220559E-2</v>
      </c>
      <c r="R6198" s="29">
        <v>0.15</v>
      </c>
      <c r="S6198" s="30">
        <v>4.9090000000000002E-2</v>
      </c>
    </row>
    <row r="6199" spans="16:19" x14ac:dyDescent="0.25">
      <c r="P6199" s="27">
        <v>3.2548184716220556E-2</v>
      </c>
      <c r="Q6199" s="28">
        <f t="shared" si="100"/>
        <v>3.5548184716220559E-2</v>
      </c>
      <c r="R6199" s="29">
        <v>0.15</v>
      </c>
      <c r="S6199" s="30">
        <v>4.8989999999999999E-2</v>
      </c>
    </row>
    <row r="6200" spans="16:19" x14ac:dyDescent="0.25">
      <c r="P6200" s="27">
        <v>3.2548184716220556E-2</v>
      </c>
      <c r="Q6200" s="28">
        <f t="shared" si="100"/>
        <v>3.5548184716220559E-2</v>
      </c>
      <c r="R6200" s="29">
        <v>0.15</v>
      </c>
      <c r="S6200" s="30">
        <v>4.9890000000000004E-2</v>
      </c>
    </row>
    <row r="6201" spans="16:19" x14ac:dyDescent="0.25">
      <c r="P6201" s="27">
        <v>3.2548184716220556E-2</v>
      </c>
      <c r="Q6201" s="28">
        <f t="shared" si="100"/>
        <v>3.5548184716220559E-2</v>
      </c>
      <c r="R6201" s="29">
        <v>0.15</v>
      </c>
      <c r="S6201" s="30">
        <v>5.7000000000000002E-2</v>
      </c>
    </row>
    <row r="6202" spans="16:19" x14ac:dyDescent="0.25">
      <c r="P6202" s="27">
        <v>3.2548184716220556E-2</v>
      </c>
      <c r="Q6202" s="28">
        <f t="shared" si="100"/>
        <v>3.5548184716220559E-2</v>
      </c>
      <c r="R6202" s="29">
        <v>0.15</v>
      </c>
      <c r="S6202" s="30">
        <v>6.6250000000000003E-2</v>
      </c>
    </row>
    <row r="6203" spans="16:19" x14ac:dyDescent="0.25">
      <c r="P6203" s="27">
        <v>3.2548184716220556E-2</v>
      </c>
      <c r="Q6203" s="28">
        <f t="shared" si="100"/>
        <v>3.5548184716220559E-2</v>
      </c>
      <c r="R6203" s="29">
        <v>0.15</v>
      </c>
      <c r="S6203" s="30">
        <v>7.9262347999999996E-2</v>
      </c>
    </row>
    <row r="6204" spans="16:19" x14ac:dyDescent="0.25">
      <c r="P6204" s="27">
        <v>3.2548184716220556E-2</v>
      </c>
      <c r="Q6204" s="28">
        <f t="shared" si="100"/>
        <v>3.5548184716220559E-2</v>
      </c>
      <c r="R6204" s="29">
        <v>0.15</v>
      </c>
      <c r="S6204" s="30">
        <v>6.8945913999999997E-2</v>
      </c>
    </row>
    <row r="6205" spans="16:19" x14ac:dyDescent="0.25">
      <c r="P6205" s="27">
        <v>3.2548184716220556E-2</v>
      </c>
      <c r="Q6205" s="28">
        <f t="shared" si="100"/>
        <v>3.5548184716220559E-2</v>
      </c>
      <c r="R6205" s="29">
        <v>0.15</v>
      </c>
      <c r="S6205" s="30">
        <v>6.0289999999999996E-2</v>
      </c>
    </row>
    <row r="6206" spans="16:19" x14ac:dyDescent="0.25">
      <c r="P6206" s="27">
        <v>3.2548184716220556E-2</v>
      </c>
      <c r="Q6206" s="28">
        <f t="shared" si="100"/>
        <v>3.5548184716220559E-2</v>
      </c>
      <c r="R6206" s="29">
        <v>0.15</v>
      </c>
      <c r="S6206" s="30">
        <v>5.5E-2</v>
      </c>
    </row>
    <row r="6207" spans="16:19" x14ac:dyDescent="0.25">
      <c r="P6207" s="27">
        <v>3.2548184716220556E-2</v>
      </c>
      <c r="Q6207" s="28">
        <f t="shared" si="100"/>
        <v>3.5548184716220559E-2</v>
      </c>
      <c r="R6207" s="29">
        <v>0.15</v>
      </c>
      <c r="S6207" s="30">
        <v>4.9299999999999997E-2</v>
      </c>
    </row>
    <row r="6208" spans="16:19" x14ac:dyDescent="0.25">
      <c r="P6208" s="27">
        <v>3.2548184716220556E-2</v>
      </c>
      <c r="Q6208" s="28">
        <f t="shared" si="100"/>
        <v>3.5548184716220559E-2</v>
      </c>
      <c r="R6208" s="29">
        <v>0.15</v>
      </c>
      <c r="S6208" s="30">
        <v>4.9700000000000001E-2</v>
      </c>
    </row>
    <row r="6209" spans="16:19" x14ac:dyDescent="0.25">
      <c r="P6209" s="27">
        <v>3.2548184716220556E-2</v>
      </c>
      <c r="Q6209" s="28">
        <f t="shared" si="100"/>
        <v>3.5548184716220559E-2</v>
      </c>
      <c r="R6209" s="29">
        <v>0.15</v>
      </c>
      <c r="S6209" s="30">
        <v>5.2880000000000003E-2</v>
      </c>
    </row>
    <row r="6210" spans="16:19" x14ac:dyDescent="0.25">
      <c r="P6210" s="27">
        <v>3.2548184716220556E-2</v>
      </c>
      <c r="Q6210" s="28">
        <f t="shared" si="100"/>
        <v>3.5548184716220559E-2</v>
      </c>
      <c r="R6210" s="29">
        <v>0.15</v>
      </c>
      <c r="S6210" s="30">
        <v>5.7079999999999999E-2</v>
      </c>
    </row>
    <row r="6211" spans="16:19" x14ac:dyDescent="0.25">
      <c r="P6211" s="27">
        <v>3.2548184716220556E-2</v>
      </c>
      <c r="Q6211" s="28">
        <f t="shared" si="100"/>
        <v>3.5548184716220559E-2</v>
      </c>
      <c r="R6211" s="29">
        <v>0.15</v>
      </c>
      <c r="S6211" s="30">
        <v>5.7829999999999999E-2</v>
      </c>
    </row>
    <row r="6212" spans="16:19" x14ac:dyDescent="0.25">
      <c r="P6212" s="27">
        <v>3.2548184716220556E-2</v>
      </c>
      <c r="Q6212" s="28">
        <f t="shared" si="100"/>
        <v>3.5548184716220559E-2</v>
      </c>
      <c r="R6212" s="29">
        <v>0.15</v>
      </c>
      <c r="S6212" s="30">
        <v>5.9990000000000002E-2</v>
      </c>
    </row>
    <row r="6213" spans="16:19" x14ac:dyDescent="0.25">
      <c r="P6213" s="27">
        <v>3.2548184716220556E-2</v>
      </c>
      <c r="Q6213" s="28">
        <f t="shared" ref="Q6213:Q6276" si="101">P6213+0.003</f>
        <v>3.5548184716220559E-2</v>
      </c>
      <c r="R6213" s="29">
        <v>0.15</v>
      </c>
      <c r="S6213" s="30">
        <v>5.8529999999999999E-2</v>
      </c>
    </row>
    <row r="6214" spans="16:19" x14ac:dyDescent="0.25">
      <c r="P6214" s="27">
        <v>3.2548184716220556E-2</v>
      </c>
      <c r="Q6214" s="28">
        <f t="shared" si="101"/>
        <v>3.5548184716220559E-2</v>
      </c>
      <c r="R6214" s="29">
        <v>0.15</v>
      </c>
      <c r="S6214" s="30">
        <v>7.2999999999999995E-2</v>
      </c>
    </row>
    <row r="6215" spans="16:19" x14ac:dyDescent="0.25">
      <c r="P6215" s="27">
        <v>3.2548184716220556E-2</v>
      </c>
      <c r="Q6215" s="28">
        <f t="shared" si="101"/>
        <v>3.5548184716220559E-2</v>
      </c>
      <c r="R6215" s="29">
        <v>0.15</v>
      </c>
      <c r="S6215" s="30">
        <v>7.5120000000000006E-2</v>
      </c>
    </row>
    <row r="6216" spans="16:19" x14ac:dyDescent="0.25">
      <c r="P6216" s="27">
        <v>3.2548184716220556E-2</v>
      </c>
      <c r="Q6216" s="28">
        <f t="shared" si="101"/>
        <v>3.5548184716220559E-2</v>
      </c>
      <c r="R6216" s="29">
        <v>0.15</v>
      </c>
      <c r="S6216" s="30">
        <v>5.7669999999999999E-2</v>
      </c>
    </row>
    <row r="6217" spans="16:19" x14ac:dyDescent="0.25">
      <c r="P6217" s="27">
        <v>3.2548184716220556E-2</v>
      </c>
      <c r="Q6217" s="28">
        <f t="shared" si="101"/>
        <v>3.5548184716220559E-2</v>
      </c>
      <c r="R6217" s="29">
        <v>0.15</v>
      </c>
      <c r="S6217" s="30">
        <v>5.3710000000000001E-2</v>
      </c>
    </row>
    <row r="6218" spans="16:19" x14ac:dyDescent="0.25">
      <c r="P6218" s="27">
        <v>3.2548184716220556E-2</v>
      </c>
      <c r="Q6218" s="28">
        <f t="shared" si="101"/>
        <v>3.5548184716220559E-2</v>
      </c>
      <c r="R6218" s="29">
        <v>0.15</v>
      </c>
      <c r="S6218" s="30">
        <v>5.1249999999999997E-2</v>
      </c>
    </row>
    <row r="6219" spans="16:19" x14ac:dyDescent="0.25">
      <c r="P6219" s="27">
        <v>3.2548184716220556E-2</v>
      </c>
      <c r="Q6219" s="28">
        <f t="shared" si="101"/>
        <v>3.5548184716220559E-2</v>
      </c>
      <c r="R6219" s="29">
        <v>0.15</v>
      </c>
      <c r="S6219" s="30">
        <v>5.1499999999999997E-2</v>
      </c>
    </row>
    <row r="6220" spans="16:19" x14ac:dyDescent="0.25">
      <c r="P6220" s="27">
        <v>3.2548184716220556E-2</v>
      </c>
      <c r="Q6220" s="28">
        <f t="shared" si="101"/>
        <v>3.5548184716220559E-2</v>
      </c>
      <c r="R6220" s="29">
        <v>0.15</v>
      </c>
      <c r="S6220" s="30">
        <v>5.0500000000000003E-2</v>
      </c>
    </row>
    <row r="6221" spans="16:19" x14ac:dyDescent="0.25">
      <c r="P6221" s="27">
        <v>3.2548184716220556E-2</v>
      </c>
      <c r="Q6221" s="28">
        <f t="shared" si="101"/>
        <v>3.5548184716220559E-2</v>
      </c>
      <c r="R6221" s="29">
        <v>0.15</v>
      </c>
      <c r="S6221" s="30">
        <v>4.8899999999999999E-2</v>
      </c>
    </row>
    <row r="6222" spans="16:19" x14ac:dyDescent="0.25">
      <c r="P6222" s="27">
        <v>3.2548184716220556E-2</v>
      </c>
      <c r="Q6222" s="28">
        <f t="shared" si="101"/>
        <v>3.5548184716220559E-2</v>
      </c>
      <c r="R6222" s="29">
        <v>0.15</v>
      </c>
      <c r="S6222" s="30">
        <v>4.7920000000000004E-2</v>
      </c>
    </row>
    <row r="6223" spans="16:19" x14ac:dyDescent="0.25">
      <c r="P6223" s="27">
        <v>3.2548184716220556E-2</v>
      </c>
      <c r="Q6223" s="28">
        <f t="shared" si="101"/>
        <v>3.5548184716220559E-2</v>
      </c>
      <c r="R6223" s="29">
        <v>0.15</v>
      </c>
      <c r="S6223" s="30">
        <v>4.7909999999999994E-2</v>
      </c>
    </row>
    <row r="6224" spans="16:19" x14ac:dyDescent="0.25">
      <c r="P6224" s="27">
        <v>3.2548184716220556E-2</v>
      </c>
      <c r="Q6224" s="28">
        <f t="shared" si="101"/>
        <v>3.5548184716220559E-2</v>
      </c>
      <c r="R6224" s="29">
        <v>0.15</v>
      </c>
      <c r="S6224" s="30">
        <v>4.9590000000000002E-2</v>
      </c>
    </row>
    <row r="6225" spans="16:19" x14ac:dyDescent="0.25">
      <c r="P6225" s="27">
        <v>3.2548184716220556E-2</v>
      </c>
      <c r="Q6225" s="28">
        <f t="shared" si="101"/>
        <v>3.5548184716220559E-2</v>
      </c>
      <c r="R6225" s="29">
        <v>0.15</v>
      </c>
      <c r="S6225" s="30">
        <v>5.586E-2</v>
      </c>
    </row>
    <row r="6226" spans="16:19" x14ac:dyDescent="0.25">
      <c r="P6226" s="27">
        <v>3.2548184716220556E-2</v>
      </c>
      <c r="Q6226" s="28">
        <f t="shared" si="101"/>
        <v>3.5548184716220559E-2</v>
      </c>
      <c r="R6226" s="29">
        <v>0.15</v>
      </c>
      <c r="S6226" s="30">
        <v>6.2789999999999999E-2</v>
      </c>
    </row>
    <row r="6227" spans="16:19" x14ac:dyDescent="0.25">
      <c r="P6227" s="27">
        <v>3.2548184716220556E-2</v>
      </c>
      <c r="Q6227" s="28">
        <f t="shared" si="101"/>
        <v>3.5548184716220559E-2</v>
      </c>
      <c r="R6227" s="31">
        <v>0.15939660775771733</v>
      </c>
      <c r="S6227" s="32">
        <v>6.9650000000000004E-2</v>
      </c>
    </row>
    <row r="6228" spans="16:19" x14ac:dyDescent="0.25">
      <c r="P6228" s="27">
        <v>3.2548184716220556E-2</v>
      </c>
      <c r="Q6228" s="28">
        <f t="shared" si="101"/>
        <v>3.5548184716220559E-2</v>
      </c>
      <c r="R6228" s="33">
        <v>0.16282860775771735</v>
      </c>
      <c r="S6228" s="34">
        <v>6.447E-2</v>
      </c>
    </row>
    <row r="6229" spans="16:19" x14ac:dyDescent="0.25">
      <c r="P6229" s="27">
        <v>3.2548184716220556E-2</v>
      </c>
      <c r="Q6229" s="28">
        <f t="shared" si="101"/>
        <v>3.5548184716220559E-2</v>
      </c>
      <c r="R6229" s="33">
        <v>0.16282860775771735</v>
      </c>
      <c r="S6229" s="34">
        <v>5.8479999999999997E-2</v>
      </c>
    </row>
    <row r="6230" spans="16:19" x14ac:dyDescent="0.25">
      <c r="P6230" s="27">
        <v>3.2548184716220556E-2</v>
      </c>
      <c r="Q6230" s="28">
        <f t="shared" si="101"/>
        <v>3.5548184716220559E-2</v>
      </c>
      <c r="R6230" s="33">
        <v>0.16282860775771735</v>
      </c>
      <c r="S6230" s="34">
        <v>5.5359999999999999E-2</v>
      </c>
    </row>
    <row r="6231" spans="16:19" x14ac:dyDescent="0.25">
      <c r="P6231" s="27">
        <v>3.2548184716220556E-2</v>
      </c>
      <c r="Q6231" s="28">
        <f t="shared" si="101"/>
        <v>3.5548184716220559E-2</v>
      </c>
      <c r="R6231" s="33">
        <v>0.16282860775771735</v>
      </c>
      <c r="S6231" s="34">
        <v>5.2130000000000003E-2</v>
      </c>
    </row>
    <row r="6232" spans="16:19" x14ac:dyDescent="0.25">
      <c r="P6232" s="27">
        <v>3.2548184716220556E-2</v>
      </c>
      <c r="Q6232" s="28">
        <f t="shared" si="101"/>
        <v>3.5548184716220559E-2</v>
      </c>
      <c r="R6232" s="33">
        <v>0.16282860775771735</v>
      </c>
      <c r="S6232" s="34">
        <v>5.2229999999999999E-2</v>
      </c>
    </row>
    <row r="6233" spans="16:19" x14ac:dyDescent="0.25">
      <c r="P6233" s="27">
        <v>3.2548184716220556E-2</v>
      </c>
      <c r="Q6233" s="28">
        <f t="shared" si="101"/>
        <v>3.5548184716220559E-2</v>
      </c>
      <c r="R6233" s="33">
        <v>0.16282860775771735</v>
      </c>
      <c r="S6233" s="34">
        <v>5.5049999999999995E-2</v>
      </c>
    </row>
    <row r="6234" spans="16:19" x14ac:dyDescent="0.25">
      <c r="P6234" s="27">
        <v>3.2548184716220556E-2</v>
      </c>
      <c r="Q6234" s="28">
        <f t="shared" si="101"/>
        <v>3.5548184716220559E-2</v>
      </c>
      <c r="R6234" s="33">
        <v>0.16282860775771735</v>
      </c>
      <c r="S6234" s="34">
        <v>5.5829999999999998E-2</v>
      </c>
    </row>
    <row r="6235" spans="16:19" x14ac:dyDescent="0.25">
      <c r="P6235" s="27">
        <v>3.2548184716220556E-2</v>
      </c>
      <c r="Q6235" s="28">
        <f t="shared" si="101"/>
        <v>3.5548184716220559E-2</v>
      </c>
      <c r="R6235" s="33">
        <v>0.16282860775771735</v>
      </c>
      <c r="S6235" s="34">
        <v>5.8430000000000003E-2</v>
      </c>
    </row>
    <row r="6236" spans="16:19" x14ac:dyDescent="0.25">
      <c r="P6236" s="27">
        <v>3.2548184716220556E-2</v>
      </c>
      <c r="Q6236" s="28">
        <f t="shared" si="101"/>
        <v>3.5548184716220559E-2</v>
      </c>
      <c r="R6236" s="33">
        <v>0.16282860775771735</v>
      </c>
      <c r="S6236" s="34">
        <v>5.799E-2</v>
      </c>
    </row>
    <row r="6237" spans="16:19" x14ac:dyDescent="0.25">
      <c r="P6237" s="27">
        <v>3.2548184716220556E-2</v>
      </c>
      <c r="Q6237" s="28">
        <f t="shared" si="101"/>
        <v>3.5548184716220559E-2</v>
      </c>
      <c r="R6237" s="33">
        <v>0.16282860775771735</v>
      </c>
      <c r="S6237" s="34">
        <v>5.824E-2</v>
      </c>
    </row>
    <row r="6238" spans="16:19" x14ac:dyDescent="0.25">
      <c r="P6238" s="27">
        <v>3.2548184716220556E-2</v>
      </c>
      <c r="Q6238" s="28">
        <f t="shared" si="101"/>
        <v>3.5548184716220559E-2</v>
      </c>
      <c r="R6238" s="33">
        <v>0.16282860775771735</v>
      </c>
      <c r="S6238" s="34">
        <v>7.6999999999999999E-2</v>
      </c>
    </row>
    <row r="6239" spans="16:19" x14ac:dyDescent="0.25">
      <c r="P6239" s="27">
        <v>3.2548184716220556E-2</v>
      </c>
      <c r="Q6239" s="28">
        <f t="shared" si="101"/>
        <v>3.5548184716220559E-2</v>
      </c>
      <c r="R6239" s="31">
        <v>0.15939660775771733</v>
      </c>
      <c r="S6239" s="32">
        <v>7.4740000000000001E-2</v>
      </c>
    </row>
    <row r="6240" spans="16:19" x14ac:dyDescent="0.25">
      <c r="P6240" s="27">
        <v>3.2548184716220556E-2</v>
      </c>
      <c r="Q6240" s="28">
        <f t="shared" si="101"/>
        <v>3.5548184716220559E-2</v>
      </c>
      <c r="R6240" s="31">
        <v>0.15939660775771733</v>
      </c>
      <c r="S6240" s="32">
        <v>5.6710000000000003E-2</v>
      </c>
    </row>
    <row r="6241" spans="16:19" x14ac:dyDescent="0.25">
      <c r="P6241" s="27">
        <v>3.2548184716220556E-2</v>
      </c>
      <c r="Q6241" s="28">
        <f t="shared" si="101"/>
        <v>3.5548184716220559E-2</v>
      </c>
      <c r="R6241" s="31">
        <v>0.15939660775771733</v>
      </c>
      <c r="S6241" s="32">
        <v>5.3009999999999995E-2</v>
      </c>
    </row>
    <row r="6242" spans="16:19" x14ac:dyDescent="0.25">
      <c r="P6242" s="27">
        <v>3.2548184716220556E-2</v>
      </c>
      <c r="Q6242" s="28">
        <f t="shared" si="101"/>
        <v>3.5548184716220559E-2</v>
      </c>
      <c r="R6242" s="31">
        <v>0.15939660775771733</v>
      </c>
      <c r="S6242" s="32">
        <v>5.1999999999999998E-2</v>
      </c>
    </row>
    <row r="6243" spans="16:19" x14ac:dyDescent="0.25">
      <c r="P6243" s="27">
        <v>3.2548184716220556E-2</v>
      </c>
      <c r="Q6243" s="28">
        <f t="shared" si="101"/>
        <v>3.5548184716220559E-2</v>
      </c>
      <c r="R6243" s="29">
        <v>0.15003660775771735</v>
      </c>
      <c r="S6243" s="30">
        <v>5.0970000000000001E-2</v>
      </c>
    </row>
    <row r="6244" spans="16:19" x14ac:dyDescent="0.25">
      <c r="P6244" s="27">
        <v>3.2548184716220556E-2</v>
      </c>
      <c r="Q6244" s="28">
        <f t="shared" si="101"/>
        <v>3.5548184716220559E-2</v>
      </c>
      <c r="R6244" s="29">
        <v>0.15003660775771735</v>
      </c>
      <c r="S6244" s="30">
        <v>5.0200000000000002E-2</v>
      </c>
    </row>
    <row r="6245" spans="16:19" x14ac:dyDescent="0.25">
      <c r="P6245" s="27">
        <v>3.2548184716220556E-2</v>
      </c>
      <c r="Q6245" s="28">
        <f t="shared" si="101"/>
        <v>3.5548184716220559E-2</v>
      </c>
      <c r="R6245" s="29">
        <v>0.15003660775771735</v>
      </c>
      <c r="S6245" s="30">
        <v>4.7710000000000002E-2</v>
      </c>
    </row>
    <row r="6246" spans="16:19" x14ac:dyDescent="0.25">
      <c r="P6246" s="27">
        <v>3.2548184716220556E-2</v>
      </c>
      <c r="Q6246" s="28">
        <f t="shared" si="101"/>
        <v>3.5548184716220559E-2</v>
      </c>
      <c r="R6246" s="29">
        <v>0.15003660775771735</v>
      </c>
      <c r="S6246" s="30">
        <v>4.5999999999999999E-2</v>
      </c>
    </row>
    <row r="6247" spans="16:19" x14ac:dyDescent="0.25">
      <c r="P6247" s="27">
        <v>3.2548184716220556E-2</v>
      </c>
      <c r="Q6247" s="28">
        <f t="shared" si="101"/>
        <v>3.5548184716220559E-2</v>
      </c>
      <c r="R6247" s="29">
        <v>0.15003660775771735</v>
      </c>
      <c r="S6247" s="30">
        <v>4.7E-2</v>
      </c>
    </row>
    <row r="6248" spans="16:19" x14ac:dyDescent="0.25">
      <c r="P6248" s="27">
        <v>3.2548184716220556E-2</v>
      </c>
      <c r="Q6248" s="28">
        <f t="shared" si="101"/>
        <v>3.5548184716220559E-2</v>
      </c>
      <c r="R6248" s="29">
        <v>0.15003660775771735</v>
      </c>
      <c r="S6248" s="30">
        <v>4.9799999999999997E-2</v>
      </c>
    </row>
    <row r="6249" spans="16:19" x14ac:dyDescent="0.25">
      <c r="P6249" s="27">
        <v>3.2548184716220556E-2</v>
      </c>
      <c r="Q6249" s="28">
        <f t="shared" si="101"/>
        <v>3.5548184716220559E-2</v>
      </c>
      <c r="R6249" s="29">
        <v>0.15003660775771735</v>
      </c>
      <c r="S6249" s="30">
        <v>5.577E-2</v>
      </c>
    </row>
    <row r="6250" spans="16:19" x14ac:dyDescent="0.25">
      <c r="P6250" s="27">
        <v>3.2548184716220556E-2</v>
      </c>
      <c r="Q6250" s="28">
        <f t="shared" si="101"/>
        <v>3.5548184716220559E-2</v>
      </c>
      <c r="R6250" s="29">
        <v>0.15003660775771735</v>
      </c>
      <c r="S6250" s="30">
        <v>5.8999999999999997E-2</v>
      </c>
    </row>
    <row r="6251" spans="16:19" x14ac:dyDescent="0.25">
      <c r="P6251" s="27">
        <v>3.2548184716220556E-2</v>
      </c>
      <c r="Q6251" s="28">
        <f t="shared" si="101"/>
        <v>3.5548184716220559E-2</v>
      </c>
      <c r="R6251" s="31">
        <v>0.15939660775771733</v>
      </c>
      <c r="S6251" s="32">
        <v>6.9150000000000003E-2</v>
      </c>
    </row>
    <row r="6252" spans="16:19" x14ac:dyDescent="0.25">
      <c r="P6252" s="27">
        <v>3.2548184716220556E-2</v>
      </c>
      <c r="Q6252" s="28">
        <f t="shared" si="101"/>
        <v>3.5548184716220559E-2</v>
      </c>
      <c r="R6252" s="33">
        <v>0.16282860775771735</v>
      </c>
      <c r="S6252" s="34">
        <v>6.3729999999999995E-2</v>
      </c>
    </row>
    <row r="6253" spans="16:19" x14ac:dyDescent="0.25">
      <c r="P6253" s="27">
        <v>3.2548184716220556E-2</v>
      </c>
      <c r="Q6253" s="28">
        <f t="shared" si="101"/>
        <v>3.5548184716220559E-2</v>
      </c>
      <c r="R6253" s="33">
        <v>0.16282860775771735</v>
      </c>
      <c r="S6253" s="34">
        <v>5.7619999999999998E-2</v>
      </c>
    </row>
    <row r="6254" spans="16:19" x14ac:dyDescent="0.25">
      <c r="P6254" s="27">
        <v>3.2548184716220556E-2</v>
      </c>
      <c r="Q6254" s="28">
        <f t="shared" si="101"/>
        <v>3.5548184716220559E-2</v>
      </c>
      <c r="R6254" s="33">
        <v>0.16282860775771735</v>
      </c>
      <c r="S6254" s="34">
        <v>5.7770000000000002E-2</v>
      </c>
    </row>
    <row r="6255" spans="16:19" x14ac:dyDescent="0.25">
      <c r="P6255" s="27">
        <v>3.2548184716220556E-2</v>
      </c>
      <c r="Q6255" s="28">
        <f t="shared" si="101"/>
        <v>3.5548184716220559E-2</v>
      </c>
      <c r="R6255" s="33">
        <v>0.16282860775771735</v>
      </c>
      <c r="S6255" s="34">
        <v>5.4390000000000001E-2</v>
      </c>
    </row>
    <row r="6256" spans="16:19" x14ac:dyDescent="0.25">
      <c r="P6256" s="27">
        <v>3.2548184716220556E-2</v>
      </c>
      <c r="Q6256" s="28">
        <f t="shared" si="101"/>
        <v>3.5548184716220559E-2</v>
      </c>
      <c r="R6256" s="33">
        <v>0.16282860775771735</v>
      </c>
      <c r="S6256" s="34">
        <v>5.2969999999999996E-2</v>
      </c>
    </row>
    <row r="6257" spans="16:19" x14ac:dyDescent="0.25">
      <c r="P6257" s="27">
        <v>3.2548184716220556E-2</v>
      </c>
      <c r="Q6257" s="28">
        <f t="shared" si="101"/>
        <v>3.5548184716220559E-2</v>
      </c>
      <c r="R6257" s="33">
        <v>0.16282860775771735</v>
      </c>
      <c r="S6257" s="34">
        <v>5.5829999999999998E-2</v>
      </c>
    </row>
    <row r="6258" spans="16:19" x14ac:dyDescent="0.25">
      <c r="P6258" s="27">
        <v>3.2548184716220556E-2</v>
      </c>
      <c r="Q6258" s="28">
        <f t="shared" si="101"/>
        <v>3.5548184716220559E-2</v>
      </c>
      <c r="R6258" s="33">
        <v>0.16282860775771735</v>
      </c>
      <c r="S6258" s="34">
        <v>5.697E-2</v>
      </c>
    </row>
    <row r="6259" spans="16:19" x14ac:dyDescent="0.25">
      <c r="P6259" s="27">
        <v>3.2548184716220556E-2</v>
      </c>
      <c r="Q6259" s="28">
        <f t="shared" si="101"/>
        <v>3.5548184716220559E-2</v>
      </c>
      <c r="R6259" s="33">
        <v>0.16282860775771735</v>
      </c>
      <c r="S6259" s="34">
        <v>6.2060000000000004E-2</v>
      </c>
    </row>
    <row r="6260" spans="16:19" x14ac:dyDescent="0.25">
      <c r="P6260" s="27">
        <v>3.2548184716220556E-2</v>
      </c>
      <c r="Q6260" s="28">
        <f t="shared" si="101"/>
        <v>3.5548184716220559E-2</v>
      </c>
      <c r="R6260" s="33">
        <v>0.16282860775771735</v>
      </c>
      <c r="S6260" s="34">
        <v>5.8990000000000001E-2</v>
      </c>
    </row>
    <row r="6261" spans="16:19" x14ac:dyDescent="0.25">
      <c r="P6261" s="27">
        <v>3.2548184716220556E-2</v>
      </c>
      <c r="Q6261" s="28">
        <f t="shared" si="101"/>
        <v>3.5548184716220559E-2</v>
      </c>
      <c r="R6261" s="33">
        <v>0.16282860775771735</v>
      </c>
      <c r="S6261" s="34">
        <v>5.9240000000000001E-2</v>
      </c>
    </row>
    <row r="6262" spans="16:19" x14ac:dyDescent="0.25">
      <c r="P6262" s="27">
        <v>3.2548184716220556E-2</v>
      </c>
      <c r="Q6262" s="28">
        <f t="shared" si="101"/>
        <v>3.5548184716220559E-2</v>
      </c>
      <c r="R6262" s="33">
        <v>0.16282860775771735</v>
      </c>
      <c r="S6262" s="34">
        <v>7.8810000000000005E-2</v>
      </c>
    </row>
    <row r="6263" spans="16:19" x14ac:dyDescent="0.25">
      <c r="P6263" s="27">
        <v>3.2548184716220556E-2</v>
      </c>
      <c r="Q6263" s="28">
        <f t="shared" si="101"/>
        <v>3.5548184716220559E-2</v>
      </c>
      <c r="R6263" s="31">
        <v>0.15939660775771733</v>
      </c>
      <c r="S6263" s="32">
        <v>7.2230000000000003E-2</v>
      </c>
    </row>
    <row r="6264" spans="16:19" x14ac:dyDescent="0.25">
      <c r="P6264" s="27">
        <v>3.2548184716220556E-2</v>
      </c>
      <c r="Q6264" s="28">
        <f t="shared" si="101"/>
        <v>3.5548184716220559E-2</v>
      </c>
      <c r="R6264" s="31">
        <v>0.15939660775771733</v>
      </c>
      <c r="S6264" s="32">
        <v>5.672E-2</v>
      </c>
    </row>
    <row r="6265" spans="16:19" x14ac:dyDescent="0.25">
      <c r="P6265" s="27">
        <v>3.2548184716220556E-2</v>
      </c>
      <c r="Q6265" s="28">
        <f t="shared" si="101"/>
        <v>3.5548184716220559E-2</v>
      </c>
      <c r="R6265" s="31">
        <v>0.15939660775771733</v>
      </c>
      <c r="S6265" s="32">
        <v>5.3399999999999996E-2</v>
      </c>
    </row>
    <row r="6266" spans="16:19" x14ac:dyDescent="0.25">
      <c r="P6266" s="27">
        <v>3.2548184716220556E-2</v>
      </c>
      <c r="Q6266" s="28">
        <f t="shared" si="101"/>
        <v>3.5548184716220559E-2</v>
      </c>
      <c r="R6266" s="31">
        <v>0.15939660775771733</v>
      </c>
      <c r="S6266" s="32">
        <v>5.1999999999999998E-2</v>
      </c>
    </row>
    <row r="6267" spans="16:19" x14ac:dyDescent="0.25">
      <c r="P6267" s="27">
        <v>3.2548184716220556E-2</v>
      </c>
      <c r="Q6267" s="28">
        <f t="shared" si="101"/>
        <v>3.5548184716220559E-2</v>
      </c>
      <c r="R6267" s="29">
        <v>0.15003660775771735</v>
      </c>
      <c r="S6267" s="30">
        <v>5.0790000000000002E-2</v>
      </c>
    </row>
    <row r="6268" spans="16:19" x14ac:dyDescent="0.25">
      <c r="P6268" s="27">
        <v>3.2548184716220556E-2</v>
      </c>
      <c r="Q6268" s="28">
        <f t="shared" si="101"/>
        <v>3.5548184716220559E-2</v>
      </c>
      <c r="R6268" s="29">
        <v>0.15003660775771735</v>
      </c>
      <c r="S6268" s="30">
        <v>5.0110000000000002E-2</v>
      </c>
    </row>
    <row r="6269" spans="16:19" x14ac:dyDescent="0.25">
      <c r="P6269" s="27">
        <v>3.2548184716220556E-2</v>
      </c>
      <c r="Q6269" s="28">
        <f t="shared" si="101"/>
        <v>3.5548184716220559E-2</v>
      </c>
      <c r="R6269" s="29">
        <v>0.15003660775771735</v>
      </c>
      <c r="S6269" s="30">
        <v>4.9049999999999996E-2</v>
      </c>
    </row>
    <row r="6270" spans="16:19" x14ac:dyDescent="0.25">
      <c r="P6270" s="27">
        <v>3.2548184716220556E-2</v>
      </c>
      <c r="Q6270" s="28">
        <f t="shared" si="101"/>
        <v>3.5548184716220559E-2</v>
      </c>
      <c r="R6270" s="29">
        <v>0.15003660775771735</v>
      </c>
      <c r="S6270" s="30">
        <v>4.9009999999999998E-2</v>
      </c>
    </row>
    <row r="6271" spans="16:19" x14ac:dyDescent="0.25">
      <c r="P6271" s="27">
        <v>3.2548184716220556E-2</v>
      </c>
      <c r="Q6271" s="28">
        <f t="shared" si="101"/>
        <v>3.5548184716220559E-2</v>
      </c>
      <c r="R6271" s="29">
        <v>0.15003660775771735</v>
      </c>
      <c r="S6271" s="30">
        <v>4.9009999999999998E-2</v>
      </c>
    </row>
    <row r="6272" spans="16:19" x14ac:dyDescent="0.25">
      <c r="P6272" s="27">
        <v>3.2548184716220556E-2</v>
      </c>
      <c r="Q6272" s="28">
        <f t="shared" si="101"/>
        <v>3.5548184716220559E-2</v>
      </c>
      <c r="R6272" s="29">
        <v>0.15003660775771735</v>
      </c>
      <c r="S6272" s="30">
        <v>5.0290000000000001E-2</v>
      </c>
    </row>
    <row r="6273" spans="16:19" x14ac:dyDescent="0.25">
      <c r="P6273" s="27">
        <v>3.2548184716220556E-2</v>
      </c>
      <c r="Q6273" s="28">
        <f t="shared" si="101"/>
        <v>3.5548184716220559E-2</v>
      </c>
      <c r="R6273" s="29">
        <v>0.15003660775771735</v>
      </c>
      <c r="S6273" s="30">
        <v>5.5719999999999999E-2</v>
      </c>
    </row>
    <row r="6274" spans="16:19" x14ac:dyDescent="0.25">
      <c r="P6274" s="27">
        <v>3.2548184716220556E-2</v>
      </c>
      <c r="Q6274" s="28">
        <f t="shared" si="101"/>
        <v>3.5548184716220559E-2</v>
      </c>
      <c r="R6274" s="29">
        <v>0.15003660775771735</v>
      </c>
      <c r="S6274" s="30">
        <v>5.8999999999999997E-2</v>
      </c>
    </row>
    <row r="6275" spans="16:19" x14ac:dyDescent="0.25">
      <c r="P6275" s="27">
        <v>3.2548184716220556E-2</v>
      </c>
      <c r="Q6275" s="28">
        <f t="shared" si="101"/>
        <v>3.5548184716220559E-2</v>
      </c>
      <c r="R6275" s="31">
        <v>0.15939660775771733</v>
      </c>
      <c r="S6275" s="32">
        <v>6.9150000000000003E-2</v>
      </c>
    </row>
    <row r="6276" spans="16:19" x14ac:dyDescent="0.25">
      <c r="P6276" s="27">
        <v>3.2548184716220556E-2</v>
      </c>
      <c r="Q6276" s="28">
        <f t="shared" si="101"/>
        <v>3.5548184716220559E-2</v>
      </c>
      <c r="R6276" s="33">
        <v>0.16282860775771735</v>
      </c>
      <c r="S6276" s="34">
        <v>6.8479999999999999E-2</v>
      </c>
    </row>
    <row r="6277" spans="16:19" x14ac:dyDescent="0.25">
      <c r="P6277" s="27">
        <v>3.2548184716220556E-2</v>
      </c>
      <c r="Q6277" s="28">
        <f t="shared" ref="Q6277:Q6340" si="102">P6277+0.003</f>
        <v>3.5548184716220559E-2</v>
      </c>
      <c r="R6277" s="33">
        <v>0.16282860775771735</v>
      </c>
      <c r="S6277" s="34">
        <v>6.2600000000000003E-2</v>
      </c>
    </row>
    <row r="6278" spans="16:19" x14ac:dyDescent="0.25">
      <c r="P6278" s="27">
        <v>3.2548184716220556E-2</v>
      </c>
      <c r="Q6278" s="28">
        <f t="shared" si="102"/>
        <v>3.5548184716220559E-2</v>
      </c>
      <c r="R6278" s="33">
        <v>0.16282860775771735</v>
      </c>
      <c r="S6278" s="34">
        <v>5.9400000000000001E-2</v>
      </c>
    </row>
    <row r="6279" spans="16:19" x14ac:dyDescent="0.25">
      <c r="P6279" s="27">
        <v>3.2548184716220556E-2</v>
      </c>
      <c r="Q6279" s="28">
        <f t="shared" si="102"/>
        <v>3.5548184716220559E-2</v>
      </c>
      <c r="R6279" s="33">
        <v>0.16282860775771735</v>
      </c>
      <c r="S6279" s="34">
        <v>5.3969999999999997E-2</v>
      </c>
    </row>
    <row r="6280" spans="16:19" x14ac:dyDescent="0.25">
      <c r="P6280" s="27">
        <v>3.2548184716220556E-2</v>
      </c>
      <c r="Q6280" s="28">
        <f t="shared" si="102"/>
        <v>3.5548184716220559E-2</v>
      </c>
      <c r="R6280" s="33">
        <v>0.16282860775771735</v>
      </c>
      <c r="S6280" s="34">
        <v>5.4060000000000004E-2</v>
      </c>
    </row>
    <row r="6281" spans="16:19" x14ac:dyDescent="0.25">
      <c r="P6281" s="27">
        <v>3.2548184716220556E-2</v>
      </c>
      <c r="Q6281" s="28">
        <f t="shared" si="102"/>
        <v>3.5548184716220559E-2</v>
      </c>
      <c r="R6281" s="33">
        <v>0.16282860775771735</v>
      </c>
      <c r="S6281" s="34">
        <v>5.994E-2</v>
      </c>
    </row>
    <row r="6282" spans="16:19" x14ac:dyDescent="0.25">
      <c r="P6282" s="27">
        <v>3.2548184716220556E-2</v>
      </c>
      <c r="Q6282" s="28">
        <f t="shared" si="102"/>
        <v>3.5548184716220559E-2</v>
      </c>
      <c r="R6282" s="33">
        <v>0.16282860775771735</v>
      </c>
      <c r="S6282" s="34">
        <v>6.9849999999999995E-2</v>
      </c>
    </row>
    <row r="6283" spans="16:19" x14ac:dyDescent="0.25">
      <c r="P6283" s="27">
        <v>3.2548184716220556E-2</v>
      </c>
      <c r="Q6283" s="28">
        <f t="shared" si="102"/>
        <v>3.5548184716220559E-2</v>
      </c>
      <c r="R6283" s="33">
        <v>0.16282860775771735</v>
      </c>
      <c r="S6283" s="34">
        <v>6.6459999999999991E-2</v>
      </c>
    </row>
    <row r="6284" spans="16:19" x14ac:dyDescent="0.25">
      <c r="P6284" s="27">
        <v>3.2548184716220556E-2</v>
      </c>
      <c r="Q6284" s="28">
        <f t="shared" si="102"/>
        <v>3.5548184716220559E-2</v>
      </c>
      <c r="R6284" s="33">
        <v>0.16282860775771735</v>
      </c>
      <c r="S6284" s="34">
        <v>5.8990000000000001E-2</v>
      </c>
    </row>
    <row r="6285" spans="16:19" x14ac:dyDescent="0.25">
      <c r="P6285" s="27">
        <v>3.2548184716220556E-2</v>
      </c>
      <c r="Q6285" s="28">
        <f t="shared" si="102"/>
        <v>3.5548184716220559E-2</v>
      </c>
      <c r="R6285" s="33">
        <v>0.16282860775771735</v>
      </c>
      <c r="S6285" s="34">
        <v>5.9569999999999998E-2</v>
      </c>
    </row>
    <row r="6286" spans="16:19" x14ac:dyDescent="0.25">
      <c r="P6286" s="27">
        <v>3.2548184716220556E-2</v>
      </c>
      <c r="Q6286" s="28">
        <f t="shared" si="102"/>
        <v>3.5548184716220559E-2</v>
      </c>
      <c r="R6286" s="33">
        <v>0.16282860775771735</v>
      </c>
      <c r="S6286" s="34">
        <v>7.9920000000000005E-2</v>
      </c>
    </row>
    <row r="6287" spans="16:19" x14ac:dyDescent="0.25">
      <c r="P6287" s="27">
        <v>3.2548184716220556E-2</v>
      </c>
      <c r="Q6287" s="28">
        <f t="shared" si="102"/>
        <v>3.5548184716220559E-2</v>
      </c>
      <c r="R6287" s="31">
        <v>0.15939660775771733</v>
      </c>
      <c r="S6287" s="32">
        <v>7.2230000000000003E-2</v>
      </c>
    </row>
    <row r="6288" spans="16:19" x14ac:dyDescent="0.25">
      <c r="P6288" s="27">
        <v>3.2548184716220556E-2</v>
      </c>
      <c r="Q6288" s="28">
        <f t="shared" si="102"/>
        <v>3.5548184716220559E-2</v>
      </c>
      <c r="R6288" s="31">
        <v>0.15939660775771733</v>
      </c>
      <c r="S6288" s="32">
        <v>5.5990000000000005E-2</v>
      </c>
    </row>
    <row r="6289" spans="16:19" x14ac:dyDescent="0.25">
      <c r="P6289" s="27">
        <v>3.2548184716220556E-2</v>
      </c>
      <c r="Q6289" s="28">
        <f t="shared" si="102"/>
        <v>3.5548184716220559E-2</v>
      </c>
      <c r="R6289" s="31">
        <v>0.15939660775771733</v>
      </c>
      <c r="S6289" s="32">
        <v>5.2990000000000002E-2</v>
      </c>
    </row>
    <row r="6290" spans="16:19" x14ac:dyDescent="0.25">
      <c r="P6290" s="27">
        <v>3.2548184716220556E-2</v>
      </c>
      <c r="Q6290" s="28">
        <f t="shared" si="102"/>
        <v>3.5548184716220559E-2</v>
      </c>
      <c r="R6290" s="31">
        <v>0.15939660775771733</v>
      </c>
      <c r="S6290" s="32">
        <v>5.1499999999999997E-2</v>
      </c>
    </row>
    <row r="6291" spans="16:19" x14ac:dyDescent="0.25">
      <c r="P6291" s="27">
        <v>3.2548184716220556E-2</v>
      </c>
      <c r="Q6291" s="28">
        <f t="shared" si="102"/>
        <v>3.5548184716220559E-2</v>
      </c>
      <c r="R6291" s="29">
        <v>0.15003660775771735</v>
      </c>
      <c r="S6291" s="30">
        <v>5.1999999999999998E-2</v>
      </c>
    </row>
    <row r="6292" spans="16:19" x14ac:dyDescent="0.25">
      <c r="P6292" s="27">
        <v>3.2548184716220556E-2</v>
      </c>
      <c r="Q6292" s="28">
        <f t="shared" si="102"/>
        <v>3.5548184716220559E-2</v>
      </c>
      <c r="R6292" s="29">
        <v>0.15003660775771735</v>
      </c>
      <c r="S6292" s="30">
        <v>5.2469999999999996E-2</v>
      </c>
    </row>
    <row r="6293" spans="16:19" x14ac:dyDescent="0.25">
      <c r="P6293" s="27">
        <v>3.2548184716220556E-2</v>
      </c>
      <c r="Q6293" s="28">
        <f t="shared" si="102"/>
        <v>3.5548184716220559E-2</v>
      </c>
      <c r="R6293" s="29">
        <v>0.15003660775771735</v>
      </c>
      <c r="S6293" s="30">
        <v>5.0999999999999997E-2</v>
      </c>
    </row>
    <row r="6294" spans="16:19" x14ac:dyDescent="0.25">
      <c r="P6294" s="27">
        <v>3.2548184716220556E-2</v>
      </c>
      <c r="Q6294" s="28">
        <f t="shared" si="102"/>
        <v>3.5548184716220559E-2</v>
      </c>
      <c r="R6294" s="29">
        <v>0.15003660775771735</v>
      </c>
      <c r="S6294" s="30">
        <v>5.0119999999999998E-2</v>
      </c>
    </row>
    <row r="6295" spans="16:19" x14ac:dyDescent="0.25">
      <c r="P6295" s="27">
        <v>3.2548184716220556E-2</v>
      </c>
      <c r="Q6295" s="28">
        <f t="shared" si="102"/>
        <v>3.5548184716220559E-2</v>
      </c>
      <c r="R6295" s="29">
        <v>0.15003660775771735</v>
      </c>
      <c r="S6295" s="30">
        <v>5.0009999999999999E-2</v>
      </c>
    </row>
    <row r="6296" spans="16:19" x14ac:dyDescent="0.25">
      <c r="P6296" s="27">
        <v>3.2548184716220556E-2</v>
      </c>
      <c r="Q6296" s="28">
        <f t="shared" si="102"/>
        <v>3.5548184716220559E-2</v>
      </c>
      <c r="R6296" s="29">
        <v>0.15003660775771735</v>
      </c>
      <c r="S6296" s="30">
        <v>5.0520000000000002E-2</v>
      </c>
    </row>
    <row r="6297" spans="16:19" x14ac:dyDescent="0.25">
      <c r="P6297" s="27">
        <v>3.2548184716220556E-2</v>
      </c>
      <c r="Q6297" s="28">
        <f t="shared" si="102"/>
        <v>3.5548184716220559E-2</v>
      </c>
      <c r="R6297" s="29">
        <v>0.15003660775771735</v>
      </c>
      <c r="S6297" s="30">
        <v>5.3710000000000001E-2</v>
      </c>
    </row>
    <row r="6298" spans="16:19" x14ac:dyDescent="0.25">
      <c r="P6298" s="27">
        <v>3.2548184716220556E-2</v>
      </c>
      <c r="Q6298" s="28">
        <f t="shared" si="102"/>
        <v>3.5548184716220559E-2</v>
      </c>
      <c r="R6298" s="29">
        <v>0.15003660775771735</v>
      </c>
      <c r="S6298" s="30">
        <v>5.3270000000000005E-2</v>
      </c>
    </row>
    <row r="6299" spans="16:19" x14ac:dyDescent="0.25">
      <c r="P6299" s="27">
        <v>3.2548184716220556E-2</v>
      </c>
      <c r="Q6299" s="28">
        <f t="shared" si="102"/>
        <v>3.5548184716220559E-2</v>
      </c>
      <c r="R6299" s="31">
        <v>0.15939660775771733</v>
      </c>
      <c r="S6299" s="32">
        <v>5.7030000000000004E-2</v>
      </c>
    </row>
    <row r="6300" spans="16:19" x14ac:dyDescent="0.25">
      <c r="P6300" s="27">
        <v>3.2548184716220556E-2</v>
      </c>
      <c r="Q6300" s="28">
        <f t="shared" si="102"/>
        <v>3.5548184716220559E-2</v>
      </c>
      <c r="R6300" s="33">
        <v>0.16282860775771735</v>
      </c>
      <c r="S6300" s="34">
        <v>5.7000000000000002E-2</v>
      </c>
    </row>
    <row r="6301" spans="16:19" x14ac:dyDescent="0.25">
      <c r="P6301" s="27">
        <v>3.2548184716220556E-2</v>
      </c>
      <c r="Q6301" s="28">
        <f t="shared" si="102"/>
        <v>3.5548184716220559E-2</v>
      </c>
      <c r="R6301" s="33">
        <v>0.16282860775771735</v>
      </c>
      <c r="S6301" s="34">
        <v>5.3850000000000002E-2</v>
      </c>
    </row>
    <row r="6302" spans="16:19" x14ac:dyDescent="0.25">
      <c r="P6302" s="27">
        <v>3.2548184716220556E-2</v>
      </c>
      <c r="Q6302" s="28">
        <f t="shared" si="102"/>
        <v>3.5548184716220559E-2</v>
      </c>
      <c r="R6302" s="33">
        <v>0.16282860775771735</v>
      </c>
      <c r="S6302" s="34">
        <v>5.212E-2</v>
      </c>
    </row>
    <row r="6303" spans="16:19" x14ac:dyDescent="0.25">
      <c r="P6303" s="27">
        <v>3.2548184716220556E-2</v>
      </c>
      <c r="Q6303" s="28">
        <f t="shared" si="102"/>
        <v>3.5548184716220559E-2</v>
      </c>
      <c r="R6303" s="33">
        <v>0.16282860775771735</v>
      </c>
      <c r="S6303" s="34">
        <v>4.3590000000000004E-2</v>
      </c>
    </row>
    <row r="6304" spans="16:19" x14ac:dyDescent="0.25">
      <c r="P6304" s="27">
        <v>3.2548184716220556E-2</v>
      </c>
      <c r="Q6304" s="28">
        <f t="shared" si="102"/>
        <v>3.5548184716220559E-2</v>
      </c>
      <c r="R6304" s="33">
        <v>0.16282860775771735</v>
      </c>
      <c r="S6304" s="34">
        <v>4.0989999999999999E-2</v>
      </c>
    </row>
    <row r="6305" spans="16:19" x14ac:dyDescent="0.25">
      <c r="P6305" s="27">
        <v>3.2548184716220556E-2</v>
      </c>
      <c r="Q6305" s="28">
        <f t="shared" si="102"/>
        <v>3.5548184716220559E-2</v>
      </c>
      <c r="R6305" s="33">
        <v>0.16282860775771735</v>
      </c>
      <c r="S6305" s="34">
        <v>4.0890000000000003E-2</v>
      </c>
    </row>
    <row r="6306" spans="16:19" x14ac:dyDescent="0.25">
      <c r="P6306" s="27">
        <v>3.2548184716220556E-2</v>
      </c>
      <c r="Q6306" s="28">
        <f t="shared" si="102"/>
        <v>3.5548184716220559E-2</v>
      </c>
      <c r="R6306" s="33">
        <v>0.16282860775771735</v>
      </c>
      <c r="S6306" s="34">
        <v>4.2900000000000001E-2</v>
      </c>
    </row>
    <row r="6307" spans="16:19" x14ac:dyDescent="0.25">
      <c r="P6307" s="27">
        <v>3.2548184716220556E-2</v>
      </c>
      <c r="Q6307" s="28">
        <f t="shared" si="102"/>
        <v>3.5548184716220559E-2</v>
      </c>
      <c r="R6307" s="33">
        <v>0.16282860775771735</v>
      </c>
      <c r="S6307" s="34">
        <v>4.718E-2</v>
      </c>
    </row>
    <row r="6308" spans="16:19" x14ac:dyDescent="0.25">
      <c r="P6308" s="27">
        <v>3.2548184716220556E-2</v>
      </c>
      <c r="Q6308" s="28">
        <f t="shared" si="102"/>
        <v>3.5548184716220559E-2</v>
      </c>
      <c r="R6308" s="33">
        <v>0.16282860775771735</v>
      </c>
      <c r="S6308" s="34">
        <v>5.1999999999999998E-2</v>
      </c>
    </row>
    <row r="6309" spans="16:19" x14ac:dyDescent="0.25">
      <c r="P6309" s="27">
        <v>3.2548184716220556E-2</v>
      </c>
      <c r="Q6309" s="28">
        <f t="shared" si="102"/>
        <v>3.5548184716220559E-2</v>
      </c>
      <c r="R6309" s="33">
        <v>0.16282860775771735</v>
      </c>
      <c r="S6309" s="34">
        <v>5.5990000000000005E-2</v>
      </c>
    </row>
    <row r="6310" spans="16:19" x14ac:dyDescent="0.25">
      <c r="P6310" s="27">
        <v>3.2548184716220556E-2</v>
      </c>
      <c r="Q6310" s="28">
        <f t="shared" si="102"/>
        <v>3.5548184716220559E-2</v>
      </c>
      <c r="R6310" s="33">
        <v>0.16282860775771735</v>
      </c>
      <c r="S6310" s="34">
        <v>7.0999999999999994E-2</v>
      </c>
    </row>
    <row r="6311" spans="16:19" x14ac:dyDescent="0.25">
      <c r="P6311" s="27">
        <v>3.2548184716220556E-2</v>
      </c>
      <c r="Q6311" s="28">
        <f t="shared" si="102"/>
        <v>3.5548184716220559E-2</v>
      </c>
      <c r="R6311" s="31">
        <v>0.15939660775771733</v>
      </c>
      <c r="S6311" s="32">
        <v>7.0809999999999998E-2</v>
      </c>
    </row>
    <row r="6312" spans="16:19" x14ac:dyDescent="0.25">
      <c r="P6312" s="27">
        <v>3.2548184716220556E-2</v>
      </c>
      <c r="Q6312" s="28">
        <f t="shared" si="102"/>
        <v>3.5548184716220559E-2</v>
      </c>
      <c r="R6312" s="31">
        <v>0.15939660775771733</v>
      </c>
      <c r="S6312" s="32">
        <v>5.4869999999999995E-2</v>
      </c>
    </row>
    <row r="6313" spans="16:19" x14ac:dyDescent="0.25">
      <c r="P6313" s="27">
        <v>3.2548184716220556E-2</v>
      </c>
      <c r="Q6313" s="28">
        <f t="shared" si="102"/>
        <v>3.5548184716220559E-2</v>
      </c>
      <c r="R6313" s="31">
        <v>0.15939660775771733</v>
      </c>
      <c r="S6313" s="32">
        <v>5.2490000000000002E-2</v>
      </c>
    </row>
    <row r="6314" spans="16:19" x14ac:dyDescent="0.25">
      <c r="P6314" s="27">
        <v>3.2548184716220556E-2</v>
      </c>
      <c r="Q6314" s="28">
        <f t="shared" si="102"/>
        <v>3.5548184716220559E-2</v>
      </c>
      <c r="R6314" s="31">
        <v>0.15939660775771733</v>
      </c>
      <c r="S6314" s="32">
        <v>5.101E-2</v>
      </c>
    </row>
    <row r="6315" spans="16:19" x14ac:dyDescent="0.25">
      <c r="P6315" s="27">
        <v>3.2548184716220556E-2</v>
      </c>
      <c r="Q6315" s="28">
        <f t="shared" si="102"/>
        <v>3.5548184716220559E-2</v>
      </c>
      <c r="R6315" s="29">
        <v>0.15003660775771735</v>
      </c>
      <c r="S6315" s="30">
        <v>4.8000000000000001E-2</v>
      </c>
    </row>
    <row r="6316" spans="16:19" x14ac:dyDescent="0.25">
      <c r="P6316" s="27">
        <v>3.2548184716220556E-2</v>
      </c>
      <c r="Q6316" s="28">
        <f t="shared" si="102"/>
        <v>3.5548184716220559E-2</v>
      </c>
      <c r="R6316" s="29">
        <v>0.15003660775771735</v>
      </c>
      <c r="S6316" s="30">
        <v>4.7E-2</v>
      </c>
    </row>
    <row r="6317" spans="16:19" x14ac:dyDescent="0.25">
      <c r="P6317" s="27">
        <v>3.2548184716220556E-2</v>
      </c>
      <c r="Q6317" s="28">
        <f t="shared" si="102"/>
        <v>3.5548184716220559E-2</v>
      </c>
      <c r="R6317" s="29">
        <v>0.15003660775771735</v>
      </c>
      <c r="S6317" s="30">
        <v>4.5350000000000001E-2</v>
      </c>
    </row>
    <row r="6318" spans="16:19" x14ac:dyDescent="0.25">
      <c r="P6318" s="27">
        <v>3.2548184716220556E-2</v>
      </c>
      <c r="Q6318" s="28">
        <f t="shared" si="102"/>
        <v>3.5548184716220559E-2</v>
      </c>
      <c r="R6318" s="29">
        <v>0.15003660775771735</v>
      </c>
      <c r="S6318" s="30">
        <v>4.4819999999999999E-2</v>
      </c>
    </row>
    <row r="6319" spans="16:19" x14ac:dyDescent="0.25">
      <c r="P6319" s="27">
        <v>3.2548184716220556E-2</v>
      </c>
      <c r="Q6319" s="28">
        <f t="shared" si="102"/>
        <v>3.5548184716220559E-2</v>
      </c>
      <c r="R6319" s="29">
        <v>0.15003660775771735</v>
      </c>
      <c r="S6319" s="30">
        <v>4.301E-2</v>
      </c>
    </row>
    <row r="6320" spans="16:19" x14ac:dyDescent="0.25">
      <c r="P6320" s="27">
        <v>3.2548184716220556E-2</v>
      </c>
      <c r="Q6320" s="28">
        <f t="shared" si="102"/>
        <v>3.5548184716220559E-2</v>
      </c>
      <c r="R6320" s="29">
        <v>0.15003660775771735</v>
      </c>
      <c r="S6320" s="30">
        <v>4.3569999999999998E-2</v>
      </c>
    </row>
    <row r="6321" spans="16:19" x14ac:dyDescent="0.25">
      <c r="P6321" s="27">
        <v>3.2548184716220556E-2</v>
      </c>
      <c r="Q6321" s="28">
        <f t="shared" si="102"/>
        <v>3.5548184716220559E-2</v>
      </c>
      <c r="R6321" s="29">
        <v>0.15003660775771735</v>
      </c>
      <c r="S6321" s="30">
        <v>5.0270000000000002E-2</v>
      </c>
    </row>
    <row r="6322" spans="16:19" x14ac:dyDescent="0.25">
      <c r="P6322" s="27">
        <v>3.2548184716220556E-2</v>
      </c>
      <c r="Q6322" s="28">
        <f t="shared" si="102"/>
        <v>3.5548184716220559E-2</v>
      </c>
      <c r="R6322" s="29">
        <v>0.15003660775771735</v>
      </c>
      <c r="S6322" s="30">
        <v>4.8000000000000001E-2</v>
      </c>
    </row>
    <row r="6323" spans="16:19" x14ac:dyDescent="0.25">
      <c r="P6323" s="27">
        <v>3.2548184716220556E-2</v>
      </c>
      <c r="Q6323" s="28">
        <f t="shared" si="102"/>
        <v>3.5548184716220559E-2</v>
      </c>
      <c r="R6323" s="31">
        <v>0.15939660775771733</v>
      </c>
      <c r="S6323" s="32">
        <v>5.6140598E-2</v>
      </c>
    </row>
    <row r="6324" spans="16:19" x14ac:dyDescent="0.25">
      <c r="P6324" s="27">
        <v>3.2548184716220556E-2</v>
      </c>
      <c r="Q6324" s="28">
        <f t="shared" si="102"/>
        <v>3.5548184716220559E-2</v>
      </c>
      <c r="R6324" s="33">
        <v>0.16282860775771735</v>
      </c>
      <c r="S6324" s="34">
        <v>5.586E-2</v>
      </c>
    </row>
    <row r="6325" spans="16:19" x14ac:dyDescent="0.25">
      <c r="P6325" s="27">
        <v>3.2548184716220556E-2</v>
      </c>
      <c r="Q6325" s="28">
        <f t="shared" si="102"/>
        <v>3.5548184716220559E-2</v>
      </c>
      <c r="R6325" s="33">
        <v>0.16282860775771735</v>
      </c>
      <c r="S6325" s="34">
        <v>5.2999999999999999E-2</v>
      </c>
    </row>
    <row r="6326" spans="16:19" x14ac:dyDescent="0.25">
      <c r="P6326" s="27">
        <v>3.2548184716220556E-2</v>
      </c>
      <c r="Q6326" s="28">
        <f t="shared" si="102"/>
        <v>3.5548184716220559E-2</v>
      </c>
      <c r="R6326" s="33">
        <v>0.16282860775771735</v>
      </c>
      <c r="S6326" s="34">
        <v>4.7990000000000005E-2</v>
      </c>
    </row>
    <row r="6327" spans="16:19" x14ac:dyDescent="0.25">
      <c r="P6327" s="27">
        <v>3.2548184716220556E-2</v>
      </c>
      <c r="Q6327" s="28">
        <f t="shared" si="102"/>
        <v>3.5548184716220559E-2</v>
      </c>
      <c r="R6327" s="33">
        <v>0.16282860775771735</v>
      </c>
      <c r="S6327" s="34">
        <v>3.8270000000000005E-2</v>
      </c>
    </row>
    <row r="6328" spans="16:19" x14ac:dyDescent="0.25">
      <c r="P6328" s="27">
        <v>3.2548184716220556E-2</v>
      </c>
      <c r="Q6328" s="28">
        <f t="shared" si="102"/>
        <v>3.5548184716220559E-2</v>
      </c>
      <c r="R6328" s="33">
        <v>0.16282860775771735</v>
      </c>
      <c r="S6328" s="34">
        <v>3.3329999999999999E-2</v>
      </c>
    </row>
    <row r="6329" spans="16:19" x14ac:dyDescent="0.25">
      <c r="P6329" s="27">
        <v>3.2548184716220556E-2</v>
      </c>
      <c r="Q6329" s="28">
        <f t="shared" si="102"/>
        <v>3.5548184716220559E-2</v>
      </c>
      <c r="R6329" s="33">
        <v>0.16282860775771735</v>
      </c>
      <c r="S6329" s="34">
        <v>2.777E-2</v>
      </c>
    </row>
    <row r="6330" spans="16:19" x14ac:dyDescent="0.25">
      <c r="P6330" s="27">
        <v>3.2548184716220556E-2</v>
      </c>
      <c r="Q6330" s="28">
        <f t="shared" si="102"/>
        <v>3.5548184716220559E-2</v>
      </c>
      <c r="R6330" s="33">
        <v>0.16282860775771735</v>
      </c>
      <c r="S6330" s="34">
        <v>3.4245418E-2</v>
      </c>
    </row>
    <row r="6331" spans="16:19" x14ac:dyDescent="0.25">
      <c r="P6331" s="27">
        <v>3.2548184716220556E-2</v>
      </c>
      <c r="Q6331" s="28">
        <f t="shared" si="102"/>
        <v>3.5548184716220559E-2</v>
      </c>
      <c r="R6331" s="33">
        <v>0.16282860775771735</v>
      </c>
      <c r="S6331" s="34">
        <v>4.0547528999999999E-2</v>
      </c>
    </row>
    <row r="6332" spans="16:19" x14ac:dyDescent="0.25">
      <c r="P6332" s="27">
        <v>3.2548184716220556E-2</v>
      </c>
      <c r="Q6332" s="28">
        <f t="shared" si="102"/>
        <v>3.5548184716220559E-2</v>
      </c>
      <c r="R6332" s="33">
        <v>0.16282860775771735</v>
      </c>
      <c r="S6332" s="34">
        <v>4.3569999999999998E-2</v>
      </c>
    </row>
    <row r="6333" spans="16:19" x14ac:dyDescent="0.25">
      <c r="P6333" s="27">
        <v>3.2548184716220556E-2</v>
      </c>
      <c r="Q6333" s="28">
        <f t="shared" si="102"/>
        <v>3.5548184716220559E-2</v>
      </c>
      <c r="R6333" s="33">
        <v>0.16282860775771735</v>
      </c>
      <c r="S6333" s="34">
        <v>5.33E-2</v>
      </c>
    </row>
    <row r="6334" spans="16:19" x14ac:dyDescent="0.25">
      <c r="P6334" s="27">
        <v>3.2548184716220556E-2</v>
      </c>
      <c r="Q6334" s="28">
        <f t="shared" si="102"/>
        <v>3.5548184716220559E-2</v>
      </c>
      <c r="R6334" s="33">
        <v>0.16282860775771735</v>
      </c>
      <c r="S6334" s="34">
        <v>6.4989999999999992E-2</v>
      </c>
    </row>
    <row r="6335" spans="16:19" x14ac:dyDescent="0.25">
      <c r="P6335" s="27">
        <v>3.2548184716220556E-2</v>
      </c>
      <c r="Q6335" s="28">
        <f t="shared" si="102"/>
        <v>3.5548184716220559E-2</v>
      </c>
      <c r="R6335" s="31">
        <v>0.15939660775771733</v>
      </c>
      <c r="S6335" s="32">
        <v>6.8919488000000001E-2</v>
      </c>
    </row>
    <row r="6336" spans="16:19" x14ac:dyDescent="0.25">
      <c r="P6336" s="27">
        <v>3.2548184716220556E-2</v>
      </c>
      <c r="Q6336" s="28">
        <f t="shared" si="102"/>
        <v>3.5548184716220559E-2</v>
      </c>
      <c r="R6336" s="31">
        <v>0.15939660775771733</v>
      </c>
      <c r="S6336" s="32">
        <v>5.6129999999999999E-2</v>
      </c>
    </row>
    <row r="6337" spans="16:19" x14ac:dyDescent="0.25">
      <c r="P6337" s="27">
        <v>3.2548184716220556E-2</v>
      </c>
      <c r="Q6337" s="28">
        <f t="shared" si="102"/>
        <v>3.5548184716220559E-2</v>
      </c>
      <c r="R6337" s="31">
        <v>0.15939660775771733</v>
      </c>
      <c r="S6337" s="32">
        <v>5.2749999999999998E-2</v>
      </c>
    </row>
    <row r="6338" spans="16:19" x14ac:dyDescent="0.25">
      <c r="P6338" s="27">
        <v>3.2548184716220556E-2</v>
      </c>
      <c r="Q6338" s="28">
        <f t="shared" si="102"/>
        <v>3.5548184716220559E-2</v>
      </c>
      <c r="R6338" s="31">
        <v>0.15939660775771733</v>
      </c>
      <c r="S6338" s="32">
        <v>5.083E-2</v>
      </c>
    </row>
    <row r="6339" spans="16:19" x14ac:dyDescent="0.25">
      <c r="P6339" s="27">
        <v>3.2548184716220556E-2</v>
      </c>
      <c r="Q6339" s="28">
        <f t="shared" si="102"/>
        <v>3.5548184716220559E-2</v>
      </c>
      <c r="R6339" s="29">
        <v>0.15003660775771735</v>
      </c>
      <c r="S6339" s="30">
        <v>4.2000000000000003E-2</v>
      </c>
    </row>
    <row r="6340" spans="16:19" x14ac:dyDescent="0.25">
      <c r="P6340" s="27">
        <v>3.2548184716220556E-2</v>
      </c>
      <c r="Q6340" s="28">
        <f t="shared" si="102"/>
        <v>3.5548184716220559E-2</v>
      </c>
      <c r="R6340" s="29">
        <v>0.15003660775771735</v>
      </c>
      <c r="S6340" s="30">
        <v>4.0834276000000003E-2</v>
      </c>
    </row>
    <row r="6341" spans="16:19" x14ac:dyDescent="0.25">
      <c r="P6341" s="27">
        <v>3.2548184716220556E-2</v>
      </c>
      <c r="Q6341" s="28">
        <f t="shared" ref="Q6341:Q6404" si="103">P6341+0.003</f>
        <v>3.5548184716220559E-2</v>
      </c>
      <c r="R6341" s="29">
        <v>0.15003660775771735</v>
      </c>
      <c r="S6341" s="30">
        <v>3.9200000000000006E-2</v>
      </c>
    </row>
    <row r="6342" spans="16:19" x14ac:dyDescent="0.25">
      <c r="P6342" s="27">
        <v>3.2548184716220556E-2</v>
      </c>
      <c r="Q6342" s="28">
        <f t="shared" si="103"/>
        <v>3.5548184716220559E-2</v>
      </c>
      <c r="R6342" s="29">
        <v>0.15003660775771735</v>
      </c>
      <c r="S6342" s="30">
        <v>3.7270000000000005E-2</v>
      </c>
    </row>
    <row r="6343" spans="16:19" x14ac:dyDescent="0.25">
      <c r="P6343" s="27">
        <v>3.2548184716220556E-2</v>
      </c>
      <c r="Q6343" s="28">
        <f t="shared" si="103"/>
        <v>3.5548184716220559E-2</v>
      </c>
      <c r="R6343" s="29">
        <v>0.15003660775771735</v>
      </c>
      <c r="S6343" s="30">
        <v>3.9549999999999995E-2</v>
      </c>
    </row>
    <row r="6344" spans="16:19" x14ac:dyDescent="0.25">
      <c r="P6344" s="27">
        <v>3.2548184716220556E-2</v>
      </c>
      <c r="Q6344" s="28">
        <f t="shared" si="103"/>
        <v>3.5548184716220559E-2</v>
      </c>
      <c r="R6344" s="29">
        <v>0.15003660775771735</v>
      </c>
      <c r="S6344" s="30">
        <v>4.3540000000000002E-2</v>
      </c>
    </row>
    <row r="6345" spans="16:19" x14ac:dyDescent="0.25">
      <c r="P6345" s="27">
        <v>3.2548184716220556E-2</v>
      </c>
      <c r="Q6345" s="28">
        <f t="shared" si="103"/>
        <v>3.5548184716220559E-2</v>
      </c>
      <c r="R6345" s="29">
        <v>0.15003660775771735</v>
      </c>
      <c r="S6345" s="30">
        <v>5.3200000000000004E-2</v>
      </c>
    </row>
    <row r="6346" spans="16:19" x14ac:dyDescent="0.25">
      <c r="P6346" s="27">
        <v>3.2548184716220556E-2</v>
      </c>
      <c r="Q6346" s="28">
        <f t="shared" si="103"/>
        <v>3.5548184716220559E-2</v>
      </c>
      <c r="R6346" s="29">
        <v>0.15003660775771735</v>
      </c>
      <c r="S6346" s="30">
        <v>5.9990000000000002E-2</v>
      </c>
    </row>
    <row r="6347" spans="16:19" x14ac:dyDescent="0.25">
      <c r="P6347" s="27">
        <v>3.2548184716220556E-2</v>
      </c>
      <c r="Q6347" s="28">
        <f t="shared" si="103"/>
        <v>3.5548184716220559E-2</v>
      </c>
      <c r="R6347" s="31">
        <v>0.15939999999999999</v>
      </c>
      <c r="S6347" s="32">
        <v>8.518398399999999E-2</v>
      </c>
    </row>
    <row r="6348" spans="16:19" x14ac:dyDescent="0.25">
      <c r="P6348" s="27">
        <v>3.2548184716220556E-2</v>
      </c>
      <c r="Q6348" s="28">
        <f t="shared" si="103"/>
        <v>3.5548184716220559E-2</v>
      </c>
      <c r="R6348" s="31">
        <v>0.15939999999999999</v>
      </c>
      <c r="S6348" s="32">
        <v>8.9990000000000001E-2</v>
      </c>
    </row>
    <row r="6349" spans="16:19" x14ac:dyDescent="0.25">
      <c r="P6349" s="27">
        <v>3.2548184716220556E-2</v>
      </c>
      <c r="Q6349" s="28">
        <f t="shared" si="103"/>
        <v>3.5548184716220559E-2</v>
      </c>
      <c r="R6349" s="31">
        <v>0.15939999999999999</v>
      </c>
      <c r="S6349" s="32">
        <v>6.9138778999999997E-2</v>
      </c>
    </row>
    <row r="6350" spans="16:19" x14ac:dyDescent="0.25">
      <c r="P6350" s="27">
        <v>3.2548184716220556E-2</v>
      </c>
      <c r="Q6350" s="28">
        <f t="shared" si="103"/>
        <v>3.5548184716220559E-2</v>
      </c>
      <c r="R6350" s="31">
        <v>0.15939999999999999</v>
      </c>
      <c r="S6350" s="32">
        <v>8.0857671999999992E-2</v>
      </c>
    </row>
    <row r="6351" spans="16:19" x14ac:dyDescent="0.25">
      <c r="P6351" s="27">
        <v>3.2548184716220556E-2</v>
      </c>
      <c r="Q6351" s="28">
        <f t="shared" si="103"/>
        <v>3.5548184716220559E-2</v>
      </c>
      <c r="R6351" s="31">
        <v>0.15939999999999999</v>
      </c>
      <c r="S6351" s="32">
        <v>5.765E-2</v>
      </c>
    </row>
    <row r="6352" spans="16:19" x14ac:dyDescent="0.25">
      <c r="P6352" s="27">
        <v>3.2548184716220556E-2</v>
      </c>
      <c r="Q6352" s="28">
        <f t="shared" si="103"/>
        <v>3.5548184716220559E-2</v>
      </c>
      <c r="R6352" s="31">
        <v>0.15939999999999999</v>
      </c>
      <c r="S6352" s="32">
        <v>5.7956926999999998E-2</v>
      </c>
    </row>
    <row r="6353" spans="16:19" x14ac:dyDescent="0.25">
      <c r="P6353" s="27">
        <v>3.2548184716220556E-2</v>
      </c>
      <c r="Q6353" s="28">
        <f t="shared" si="103"/>
        <v>3.5548184716220559E-2</v>
      </c>
      <c r="R6353" s="31">
        <v>0.15939999999999999</v>
      </c>
      <c r="S6353" s="32">
        <v>7.0000000000000007E-2</v>
      </c>
    </row>
    <row r="6354" spans="16:19" x14ac:dyDescent="0.25">
      <c r="P6354" s="27">
        <v>3.2548184716220556E-2</v>
      </c>
      <c r="Q6354" s="28">
        <f t="shared" si="103"/>
        <v>3.5548184716220559E-2</v>
      </c>
      <c r="R6354" s="31">
        <v>0.15939999999999999</v>
      </c>
      <c r="S6354" s="32">
        <v>8.1030000000000005E-2</v>
      </c>
    </row>
    <row r="6355" spans="16:19" x14ac:dyDescent="0.25">
      <c r="P6355" s="27">
        <v>3.2548184716220556E-2</v>
      </c>
      <c r="Q6355" s="28">
        <f t="shared" si="103"/>
        <v>3.5548184716220559E-2</v>
      </c>
      <c r="R6355" s="31">
        <v>0.15939999999999999</v>
      </c>
      <c r="S6355" s="32">
        <v>9.5030000000000003E-2</v>
      </c>
    </row>
    <row r="6356" spans="16:19" x14ac:dyDescent="0.25">
      <c r="P6356" s="27">
        <v>3.2548184716220556E-2</v>
      </c>
      <c r="Q6356" s="28">
        <f t="shared" si="103"/>
        <v>3.5548184716220559E-2</v>
      </c>
      <c r="R6356" s="31">
        <v>0.15939999999999999</v>
      </c>
      <c r="S6356" s="32">
        <v>9.5030000000000003E-2</v>
      </c>
    </row>
    <row r="6357" spans="16:19" x14ac:dyDescent="0.25">
      <c r="P6357" s="27">
        <v>3.2548184716220556E-2</v>
      </c>
      <c r="Q6357" s="28">
        <f t="shared" si="103"/>
        <v>3.5548184716220559E-2</v>
      </c>
      <c r="R6357" s="31">
        <v>0.15939999999999999</v>
      </c>
      <c r="S6357" s="32">
        <v>8.3949999999999997E-2</v>
      </c>
    </row>
    <row r="6358" spans="16:19" x14ac:dyDescent="0.25">
      <c r="P6358" s="27">
        <v>3.2548184716220556E-2</v>
      </c>
      <c r="Q6358" s="28">
        <f t="shared" si="103"/>
        <v>3.5548184716220559E-2</v>
      </c>
      <c r="R6358" s="31">
        <v>0.15939999999999999</v>
      </c>
      <c r="S6358" s="32">
        <v>9.9989999999999996E-2</v>
      </c>
    </row>
    <row r="6359" spans="16:19" x14ac:dyDescent="0.25">
      <c r="P6359" s="27">
        <v>3.2548184716220556E-2</v>
      </c>
      <c r="Q6359" s="28">
        <f t="shared" si="103"/>
        <v>3.5548184716220559E-2</v>
      </c>
      <c r="R6359" s="31">
        <v>0.15939999999999999</v>
      </c>
      <c r="S6359" s="32">
        <v>8.5639999999999994E-2</v>
      </c>
    </row>
    <row r="6360" spans="16:19" x14ac:dyDescent="0.25">
      <c r="P6360" s="27">
        <v>3.2548184716220556E-2</v>
      </c>
      <c r="Q6360" s="28">
        <f t="shared" si="103"/>
        <v>3.5548184716220559E-2</v>
      </c>
      <c r="R6360" s="31">
        <v>0.15939999999999999</v>
      </c>
      <c r="S6360" s="32">
        <v>5.74E-2</v>
      </c>
    </row>
    <row r="6361" spans="16:19" x14ac:dyDescent="0.25">
      <c r="P6361" s="27">
        <v>3.2548184716220556E-2</v>
      </c>
      <c r="Q6361" s="28">
        <f t="shared" si="103"/>
        <v>3.5548184716220559E-2</v>
      </c>
      <c r="R6361" s="31">
        <v>0.15939999999999999</v>
      </c>
      <c r="S6361" s="32">
        <v>5.6950000000000001E-2</v>
      </c>
    </row>
    <row r="6362" spans="16:19" x14ac:dyDescent="0.25">
      <c r="P6362" s="27">
        <v>3.2548184716220556E-2</v>
      </c>
      <c r="Q6362" s="28">
        <f t="shared" si="103"/>
        <v>3.5548184716220559E-2</v>
      </c>
      <c r="R6362" s="31">
        <v>0.15939999999999999</v>
      </c>
      <c r="S6362" s="32">
        <v>5.321E-2</v>
      </c>
    </row>
    <row r="6363" spans="16:19" x14ac:dyDescent="0.25">
      <c r="P6363" s="27">
        <v>3.2548184716220556E-2</v>
      </c>
      <c r="Q6363" s="28">
        <f t="shared" si="103"/>
        <v>3.5548184716220559E-2</v>
      </c>
      <c r="R6363" s="29">
        <v>0.15</v>
      </c>
      <c r="S6363" s="30">
        <v>5.2600000000000001E-2</v>
      </c>
    </row>
    <row r="6364" spans="16:19" x14ac:dyDescent="0.25">
      <c r="P6364" s="27">
        <v>3.2548184716220556E-2</v>
      </c>
      <c r="Q6364" s="28">
        <f t="shared" si="103"/>
        <v>3.5548184716220559E-2</v>
      </c>
      <c r="R6364" s="29">
        <v>0.15</v>
      </c>
      <c r="S6364" s="30">
        <v>4.8989999999999999E-2</v>
      </c>
    </row>
    <row r="6365" spans="16:19" x14ac:dyDescent="0.25">
      <c r="P6365" s="27">
        <v>3.2548184716220556E-2</v>
      </c>
      <c r="Q6365" s="28">
        <f t="shared" si="103"/>
        <v>3.5548184716220559E-2</v>
      </c>
      <c r="R6365" s="29">
        <v>0.15</v>
      </c>
      <c r="S6365" s="30">
        <v>4.8989999999999999E-2</v>
      </c>
    </row>
    <row r="6366" spans="16:19" x14ac:dyDescent="0.25">
      <c r="P6366" s="27">
        <v>3.2548184716220556E-2</v>
      </c>
      <c r="Q6366" s="28">
        <f t="shared" si="103"/>
        <v>3.5548184716220559E-2</v>
      </c>
      <c r="R6366" s="29">
        <v>0.15</v>
      </c>
      <c r="S6366" s="30">
        <v>4.8989999999999999E-2</v>
      </c>
    </row>
    <row r="6367" spans="16:19" x14ac:dyDescent="0.25">
      <c r="P6367" s="27">
        <v>3.2548184716220556E-2</v>
      </c>
      <c r="Q6367" s="28">
        <f t="shared" si="103"/>
        <v>3.5548184716220559E-2</v>
      </c>
      <c r="R6367" s="29">
        <v>0.15</v>
      </c>
      <c r="S6367" s="30">
        <v>4.8989999999999999E-2</v>
      </c>
    </row>
    <row r="6368" spans="16:19" x14ac:dyDescent="0.25">
      <c r="P6368" s="27">
        <v>3.2548184716220556E-2</v>
      </c>
      <c r="Q6368" s="28">
        <f t="shared" si="103"/>
        <v>3.5548184716220559E-2</v>
      </c>
      <c r="R6368" s="29">
        <v>0.15</v>
      </c>
      <c r="S6368" s="30">
        <v>5.3062537E-2</v>
      </c>
    </row>
    <row r="6369" spans="16:19" x14ac:dyDescent="0.25">
      <c r="P6369" s="27">
        <v>3.2548184716220556E-2</v>
      </c>
      <c r="Q6369" s="28">
        <f t="shared" si="103"/>
        <v>3.5548184716220559E-2</v>
      </c>
      <c r="R6369" s="29">
        <v>0.15</v>
      </c>
      <c r="S6369" s="30">
        <v>5.6960000000000004E-2</v>
      </c>
    </row>
    <row r="6370" spans="16:19" x14ac:dyDescent="0.25">
      <c r="P6370" s="27">
        <v>3.2548184716220556E-2</v>
      </c>
      <c r="Q6370" s="28">
        <f t="shared" si="103"/>
        <v>3.5548184716220559E-2</v>
      </c>
      <c r="R6370" s="29">
        <v>0.15</v>
      </c>
      <c r="S6370" s="30">
        <v>6.3439999999999996E-2</v>
      </c>
    </row>
    <row r="6371" spans="16:19" x14ac:dyDescent="0.25">
      <c r="P6371" s="27">
        <v>3.2548184716220556E-2</v>
      </c>
      <c r="Q6371" s="28">
        <f t="shared" si="103"/>
        <v>3.5548184716220559E-2</v>
      </c>
      <c r="R6371" s="29">
        <v>0.15</v>
      </c>
      <c r="S6371" s="30">
        <v>8.3260000000000001E-2</v>
      </c>
    </row>
    <row r="6372" spans="16:19" x14ac:dyDescent="0.25">
      <c r="P6372" s="27">
        <v>3.2548184716220556E-2</v>
      </c>
      <c r="Q6372" s="28">
        <f t="shared" si="103"/>
        <v>3.5548184716220559E-2</v>
      </c>
      <c r="R6372" s="29">
        <v>0.15</v>
      </c>
      <c r="S6372" s="30">
        <v>0.08</v>
      </c>
    </row>
    <row r="6373" spans="16:19" x14ac:dyDescent="0.25">
      <c r="P6373" s="27">
        <v>3.2548184716220556E-2</v>
      </c>
      <c r="Q6373" s="28">
        <f t="shared" si="103"/>
        <v>3.5548184716220559E-2</v>
      </c>
      <c r="R6373" s="29">
        <v>0.15</v>
      </c>
      <c r="S6373" s="30">
        <v>6.5000000000000002E-2</v>
      </c>
    </row>
    <row r="6374" spans="16:19" x14ac:dyDescent="0.25">
      <c r="P6374" s="27">
        <v>3.2548184716220556E-2</v>
      </c>
      <c r="Q6374" s="28">
        <f t="shared" si="103"/>
        <v>3.5548184716220559E-2</v>
      </c>
      <c r="R6374" s="29">
        <v>0.15</v>
      </c>
      <c r="S6374" s="30">
        <v>6.2020000000000006E-2</v>
      </c>
    </row>
    <row r="6375" spans="16:19" x14ac:dyDescent="0.25">
      <c r="P6375" s="27">
        <v>3.2548184716220556E-2</v>
      </c>
      <c r="Q6375" s="28">
        <f t="shared" si="103"/>
        <v>3.5548184716220559E-2</v>
      </c>
      <c r="R6375" s="29">
        <v>0.15</v>
      </c>
      <c r="S6375" s="30">
        <v>5.5670000000000004E-2</v>
      </c>
    </row>
    <row r="6376" spans="16:19" x14ac:dyDescent="0.25">
      <c r="P6376" s="27">
        <v>3.2548184716220556E-2</v>
      </c>
      <c r="Q6376" s="28">
        <f t="shared" si="103"/>
        <v>3.5548184716220559E-2</v>
      </c>
      <c r="R6376" s="29">
        <v>0.15</v>
      </c>
      <c r="S6376" s="30">
        <v>5.6430000000000001E-2</v>
      </c>
    </row>
    <row r="6377" spans="16:19" x14ac:dyDescent="0.25">
      <c r="P6377" s="27">
        <v>3.2548184716220556E-2</v>
      </c>
      <c r="Q6377" s="28">
        <f t="shared" si="103"/>
        <v>3.5548184716220559E-2</v>
      </c>
      <c r="R6377" s="29">
        <v>0.15</v>
      </c>
      <c r="S6377" s="30">
        <v>6.1259999999999995E-2</v>
      </c>
    </row>
    <row r="6378" spans="16:19" x14ac:dyDescent="0.25">
      <c r="P6378" s="27">
        <v>3.2548184716220556E-2</v>
      </c>
      <c r="Q6378" s="28">
        <f t="shared" si="103"/>
        <v>3.5548184716220559E-2</v>
      </c>
      <c r="R6378" s="29">
        <v>0.15</v>
      </c>
      <c r="S6378" s="30">
        <v>6.4549999999999996E-2</v>
      </c>
    </row>
    <row r="6379" spans="16:19" x14ac:dyDescent="0.25">
      <c r="P6379" s="27">
        <v>3.2548184716220556E-2</v>
      </c>
      <c r="Q6379" s="28">
        <f t="shared" si="103"/>
        <v>3.5548184716220559E-2</v>
      </c>
      <c r="R6379" s="29">
        <v>0.15</v>
      </c>
      <c r="S6379" s="30">
        <v>7.4569999999999997E-2</v>
      </c>
    </row>
    <row r="6380" spans="16:19" x14ac:dyDescent="0.25">
      <c r="P6380" s="27">
        <v>3.2548184716220556E-2</v>
      </c>
      <c r="Q6380" s="28">
        <f t="shared" si="103"/>
        <v>3.5548184716220559E-2</v>
      </c>
      <c r="R6380" s="29">
        <v>0.15</v>
      </c>
      <c r="S6380" s="30">
        <v>6.7799999999999999E-2</v>
      </c>
    </row>
    <row r="6381" spans="16:19" x14ac:dyDescent="0.25">
      <c r="P6381" s="27">
        <v>3.2548184716220556E-2</v>
      </c>
      <c r="Q6381" s="28">
        <f t="shared" si="103"/>
        <v>3.5548184716220559E-2</v>
      </c>
      <c r="R6381" s="29">
        <v>0.15</v>
      </c>
      <c r="S6381" s="30">
        <v>6.9849999999999995E-2</v>
      </c>
    </row>
    <row r="6382" spans="16:19" x14ac:dyDescent="0.25">
      <c r="P6382" s="27">
        <v>3.2548184716220556E-2</v>
      </c>
      <c r="Q6382" s="28">
        <f t="shared" si="103"/>
        <v>3.5548184716220559E-2</v>
      </c>
      <c r="R6382" s="29">
        <v>0.15</v>
      </c>
      <c r="S6382" s="30">
        <v>9.9000000000000005E-2</v>
      </c>
    </row>
    <row r="6383" spans="16:19" x14ac:dyDescent="0.25">
      <c r="P6383" s="27">
        <v>3.2548184716220556E-2</v>
      </c>
      <c r="Q6383" s="28">
        <f t="shared" si="103"/>
        <v>3.5548184716220559E-2</v>
      </c>
      <c r="R6383" s="29">
        <v>0.15</v>
      </c>
      <c r="S6383" s="30">
        <v>8.1599999999999992E-2</v>
      </c>
    </row>
    <row r="6384" spans="16:19" x14ac:dyDescent="0.25">
      <c r="P6384" s="27">
        <v>3.2548184716220556E-2</v>
      </c>
      <c r="Q6384" s="28">
        <f t="shared" si="103"/>
        <v>3.5548184716220559E-2</v>
      </c>
      <c r="R6384" s="29">
        <v>0.15</v>
      </c>
      <c r="S6384" s="30">
        <v>5.74E-2</v>
      </c>
    </row>
    <row r="6385" spans="16:19" x14ac:dyDescent="0.25">
      <c r="P6385" s="27">
        <v>3.2548184716220556E-2</v>
      </c>
      <c r="Q6385" s="28">
        <f t="shared" si="103"/>
        <v>3.5548184716220559E-2</v>
      </c>
      <c r="R6385" s="29">
        <v>0.15</v>
      </c>
      <c r="S6385" s="30">
        <v>5.5990000000000005E-2</v>
      </c>
    </row>
    <row r="6386" spans="16:19" x14ac:dyDescent="0.25">
      <c r="P6386" s="27">
        <v>3.2548184716220556E-2</v>
      </c>
      <c r="Q6386" s="28">
        <f t="shared" si="103"/>
        <v>3.5548184716220559E-2</v>
      </c>
      <c r="R6386" s="29">
        <v>0.15</v>
      </c>
      <c r="S6386" s="30">
        <v>5.2780000000000001E-2</v>
      </c>
    </row>
    <row r="6387" spans="16:19" x14ac:dyDescent="0.25">
      <c r="P6387" s="27">
        <v>3.2548184716220556E-2</v>
      </c>
      <c r="Q6387" s="28">
        <f t="shared" si="103"/>
        <v>3.5548184716220559E-2</v>
      </c>
      <c r="R6387" s="29">
        <v>0.15</v>
      </c>
      <c r="S6387" s="30">
        <v>5.6000000000000001E-2</v>
      </c>
    </row>
    <row r="6388" spans="16:19" x14ac:dyDescent="0.25">
      <c r="P6388" s="27">
        <v>3.2548184716220556E-2</v>
      </c>
      <c r="Q6388" s="28">
        <f t="shared" si="103"/>
        <v>3.5548184716220559E-2</v>
      </c>
      <c r="R6388" s="29">
        <v>0.15</v>
      </c>
      <c r="S6388" s="30">
        <v>5.4020000000000006E-2</v>
      </c>
    </row>
    <row r="6389" spans="16:19" x14ac:dyDescent="0.25">
      <c r="P6389" s="27">
        <v>3.2548184716220556E-2</v>
      </c>
      <c r="Q6389" s="28">
        <f t="shared" si="103"/>
        <v>3.5548184716220559E-2</v>
      </c>
      <c r="R6389" s="29">
        <v>0.15</v>
      </c>
      <c r="S6389" s="30">
        <v>5.2999999999999999E-2</v>
      </c>
    </row>
    <row r="6390" spans="16:19" x14ac:dyDescent="0.25">
      <c r="P6390" s="27">
        <v>3.2548184716220556E-2</v>
      </c>
      <c r="Q6390" s="28">
        <f t="shared" si="103"/>
        <v>3.5548184716220559E-2</v>
      </c>
      <c r="R6390" s="29">
        <v>0.15</v>
      </c>
      <c r="S6390" s="30">
        <v>5.1999999999999998E-2</v>
      </c>
    </row>
    <row r="6391" spans="16:19" x14ac:dyDescent="0.25">
      <c r="P6391" s="27">
        <v>3.2548184716220556E-2</v>
      </c>
      <c r="Q6391" s="28">
        <f t="shared" si="103"/>
        <v>3.5548184716220559E-2</v>
      </c>
      <c r="R6391" s="29">
        <v>0.15</v>
      </c>
      <c r="S6391" s="30">
        <v>5.1029999999999999E-2</v>
      </c>
    </row>
    <row r="6392" spans="16:19" x14ac:dyDescent="0.25">
      <c r="P6392" s="27">
        <v>3.2548184716220556E-2</v>
      </c>
      <c r="Q6392" s="28">
        <f t="shared" si="103"/>
        <v>3.5548184716220559E-2</v>
      </c>
      <c r="R6392" s="29">
        <v>0.15</v>
      </c>
      <c r="S6392" s="30">
        <v>5.4899999999999997E-2</v>
      </c>
    </row>
    <row r="6393" spans="16:19" x14ac:dyDescent="0.25">
      <c r="P6393" s="27">
        <v>3.2548184716220556E-2</v>
      </c>
      <c r="Q6393" s="28">
        <f t="shared" si="103"/>
        <v>3.5548184716220559E-2</v>
      </c>
      <c r="R6393" s="29">
        <v>0.15</v>
      </c>
      <c r="S6393" s="30">
        <v>5.9310000000000002E-2</v>
      </c>
    </row>
    <row r="6394" spans="16:19" x14ac:dyDescent="0.25">
      <c r="P6394" s="27">
        <v>3.2548184716220556E-2</v>
      </c>
      <c r="Q6394" s="28">
        <f t="shared" si="103"/>
        <v>3.5548184716220559E-2</v>
      </c>
      <c r="R6394" s="29">
        <v>0.15</v>
      </c>
      <c r="S6394" s="30">
        <v>6.4549999999999996E-2</v>
      </c>
    </row>
    <row r="6395" spans="16:19" x14ac:dyDescent="0.25">
      <c r="P6395" s="27">
        <v>3.2548184716220556E-2</v>
      </c>
      <c r="Q6395" s="28">
        <f t="shared" si="103"/>
        <v>3.5548184716220559E-2</v>
      </c>
      <c r="R6395" s="31">
        <v>0.15939660775771733</v>
      </c>
      <c r="S6395" s="32">
        <v>8.1259999999999999E-2</v>
      </c>
    </row>
    <row r="6396" spans="16:19" x14ac:dyDescent="0.25">
      <c r="P6396" s="27">
        <v>3.2548184716220556E-2</v>
      </c>
      <c r="Q6396" s="28">
        <f t="shared" si="103"/>
        <v>3.5548184716220559E-2</v>
      </c>
      <c r="R6396" s="33">
        <v>0.16282860775771735</v>
      </c>
      <c r="S6396" s="34">
        <v>8.2459999999999992E-2</v>
      </c>
    </row>
    <row r="6397" spans="16:19" x14ac:dyDescent="0.25">
      <c r="P6397" s="27">
        <v>3.2548184716220556E-2</v>
      </c>
      <c r="Q6397" s="28">
        <f t="shared" si="103"/>
        <v>3.5548184716220559E-2</v>
      </c>
      <c r="R6397" s="33">
        <v>0.16282860775771735</v>
      </c>
      <c r="S6397" s="34">
        <v>6.4549999999999996E-2</v>
      </c>
    </row>
    <row r="6398" spans="16:19" x14ac:dyDescent="0.25">
      <c r="P6398" s="27">
        <v>3.2548184716220556E-2</v>
      </c>
      <c r="Q6398" s="28">
        <f t="shared" si="103"/>
        <v>3.5548184716220559E-2</v>
      </c>
      <c r="R6398" s="33">
        <v>0.16282860775771735</v>
      </c>
      <c r="S6398" s="34">
        <v>5.985E-2</v>
      </c>
    </row>
    <row r="6399" spans="16:19" x14ac:dyDescent="0.25">
      <c r="P6399" s="27">
        <v>3.2548184716220556E-2</v>
      </c>
      <c r="Q6399" s="28">
        <f t="shared" si="103"/>
        <v>3.5548184716220559E-2</v>
      </c>
      <c r="R6399" s="33">
        <v>0.16282860775771735</v>
      </c>
      <c r="S6399" s="34">
        <v>5.3719999999999997E-2</v>
      </c>
    </row>
    <row r="6400" spans="16:19" x14ac:dyDescent="0.25">
      <c r="P6400" s="27">
        <v>3.2548184716220556E-2</v>
      </c>
      <c r="Q6400" s="28">
        <f t="shared" si="103"/>
        <v>3.5548184716220559E-2</v>
      </c>
      <c r="R6400" s="33">
        <v>0.16282860775771735</v>
      </c>
      <c r="S6400" s="34">
        <v>5.6299999999999996E-2</v>
      </c>
    </row>
    <row r="6401" spans="16:19" x14ac:dyDescent="0.25">
      <c r="P6401" s="27">
        <v>3.2548184716220556E-2</v>
      </c>
      <c r="Q6401" s="28">
        <f t="shared" si="103"/>
        <v>3.5548184716220559E-2</v>
      </c>
      <c r="R6401" s="33">
        <v>0.16282860775771735</v>
      </c>
      <c r="S6401" s="34">
        <v>6.5000000000000002E-2</v>
      </c>
    </row>
    <row r="6402" spans="16:19" x14ac:dyDescent="0.25">
      <c r="P6402" s="27">
        <v>3.2548184716220556E-2</v>
      </c>
      <c r="Q6402" s="28">
        <f t="shared" si="103"/>
        <v>3.5548184716220559E-2</v>
      </c>
      <c r="R6402" s="33">
        <v>0.16282860775771735</v>
      </c>
      <c r="S6402" s="34">
        <v>7.5010000000000007E-2</v>
      </c>
    </row>
    <row r="6403" spans="16:19" x14ac:dyDescent="0.25">
      <c r="P6403" s="27">
        <v>3.2548184716220556E-2</v>
      </c>
      <c r="Q6403" s="28">
        <f t="shared" si="103"/>
        <v>3.5548184716220559E-2</v>
      </c>
      <c r="R6403" s="33">
        <v>0.16282860775771735</v>
      </c>
      <c r="S6403" s="34">
        <v>7.6700000000000004E-2</v>
      </c>
    </row>
    <row r="6404" spans="16:19" x14ac:dyDescent="0.25">
      <c r="P6404" s="27">
        <v>3.2548184716220556E-2</v>
      </c>
      <c r="Q6404" s="28">
        <f t="shared" si="103"/>
        <v>3.5548184716220559E-2</v>
      </c>
      <c r="R6404" s="33">
        <v>0.16282860775771735</v>
      </c>
      <c r="S6404" s="34">
        <v>7.4110309999999999E-2</v>
      </c>
    </row>
    <row r="6405" spans="16:19" x14ac:dyDescent="0.25">
      <c r="P6405" s="27">
        <v>3.2548184716220556E-2</v>
      </c>
      <c r="Q6405" s="28">
        <f t="shared" ref="Q6405:Q6468" si="104">P6405+0.003</f>
        <v>3.5548184716220559E-2</v>
      </c>
      <c r="R6405" s="33">
        <v>0.16282860775771735</v>
      </c>
      <c r="S6405" s="34">
        <v>6.7640000000000006E-2</v>
      </c>
    </row>
    <row r="6406" spans="16:19" x14ac:dyDescent="0.25">
      <c r="P6406" s="27">
        <v>3.2548184716220556E-2</v>
      </c>
      <c r="Q6406" s="28">
        <f t="shared" si="104"/>
        <v>3.5548184716220559E-2</v>
      </c>
      <c r="R6406" s="33">
        <v>0.16282860775771735</v>
      </c>
      <c r="S6406" s="34">
        <v>9.9937522000000001E-2</v>
      </c>
    </row>
    <row r="6407" spans="16:19" x14ac:dyDescent="0.25">
      <c r="P6407" s="27">
        <v>3.2548184716220556E-2</v>
      </c>
      <c r="Q6407" s="28">
        <f t="shared" si="104"/>
        <v>3.5548184716220559E-2</v>
      </c>
      <c r="R6407" s="31">
        <v>0.15939660775771733</v>
      </c>
      <c r="S6407" s="32">
        <v>0.08</v>
      </c>
    </row>
    <row r="6408" spans="16:19" x14ac:dyDescent="0.25">
      <c r="P6408" s="27">
        <v>3.2548184716220556E-2</v>
      </c>
      <c r="Q6408" s="28">
        <f t="shared" si="104"/>
        <v>3.5548184716220559E-2</v>
      </c>
      <c r="R6408" s="31">
        <v>0.15939660775771733</v>
      </c>
      <c r="S6408" s="32">
        <v>5.9880000000000003E-2</v>
      </c>
    </row>
    <row r="6409" spans="16:19" x14ac:dyDescent="0.25">
      <c r="P6409" s="27">
        <v>3.2548184716220556E-2</v>
      </c>
      <c r="Q6409" s="28">
        <f t="shared" si="104"/>
        <v>3.5548184716220559E-2</v>
      </c>
      <c r="R6409" s="31">
        <v>0.15939660775771733</v>
      </c>
      <c r="S6409" s="32">
        <v>5.7460000000000004E-2</v>
      </c>
    </row>
    <row r="6410" spans="16:19" x14ac:dyDescent="0.25">
      <c r="P6410" s="27">
        <v>3.2548184716220556E-2</v>
      </c>
      <c r="Q6410" s="28">
        <f t="shared" si="104"/>
        <v>3.5548184716220559E-2</v>
      </c>
      <c r="R6410" s="31">
        <v>0.15939660775771733</v>
      </c>
      <c r="S6410" s="32">
        <v>5.2520000000000004E-2</v>
      </c>
    </row>
    <row r="6411" spans="16:19" x14ac:dyDescent="0.25">
      <c r="P6411" s="27">
        <v>3.2548184716220556E-2</v>
      </c>
      <c r="Q6411" s="28">
        <f t="shared" si="104"/>
        <v>3.5548184716220559E-2</v>
      </c>
      <c r="R6411" s="29">
        <v>0.15003660775771735</v>
      </c>
      <c r="S6411" s="30">
        <v>5.33E-2</v>
      </c>
    </row>
    <row r="6412" spans="16:19" x14ac:dyDescent="0.25">
      <c r="P6412" s="27">
        <v>3.2548184716220556E-2</v>
      </c>
      <c r="Q6412" s="28">
        <f t="shared" si="104"/>
        <v>3.5548184716220559E-2</v>
      </c>
      <c r="R6412" s="29">
        <v>0.15003660775771735</v>
      </c>
      <c r="S6412" s="30">
        <v>5.3490000000000003E-2</v>
      </c>
    </row>
    <row r="6413" spans="16:19" x14ac:dyDescent="0.25">
      <c r="P6413" s="27">
        <v>3.2548184716220556E-2</v>
      </c>
      <c r="Q6413" s="28">
        <f t="shared" si="104"/>
        <v>3.5548184716220559E-2</v>
      </c>
      <c r="R6413" s="29">
        <v>0.15003660775771735</v>
      </c>
      <c r="S6413" s="30">
        <v>5.1330000000000001E-2</v>
      </c>
    </row>
    <row r="6414" spans="16:19" x14ac:dyDescent="0.25">
      <c r="P6414" s="27">
        <v>3.2548184716220556E-2</v>
      </c>
      <c r="Q6414" s="28">
        <f t="shared" si="104"/>
        <v>3.5548184716220559E-2</v>
      </c>
      <c r="R6414" s="29">
        <v>0.15003660775771735</v>
      </c>
      <c r="S6414" s="30">
        <v>5.0290000000000001E-2</v>
      </c>
    </row>
    <row r="6415" spans="16:19" x14ac:dyDescent="0.25">
      <c r="P6415" s="27">
        <v>3.2548184716220556E-2</v>
      </c>
      <c r="Q6415" s="28">
        <f t="shared" si="104"/>
        <v>3.5548184716220559E-2</v>
      </c>
      <c r="R6415" s="29">
        <v>0.15003660775771735</v>
      </c>
      <c r="S6415" s="30">
        <v>4.9009999999999998E-2</v>
      </c>
    </row>
    <row r="6416" spans="16:19" x14ac:dyDescent="0.25">
      <c r="P6416" s="27">
        <v>3.2548184716220556E-2</v>
      </c>
      <c r="Q6416" s="28">
        <f t="shared" si="104"/>
        <v>3.5548184716220559E-2</v>
      </c>
      <c r="R6416" s="29">
        <v>0.15003660775771735</v>
      </c>
      <c r="S6416" s="30">
        <v>5.4649999999999997E-2</v>
      </c>
    </row>
    <row r="6417" spans="16:19" x14ac:dyDescent="0.25">
      <c r="P6417" s="27">
        <v>3.2548184716220556E-2</v>
      </c>
      <c r="Q6417" s="28">
        <f t="shared" si="104"/>
        <v>3.5548184716220559E-2</v>
      </c>
      <c r="R6417" s="29">
        <v>0.15003660775771735</v>
      </c>
      <c r="S6417" s="30">
        <v>5.833E-2</v>
      </c>
    </row>
    <row r="6418" spans="16:19" x14ac:dyDescent="0.25">
      <c r="P6418" s="27">
        <v>3.2548184716220556E-2</v>
      </c>
      <c r="Q6418" s="28">
        <f t="shared" si="104"/>
        <v>3.5548184716220559E-2</v>
      </c>
      <c r="R6418" s="29">
        <v>0.15003660775771735</v>
      </c>
      <c r="S6418" s="30">
        <v>6.207E-2</v>
      </c>
    </row>
    <row r="6419" spans="16:19" x14ac:dyDescent="0.25">
      <c r="P6419" s="27">
        <v>3.2548184716220556E-2</v>
      </c>
      <c r="Q6419" s="28">
        <f t="shared" si="104"/>
        <v>3.5548184716220559E-2</v>
      </c>
      <c r="R6419" s="31">
        <v>0.15939660775771733</v>
      </c>
      <c r="S6419" s="32">
        <v>7.9810192000000002E-2</v>
      </c>
    </row>
    <row r="6420" spans="16:19" x14ac:dyDescent="0.25">
      <c r="P6420" s="27">
        <v>3.2548184716220556E-2</v>
      </c>
      <c r="Q6420" s="28">
        <f t="shared" si="104"/>
        <v>3.5548184716220559E-2</v>
      </c>
      <c r="R6420" s="33">
        <v>0.16282860775771735</v>
      </c>
      <c r="S6420" s="34">
        <v>7.5999999999999998E-2</v>
      </c>
    </row>
    <row r="6421" spans="16:19" x14ac:dyDescent="0.25">
      <c r="P6421" s="27">
        <v>3.2548184716220556E-2</v>
      </c>
      <c r="Q6421" s="28">
        <f t="shared" si="104"/>
        <v>3.5548184716220559E-2</v>
      </c>
      <c r="R6421" s="33">
        <v>0.16282860775771735</v>
      </c>
      <c r="S6421" s="34">
        <v>6.1590000000000006E-2</v>
      </c>
    </row>
    <row r="6422" spans="16:19" x14ac:dyDescent="0.25">
      <c r="P6422" s="27">
        <v>3.2548184716220556E-2</v>
      </c>
      <c r="Q6422" s="28">
        <f t="shared" si="104"/>
        <v>3.5548184716220559E-2</v>
      </c>
      <c r="R6422" s="33">
        <v>0.16282860775771735</v>
      </c>
      <c r="S6422" s="34">
        <v>5.9880000000000003E-2</v>
      </c>
    </row>
    <row r="6423" spans="16:19" x14ac:dyDescent="0.25">
      <c r="P6423" s="27">
        <v>3.2548184716220556E-2</v>
      </c>
      <c r="Q6423" s="28">
        <f t="shared" si="104"/>
        <v>3.5548184716220559E-2</v>
      </c>
      <c r="R6423" s="33">
        <v>0.16282860775771735</v>
      </c>
      <c r="S6423" s="34">
        <v>5.2940000000000001E-2</v>
      </c>
    </row>
    <row r="6424" spans="16:19" x14ac:dyDescent="0.25">
      <c r="P6424" s="27">
        <v>3.2548184716220556E-2</v>
      </c>
      <c r="Q6424" s="28">
        <f t="shared" si="104"/>
        <v>3.5548184716220559E-2</v>
      </c>
      <c r="R6424" s="33">
        <v>0.16282860775771735</v>
      </c>
      <c r="S6424" s="34">
        <v>5.3039999999999997E-2</v>
      </c>
    </row>
    <row r="6425" spans="16:19" x14ac:dyDescent="0.25">
      <c r="P6425" s="27">
        <v>3.2548184716220556E-2</v>
      </c>
      <c r="Q6425" s="28">
        <f t="shared" si="104"/>
        <v>3.5548184716220559E-2</v>
      </c>
      <c r="R6425" s="33">
        <v>0.16282860775771735</v>
      </c>
      <c r="S6425" s="34">
        <v>5.9459999999999999E-2</v>
      </c>
    </row>
    <row r="6426" spans="16:19" x14ac:dyDescent="0.25">
      <c r="P6426" s="27">
        <v>3.2548184716220556E-2</v>
      </c>
      <c r="Q6426" s="28">
        <f t="shared" si="104"/>
        <v>3.5548184716220559E-2</v>
      </c>
      <c r="R6426" s="33">
        <v>0.16282860775771735</v>
      </c>
      <c r="S6426" s="34">
        <v>6.4000000000000001E-2</v>
      </c>
    </row>
    <row r="6427" spans="16:19" x14ac:dyDescent="0.25">
      <c r="P6427" s="27">
        <v>3.2548184716220556E-2</v>
      </c>
      <c r="Q6427" s="28">
        <f t="shared" si="104"/>
        <v>3.5548184716220559E-2</v>
      </c>
      <c r="R6427" s="33">
        <v>0.16282860775771735</v>
      </c>
      <c r="S6427" s="34">
        <v>7.0099999999999996E-2</v>
      </c>
    </row>
    <row r="6428" spans="16:19" x14ac:dyDescent="0.25">
      <c r="P6428" s="27">
        <v>3.2548184716220556E-2</v>
      </c>
      <c r="Q6428" s="28">
        <f t="shared" si="104"/>
        <v>3.5548184716220559E-2</v>
      </c>
      <c r="R6428" s="33">
        <v>0.16282860775771735</v>
      </c>
      <c r="S6428" s="34">
        <v>6.7640000000000006E-2</v>
      </c>
    </row>
    <row r="6429" spans="16:19" x14ac:dyDescent="0.25">
      <c r="P6429" s="27">
        <v>3.2548184716220556E-2</v>
      </c>
      <c r="Q6429" s="28">
        <f t="shared" si="104"/>
        <v>3.5548184716220559E-2</v>
      </c>
      <c r="R6429" s="33">
        <v>0.16282860775771735</v>
      </c>
      <c r="S6429" s="34">
        <v>6.7479999999999998E-2</v>
      </c>
    </row>
    <row r="6430" spans="16:19" x14ac:dyDescent="0.25">
      <c r="P6430" s="27">
        <v>3.2548184716220556E-2</v>
      </c>
      <c r="Q6430" s="28">
        <f t="shared" si="104"/>
        <v>3.5548184716220559E-2</v>
      </c>
      <c r="R6430" s="33">
        <v>0.16282860775771735</v>
      </c>
      <c r="S6430" s="34">
        <v>9.9000000000000005E-2</v>
      </c>
    </row>
    <row r="6431" spans="16:19" x14ac:dyDescent="0.25">
      <c r="P6431" s="27">
        <v>3.2548184716220556E-2</v>
      </c>
      <c r="Q6431" s="28">
        <f t="shared" si="104"/>
        <v>3.5548184716220559E-2</v>
      </c>
      <c r="R6431" s="31">
        <v>0.15939660775771733</v>
      </c>
      <c r="S6431" s="32">
        <v>8.2000000000000003E-2</v>
      </c>
    </row>
    <row r="6432" spans="16:19" x14ac:dyDescent="0.25">
      <c r="P6432" s="27">
        <v>3.2548184716220556E-2</v>
      </c>
      <c r="Q6432" s="28">
        <f t="shared" si="104"/>
        <v>3.5548184716220559E-2</v>
      </c>
      <c r="R6432" s="31">
        <v>0.15939660775771733</v>
      </c>
      <c r="S6432" s="32">
        <v>5.9330000000000001E-2</v>
      </c>
    </row>
    <row r="6433" spans="16:19" x14ac:dyDescent="0.25">
      <c r="P6433" s="27">
        <v>3.2548184716220556E-2</v>
      </c>
      <c r="Q6433" s="28">
        <f t="shared" si="104"/>
        <v>3.5548184716220559E-2</v>
      </c>
      <c r="R6433" s="31">
        <v>0.15939660775771733</v>
      </c>
      <c r="S6433" s="32">
        <v>5.9880000000000003E-2</v>
      </c>
    </row>
    <row r="6434" spans="16:19" x14ac:dyDescent="0.25">
      <c r="P6434" s="27">
        <v>3.2548184716220556E-2</v>
      </c>
      <c r="Q6434" s="28">
        <f t="shared" si="104"/>
        <v>3.5548184716220559E-2</v>
      </c>
      <c r="R6434" s="31">
        <v>0.15939660775771733</v>
      </c>
      <c r="S6434" s="32">
        <v>5.339E-2</v>
      </c>
    </row>
    <row r="6435" spans="16:19" x14ac:dyDescent="0.25">
      <c r="P6435" s="27">
        <v>3.2548184716220556E-2</v>
      </c>
      <c r="Q6435" s="28">
        <f t="shared" si="104"/>
        <v>3.5548184716220559E-2</v>
      </c>
      <c r="R6435" s="29">
        <v>0.15003660775771735</v>
      </c>
      <c r="S6435" s="30">
        <v>5.1999999999999998E-2</v>
      </c>
    </row>
    <row r="6436" spans="16:19" x14ac:dyDescent="0.25">
      <c r="P6436" s="27">
        <v>3.2548184716220556E-2</v>
      </c>
      <c r="Q6436" s="28">
        <f t="shared" si="104"/>
        <v>3.5548184716220559E-2</v>
      </c>
      <c r="R6436" s="29">
        <v>0.15003660775771735</v>
      </c>
      <c r="S6436" s="30">
        <v>5.3840000000000006E-2</v>
      </c>
    </row>
    <row r="6437" spans="16:19" x14ac:dyDescent="0.25">
      <c r="P6437" s="27">
        <v>3.2548184716220556E-2</v>
      </c>
      <c r="Q6437" s="28">
        <f t="shared" si="104"/>
        <v>3.5548184716220559E-2</v>
      </c>
      <c r="R6437" s="29">
        <v>0.15003660775771735</v>
      </c>
      <c r="S6437" s="30">
        <v>5.3499999999999999E-2</v>
      </c>
    </row>
    <row r="6438" spans="16:19" x14ac:dyDescent="0.25">
      <c r="P6438" s="27">
        <v>3.2548184716220556E-2</v>
      </c>
      <c r="Q6438" s="28">
        <f t="shared" si="104"/>
        <v>3.5548184716220559E-2</v>
      </c>
      <c r="R6438" s="29">
        <v>0.15003660775771735</v>
      </c>
      <c r="S6438" s="30">
        <v>5.2693803000000004E-2</v>
      </c>
    </row>
    <row r="6439" spans="16:19" x14ac:dyDescent="0.25">
      <c r="P6439" s="27">
        <v>3.2548184716220556E-2</v>
      </c>
      <c r="Q6439" s="28">
        <f t="shared" si="104"/>
        <v>3.5548184716220559E-2</v>
      </c>
      <c r="R6439" s="29">
        <v>0.15003660775771735</v>
      </c>
      <c r="S6439" s="30">
        <v>4.9509999999999998E-2</v>
      </c>
    </row>
    <row r="6440" spans="16:19" x14ac:dyDescent="0.25">
      <c r="P6440" s="27">
        <v>3.2548184716220556E-2</v>
      </c>
      <c r="Q6440" s="28">
        <f t="shared" si="104"/>
        <v>3.5548184716220559E-2</v>
      </c>
      <c r="R6440" s="29">
        <v>0.15003660775771735</v>
      </c>
      <c r="S6440" s="30">
        <v>5.6070000000000002E-2</v>
      </c>
    </row>
    <row r="6441" spans="16:19" x14ac:dyDescent="0.25">
      <c r="P6441" s="27">
        <v>3.2548184716220556E-2</v>
      </c>
      <c r="Q6441" s="28">
        <f t="shared" si="104"/>
        <v>3.5548184716220559E-2</v>
      </c>
      <c r="R6441" s="29">
        <v>0.15003660775771735</v>
      </c>
      <c r="S6441" s="30">
        <v>5.9639999999999999E-2</v>
      </c>
    </row>
    <row r="6442" spans="16:19" x14ac:dyDescent="0.25">
      <c r="P6442" s="27">
        <v>3.2548184716220556E-2</v>
      </c>
      <c r="Q6442" s="28">
        <f t="shared" si="104"/>
        <v>3.5548184716220559E-2</v>
      </c>
      <c r="R6442" s="29">
        <v>0.15003660775771735</v>
      </c>
      <c r="S6442" s="30">
        <v>6.1259999999999995E-2</v>
      </c>
    </row>
    <row r="6443" spans="16:19" x14ac:dyDescent="0.25">
      <c r="P6443" s="27">
        <v>3.2548184716220556E-2</v>
      </c>
      <c r="Q6443" s="28">
        <f t="shared" si="104"/>
        <v>3.5548184716220559E-2</v>
      </c>
      <c r="R6443" s="31">
        <v>0.15939660775771733</v>
      </c>
      <c r="S6443" s="32">
        <v>7.8366508999999987E-2</v>
      </c>
    </row>
    <row r="6444" spans="16:19" x14ac:dyDescent="0.25">
      <c r="P6444" s="27">
        <v>3.2548184716220556E-2</v>
      </c>
      <c r="Q6444" s="28">
        <f t="shared" si="104"/>
        <v>3.5548184716220559E-2</v>
      </c>
      <c r="R6444" s="33">
        <v>0.16282860775771735</v>
      </c>
      <c r="S6444" s="34">
        <v>7.4400000000000008E-2</v>
      </c>
    </row>
    <row r="6445" spans="16:19" x14ac:dyDescent="0.25">
      <c r="P6445" s="27">
        <v>3.2548184716220556E-2</v>
      </c>
      <c r="Q6445" s="28">
        <f t="shared" si="104"/>
        <v>3.5548184716220559E-2</v>
      </c>
      <c r="R6445" s="33">
        <v>0.16282860775771735</v>
      </c>
      <c r="S6445" s="34">
        <v>6.1249999999999999E-2</v>
      </c>
    </row>
    <row r="6446" spans="16:19" x14ac:dyDescent="0.25">
      <c r="P6446" s="27">
        <v>3.2548184716220556E-2</v>
      </c>
      <c r="Q6446" s="28">
        <f t="shared" si="104"/>
        <v>3.5548184716220559E-2</v>
      </c>
      <c r="R6446" s="33">
        <v>0.16282860775771735</v>
      </c>
      <c r="S6446" s="34">
        <v>5.8999999999999997E-2</v>
      </c>
    </row>
    <row r="6447" spans="16:19" x14ac:dyDescent="0.25">
      <c r="P6447" s="27">
        <v>3.2548184716220556E-2</v>
      </c>
      <c r="Q6447" s="28">
        <f t="shared" si="104"/>
        <v>3.5548184716220559E-2</v>
      </c>
      <c r="R6447" s="33">
        <v>0.16282860775771735</v>
      </c>
      <c r="S6447" s="34">
        <v>5.2010000000000001E-2</v>
      </c>
    </row>
    <row r="6448" spans="16:19" x14ac:dyDescent="0.25">
      <c r="P6448" s="27">
        <v>3.2548184716220556E-2</v>
      </c>
      <c r="Q6448" s="28">
        <f t="shared" si="104"/>
        <v>3.5548184716220559E-2</v>
      </c>
      <c r="R6448" s="33">
        <v>0.16282860775771735</v>
      </c>
      <c r="S6448" s="34">
        <v>5.2639999999999999E-2</v>
      </c>
    </row>
    <row r="6449" spans="16:19" x14ac:dyDescent="0.25">
      <c r="P6449" s="27">
        <v>3.2548184716220556E-2</v>
      </c>
      <c r="Q6449" s="28">
        <f t="shared" si="104"/>
        <v>3.5548184716220559E-2</v>
      </c>
      <c r="R6449" s="33">
        <v>0.16282860775771735</v>
      </c>
      <c r="S6449" s="34">
        <v>5.8189999999999999E-2</v>
      </c>
    </row>
    <row r="6450" spans="16:19" x14ac:dyDescent="0.25">
      <c r="P6450" s="27">
        <v>3.2548184716220556E-2</v>
      </c>
      <c r="Q6450" s="28">
        <f t="shared" si="104"/>
        <v>3.5548184716220559E-2</v>
      </c>
      <c r="R6450" s="33">
        <v>0.16282860775771735</v>
      </c>
      <c r="S6450" s="34">
        <v>6.0999999999999999E-2</v>
      </c>
    </row>
    <row r="6451" spans="16:19" x14ac:dyDescent="0.25">
      <c r="P6451" s="27">
        <v>3.2548184716220556E-2</v>
      </c>
      <c r="Q6451" s="28">
        <f t="shared" si="104"/>
        <v>3.5548184716220559E-2</v>
      </c>
      <c r="R6451" s="33">
        <v>0.16282860775771735</v>
      </c>
      <c r="S6451" s="34">
        <v>6.8819999999999992E-2</v>
      </c>
    </row>
    <row r="6452" spans="16:19" x14ac:dyDescent="0.25">
      <c r="P6452" s="27">
        <v>3.2548184716220556E-2</v>
      </c>
      <c r="Q6452" s="28">
        <f t="shared" si="104"/>
        <v>3.5548184716220559E-2</v>
      </c>
      <c r="R6452" s="33">
        <v>0.16282860775771735</v>
      </c>
      <c r="S6452" s="34">
        <v>6.3049999999999995E-2</v>
      </c>
    </row>
    <row r="6453" spans="16:19" x14ac:dyDescent="0.25">
      <c r="P6453" s="27">
        <v>3.2548184716220556E-2</v>
      </c>
      <c r="Q6453" s="28">
        <f t="shared" si="104"/>
        <v>3.5548184716220559E-2</v>
      </c>
      <c r="R6453" s="33">
        <v>0.16282860775771735</v>
      </c>
      <c r="S6453" s="34">
        <v>6.5659999999999996E-2</v>
      </c>
    </row>
    <row r="6454" spans="16:19" x14ac:dyDescent="0.25">
      <c r="P6454" s="27">
        <v>3.2548184716220556E-2</v>
      </c>
      <c r="Q6454" s="28">
        <f t="shared" si="104"/>
        <v>3.5548184716220559E-2</v>
      </c>
      <c r="R6454" s="33">
        <v>0.16282860775771735</v>
      </c>
      <c r="S6454" s="34">
        <v>9.3890000000000001E-2</v>
      </c>
    </row>
    <row r="6455" spans="16:19" x14ac:dyDescent="0.25">
      <c r="P6455" s="27">
        <v>3.2548184716220556E-2</v>
      </c>
      <c r="Q6455" s="28">
        <f t="shared" si="104"/>
        <v>3.5548184716220559E-2</v>
      </c>
      <c r="R6455" s="31">
        <v>0.15939660775771733</v>
      </c>
      <c r="S6455" s="32">
        <v>7.5480000000000005E-2</v>
      </c>
    </row>
    <row r="6456" spans="16:19" x14ac:dyDescent="0.25">
      <c r="P6456" s="27">
        <v>3.2548184716220556E-2</v>
      </c>
      <c r="Q6456" s="28">
        <f t="shared" si="104"/>
        <v>3.5548184716220559E-2</v>
      </c>
      <c r="R6456" s="31">
        <v>0.15939660775771733</v>
      </c>
      <c r="S6456" s="32">
        <v>5.5869999999999996E-2</v>
      </c>
    </row>
    <row r="6457" spans="16:19" x14ac:dyDescent="0.25">
      <c r="P6457" s="27">
        <v>3.2548184716220556E-2</v>
      </c>
      <c r="Q6457" s="28">
        <f t="shared" si="104"/>
        <v>3.5548184716220559E-2</v>
      </c>
      <c r="R6457" s="31">
        <v>0.15939660775771733</v>
      </c>
      <c r="S6457" s="32">
        <v>5.7210209999999997E-2</v>
      </c>
    </row>
    <row r="6458" spans="16:19" x14ac:dyDescent="0.25">
      <c r="P6458" s="27">
        <v>3.2548184716220556E-2</v>
      </c>
      <c r="Q6458" s="28">
        <f t="shared" si="104"/>
        <v>3.5548184716220559E-2</v>
      </c>
      <c r="R6458" s="31">
        <v>0.15939660775771733</v>
      </c>
      <c r="S6458" s="32">
        <v>5.5009999999999996E-2</v>
      </c>
    </row>
    <row r="6459" spans="16:19" x14ac:dyDescent="0.25">
      <c r="P6459" s="27">
        <v>3.2548184716220556E-2</v>
      </c>
      <c r="Q6459" s="28">
        <f t="shared" si="104"/>
        <v>3.5548184716220559E-2</v>
      </c>
      <c r="R6459" s="29">
        <v>0.15003660775771735</v>
      </c>
      <c r="S6459" s="30">
        <v>5.7529999999999998E-2</v>
      </c>
    </row>
    <row r="6460" spans="16:19" x14ac:dyDescent="0.25">
      <c r="P6460" s="27">
        <v>3.2548184716220556E-2</v>
      </c>
      <c r="Q6460" s="28">
        <f t="shared" si="104"/>
        <v>3.5548184716220559E-2</v>
      </c>
      <c r="R6460" s="29">
        <v>0.15003660775771735</v>
      </c>
      <c r="S6460" s="30">
        <v>5.8860000000000003E-2</v>
      </c>
    </row>
    <row r="6461" spans="16:19" x14ac:dyDescent="0.25">
      <c r="P6461" s="27">
        <v>3.2548184716220556E-2</v>
      </c>
      <c r="Q6461" s="28">
        <f t="shared" si="104"/>
        <v>3.5548184716220559E-2</v>
      </c>
      <c r="R6461" s="29">
        <v>0.15003660775771735</v>
      </c>
      <c r="S6461" s="30">
        <v>6.0999999999999999E-2</v>
      </c>
    </row>
    <row r="6462" spans="16:19" x14ac:dyDescent="0.25">
      <c r="P6462" s="27">
        <v>3.2548184716220556E-2</v>
      </c>
      <c r="Q6462" s="28">
        <f t="shared" si="104"/>
        <v>3.5548184716220559E-2</v>
      </c>
      <c r="R6462" s="29">
        <v>0.15003660775771735</v>
      </c>
      <c r="S6462" s="30">
        <v>5.8819999999999997E-2</v>
      </c>
    </row>
    <row r="6463" spans="16:19" x14ac:dyDescent="0.25">
      <c r="P6463" s="27">
        <v>3.2548184716220556E-2</v>
      </c>
      <c r="Q6463" s="28">
        <f t="shared" si="104"/>
        <v>3.5548184716220559E-2</v>
      </c>
      <c r="R6463" s="29">
        <v>0.15003660775771735</v>
      </c>
      <c r="S6463" s="30">
        <v>5.6989999999999999E-2</v>
      </c>
    </row>
    <row r="6464" spans="16:19" x14ac:dyDescent="0.25">
      <c r="P6464" s="27">
        <v>3.2548184716220556E-2</v>
      </c>
      <c r="Q6464" s="28">
        <f t="shared" si="104"/>
        <v>3.5548184716220559E-2</v>
      </c>
      <c r="R6464" s="29">
        <v>0.15003660775771735</v>
      </c>
      <c r="S6464" s="30">
        <v>5.9639999999999999E-2</v>
      </c>
    </row>
    <row r="6465" spans="16:19" x14ac:dyDescent="0.25">
      <c r="P6465" s="27">
        <v>3.2548184716220556E-2</v>
      </c>
      <c r="Q6465" s="28">
        <f t="shared" si="104"/>
        <v>3.5548184716220559E-2</v>
      </c>
      <c r="R6465" s="29">
        <v>0.15003660775771735</v>
      </c>
      <c r="S6465" s="30">
        <v>6.4549999999999996E-2</v>
      </c>
    </row>
    <row r="6466" spans="16:19" x14ac:dyDescent="0.25">
      <c r="P6466" s="27">
        <v>3.2548184716220556E-2</v>
      </c>
      <c r="Q6466" s="28">
        <f t="shared" si="104"/>
        <v>3.5548184716220559E-2</v>
      </c>
      <c r="R6466" s="29">
        <v>0.15003660775771735</v>
      </c>
      <c r="S6466" s="30">
        <v>7.0421797999999994E-2</v>
      </c>
    </row>
    <row r="6467" spans="16:19" x14ac:dyDescent="0.25">
      <c r="P6467" s="27">
        <v>3.2548184716220556E-2</v>
      </c>
      <c r="Q6467" s="28">
        <f t="shared" si="104"/>
        <v>3.5548184716220559E-2</v>
      </c>
      <c r="R6467" s="31">
        <v>0.15939660775771733</v>
      </c>
      <c r="S6467" s="32">
        <v>9.4989999999999991E-2</v>
      </c>
    </row>
    <row r="6468" spans="16:19" x14ac:dyDescent="0.25">
      <c r="P6468" s="27">
        <v>3.2548184716220556E-2</v>
      </c>
      <c r="Q6468" s="28">
        <f t="shared" si="104"/>
        <v>3.5548184716220559E-2</v>
      </c>
      <c r="R6468" s="33">
        <v>0.16282860775771735</v>
      </c>
      <c r="S6468" s="34">
        <v>8.5949999999999999E-2</v>
      </c>
    </row>
    <row r="6469" spans="16:19" x14ac:dyDescent="0.25">
      <c r="P6469" s="27">
        <v>3.2548184716220556E-2</v>
      </c>
      <c r="Q6469" s="28">
        <f t="shared" ref="Q6469:Q6532" si="105">P6469+0.003</f>
        <v>3.5548184716220559E-2</v>
      </c>
      <c r="R6469" s="33">
        <v>0.16282860775771735</v>
      </c>
      <c r="S6469" s="34">
        <v>7.0000000000000007E-2</v>
      </c>
    </row>
    <row r="6470" spans="16:19" x14ac:dyDescent="0.25">
      <c r="P6470" s="27">
        <v>3.2548184716220556E-2</v>
      </c>
      <c r="Q6470" s="28">
        <f t="shared" si="105"/>
        <v>3.5548184716220559E-2</v>
      </c>
      <c r="R6470" s="33">
        <v>0.16282860775771735</v>
      </c>
      <c r="S6470" s="34">
        <v>6.275E-2</v>
      </c>
    </row>
    <row r="6471" spans="16:19" x14ac:dyDescent="0.25">
      <c r="P6471" s="27">
        <v>3.2548184716220556E-2</v>
      </c>
      <c r="Q6471" s="28">
        <f t="shared" si="105"/>
        <v>3.5548184716220559E-2</v>
      </c>
      <c r="R6471" s="33">
        <v>0.16282860775771735</v>
      </c>
      <c r="S6471" s="34">
        <v>5.2330000000000002E-2</v>
      </c>
    </row>
    <row r="6472" spans="16:19" x14ac:dyDescent="0.25">
      <c r="P6472" s="27">
        <v>3.2548184716220556E-2</v>
      </c>
      <c r="Q6472" s="28">
        <f t="shared" si="105"/>
        <v>3.5548184716220559E-2</v>
      </c>
      <c r="R6472" s="33">
        <v>0.16282860775771735</v>
      </c>
      <c r="S6472" s="34">
        <v>4.2500000000000003E-2</v>
      </c>
    </row>
    <row r="6473" spans="16:19" x14ac:dyDescent="0.25">
      <c r="P6473" s="27">
        <v>3.2548184716220556E-2</v>
      </c>
      <c r="Q6473" s="28">
        <f t="shared" si="105"/>
        <v>3.5548184716220559E-2</v>
      </c>
      <c r="R6473" s="33">
        <v>0.16282860775771735</v>
      </c>
      <c r="S6473" s="34">
        <v>4.4560000000000002E-2</v>
      </c>
    </row>
    <row r="6474" spans="16:19" x14ac:dyDescent="0.25">
      <c r="P6474" s="27">
        <v>3.2548184716220556E-2</v>
      </c>
      <c r="Q6474" s="28">
        <f t="shared" si="105"/>
        <v>3.5548184716220559E-2</v>
      </c>
      <c r="R6474" s="33">
        <v>0.16282860775771735</v>
      </c>
      <c r="S6474" s="34">
        <v>5.0999999999999997E-2</v>
      </c>
    </row>
    <row r="6475" spans="16:19" x14ac:dyDescent="0.25">
      <c r="P6475" s="27">
        <v>3.2548184716220556E-2</v>
      </c>
      <c r="Q6475" s="28">
        <f t="shared" si="105"/>
        <v>3.5548184716220559E-2</v>
      </c>
      <c r="R6475" s="33">
        <v>0.16282860775771735</v>
      </c>
      <c r="S6475" s="34">
        <v>5.8000000000000003E-2</v>
      </c>
    </row>
    <row r="6476" spans="16:19" x14ac:dyDescent="0.25">
      <c r="P6476" s="27">
        <v>3.2548184716220556E-2</v>
      </c>
      <c r="Q6476" s="28">
        <f t="shared" si="105"/>
        <v>3.5548184716220559E-2</v>
      </c>
      <c r="R6476" s="33">
        <v>0.16282860775771735</v>
      </c>
      <c r="S6476" s="34">
        <v>6.0999999999999999E-2</v>
      </c>
    </row>
    <row r="6477" spans="16:19" x14ac:dyDescent="0.25">
      <c r="P6477" s="27">
        <v>3.2548184716220556E-2</v>
      </c>
      <c r="Q6477" s="28">
        <f t="shared" si="105"/>
        <v>3.5548184716220559E-2</v>
      </c>
      <c r="R6477" s="33">
        <v>0.16282860775771735</v>
      </c>
      <c r="S6477" s="34">
        <v>6.1780000000000002E-2</v>
      </c>
    </row>
    <row r="6478" spans="16:19" x14ac:dyDescent="0.25">
      <c r="P6478" s="27">
        <v>3.2548184716220556E-2</v>
      </c>
      <c r="Q6478" s="28">
        <f t="shared" si="105"/>
        <v>3.5548184716220559E-2</v>
      </c>
      <c r="R6478" s="33">
        <v>0.16282860775771735</v>
      </c>
      <c r="S6478" s="34">
        <v>7.8069999999999987E-2</v>
      </c>
    </row>
    <row r="6479" spans="16:19" x14ac:dyDescent="0.25">
      <c r="P6479" s="27">
        <v>3.2548184716220556E-2</v>
      </c>
      <c r="Q6479" s="28">
        <f t="shared" si="105"/>
        <v>3.5548184716220559E-2</v>
      </c>
      <c r="R6479" s="31">
        <v>0.15939660775771733</v>
      </c>
      <c r="S6479" s="32">
        <v>7.4779999999999999E-2</v>
      </c>
    </row>
    <row r="6480" spans="16:19" x14ac:dyDescent="0.25">
      <c r="P6480" s="27">
        <v>3.2548184716220556E-2</v>
      </c>
      <c r="Q6480" s="28">
        <f t="shared" si="105"/>
        <v>3.5548184716220559E-2</v>
      </c>
      <c r="R6480" s="31">
        <v>0.15939660775771733</v>
      </c>
      <c r="S6480" s="32">
        <v>5.8027082000000001E-2</v>
      </c>
    </row>
    <row r="6481" spans="16:19" x14ac:dyDescent="0.25">
      <c r="P6481" s="27">
        <v>3.2548184716220556E-2</v>
      </c>
      <c r="Q6481" s="28">
        <f t="shared" si="105"/>
        <v>3.5548184716220559E-2</v>
      </c>
      <c r="R6481" s="31">
        <v>0.15939660775771733</v>
      </c>
      <c r="S6481" s="32">
        <v>5.772E-2</v>
      </c>
    </row>
    <row r="6482" spans="16:19" x14ac:dyDescent="0.25">
      <c r="P6482" s="27">
        <v>3.2548184716220556E-2</v>
      </c>
      <c r="Q6482" s="28">
        <f t="shared" si="105"/>
        <v>3.5548184716220559E-2</v>
      </c>
      <c r="R6482" s="31">
        <v>0.15939660775771733</v>
      </c>
      <c r="S6482" s="32">
        <v>5.7290000000000001E-2</v>
      </c>
    </row>
    <row r="6483" spans="16:19" x14ac:dyDescent="0.25">
      <c r="P6483" s="27">
        <v>3.2548184716220556E-2</v>
      </c>
      <c r="Q6483" s="28">
        <f t="shared" si="105"/>
        <v>3.5548184716220559E-2</v>
      </c>
      <c r="R6483" s="29">
        <v>0.15003660775771735</v>
      </c>
      <c r="S6483" s="30">
        <v>5.3609999999999998E-2</v>
      </c>
    </row>
    <row r="6484" spans="16:19" x14ac:dyDescent="0.25">
      <c r="P6484" s="27">
        <v>3.2548184716220556E-2</v>
      </c>
      <c r="Q6484" s="28">
        <f t="shared" si="105"/>
        <v>3.5548184716220559E-2</v>
      </c>
      <c r="R6484" s="29">
        <v>0.15003660775771735</v>
      </c>
      <c r="S6484" s="30">
        <v>5.1999999999999998E-2</v>
      </c>
    </row>
    <row r="6485" spans="16:19" x14ac:dyDescent="0.25">
      <c r="P6485" s="27">
        <v>3.2548184716220556E-2</v>
      </c>
      <c r="Q6485" s="28">
        <f t="shared" si="105"/>
        <v>3.5548184716220559E-2</v>
      </c>
      <c r="R6485" s="29">
        <v>0.15003660775771735</v>
      </c>
      <c r="S6485" s="30">
        <v>4.9869999999999998E-2</v>
      </c>
    </row>
    <row r="6486" spans="16:19" x14ac:dyDescent="0.25">
      <c r="P6486" s="27">
        <v>3.2548184716220556E-2</v>
      </c>
      <c r="Q6486" s="28">
        <f t="shared" si="105"/>
        <v>3.5548184716220559E-2</v>
      </c>
      <c r="R6486" s="29">
        <v>0.15003660775771735</v>
      </c>
      <c r="S6486" s="30">
        <v>4.3529999999999999E-2</v>
      </c>
    </row>
    <row r="6487" spans="16:19" x14ac:dyDescent="0.25">
      <c r="P6487" s="27">
        <v>3.2548184716220556E-2</v>
      </c>
      <c r="Q6487" s="28">
        <f t="shared" si="105"/>
        <v>3.5548184716220559E-2</v>
      </c>
      <c r="R6487" s="29">
        <v>0.15003660775771735</v>
      </c>
      <c r="S6487" s="30">
        <v>4.2000000000000003E-2</v>
      </c>
    </row>
    <row r="6488" spans="16:19" x14ac:dyDescent="0.25">
      <c r="P6488" s="27">
        <v>3.2548184716220556E-2</v>
      </c>
      <c r="Q6488" s="28">
        <f t="shared" si="105"/>
        <v>3.5548184716220559E-2</v>
      </c>
      <c r="R6488" s="29">
        <v>0.15003660775771735</v>
      </c>
      <c r="S6488" s="30">
        <v>4.6119999999999994E-2</v>
      </c>
    </row>
    <row r="6489" spans="16:19" x14ac:dyDescent="0.25">
      <c r="P6489" s="27">
        <v>3.2548184716220556E-2</v>
      </c>
      <c r="Q6489" s="28">
        <f t="shared" si="105"/>
        <v>3.5548184716220559E-2</v>
      </c>
      <c r="R6489" s="29">
        <v>0.15003660775771735</v>
      </c>
      <c r="S6489" s="30">
        <v>5.8360000000000002E-2</v>
      </c>
    </row>
    <row r="6490" spans="16:19" x14ac:dyDescent="0.25">
      <c r="P6490" s="27">
        <v>3.2548184716220556E-2</v>
      </c>
      <c r="Q6490" s="28">
        <f t="shared" si="105"/>
        <v>3.5548184716220559E-2</v>
      </c>
      <c r="R6490" s="29">
        <v>0.15003660775771735</v>
      </c>
      <c r="S6490" s="30">
        <v>5.9880000000000003E-2</v>
      </c>
    </row>
    <row r="6491" spans="16:19" x14ac:dyDescent="0.25">
      <c r="P6491" s="27">
        <v>3.2548184716220556E-2</v>
      </c>
      <c r="Q6491" s="28">
        <f t="shared" si="105"/>
        <v>3.5548184716220559E-2</v>
      </c>
      <c r="R6491" s="31">
        <v>0.15939660775771733</v>
      </c>
      <c r="S6491" s="32">
        <v>5.833E-2</v>
      </c>
    </row>
    <row r="6492" spans="16:19" x14ac:dyDescent="0.25">
      <c r="P6492" s="27">
        <v>3.2548184716220556E-2</v>
      </c>
      <c r="Q6492" s="28">
        <f t="shared" si="105"/>
        <v>3.5548184716220559E-2</v>
      </c>
      <c r="R6492" s="33">
        <v>0.16282860775771735</v>
      </c>
      <c r="S6492" s="34">
        <v>5.7200000000000001E-2</v>
      </c>
    </row>
    <row r="6493" spans="16:19" x14ac:dyDescent="0.25">
      <c r="P6493" s="27">
        <v>3.2548184716220556E-2</v>
      </c>
      <c r="Q6493" s="28">
        <f t="shared" si="105"/>
        <v>3.5548184716220559E-2</v>
      </c>
      <c r="R6493" s="33">
        <v>0.16282860775771735</v>
      </c>
      <c r="S6493" s="34">
        <v>5.7140000000000003E-2</v>
      </c>
    </row>
    <row r="6494" spans="16:19" x14ac:dyDescent="0.25">
      <c r="P6494" s="27">
        <v>3.2548184716220556E-2</v>
      </c>
      <c r="Q6494" s="28">
        <f t="shared" si="105"/>
        <v>3.5548184716220559E-2</v>
      </c>
      <c r="R6494" s="33">
        <v>0.16282860775771735</v>
      </c>
      <c r="S6494" s="34">
        <v>5.7239999999999999E-2</v>
      </c>
    </row>
    <row r="6495" spans="16:19" x14ac:dyDescent="0.25">
      <c r="P6495" s="27">
        <v>3.2548184716220556E-2</v>
      </c>
      <c r="Q6495" s="28">
        <f t="shared" si="105"/>
        <v>3.5548184716220559E-2</v>
      </c>
      <c r="R6495" s="33">
        <v>0.16282860775771735</v>
      </c>
      <c r="S6495" s="34">
        <v>4.109757E-2</v>
      </c>
    </row>
    <row r="6496" spans="16:19" x14ac:dyDescent="0.25">
      <c r="P6496" s="27">
        <v>3.2548184716220556E-2</v>
      </c>
      <c r="Q6496" s="28">
        <f t="shared" si="105"/>
        <v>3.5548184716220559E-2</v>
      </c>
      <c r="R6496" s="33">
        <v>0.16282860775771735</v>
      </c>
      <c r="S6496" s="34">
        <v>3.5000000000000003E-2</v>
      </c>
    </row>
    <row r="6497" spans="16:19" x14ac:dyDescent="0.25">
      <c r="P6497" s="27">
        <v>3.2548184716220556E-2</v>
      </c>
      <c r="Q6497" s="28">
        <f t="shared" si="105"/>
        <v>3.5548184716220559E-2</v>
      </c>
      <c r="R6497" s="33">
        <v>0.16282860775771735</v>
      </c>
      <c r="S6497" s="34">
        <v>3.6170000000000001E-2</v>
      </c>
    </row>
    <row r="6498" spans="16:19" x14ac:dyDescent="0.25">
      <c r="P6498" s="27">
        <v>3.2548184716220556E-2</v>
      </c>
      <c r="Q6498" s="28">
        <f t="shared" si="105"/>
        <v>3.5548184716220559E-2</v>
      </c>
      <c r="R6498" s="33">
        <v>0.16282860775771735</v>
      </c>
      <c r="S6498" s="34">
        <v>4.0840000000000001E-2</v>
      </c>
    </row>
    <row r="6499" spans="16:19" x14ac:dyDescent="0.25">
      <c r="P6499" s="27">
        <v>3.2548184716220556E-2</v>
      </c>
      <c r="Q6499" s="28">
        <f t="shared" si="105"/>
        <v>3.5548184716220559E-2</v>
      </c>
      <c r="R6499" s="33">
        <v>0.16282860775771735</v>
      </c>
      <c r="S6499" s="34">
        <v>5.5109999999999999E-2</v>
      </c>
    </row>
    <row r="6500" spans="16:19" x14ac:dyDescent="0.25">
      <c r="P6500" s="27">
        <v>3.2548184716220556E-2</v>
      </c>
      <c r="Q6500" s="28">
        <f t="shared" si="105"/>
        <v>3.5548184716220559E-2</v>
      </c>
      <c r="R6500" s="33">
        <v>0.16282860775771735</v>
      </c>
      <c r="S6500" s="34">
        <v>5.7210000000000004E-2</v>
      </c>
    </row>
    <row r="6501" spans="16:19" x14ac:dyDescent="0.25">
      <c r="P6501" s="27">
        <v>3.2548184716220556E-2</v>
      </c>
      <c r="Q6501" s="28">
        <f t="shared" si="105"/>
        <v>3.5548184716220559E-2</v>
      </c>
      <c r="R6501" s="33">
        <v>0.16282860775771735</v>
      </c>
      <c r="S6501" s="34">
        <v>5.8200000000000002E-2</v>
      </c>
    </row>
    <row r="6502" spans="16:19" x14ac:dyDescent="0.25">
      <c r="P6502" s="27">
        <v>3.2548184716220556E-2</v>
      </c>
      <c r="Q6502" s="28">
        <f t="shared" si="105"/>
        <v>3.5548184716220559E-2</v>
      </c>
      <c r="R6502" s="33">
        <v>0.16282860775771735</v>
      </c>
      <c r="S6502" s="34">
        <v>7.9010000000000011E-2</v>
      </c>
    </row>
    <row r="6503" spans="16:19" x14ac:dyDescent="0.25">
      <c r="P6503" s="27">
        <v>3.2548184716220556E-2</v>
      </c>
      <c r="Q6503" s="28">
        <f t="shared" si="105"/>
        <v>3.5548184716220559E-2</v>
      </c>
      <c r="R6503" s="31">
        <v>0.15939660775771733</v>
      </c>
      <c r="S6503" s="32">
        <v>7.7349999999999988E-2</v>
      </c>
    </row>
    <row r="6504" spans="16:19" x14ac:dyDescent="0.25">
      <c r="P6504" s="27">
        <v>3.2548184716220556E-2</v>
      </c>
      <c r="Q6504" s="28">
        <f t="shared" si="105"/>
        <v>3.5548184716220559E-2</v>
      </c>
      <c r="R6504" s="31">
        <v>0.15939660775771733</v>
      </c>
      <c r="S6504" s="32">
        <v>5.9880000000000003E-2</v>
      </c>
    </row>
    <row r="6505" spans="16:19" x14ac:dyDescent="0.25">
      <c r="P6505" s="27">
        <v>3.2548184716220556E-2</v>
      </c>
      <c r="Q6505" s="28">
        <f t="shared" si="105"/>
        <v>3.5548184716220559E-2</v>
      </c>
      <c r="R6505" s="31">
        <v>0.15939660775771733</v>
      </c>
      <c r="S6505" s="32">
        <v>5.8029999999999998E-2</v>
      </c>
    </row>
    <row r="6506" spans="16:19" x14ac:dyDescent="0.25">
      <c r="P6506" s="27">
        <v>3.2548184716220556E-2</v>
      </c>
      <c r="Q6506" s="28">
        <f t="shared" si="105"/>
        <v>3.5548184716220559E-2</v>
      </c>
      <c r="R6506" s="31">
        <v>0.15939660775771733</v>
      </c>
      <c r="S6506" s="32">
        <v>5.4990000000000004E-2</v>
      </c>
    </row>
    <row r="6507" spans="16:19" x14ac:dyDescent="0.25">
      <c r="P6507" s="27">
        <v>3.2548184716220556E-2</v>
      </c>
      <c r="Q6507" s="28">
        <f t="shared" si="105"/>
        <v>3.5548184716220559E-2</v>
      </c>
      <c r="R6507" s="29">
        <v>0.15003660775771735</v>
      </c>
      <c r="S6507" s="30">
        <v>6.7640000000000006E-2</v>
      </c>
    </row>
    <row r="6508" spans="16:19" x14ac:dyDescent="0.25">
      <c r="P6508" s="27">
        <v>3.2548184716220556E-2</v>
      </c>
      <c r="Q6508" s="28">
        <f t="shared" si="105"/>
        <v>3.5548184716220559E-2</v>
      </c>
      <c r="R6508" s="29">
        <v>0.15003660775771735</v>
      </c>
      <c r="S6508" s="30">
        <v>5.9639999999999999E-2</v>
      </c>
    </row>
    <row r="6509" spans="16:19" x14ac:dyDescent="0.25">
      <c r="P6509" s="27">
        <v>3.2548184716220556E-2</v>
      </c>
      <c r="Q6509" s="28">
        <f t="shared" si="105"/>
        <v>3.5548184716220559E-2</v>
      </c>
      <c r="R6509" s="29">
        <v>0.15003660775771735</v>
      </c>
      <c r="S6509" s="30">
        <v>5.8200000000000002E-2</v>
      </c>
    </row>
    <row r="6510" spans="16:19" x14ac:dyDescent="0.25">
      <c r="P6510" s="27">
        <v>3.2548184716220556E-2</v>
      </c>
      <c r="Q6510" s="28">
        <f t="shared" si="105"/>
        <v>3.5548184716220559E-2</v>
      </c>
      <c r="R6510" s="29">
        <v>0.15003660775771735</v>
      </c>
      <c r="S6510" s="30">
        <v>5.8250000000000003E-2</v>
      </c>
    </row>
    <row r="6511" spans="16:19" x14ac:dyDescent="0.25">
      <c r="P6511" s="27">
        <v>3.2548184716220556E-2</v>
      </c>
      <c r="Q6511" s="28">
        <f t="shared" si="105"/>
        <v>3.5548184716220559E-2</v>
      </c>
      <c r="R6511" s="29">
        <v>0.15003660775771735</v>
      </c>
      <c r="S6511" s="30">
        <v>5.7290000000000001E-2</v>
      </c>
    </row>
    <row r="6512" spans="16:19" x14ac:dyDescent="0.25">
      <c r="P6512" s="27">
        <v>3.2548184716220556E-2</v>
      </c>
      <c r="Q6512" s="28">
        <f t="shared" si="105"/>
        <v>3.5548184716220559E-2</v>
      </c>
      <c r="R6512" s="29">
        <v>0.15003660775771735</v>
      </c>
      <c r="S6512" s="30">
        <v>6.3640000000000002E-2</v>
      </c>
    </row>
    <row r="6513" spans="16:19" x14ac:dyDescent="0.25">
      <c r="P6513" s="27">
        <v>3.2548184716220556E-2</v>
      </c>
      <c r="Q6513" s="28">
        <f t="shared" si="105"/>
        <v>3.5548184716220559E-2</v>
      </c>
      <c r="R6513" s="29">
        <v>0.15003660775771735</v>
      </c>
      <c r="S6513" s="30">
        <v>8.4449999999999997E-2</v>
      </c>
    </row>
    <row r="6514" spans="16:19" x14ac:dyDescent="0.25">
      <c r="P6514" s="27">
        <v>3.2548184716220556E-2</v>
      </c>
      <c r="Q6514" s="28">
        <f t="shared" si="105"/>
        <v>3.5548184716220559E-2</v>
      </c>
      <c r="R6514" s="29">
        <v>0.15003660775771735</v>
      </c>
      <c r="S6514" s="30">
        <v>9.5039999999999999E-2</v>
      </c>
    </row>
    <row r="6515" spans="16:19" x14ac:dyDescent="0.25">
      <c r="P6515" s="27">
        <v>3.2548184716220556E-2</v>
      </c>
      <c r="Q6515" s="28">
        <f t="shared" si="105"/>
        <v>3.5548184716220559E-2</v>
      </c>
      <c r="R6515" s="31">
        <v>0.15939999999999999</v>
      </c>
      <c r="S6515" s="32">
        <v>0.13005</v>
      </c>
    </row>
    <row r="6516" spans="16:19" x14ac:dyDescent="0.25">
      <c r="P6516" s="27">
        <v>3.2548184716220556E-2</v>
      </c>
      <c r="Q6516" s="28">
        <f t="shared" si="105"/>
        <v>3.5548184716220559E-2</v>
      </c>
      <c r="R6516" s="31">
        <v>0.15939999999999999</v>
      </c>
      <c r="S6516" s="32">
        <v>0.13000999999999999</v>
      </c>
    </row>
    <row r="6517" spans="16:19" x14ac:dyDescent="0.25">
      <c r="P6517" s="27">
        <v>3.2548184716220556E-2</v>
      </c>
      <c r="Q6517" s="28">
        <f t="shared" si="105"/>
        <v>3.5548184716220559E-2</v>
      </c>
      <c r="R6517" s="31">
        <v>0.15939999999999999</v>
      </c>
      <c r="S6517" s="32">
        <v>8.4449999999999997E-2</v>
      </c>
    </row>
    <row r="6518" spans="16:19" x14ac:dyDescent="0.25">
      <c r="P6518" s="27">
        <v>3.2548184716220556E-2</v>
      </c>
      <c r="Q6518" s="28">
        <f t="shared" si="105"/>
        <v>3.5548184716220559E-2</v>
      </c>
      <c r="R6518" s="31">
        <v>0.15939999999999999</v>
      </c>
      <c r="S6518" s="32">
        <v>7.3569999999999997E-2</v>
      </c>
    </row>
    <row r="6519" spans="16:19" x14ac:dyDescent="0.25">
      <c r="P6519" s="27">
        <v>3.2548184716220556E-2</v>
      </c>
      <c r="Q6519" s="28">
        <f t="shared" si="105"/>
        <v>3.5548184716220559E-2</v>
      </c>
      <c r="R6519" s="31">
        <v>0.15939999999999999</v>
      </c>
      <c r="S6519" s="32">
        <v>5.6000000000000001E-2</v>
      </c>
    </row>
    <row r="6520" spans="16:19" x14ac:dyDescent="0.25">
      <c r="P6520" s="27">
        <v>3.2548184716220556E-2</v>
      </c>
      <c r="Q6520" s="28">
        <f t="shared" si="105"/>
        <v>3.5548184716220559E-2</v>
      </c>
      <c r="R6520" s="31">
        <v>0.15939999999999999</v>
      </c>
      <c r="S6520" s="32">
        <v>5.9420000000000001E-2</v>
      </c>
    </row>
    <row r="6521" spans="16:19" x14ac:dyDescent="0.25">
      <c r="P6521" s="27">
        <v>3.2548184716220556E-2</v>
      </c>
      <c r="Q6521" s="28">
        <f t="shared" si="105"/>
        <v>3.5548184716220559E-2</v>
      </c>
      <c r="R6521" s="31">
        <v>0.15939999999999999</v>
      </c>
      <c r="S6521" s="32">
        <v>7.3680000000000009E-2</v>
      </c>
    </row>
    <row r="6522" spans="16:19" x14ac:dyDescent="0.25">
      <c r="P6522" s="27">
        <v>3.2548184716220556E-2</v>
      </c>
      <c r="Q6522" s="28">
        <f t="shared" si="105"/>
        <v>3.5548184716220559E-2</v>
      </c>
      <c r="R6522" s="31">
        <v>0.15939999999999999</v>
      </c>
      <c r="S6522" s="32">
        <v>8.1040000000000001E-2</v>
      </c>
    </row>
    <row r="6523" spans="16:19" x14ac:dyDescent="0.25">
      <c r="P6523" s="27">
        <v>3.2548184716220556E-2</v>
      </c>
      <c r="Q6523" s="28">
        <f t="shared" si="105"/>
        <v>3.5548184716220559E-2</v>
      </c>
      <c r="R6523" s="31">
        <v>0.15939999999999999</v>
      </c>
      <c r="S6523" s="32">
        <v>9.5049999999999996E-2</v>
      </c>
    </row>
    <row r="6524" spans="16:19" x14ac:dyDescent="0.25">
      <c r="P6524" s="27">
        <v>3.2548184716220556E-2</v>
      </c>
      <c r="Q6524" s="28">
        <f t="shared" si="105"/>
        <v>3.5548184716220559E-2</v>
      </c>
      <c r="R6524" s="31">
        <v>0.15939999999999999</v>
      </c>
      <c r="S6524" s="32">
        <v>9.5039999999999999E-2</v>
      </c>
    </row>
    <row r="6525" spans="16:19" x14ac:dyDescent="0.25">
      <c r="P6525" s="27">
        <v>3.2548184716220556E-2</v>
      </c>
      <c r="Q6525" s="28">
        <f t="shared" si="105"/>
        <v>3.5548184716220559E-2</v>
      </c>
      <c r="R6525" s="31">
        <v>0.15939999999999999</v>
      </c>
      <c r="S6525" s="32">
        <v>0.13506000000000001</v>
      </c>
    </row>
    <row r="6526" spans="16:19" x14ac:dyDescent="0.25">
      <c r="P6526" s="27">
        <v>3.2548184716220556E-2</v>
      </c>
      <c r="Q6526" s="28">
        <f t="shared" si="105"/>
        <v>3.5548184716220559E-2</v>
      </c>
      <c r="R6526" s="31">
        <v>0.15939999999999999</v>
      </c>
      <c r="S6526" s="32">
        <v>0.13507</v>
      </c>
    </row>
    <row r="6527" spans="16:19" x14ac:dyDescent="0.25">
      <c r="P6527" s="27">
        <v>3.2548184716220556E-2</v>
      </c>
      <c r="Q6527" s="28">
        <f t="shared" si="105"/>
        <v>3.5548184716220559E-2</v>
      </c>
      <c r="R6527" s="31">
        <v>0.15939999999999999</v>
      </c>
      <c r="S6527" s="32">
        <v>0.13507</v>
      </c>
    </row>
    <row r="6528" spans="16:19" x14ac:dyDescent="0.25">
      <c r="P6528" s="27">
        <v>3.2548184716220556E-2</v>
      </c>
      <c r="Q6528" s="28">
        <f t="shared" si="105"/>
        <v>3.5548184716220559E-2</v>
      </c>
      <c r="R6528" s="31">
        <v>0.15939999999999999</v>
      </c>
      <c r="S6528" s="32">
        <v>0.08</v>
      </c>
    </row>
    <row r="6529" spans="16:19" x14ac:dyDescent="0.25">
      <c r="P6529" s="27">
        <v>3.2548184716220556E-2</v>
      </c>
      <c r="Q6529" s="28">
        <f t="shared" si="105"/>
        <v>3.5548184716220559E-2</v>
      </c>
      <c r="R6529" s="31">
        <v>0.15939999999999999</v>
      </c>
      <c r="S6529" s="32">
        <v>8.4449999999999997E-2</v>
      </c>
    </row>
    <row r="6530" spans="16:19" x14ac:dyDescent="0.25">
      <c r="P6530" s="27">
        <v>3.2548184716220556E-2</v>
      </c>
      <c r="Q6530" s="28">
        <f t="shared" si="105"/>
        <v>3.5548184716220559E-2</v>
      </c>
      <c r="R6530" s="31">
        <v>0.15939999999999999</v>
      </c>
      <c r="S6530" s="32">
        <v>8.1769999999999995E-2</v>
      </c>
    </row>
    <row r="6531" spans="16:19" x14ac:dyDescent="0.25">
      <c r="P6531" s="27">
        <v>3.2548184716220556E-2</v>
      </c>
      <c r="Q6531" s="28">
        <f t="shared" si="105"/>
        <v>3.5548184716220559E-2</v>
      </c>
      <c r="R6531" s="29">
        <v>0.15</v>
      </c>
      <c r="S6531" s="30">
        <v>5.7409999999999996E-2</v>
      </c>
    </row>
    <row r="6532" spans="16:19" x14ac:dyDescent="0.25">
      <c r="P6532" s="27">
        <v>3.2548184716220556E-2</v>
      </c>
      <c r="Q6532" s="28">
        <f t="shared" si="105"/>
        <v>3.5548184716220559E-2</v>
      </c>
      <c r="R6532" s="29">
        <v>0.15</v>
      </c>
      <c r="S6532" s="30">
        <v>5.1049999999999998E-2</v>
      </c>
    </row>
    <row r="6533" spans="16:19" x14ac:dyDescent="0.25">
      <c r="P6533" s="27">
        <v>3.2548184716220556E-2</v>
      </c>
      <c r="Q6533" s="28">
        <f t="shared" ref="Q6533:Q6596" si="106">P6533+0.003</f>
        <v>3.5548184716220559E-2</v>
      </c>
      <c r="R6533" s="29">
        <v>0.15</v>
      </c>
      <c r="S6533" s="30">
        <v>5.1049999999999998E-2</v>
      </c>
    </row>
    <row r="6534" spans="16:19" x14ac:dyDescent="0.25">
      <c r="P6534" s="27">
        <v>3.2548184716220556E-2</v>
      </c>
      <c r="Q6534" s="28">
        <f t="shared" si="106"/>
        <v>3.5548184716220559E-2</v>
      </c>
      <c r="R6534" s="29">
        <v>0.15</v>
      </c>
      <c r="S6534" s="30">
        <v>5.1049999999999998E-2</v>
      </c>
    </row>
    <row r="6535" spans="16:19" x14ac:dyDescent="0.25">
      <c r="P6535" s="27">
        <v>3.2548184716220556E-2</v>
      </c>
      <c r="Q6535" s="28">
        <f t="shared" si="106"/>
        <v>3.5548184716220559E-2</v>
      </c>
      <c r="R6535" s="29">
        <v>0.15</v>
      </c>
      <c r="S6535" s="30">
        <v>4.8909999999999995E-2</v>
      </c>
    </row>
    <row r="6536" spans="16:19" x14ac:dyDescent="0.25">
      <c r="P6536" s="27">
        <v>3.2548184716220556E-2</v>
      </c>
      <c r="Q6536" s="28">
        <f t="shared" si="106"/>
        <v>3.5548184716220559E-2</v>
      </c>
      <c r="R6536" s="29">
        <v>0.15</v>
      </c>
      <c r="S6536" s="30">
        <v>5.4689999999999996E-2</v>
      </c>
    </row>
    <row r="6537" spans="16:19" x14ac:dyDescent="0.25">
      <c r="P6537" s="27">
        <v>3.2548184716220556E-2</v>
      </c>
      <c r="Q6537" s="28">
        <f t="shared" si="106"/>
        <v>3.5548184716220559E-2</v>
      </c>
      <c r="R6537" s="29">
        <v>0.15</v>
      </c>
      <c r="S6537" s="30">
        <v>6.0999999999999999E-2</v>
      </c>
    </row>
    <row r="6538" spans="16:19" x14ac:dyDescent="0.25">
      <c r="P6538" s="27">
        <v>3.2548184716220556E-2</v>
      </c>
      <c r="Q6538" s="28">
        <f t="shared" si="106"/>
        <v>3.5548184716220559E-2</v>
      </c>
      <c r="R6538" s="29">
        <v>0.15</v>
      </c>
      <c r="S6538" s="30">
        <v>6.4299999999999996E-2</v>
      </c>
    </row>
    <row r="6539" spans="16:19" x14ac:dyDescent="0.25">
      <c r="P6539" s="27">
        <v>3.2548184716220556E-2</v>
      </c>
      <c r="Q6539" s="28">
        <f t="shared" si="106"/>
        <v>3.5548184716220559E-2</v>
      </c>
      <c r="R6539" s="29">
        <v>0.15</v>
      </c>
      <c r="S6539" s="30">
        <v>0.11</v>
      </c>
    </row>
    <row r="6540" spans="16:19" x14ac:dyDescent="0.25">
      <c r="P6540" s="27">
        <v>3.2548184716220556E-2</v>
      </c>
      <c r="Q6540" s="28">
        <f t="shared" si="106"/>
        <v>3.5548184716220559E-2</v>
      </c>
      <c r="R6540" s="29">
        <v>0.15</v>
      </c>
      <c r="S6540" s="30">
        <v>0.11</v>
      </c>
    </row>
    <row r="6541" spans="16:19" x14ac:dyDescent="0.25">
      <c r="P6541" s="27">
        <v>3.2548184716220556E-2</v>
      </c>
      <c r="Q6541" s="28">
        <f t="shared" si="106"/>
        <v>3.5548184716220559E-2</v>
      </c>
      <c r="R6541" s="29">
        <v>0.15</v>
      </c>
      <c r="S6541" s="30">
        <v>7.8E-2</v>
      </c>
    </row>
    <row r="6542" spans="16:19" x14ac:dyDescent="0.25">
      <c r="P6542" s="27">
        <v>3.2548184716220556E-2</v>
      </c>
      <c r="Q6542" s="28">
        <f t="shared" si="106"/>
        <v>3.5548184716220559E-2</v>
      </c>
      <c r="R6542" s="29">
        <v>0.15</v>
      </c>
      <c r="S6542" s="30">
        <v>6.8000000000000005E-2</v>
      </c>
    </row>
    <row r="6543" spans="16:19" x14ac:dyDescent="0.25">
      <c r="P6543" s="27">
        <v>3.2548184716220556E-2</v>
      </c>
      <c r="Q6543" s="28">
        <f t="shared" si="106"/>
        <v>3.5548184716220559E-2</v>
      </c>
      <c r="R6543" s="29">
        <v>0.15</v>
      </c>
      <c r="S6543" s="30">
        <v>5.765E-2</v>
      </c>
    </row>
    <row r="6544" spans="16:19" x14ac:dyDescent="0.25">
      <c r="P6544" s="27">
        <v>3.2548184716220556E-2</v>
      </c>
      <c r="Q6544" s="28">
        <f t="shared" si="106"/>
        <v>3.5548184716220559E-2</v>
      </c>
      <c r="R6544" s="29">
        <v>0.15</v>
      </c>
      <c r="S6544" s="30">
        <v>5.8860000000000003E-2</v>
      </c>
    </row>
    <row r="6545" spans="16:19" x14ac:dyDescent="0.25">
      <c r="P6545" s="27">
        <v>3.2548184716220556E-2</v>
      </c>
      <c r="Q6545" s="28">
        <f t="shared" si="106"/>
        <v>3.5548184716220559E-2</v>
      </c>
      <c r="R6545" s="29">
        <v>0.15</v>
      </c>
      <c r="S6545" s="30">
        <v>6.3294558000000001E-2</v>
      </c>
    </row>
    <row r="6546" spans="16:19" x14ac:dyDescent="0.25">
      <c r="P6546" s="27">
        <v>3.2548184716220556E-2</v>
      </c>
      <c r="Q6546" s="28">
        <f t="shared" si="106"/>
        <v>3.5548184716220559E-2</v>
      </c>
      <c r="R6546" s="29">
        <v>0.15</v>
      </c>
      <c r="S6546" s="30">
        <v>7.6999999999999999E-2</v>
      </c>
    </row>
    <row r="6547" spans="16:19" x14ac:dyDescent="0.25">
      <c r="P6547" s="27">
        <v>3.2548184716220556E-2</v>
      </c>
      <c r="Q6547" s="28">
        <f t="shared" si="106"/>
        <v>3.5548184716220559E-2</v>
      </c>
      <c r="R6547" s="29">
        <v>0.15</v>
      </c>
      <c r="S6547" s="30">
        <v>9.5030000000000003E-2</v>
      </c>
    </row>
    <row r="6548" spans="16:19" x14ac:dyDescent="0.25">
      <c r="P6548" s="27">
        <v>3.2548184716220556E-2</v>
      </c>
      <c r="Q6548" s="28">
        <f t="shared" si="106"/>
        <v>3.5548184716220559E-2</v>
      </c>
      <c r="R6548" s="29">
        <v>0.15</v>
      </c>
      <c r="S6548" s="30">
        <v>9.2999999999999999E-2</v>
      </c>
    </row>
    <row r="6549" spans="16:19" x14ac:dyDescent="0.25">
      <c r="P6549" s="27">
        <v>3.2548184716220556E-2</v>
      </c>
      <c r="Q6549" s="28">
        <f t="shared" si="106"/>
        <v>3.5548184716220559E-2</v>
      </c>
      <c r="R6549" s="29">
        <v>0.15</v>
      </c>
      <c r="S6549" s="30">
        <v>7.9480000000000009E-2</v>
      </c>
    </row>
    <row r="6550" spans="16:19" x14ac:dyDescent="0.25">
      <c r="P6550" s="27">
        <v>3.2548184716220556E-2</v>
      </c>
      <c r="Q6550" s="28">
        <f t="shared" si="106"/>
        <v>3.5548184716220559E-2</v>
      </c>
      <c r="R6550" s="29">
        <v>0.15</v>
      </c>
      <c r="S6550" s="30">
        <v>9.8699999999999996E-2</v>
      </c>
    </row>
    <row r="6551" spans="16:19" x14ac:dyDescent="0.25">
      <c r="P6551" s="27">
        <v>3.2548184716220556E-2</v>
      </c>
      <c r="Q6551" s="28">
        <f t="shared" si="106"/>
        <v>3.5548184716220559E-2</v>
      </c>
      <c r="R6551" s="29">
        <v>0.15</v>
      </c>
      <c r="S6551" s="30">
        <v>7.7930000000000013E-2</v>
      </c>
    </row>
    <row r="6552" spans="16:19" x14ac:dyDescent="0.25">
      <c r="P6552" s="27">
        <v>3.2548184716220556E-2</v>
      </c>
      <c r="Q6552" s="28">
        <f t="shared" si="106"/>
        <v>3.5548184716220559E-2</v>
      </c>
      <c r="R6552" s="29">
        <v>0.15</v>
      </c>
      <c r="S6552" s="30">
        <v>5.8650000000000001E-2</v>
      </c>
    </row>
    <row r="6553" spans="16:19" x14ac:dyDescent="0.25">
      <c r="P6553" s="27">
        <v>3.2548184716220556E-2</v>
      </c>
      <c r="Q6553" s="28">
        <f t="shared" si="106"/>
        <v>3.5548184716220559E-2</v>
      </c>
      <c r="R6553" s="29">
        <v>0.15</v>
      </c>
      <c r="S6553" s="30">
        <v>5.774E-2</v>
      </c>
    </row>
    <row r="6554" spans="16:19" x14ac:dyDescent="0.25">
      <c r="P6554" s="27">
        <v>3.2548184716220556E-2</v>
      </c>
      <c r="Q6554" s="28">
        <f t="shared" si="106"/>
        <v>3.5548184716220559E-2</v>
      </c>
      <c r="R6554" s="29">
        <v>0.15</v>
      </c>
      <c r="S6554" s="30">
        <v>5.8029999999999998E-2</v>
      </c>
    </row>
    <row r="6555" spans="16:19" x14ac:dyDescent="0.25">
      <c r="P6555" s="27">
        <v>3.2548184716220556E-2</v>
      </c>
      <c r="Q6555" s="28">
        <f t="shared" si="106"/>
        <v>3.5548184716220559E-2</v>
      </c>
      <c r="R6555" s="29">
        <v>0.15</v>
      </c>
      <c r="S6555" s="30">
        <v>5.2420000000000001E-2</v>
      </c>
    </row>
    <row r="6556" spans="16:19" x14ac:dyDescent="0.25">
      <c r="P6556" s="27">
        <v>3.2548184716220556E-2</v>
      </c>
      <c r="Q6556" s="28">
        <f t="shared" si="106"/>
        <v>3.5548184716220559E-2</v>
      </c>
      <c r="R6556" s="29">
        <v>0.15</v>
      </c>
      <c r="S6556" s="30">
        <v>4.8049999999999995E-2</v>
      </c>
    </row>
    <row r="6557" spans="16:19" x14ac:dyDescent="0.25">
      <c r="P6557" s="27">
        <v>3.2548184716220556E-2</v>
      </c>
      <c r="Q6557" s="28">
        <f t="shared" si="106"/>
        <v>3.5548184716220559E-2</v>
      </c>
      <c r="R6557" s="29">
        <v>0.15</v>
      </c>
      <c r="S6557" s="30">
        <v>4.7570000000000001E-2</v>
      </c>
    </row>
    <row r="6558" spans="16:19" x14ac:dyDescent="0.25">
      <c r="P6558" s="27">
        <v>3.2548184716220556E-2</v>
      </c>
      <c r="Q6558" s="28">
        <f t="shared" si="106"/>
        <v>3.5548184716220559E-2</v>
      </c>
      <c r="R6558" s="29">
        <v>0.15</v>
      </c>
      <c r="S6558" s="30">
        <v>4.7570000000000001E-2</v>
      </c>
    </row>
    <row r="6559" spans="16:19" x14ac:dyDescent="0.25">
      <c r="P6559" s="27">
        <v>3.2548184716220556E-2</v>
      </c>
      <c r="Q6559" s="28">
        <f t="shared" si="106"/>
        <v>3.5548184716220559E-2</v>
      </c>
      <c r="R6559" s="29">
        <v>0.15</v>
      </c>
      <c r="S6559" s="30">
        <v>4.4195019000000002E-2</v>
      </c>
    </row>
    <row r="6560" spans="16:19" x14ac:dyDescent="0.25">
      <c r="P6560" s="27">
        <v>3.2548184716220556E-2</v>
      </c>
      <c r="Q6560" s="28">
        <f t="shared" si="106"/>
        <v>3.5548184716220559E-2</v>
      </c>
      <c r="R6560" s="29">
        <v>0.15</v>
      </c>
      <c r="S6560" s="30">
        <v>5.1020000000000003E-2</v>
      </c>
    </row>
    <row r="6561" spans="16:19" x14ac:dyDescent="0.25">
      <c r="P6561" s="27">
        <v>3.2548184716220556E-2</v>
      </c>
      <c r="Q6561" s="28">
        <f t="shared" si="106"/>
        <v>3.5548184716220559E-2</v>
      </c>
      <c r="R6561" s="29">
        <v>0.15</v>
      </c>
      <c r="S6561" s="30">
        <v>6.1590000000000006E-2</v>
      </c>
    </row>
    <row r="6562" spans="16:19" x14ac:dyDescent="0.25">
      <c r="P6562" s="27">
        <v>3.2548184716220556E-2</v>
      </c>
      <c r="Q6562" s="28">
        <f t="shared" si="106"/>
        <v>3.5548184716220559E-2</v>
      </c>
      <c r="R6562" s="29">
        <v>0.15</v>
      </c>
      <c r="S6562" s="30">
        <v>6.5691802999999993E-2</v>
      </c>
    </row>
    <row r="6563" spans="16:19" x14ac:dyDescent="0.25">
      <c r="P6563" s="27">
        <v>3.2548184716220556E-2</v>
      </c>
      <c r="Q6563" s="28">
        <f t="shared" si="106"/>
        <v>3.5548184716220559E-2</v>
      </c>
      <c r="R6563" s="31">
        <v>0.15939660775771733</v>
      </c>
      <c r="S6563" s="32">
        <v>8.3889396000000005E-2</v>
      </c>
    </row>
    <row r="6564" spans="16:19" x14ac:dyDescent="0.25">
      <c r="P6564" s="27">
        <v>3.2548184716220556E-2</v>
      </c>
      <c r="Q6564" s="28">
        <f t="shared" si="106"/>
        <v>3.5548184716220559E-2</v>
      </c>
      <c r="R6564" s="33">
        <v>0.16282860775771735</v>
      </c>
      <c r="S6564" s="34">
        <v>0.104089792</v>
      </c>
    </row>
    <row r="6565" spans="16:19" x14ac:dyDescent="0.25">
      <c r="P6565" s="27">
        <v>3.2548184716220556E-2</v>
      </c>
      <c r="Q6565" s="28">
        <f t="shared" si="106"/>
        <v>3.5548184716220559E-2</v>
      </c>
      <c r="R6565" s="33">
        <v>0.16282860775771735</v>
      </c>
      <c r="S6565" s="34">
        <v>0.10923861700000001</v>
      </c>
    </row>
    <row r="6566" spans="16:19" x14ac:dyDescent="0.25">
      <c r="P6566" s="27">
        <v>3.2548184716220556E-2</v>
      </c>
      <c r="Q6566" s="28">
        <f t="shared" si="106"/>
        <v>3.5548184716220559E-2</v>
      </c>
      <c r="R6566" s="33">
        <v>0.16282860775771735</v>
      </c>
      <c r="S6566" s="34">
        <v>9.5000000000000001E-2</v>
      </c>
    </row>
    <row r="6567" spans="16:19" x14ac:dyDescent="0.25">
      <c r="P6567" s="27">
        <v>3.2548184716220556E-2</v>
      </c>
      <c r="Q6567" s="28">
        <f t="shared" si="106"/>
        <v>3.5548184716220559E-2</v>
      </c>
      <c r="R6567" s="33">
        <v>0.16282860775771735</v>
      </c>
      <c r="S6567" s="34">
        <v>6.1579999999999996E-2</v>
      </c>
    </row>
    <row r="6568" spans="16:19" x14ac:dyDescent="0.25">
      <c r="P6568" s="27">
        <v>3.2548184716220556E-2</v>
      </c>
      <c r="Q6568" s="28">
        <f t="shared" si="106"/>
        <v>3.5548184716220559E-2</v>
      </c>
      <c r="R6568" s="33">
        <v>0.16282860775771735</v>
      </c>
      <c r="S6568" s="34">
        <v>6.1731688E-2</v>
      </c>
    </row>
    <row r="6569" spans="16:19" x14ac:dyDescent="0.25">
      <c r="P6569" s="27">
        <v>3.2548184716220556E-2</v>
      </c>
      <c r="Q6569" s="28">
        <f t="shared" si="106"/>
        <v>3.5548184716220559E-2</v>
      </c>
      <c r="R6569" s="33">
        <v>0.16282860775771735</v>
      </c>
      <c r="S6569" s="34">
        <v>8.1040000000000001E-2</v>
      </c>
    </row>
    <row r="6570" spans="16:19" x14ac:dyDescent="0.25">
      <c r="P6570" s="27">
        <v>3.2548184716220556E-2</v>
      </c>
      <c r="Q6570" s="28">
        <f t="shared" si="106"/>
        <v>3.5548184716220559E-2</v>
      </c>
      <c r="R6570" s="33">
        <v>0.16282860775771735</v>
      </c>
      <c r="S6570" s="34">
        <v>8.1049999999999997E-2</v>
      </c>
    </row>
    <row r="6571" spans="16:19" x14ac:dyDescent="0.25">
      <c r="P6571" s="27">
        <v>3.2548184716220556E-2</v>
      </c>
      <c r="Q6571" s="28">
        <f t="shared" si="106"/>
        <v>3.5548184716220559E-2</v>
      </c>
      <c r="R6571" s="33">
        <v>0.16282860775771735</v>
      </c>
      <c r="S6571" s="34">
        <v>9.5039999999999999E-2</v>
      </c>
    </row>
    <row r="6572" spans="16:19" x14ac:dyDescent="0.25">
      <c r="P6572" s="27">
        <v>3.2548184716220556E-2</v>
      </c>
      <c r="Q6572" s="28">
        <f t="shared" si="106"/>
        <v>3.5548184716220559E-2</v>
      </c>
      <c r="R6572" s="33">
        <v>0.16282860775771735</v>
      </c>
      <c r="S6572" s="34">
        <v>7.6966619E-2</v>
      </c>
    </row>
    <row r="6573" spans="16:19" x14ac:dyDescent="0.25">
      <c r="P6573" s="27">
        <v>3.2548184716220556E-2</v>
      </c>
      <c r="Q6573" s="28">
        <f t="shared" si="106"/>
        <v>3.5548184716220559E-2</v>
      </c>
      <c r="R6573" s="33">
        <v>0.16282860775771735</v>
      </c>
      <c r="S6573" s="34">
        <v>7.4781238E-2</v>
      </c>
    </row>
    <row r="6574" spans="16:19" x14ac:dyDescent="0.25">
      <c r="P6574" s="27">
        <v>3.2548184716220556E-2</v>
      </c>
      <c r="Q6574" s="28">
        <f t="shared" si="106"/>
        <v>3.5548184716220559E-2</v>
      </c>
      <c r="R6574" s="33">
        <v>0.16282860775771735</v>
      </c>
      <c r="S6574" s="34">
        <v>9.8180000000000003E-2</v>
      </c>
    </row>
    <row r="6575" spans="16:19" x14ac:dyDescent="0.25">
      <c r="P6575" s="27">
        <v>3.2548184716220556E-2</v>
      </c>
      <c r="Q6575" s="28">
        <f t="shared" si="106"/>
        <v>3.5548184716220559E-2</v>
      </c>
      <c r="R6575" s="31">
        <v>0.15939660775771733</v>
      </c>
      <c r="S6575" s="32">
        <v>7.6999999999999999E-2</v>
      </c>
    </row>
    <row r="6576" spans="16:19" x14ac:dyDescent="0.25">
      <c r="P6576" s="27">
        <v>3.2548184716220556E-2</v>
      </c>
      <c r="Q6576" s="28">
        <f t="shared" si="106"/>
        <v>3.5548184716220559E-2</v>
      </c>
      <c r="R6576" s="31">
        <v>0.15939660775771733</v>
      </c>
      <c r="S6576" s="32">
        <v>6.2119999999999995E-2</v>
      </c>
    </row>
    <row r="6577" spans="16:19" x14ac:dyDescent="0.25">
      <c r="P6577" s="27">
        <v>3.2548184716220556E-2</v>
      </c>
      <c r="Q6577" s="28">
        <f t="shared" si="106"/>
        <v>3.5548184716220559E-2</v>
      </c>
      <c r="R6577" s="31">
        <v>0.15939660775771733</v>
      </c>
      <c r="S6577" s="32">
        <v>5.9639999999999999E-2</v>
      </c>
    </row>
    <row r="6578" spans="16:19" x14ac:dyDescent="0.25">
      <c r="P6578" s="27">
        <v>3.2548184716220556E-2</v>
      </c>
      <c r="Q6578" s="28">
        <f t="shared" si="106"/>
        <v>3.5548184716220559E-2</v>
      </c>
      <c r="R6578" s="31">
        <v>0.15939660775771733</v>
      </c>
      <c r="S6578" s="32">
        <v>5.6030000000000003E-2</v>
      </c>
    </row>
    <row r="6579" spans="16:19" x14ac:dyDescent="0.25">
      <c r="P6579" s="27">
        <v>3.2548184716220556E-2</v>
      </c>
      <c r="Q6579" s="28">
        <f t="shared" si="106"/>
        <v>3.5548184716220559E-2</v>
      </c>
      <c r="R6579" s="29">
        <v>0.15003660775771735</v>
      </c>
      <c r="S6579" s="30">
        <v>6.2109999999999999E-2</v>
      </c>
    </row>
    <row r="6580" spans="16:19" x14ac:dyDescent="0.25">
      <c r="P6580" s="27">
        <v>3.2548184716220556E-2</v>
      </c>
      <c r="Q6580" s="28">
        <f t="shared" si="106"/>
        <v>3.5548184716220559E-2</v>
      </c>
      <c r="R6580" s="29">
        <v>0.15003660775771735</v>
      </c>
      <c r="S6580" s="30">
        <v>5.8639999999999998E-2</v>
      </c>
    </row>
    <row r="6581" spans="16:19" x14ac:dyDescent="0.25">
      <c r="P6581" s="27">
        <v>3.2548184716220556E-2</v>
      </c>
      <c r="Q6581" s="28">
        <f t="shared" si="106"/>
        <v>3.5548184716220559E-2</v>
      </c>
      <c r="R6581" s="29">
        <v>0.15003660775771735</v>
      </c>
      <c r="S6581" s="30">
        <v>5.4700000000000006E-2</v>
      </c>
    </row>
    <row r="6582" spans="16:19" x14ac:dyDescent="0.25">
      <c r="P6582" s="27">
        <v>3.2548184716220556E-2</v>
      </c>
      <c r="Q6582" s="28">
        <f t="shared" si="106"/>
        <v>3.5548184716220559E-2</v>
      </c>
      <c r="R6582" s="29">
        <v>0.15003660775771735</v>
      </c>
      <c r="S6582" s="30">
        <v>5.4700000000000006E-2</v>
      </c>
    </row>
    <row r="6583" spans="16:19" x14ac:dyDescent="0.25">
      <c r="P6583" s="27">
        <v>3.2548184716220556E-2</v>
      </c>
      <c r="Q6583" s="28">
        <f t="shared" si="106"/>
        <v>3.5548184716220559E-2</v>
      </c>
      <c r="R6583" s="29">
        <v>0.15003660775771735</v>
      </c>
      <c r="S6583" s="30">
        <v>5.2069999999999998E-2</v>
      </c>
    </row>
    <row r="6584" spans="16:19" x14ac:dyDescent="0.25">
      <c r="P6584" s="27">
        <v>3.2548184716220556E-2</v>
      </c>
      <c r="Q6584" s="28">
        <f t="shared" si="106"/>
        <v>3.5548184716220559E-2</v>
      </c>
      <c r="R6584" s="29">
        <v>0.15003660775771735</v>
      </c>
      <c r="S6584" s="30">
        <v>6.1100000000000002E-2</v>
      </c>
    </row>
    <row r="6585" spans="16:19" x14ac:dyDescent="0.25">
      <c r="P6585" s="27">
        <v>3.2548184716220556E-2</v>
      </c>
      <c r="Q6585" s="28">
        <f t="shared" si="106"/>
        <v>3.5548184716220559E-2</v>
      </c>
      <c r="R6585" s="29">
        <v>0.15003660775771735</v>
      </c>
      <c r="S6585" s="30">
        <v>7.9707305000000006E-2</v>
      </c>
    </row>
    <row r="6586" spans="16:19" x14ac:dyDescent="0.25">
      <c r="P6586" s="27">
        <v>3.2548184716220556E-2</v>
      </c>
      <c r="Q6586" s="28">
        <f t="shared" si="106"/>
        <v>3.5548184716220559E-2</v>
      </c>
      <c r="R6586" s="29">
        <v>0.15003660775771735</v>
      </c>
      <c r="S6586" s="30">
        <v>7.5260000000000007E-2</v>
      </c>
    </row>
    <row r="6587" spans="16:19" x14ac:dyDescent="0.25">
      <c r="P6587" s="27">
        <v>3.2548184716220556E-2</v>
      </c>
      <c r="Q6587" s="28">
        <f t="shared" si="106"/>
        <v>3.5548184716220559E-2</v>
      </c>
      <c r="R6587" s="31">
        <v>0.15939660775771733</v>
      </c>
      <c r="S6587" s="32">
        <v>8.8889999999999997E-2</v>
      </c>
    </row>
    <row r="6588" spans="16:19" x14ac:dyDescent="0.25">
      <c r="P6588" s="27">
        <v>3.2548184716220556E-2</v>
      </c>
      <c r="Q6588" s="28">
        <f t="shared" si="106"/>
        <v>3.5548184716220559E-2</v>
      </c>
      <c r="R6588" s="33">
        <v>0.16282860775771735</v>
      </c>
      <c r="S6588" s="34">
        <v>0.09</v>
      </c>
    </row>
    <row r="6589" spans="16:19" x14ac:dyDescent="0.25">
      <c r="P6589" s="27">
        <v>3.2548184716220556E-2</v>
      </c>
      <c r="Q6589" s="28">
        <f t="shared" si="106"/>
        <v>3.5548184716220559E-2</v>
      </c>
      <c r="R6589" s="33">
        <v>0.16282860775771735</v>
      </c>
      <c r="S6589" s="34">
        <v>7.5999999999999998E-2</v>
      </c>
    </row>
    <row r="6590" spans="16:19" x14ac:dyDescent="0.25">
      <c r="P6590" s="27">
        <v>3.2548184716220556E-2</v>
      </c>
      <c r="Q6590" s="28">
        <f t="shared" si="106"/>
        <v>3.5548184716220559E-2</v>
      </c>
      <c r="R6590" s="33">
        <v>0.16282860775771735</v>
      </c>
      <c r="S6590" s="34">
        <v>7.0999999999999994E-2</v>
      </c>
    </row>
    <row r="6591" spans="16:19" x14ac:dyDescent="0.25">
      <c r="P6591" s="27">
        <v>3.2548184716220556E-2</v>
      </c>
      <c r="Q6591" s="28">
        <f t="shared" si="106"/>
        <v>3.5548184716220559E-2</v>
      </c>
      <c r="R6591" s="33">
        <v>0.16282860775771735</v>
      </c>
      <c r="S6591" s="34">
        <v>5.9369999999999999E-2</v>
      </c>
    </row>
    <row r="6592" spans="16:19" x14ac:dyDescent="0.25">
      <c r="P6592" s="27">
        <v>3.2548184716220556E-2</v>
      </c>
      <c r="Q6592" s="28">
        <f t="shared" si="106"/>
        <v>3.5548184716220559E-2</v>
      </c>
      <c r="R6592" s="33">
        <v>0.16282860775771735</v>
      </c>
      <c r="S6592" s="34">
        <v>5.9429999999999997E-2</v>
      </c>
    </row>
    <row r="6593" spans="16:19" x14ac:dyDescent="0.25">
      <c r="P6593" s="27">
        <v>3.2548184716220556E-2</v>
      </c>
      <c r="Q6593" s="28">
        <f t="shared" si="106"/>
        <v>3.5548184716220559E-2</v>
      </c>
      <c r="R6593" s="33">
        <v>0.16282860775771735</v>
      </c>
      <c r="S6593" s="34">
        <v>6.7640000000000006E-2</v>
      </c>
    </row>
    <row r="6594" spans="16:19" x14ac:dyDescent="0.25">
      <c r="P6594" s="27">
        <v>3.2548184716220556E-2</v>
      </c>
      <c r="Q6594" s="28">
        <f t="shared" si="106"/>
        <v>3.5548184716220559E-2</v>
      </c>
      <c r="R6594" s="33">
        <v>0.16282860775771735</v>
      </c>
      <c r="S6594" s="34">
        <v>8.0010000000000012E-2</v>
      </c>
    </row>
    <row r="6595" spans="16:19" x14ac:dyDescent="0.25">
      <c r="P6595" s="27">
        <v>3.2548184716220556E-2</v>
      </c>
      <c r="Q6595" s="28">
        <f t="shared" si="106"/>
        <v>3.5548184716220559E-2</v>
      </c>
      <c r="R6595" s="33">
        <v>0.16282860775771735</v>
      </c>
      <c r="S6595" s="34">
        <v>8.1009999999999999E-2</v>
      </c>
    </row>
    <row r="6596" spans="16:19" x14ac:dyDescent="0.25">
      <c r="P6596" s="27">
        <v>3.2548184716220556E-2</v>
      </c>
      <c r="Q6596" s="28">
        <f t="shared" si="106"/>
        <v>3.5548184716220559E-2</v>
      </c>
      <c r="R6596" s="33">
        <v>0.16282860775771735</v>
      </c>
      <c r="S6596" s="34">
        <v>7.2999999999999995E-2</v>
      </c>
    </row>
    <row r="6597" spans="16:19" x14ac:dyDescent="0.25">
      <c r="P6597" s="27">
        <v>3.2548184716220556E-2</v>
      </c>
      <c r="Q6597" s="28">
        <f t="shared" ref="Q6597:Q6660" si="107">P6597+0.003</f>
        <v>3.5548184716220559E-2</v>
      </c>
      <c r="R6597" s="33">
        <v>0.16282860775771735</v>
      </c>
      <c r="S6597" s="34">
        <v>7.2999999999999995E-2</v>
      </c>
    </row>
    <row r="6598" spans="16:19" x14ac:dyDescent="0.25">
      <c r="P6598" s="27">
        <v>3.2548184716220556E-2</v>
      </c>
      <c r="Q6598" s="28">
        <f t="shared" si="107"/>
        <v>3.5548184716220559E-2</v>
      </c>
      <c r="R6598" s="33">
        <v>0.16282860775771735</v>
      </c>
      <c r="S6598" s="34">
        <v>9.8369999999999999E-2</v>
      </c>
    </row>
    <row r="6599" spans="16:19" x14ac:dyDescent="0.25">
      <c r="P6599" s="27">
        <v>3.2548184716220556E-2</v>
      </c>
      <c r="Q6599" s="28">
        <f t="shared" si="107"/>
        <v>3.5548184716220559E-2</v>
      </c>
      <c r="R6599" s="31">
        <v>0.15939660775771733</v>
      </c>
      <c r="S6599" s="32">
        <v>7.5900000000000009E-2</v>
      </c>
    </row>
    <row r="6600" spans="16:19" x14ac:dyDescent="0.25">
      <c r="P6600" s="27">
        <v>3.2548184716220556E-2</v>
      </c>
      <c r="Q6600" s="28">
        <f t="shared" si="107"/>
        <v>3.5548184716220559E-2</v>
      </c>
      <c r="R6600" s="31">
        <v>0.15939660775771733</v>
      </c>
      <c r="S6600" s="32">
        <v>6.157E-2</v>
      </c>
    </row>
    <row r="6601" spans="16:19" x14ac:dyDescent="0.25">
      <c r="P6601" s="27">
        <v>3.2548184716220556E-2</v>
      </c>
      <c r="Q6601" s="28">
        <f t="shared" si="107"/>
        <v>3.5548184716220559E-2</v>
      </c>
      <c r="R6601" s="31">
        <v>0.15939660775771733</v>
      </c>
      <c r="S6601" s="32">
        <v>5.9369999999999999E-2</v>
      </c>
    </row>
    <row r="6602" spans="16:19" x14ac:dyDescent="0.25">
      <c r="P6602" s="27">
        <v>3.2548184716220556E-2</v>
      </c>
      <c r="Q6602" s="28">
        <f t="shared" si="107"/>
        <v>3.5548184716220559E-2</v>
      </c>
      <c r="R6602" s="31">
        <v>0.15939660775771733</v>
      </c>
      <c r="S6602" s="32">
        <v>5.6972158000000002E-2</v>
      </c>
    </row>
    <row r="6603" spans="16:19" x14ac:dyDescent="0.25">
      <c r="P6603" s="27">
        <v>3.2548184716220556E-2</v>
      </c>
      <c r="Q6603" s="28">
        <f t="shared" si="107"/>
        <v>3.5548184716220559E-2</v>
      </c>
      <c r="R6603" s="29">
        <v>0.15003660775771735</v>
      </c>
      <c r="S6603" s="30">
        <v>5.9549999999999999E-2</v>
      </c>
    </row>
    <row r="6604" spans="16:19" x14ac:dyDescent="0.25">
      <c r="P6604" s="27">
        <v>3.2548184716220556E-2</v>
      </c>
      <c r="Q6604" s="28">
        <f t="shared" si="107"/>
        <v>3.5548184716220559E-2</v>
      </c>
      <c r="R6604" s="29">
        <v>0.15003660775771735</v>
      </c>
      <c r="S6604" s="30">
        <v>5.7439999999999998E-2</v>
      </c>
    </row>
    <row r="6605" spans="16:19" x14ac:dyDescent="0.25">
      <c r="P6605" s="27">
        <v>3.2548184716220556E-2</v>
      </c>
      <c r="Q6605" s="28">
        <f t="shared" si="107"/>
        <v>3.5548184716220559E-2</v>
      </c>
      <c r="R6605" s="29">
        <v>0.15003660775771735</v>
      </c>
      <c r="S6605" s="30">
        <v>5.7079999999999999E-2</v>
      </c>
    </row>
    <row r="6606" spans="16:19" x14ac:dyDescent="0.25">
      <c r="P6606" s="27">
        <v>3.2548184716220556E-2</v>
      </c>
      <c r="Q6606" s="28">
        <f t="shared" si="107"/>
        <v>3.5548184716220559E-2</v>
      </c>
      <c r="R6606" s="29">
        <v>0.15003660775771735</v>
      </c>
      <c r="S6606" s="30">
        <v>5.57E-2</v>
      </c>
    </row>
    <row r="6607" spans="16:19" x14ac:dyDescent="0.25">
      <c r="P6607" s="27">
        <v>3.2548184716220556E-2</v>
      </c>
      <c r="Q6607" s="28">
        <f t="shared" si="107"/>
        <v>3.5548184716220559E-2</v>
      </c>
      <c r="R6607" s="29">
        <v>0.15003660775771735</v>
      </c>
      <c r="S6607" s="30">
        <v>5.2069999999999998E-2</v>
      </c>
    </row>
    <row r="6608" spans="16:19" x14ac:dyDescent="0.25">
      <c r="P6608" s="27">
        <v>3.2548184716220556E-2</v>
      </c>
      <c r="Q6608" s="28">
        <f t="shared" si="107"/>
        <v>3.5548184716220559E-2</v>
      </c>
      <c r="R6608" s="29">
        <v>0.15003660775771735</v>
      </c>
      <c r="S6608" s="30">
        <v>5.7460000000000004E-2</v>
      </c>
    </row>
    <row r="6609" spans="16:19" x14ac:dyDescent="0.25">
      <c r="P6609" s="27">
        <v>3.2548184716220556E-2</v>
      </c>
      <c r="Q6609" s="28">
        <f t="shared" si="107"/>
        <v>3.5548184716220559E-2</v>
      </c>
      <c r="R6609" s="29">
        <v>0.15003660775771735</v>
      </c>
      <c r="S6609" s="30">
        <v>8.4010000000000001E-2</v>
      </c>
    </row>
    <row r="6610" spans="16:19" x14ac:dyDescent="0.25">
      <c r="P6610" s="27">
        <v>3.2548184716220556E-2</v>
      </c>
      <c r="Q6610" s="28">
        <f t="shared" si="107"/>
        <v>3.5548184716220559E-2</v>
      </c>
      <c r="R6610" s="29">
        <v>0.15003660775771735</v>
      </c>
      <c r="S6610" s="30">
        <v>7.1169999999999997E-2</v>
      </c>
    </row>
    <row r="6611" spans="16:19" x14ac:dyDescent="0.25">
      <c r="P6611" s="27">
        <v>3.2548184716220556E-2</v>
      </c>
      <c r="Q6611" s="28">
        <f t="shared" si="107"/>
        <v>3.5548184716220559E-2</v>
      </c>
      <c r="R6611" s="31">
        <v>0.15939660775771733</v>
      </c>
      <c r="S6611" s="32">
        <v>8.0349999999999991E-2</v>
      </c>
    </row>
    <row r="6612" spans="16:19" x14ac:dyDescent="0.25">
      <c r="P6612" s="27">
        <v>3.2548184716220556E-2</v>
      </c>
      <c r="Q6612" s="28">
        <f t="shared" si="107"/>
        <v>3.5548184716220559E-2</v>
      </c>
      <c r="R6612" s="33">
        <v>0.16282860775771735</v>
      </c>
      <c r="S6612" s="34">
        <v>7.8E-2</v>
      </c>
    </row>
    <row r="6613" spans="16:19" x14ac:dyDescent="0.25">
      <c r="P6613" s="27">
        <v>3.2548184716220556E-2</v>
      </c>
      <c r="Q6613" s="28">
        <f t="shared" si="107"/>
        <v>3.5548184716220559E-2</v>
      </c>
      <c r="R6613" s="33">
        <v>0.16282860775771735</v>
      </c>
      <c r="S6613" s="34">
        <v>6.3380000000000006E-2</v>
      </c>
    </row>
    <row r="6614" spans="16:19" x14ac:dyDescent="0.25">
      <c r="P6614" s="27">
        <v>3.2548184716220556E-2</v>
      </c>
      <c r="Q6614" s="28">
        <f t="shared" si="107"/>
        <v>3.5548184716220559E-2</v>
      </c>
      <c r="R6614" s="33">
        <v>0.16282860775771735</v>
      </c>
      <c r="S6614" s="34">
        <v>6.0469999999999996E-2</v>
      </c>
    </row>
    <row r="6615" spans="16:19" x14ac:dyDescent="0.25">
      <c r="P6615" s="27">
        <v>3.2548184716220556E-2</v>
      </c>
      <c r="Q6615" s="28">
        <f t="shared" si="107"/>
        <v>3.5548184716220559E-2</v>
      </c>
      <c r="R6615" s="33">
        <v>0.16282860775771735</v>
      </c>
      <c r="S6615" s="34">
        <v>5.602E-2</v>
      </c>
    </row>
    <row r="6616" spans="16:19" x14ac:dyDescent="0.25">
      <c r="P6616" s="27">
        <v>3.2548184716220556E-2</v>
      </c>
      <c r="Q6616" s="28">
        <f t="shared" si="107"/>
        <v>3.5548184716220559E-2</v>
      </c>
      <c r="R6616" s="33">
        <v>0.16282860775771735</v>
      </c>
      <c r="S6616" s="34">
        <v>5.6009999999999997E-2</v>
      </c>
    </row>
    <row r="6617" spans="16:19" x14ac:dyDescent="0.25">
      <c r="P6617" s="27">
        <v>3.2548184716220556E-2</v>
      </c>
      <c r="Q6617" s="28">
        <f t="shared" si="107"/>
        <v>3.5548184716220559E-2</v>
      </c>
      <c r="R6617" s="33">
        <v>0.16282860775771735</v>
      </c>
      <c r="S6617" s="34">
        <v>6.055E-2</v>
      </c>
    </row>
    <row r="6618" spans="16:19" x14ac:dyDescent="0.25">
      <c r="P6618" s="27">
        <v>3.2548184716220556E-2</v>
      </c>
      <c r="Q6618" s="28">
        <f t="shared" si="107"/>
        <v>3.5548184716220559E-2</v>
      </c>
      <c r="R6618" s="33">
        <v>0.16282860775771735</v>
      </c>
      <c r="S6618" s="34">
        <v>6.4870000000000011E-2</v>
      </c>
    </row>
    <row r="6619" spans="16:19" x14ac:dyDescent="0.25">
      <c r="P6619" s="27">
        <v>3.2548184716220556E-2</v>
      </c>
      <c r="Q6619" s="28">
        <f t="shared" si="107"/>
        <v>3.5548184716220559E-2</v>
      </c>
      <c r="R6619" s="33">
        <v>0.16282860775771735</v>
      </c>
      <c r="S6619" s="34">
        <v>7.2150000000000006E-2</v>
      </c>
    </row>
    <row r="6620" spans="16:19" x14ac:dyDescent="0.25">
      <c r="P6620" s="27">
        <v>3.2548184716220556E-2</v>
      </c>
      <c r="Q6620" s="28">
        <f t="shared" si="107"/>
        <v>3.5548184716220559E-2</v>
      </c>
      <c r="R6620" s="33">
        <v>0.16282860775771735</v>
      </c>
      <c r="S6620" s="34">
        <v>6.6360000000000002E-2</v>
      </c>
    </row>
    <row r="6621" spans="16:19" x14ac:dyDescent="0.25">
      <c r="P6621" s="27">
        <v>3.2548184716220556E-2</v>
      </c>
      <c r="Q6621" s="28">
        <f t="shared" si="107"/>
        <v>3.5548184716220559E-2</v>
      </c>
      <c r="R6621" s="33">
        <v>0.16282860775771735</v>
      </c>
      <c r="S6621" s="34">
        <v>7.0059999999999997E-2</v>
      </c>
    </row>
    <row r="6622" spans="16:19" x14ac:dyDescent="0.25">
      <c r="P6622" s="27">
        <v>3.2548184716220556E-2</v>
      </c>
      <c r="Q6622" s="28">
        <f t="shared" si="107"/>
        <v>3.5548184716220559E-2</v>
      </c>
      <c r="R6622" s="33">
        <v>0.16282860775771735</v>
      </c>
      <c r="S6622" s="34">
        <v>9.2999999999999999E-2</v>
      </c>
    </row>
    <row r="6623" spans="16:19" x14ac:dyDescent="0.25">
      <c r="P6623" s="27">
        <v>3.2548184716220556E-2</v>
      </c>
      <c r="Q6623" s="28">
        <f t="shared" si="107"/>
        <v>3.5548184716220559E-2</v>
      </c>
      <c r="R6623" s="31">
        <v>0.15939660775771733</v>
      </c>
      <c r="S6623" s="32">
        <v>7.3469999999999994E-2</v>
      </c>
    </row>
    <row r="6624" spans="16:19" x14ac:dyDescent="0.25">
      <c r="P6624" s="27">
        <v>3.2548184716220556E-2</v>
      </c>
      <c r="Q6624" s="28">
        <f t="shared" si="107"/>
        <v>3.5548184716220559E-2</v>
      </c>
      <c r="R6624" s="31">
        <v>0.15939660775771733</v>
      </c>
      <c r="S6624" s="32">
        <v>6.071E-2</v>
      </c>
    </row>
    <row r="6625" spans="16:19" x14ac:dyDescent="0.25">
      <c r="P6625" s="27">
        <v>3.2548184716220556E-2</v>
      </c>
      <c r="Q6625" s="28">
        <f t="shared" si="107"/>
        <v>3.5548184716220559E-2</v>
      </c>
      <c r="R6625" s="31">
        <v>0.15939660775771733</v>
      </c>
      <c r="S6625" s="32">
        <v>5.9990000000000002E-2</v>
      </c>
    </row>
    <row r="6626" spans="16:19" x14ac:dyDescent="0.25">
      <c r="P6626" s="27">
        <v>3.2548184716220556E-2</v>
      </c>
      <c r="Q6626" s="28">
        <f t="shared" si="107"/>
        <v>3.5548184716220559E-2</v>
      </c>
      <c r="R6626" s="31">
        <v>0.15939660775771733</v>
      </c>
      <c r="S6626" s="32">
        <v>5.815E-2</v>
      </c>
    </row>
    <row r="6627" spans="16:19" x14ac:dyDescent="0.25">
      <c r="P6627" s="27">
        <v>3.2548184716220556E-2</v>
      </c>
      <c r="Q6627" s="28">
        <f t="shared" si="107"/>
        <v>3.5548184716220559E-2</v>
      </c>
      <c r="R6627" s="29">
        <v>0.15003660775771735</v>
      </c>
      <c r="S6627" s="30">
        <v>6.4640000000000003E-2</v>
      </c>
    </row>
    <row r="6628" spans="16:19" x14ac:dyDescent="0.25">
      <c r="P6628" s="27">
        <v>3.2548184716220556E-2</v>
      </c>
      <c r="Q6628" s="28">
        <f t="shared" si="107"/>
        <v>3.5548184716220559E-2</v>
      </c>
      <c r="R6628" s="29">
        <v>0.15003660775771735</v>
      </c>
      <c r="S6628" s="30">
        <v>6.1789999999999998E-2</v>
      </c>
    </row>
    <row r="6629" spans="16:19" x14ac:dyDescent="0.25">
      <c r="P6629" s="27">
        <v>3.2548184716220556E-2</v>
      </c>
      <c r="Q6629" s="28">
        <f t="shared" si="107"/>
        <v>3.5548184716220559E-2</v>
      </c>
      <c r="R6629" s="29">
        <v>0.15003660775771735</v>
      </c>
      <c r="S6629" s="30">
        <v>6.0999999999999999E-2</v>
      </c>
    </row>
    <row r="6630" spans="16:19" x14ac:dyDescent="0.25">
      <c r="P6630" s="27">
        <v>3.2548184716220556E-2</v>
      </c>
      <c r="Q6630" s="28">
        <f t="shared" si="107"/>
        <v>3.5548184716220559E-2</v>
      </c>
      <c r="R6630" s="29">
        <v>0.15003660775771735</v>
      </c>
      <c r="S6630" s="30">
        <v>5.6009999999999997E-2</v>
      </c>
    </row>
    <row r="6631" spans="16:19" x14ac:dyDescent="0.25">
      <c r="P6631" s="27">
        <v>3.2548184716220556E-2</v>
      </c>
      <c r="Q6631" s="28">
        <f t="shared" si="107"/>
        <v>3.5548184716220559E-2</v>
      </c>
      <c r="R6631" s="29">
        <v>0.15003660775771735</v>
      </c>
      <c r="S6631" s="30">
        <v>5.7549999999999997E-2</v>
      </c>
    </row>
    <row r="6632" spans="16:19" x14ac:dyDescent="0.25">
      <c r="P6632" s="27">
        <v>3.2548184716220556E-2</v>
      </c>
      <c r="Q6632" s="28">
        <f t="shared" si="107"/>
        <v>3.5548184716220559E-2</v>
      </c>
      <c r="R6632" s="29">
        <v>0.15003660775771735</v>
      </c>
      <c r="S6632" s="30">
        <v>5.6469999999999999E-2</v>
      </c>
    </row>
    <row r="6633" spans="16:19" x14ac:dyDescent="0.25">
      <c r="P6633" s="27">
        <v>3.2548184716220556E-2</v>
      </c>
      <c r="Q6633" s="28">
        <f t="shared" si="107"/>
        <v>3.5548184716220559E-2</v>
      </c>
      <c r="R6633" s="29">
        <v>0.15003660775771735</v>
      </c>
      <c r="S6633" s="30">
        <v>6.7390000000000005E-2</v>
      </c>
    </row>
    <row r="6634" spans="16:19" x14ac:dyDescent="0.25">
      <c r="P6634" s="27">
        <v>3.2548184716220556E-2</v>
      </c>
      <c r="Q6634" s="28">
        <f t="shared" si="107"/>
        <v>3.5548184716220559E-2</v>
      </c>
      <c r="R6634" s="29">
        <v>0.15003660775771735</v>
      </c>
      <c r="S6634" s="30">
        <v>6.5930000000000002E-2</v>
      </c>
    </row>
    <row r="6635" spans="16:19" x14ac:dyDescent="0.25">
      <c r="P6635" s="27">
        <v>3.2548184716220556E-2</v>
      </c>
      <c r="Q6635" s="28">
        <f t="shared" si="107"/>
        <v>3.5548184716220559E-2</v>
      </c>
      <c r="R6635" s="31">
        <v>0.15939660775771733</v>
      </c>
      <c r="S6635" s="32">
        <v>6.8569999999999992E-2</v>
      </c>
    </row>
    <row r="6636" spans="16:19" x14ac:dyDescent="0.25">
      <c r="P6636" s="27">
        <v>3.2548184716220556E-2</v>
      </c>
      <c r="Q6636" s="28">
        <f t="shared" si="107"/>
        <v>3.5548184716220559E-2</v>
      </c>
      <c r="R6636" s="33">
        <v>0.16282860775771735</v>
      </c>
      <c r="S6636" s="34">
        <v>6.2532296000000001E-2</v>
      </c>
    </row>
    <row r="6637" spans="16:19" x14ac:dyDescent="0.25">
      <c r="P6637" s="27">
        <v>3.2548184716220556E-2</v>
      </c>
      <c r="Q6637" s="28">
        <f t="shared" si="107"/>
        <v>3.5548184716220559E-2</v>
      </c>
      <c r="R6637" s="33">
        <v>0.16282860775771735</v>
      </c>
      <c r="S6637" s="34">
        <v>5.9990000000000002E-2</v>
      </c>
    </row>
    <row r="6638" spans="16:19" x14ac:dyDescent="0.25">
      <c r="P6638" s="27">
        <v>3.2548184716220556E-2</v>
      </c>
      <c r="Q6638" s="28">
        <f t="shared" si="107"/>
        <v>3.5548184716220559E-2</v>
      </c>
      <c r="R6638" s="33">
        <v>0.16282860775771735</v>
      </c>
      <c r="S6638" s="34">
        <v>5.5789999999999999E-2</v>
      </c>
    </row>
    <row r="6639" spans="16:19" x14ac:dyDescent="0.25">
      <c r="P6639" s="27">
        <v>3.2548184716220556E-2</v>
      </c>
      <c r="Q6639" s="28">
        <f t="shared" si="107"/>
        <v>3.5548184716220559E-2</v>
      </c>
      <c r="R6639" s="33">
        <v>0.16282860775771735</v>
      </c>
      <c r="S6639" s="34">
        <v>5.2520000000000004E-2</v>
      </c>
    </row>
    <row r="6640" spans="16:19" x14ac:dyDescent="0.25">
      <c r="P6640" s="27">
        <v>3.2548184716220556E-2</v>
      </c>
      <c r="Q6640" s="28">
        <f t="shared" si="107"/>
        <v>3.5548184716220559E-2</v>
      </c>
      <c r="R6640" s="33">
        <v>0.16282860775771735</v>
      </c>
      <c r="S6640" s="34">
        <v>4.147E-2</v>
      </c>
    </row>
    <row r="6641" spans="16:19" x14ac:dyDescent="0.25">
      <c r="P6641" s="27">
        <v>3.2548184716220556E-2</v>
      </c>
      <c r="Q6641" s="28">
        <f t="shared" si="107"/>
        <v>3.5548184716220559E-2</v>
      </c>
      <c r="R6641" s="33">
        <v>0.16282860775771735</v>
      </c>
      <c r="S6641" s="34">
        <v>4.3529999999999999E-2</v>
      </c>
    </row>
    <row r="6642" spans="16:19" x14ac:dyDescent="0.25">
      <c r="P6642" s="27">
        <v>3.2548184716220556E-2</v>
      </c>
      <c r="Q6642" s="28">
        <f t="shared" si="107"/>
        <v>3.5548184716220559E-2</v>
      </c>
      <c r="R6642" s="33">
        <v>0.16282860775771735</v>
      </c>
      <c r="S6642" s="34">
        <v>5.0990000000000001E-2</v>
      </c>
    </row>
    <row r="6643" spans="16:19" x14ac:dyDescent="0.25">
      <c r="P6643" s="27">
        <v>3.2548184716220556E-2</v>
      </c>
      <c r="Q6643" s="28">
        <f t="shared" si="107"/>
        <v>3.5548184716220559E-2</v>
      </c>
      <c r="R6643" s="33">
        <v>0.16282860775771735</v>
      </c>
      <c r="S6643" s="34">
        <v>5.2999999999999999E-2</v>
      </c>
    </row>
    <row r="6644" spans="16:19" x14ac:dyDescent="0.25">
      <c r="P6644" s="27">
        <v>3.2548184716220556E-2</v>
      </c>
      <c r="Q6644" s="28">
        <f t="shared" si="107"/>
        <v>3.5548184716220559E-2</v>
      </c>
      <c r="R6644" s="33">
        <v>0.16282860775771735</v>
      </c>
      <c r="S6644" s="34">
        <v>5.6000000000000001E-2</v>
      </c>
    </row>
    <row r="6645" spans="16:19" x14ac:dyDescent="0.25">
      <c r="P6645" s="27">
        <v>3.2548184716220556E-2</v>
      </c>
      <c r="Q6645" s="28">
        <f t="shared" si="107"/>
        <v>3.5548184716220559E-2</v>
      </c>
      <c r="R6645" s="33">
        <v>0.16282860775771735</v>
      </c>
      <c r="S6645" s="34">
        <v>6.2299999999999994E-2</v>
      </c>
    </row>
    <row r="6646" spans="16:19" x14ac:dyDescent="0.25">
      <c r="P6646" s="27">
        <v>3.2548184716220556E-2</v>
      </c>
      <c r="Q6646" s="28">
        <f t="shared" si="107"/>
        <v>3.5548184716220559E-2</v>
      </c>
      <c r="R6646" s="33">
        <v>0.16282860775771735</v>
      </c>
      <c r="S6646" s="34">
        <v>7.9000000000000001E-2</v>
      </c>
    </row>
    <row r="6647" spans="16:19" x14ac:dyDescent="0.25">
      <c r="P6647" s="27">
        <v>3.2548184716220556E-2</v>
      </c>
      <c r="Q6647" s="28">
        <f t="shared" si="107"/>
        <v>3.5548184716220559E-2</v>
      </c>
      <c r="R6647" s="31">
        <v>0.15939660775771733</v>
      </c>
      <c r="S6647" s="32">
        <v>7.2469999999999993E-2</v>
      </c>
    </row>
    <row r="6648" spans="16:19" x14ac:dyDescent="0.25">
      <c r="P6648" s="27">
        <v>3.2548184716220556E-2</v>
      </c>
      <c r="Q6648" s="28">
        <f t="shared" si="107"/>
        <v>3.5548184716220559E-2</v>
      </c>
      <c r="R6648" s="31">
        <v>0.15939660775771733</v>
      </c>
      <c r="S6648" s="32">
        <v>5.9330000000000001E-2</v>
      </c>
    </row>
    <row r="6649" spans="16:19" x14ac:dyDescent="0.25">
      <c r="P6649" s="27">
        <v>3.2548184716220556E-2</v>
      </c>
      <c r="Q6649" s="28">
        <f t="shared" si="107"/>
        <v>3.5548184716220559E-2</v>
      </c>
      <c r="R6649" s="31">
        <v>0.15939660775771733</v>
      </c>
      <c r="S6649" s="32">
        <v>5.672E-2</v>
      </c>
    </row>
    <row r="6650" spans="16:19" x14ac:dyDescent="0.25">
      <c r="P6650" s="27">
        <v>3.2548184716220556E-2</v>
      </c>
      <c r="Q6650" s="28">
        <f t="shared" si="107"/>
        <v>3.5548184716220559E-2</v>
      </c>
      <c r="R6650" s="31">
        <v>0.15939660775771733</v>
      </c>
      <c r="S6650" s="32">
        <v>5.5710000000000003E-2</v>
      </c>
    </row>
    <row r="6651" spans="16:19" x14ac:dyDescent="0.25">
      <c r="P6651" s="27">
        <v>3.2548184716220556E-2</v>
      </c>
      <c r="Q6651" s="28">
        <f t="shared" si="107"/>
        <v>3.5548184716220559E-2</v>
      </c>
      <c r="R6651" s="29">
        <v>0.15003660775771735</v>
      </c>
      <c r="S6651" s="30">
        <v>6.3539999999999999E-2</v>
      </c>
    </row>
    <row r="6652" spans="16:19" x14ac:dyDescent="0.25">
      <c r="P6652" s="27">
        <v>3.2548184716220556E-2</v>
      </c>
      <c r="Q6652" s="28">
        <f t="shared" si="107"/>
        <v>3.5548184716220559E-2</v>
      </c>
      <c r="R6652" s="29">
        <v>0.15003660775771735</v>
      </c>
      <c r="S6652" s="30">
        <v>5.9490000000000001E-2</v>
      </c>
    </row>
    <row r="6653" spans="16:19" x14ac:dyDescent="0.25">
      <c r="P6653" s="27">
        <v>3.2548184716220556E-2</v>
      </c>
      <c r="Q6653" s="28">
        <f t="shared" si="107"/>
        <v>3.5548184716220559E-2</v>
      </c>
      <c r="R6653" s="29">
        <v>0.15003660775771735</v>
      </c>
      <c r="S6653" s="30">
        <v>5.602E-2</v>
      </c>
    </row>
    <row r="6654" spans="16:19" x14ac:dyDescent="0.25">
      <c r="P6654" s="27">
        <v>3.2548184716220556E-2</v>
      </c>
      <c r="Q6654" s="28">
        <f t="shared" si="107"/>
        <v>3.5548184716220559E-2</v>
      </c>
      <c r="R6654" s="29">
        <v>0.15003660775771735</v>
      </c>
      <c r="S6654" s="30">
        <v>5.246E-2</v>
      </c>
    </row>
    <row r="6655" spans="16:19" x14ac:dyDescent="0.25">
      <c r="P6655" s="27">
        <v>3.2548184716220556E-2</v>
      </c>
      <c r="Q6655" s="28">
        <f t="shared" si="107"/>
        <v>3.5548184716220559E-2</v>
      </c>
      <c r="R6655" s="29">
        <v>0.15003660775771735</v>
      </c>
      <c r="S6655" s="30">
        <v>5.5079999999999997E-2</v>
      </c>
    </row>
    <row r="6656" spans="16:19" x14ac:dyDescent="0.25">
      <c r="P6656" s="27">
        <v>3.2548184716220556E-2</v>
      </c>
      <c r="Q6656" s="28">
        <f t="shared" si="107"/>
        <v>3.5548184716220559E-2</v>
      </c>
      <c r="R6656" s="29">
        <v>0.15003660775771735</v>
      </c>
      <c r="S6656" s="30">
        <v>5.3069999999999999E-2</v>
      </c>
    </row>
    <row r="6657" spans="16:19" x14ac:dyDescent="0.25">
      <c r="P6657" s="27">
        <v>3.2548184716220556E-2</v>
      </c>
      <c r="Q6657" s="28">
        <f t="shared" si="107"/>
        <v>3.5548184716220559E-2</v>
      </c>
      <c r="R6657" s="29">
        <v>0.15003660775771735</v>
      </c>
      <c r="S6657" s="30">
        <v>5.602E-2</v>
      </c>
    </row>
    <row r="6658" spans="16:19" x14ac:dyDescent="0.25">
      <c r="P6658" s="27">
        <v>3.2548184716220556E-2</v>
      </c>
      <c r="Q6658" s="28">
        <f t="shared" si="107"/>
        <v>3.5548184716220559E-2</v>
      </c>
      <c r="R6658" s="29">
        <v>0.15003660775771735</v>
      </c>
      <c r="S6658" s="30">
        <v>5.3939999999999995E-2</v>
      </c>
    </row>
    <row r="6659" spans="16:19" x14ac:dyDescent="0.25">
      <c r="P6659" s="27">
        <v>3.2548184716220556E-2</v>
      </c>
      <c r="Q6659" s="28">
        <f t="shared" si="107"/>
        <v>3.5548184716220559E-2</v>
      </c>
      <c r="R6659" s="31">
        <v>0.15939660775771733</v>
      </c>
      <c r="S6659" s="32">
        <v>5.1990000000000001E-2</v>
      </c>
    </row>
    <row r="6660" spans="16:19" x14ac:dyDescent="0.25">
      <c r="P6660" s="27">
        <v>3.2548184716220556E-2</v>
      </c>
      <c r="Q6660" s="28">
        <f t="shared" si="107"/>
        <v>3.5548184716220559E-2</v>
      </c>
      <c r="R6660" s="33">
        <v>0.16282860775771735</v>
      </c>
      <c r="S6660" s="34">
        <v>5.2909999999999999E-2</v>
      </c>
    </row>
    <row r="6661" spans="16:19" x14ac:dyDescent="0.25">
      <c r="P6661" s="27">
        <v>3.2548184716220556E-2</v>
      </c>
      <c r="Q6661" s="28">
        <f t="shared" ref="Q6661:Q6724" si="108">P6661+0.003</f>
        <v>3.5548184716220559E-2</v>
      </c>
      <c r="R6661" s="33">
        <v>0.16282860775771735</v>
      </c>
      <c r="S6661" s="34">
        <v>0.05</v>
      </c>
    </row>
    <row r="6662" spans="16:19" x14ac:dyDescent="0.25">
      <c r="P6662" s="27">
        <v>3.2548184716220556E-2</v>
      </c>
      <c r="Q6662" s="28">
        <f t="shared" si="108"/>
        <v>3.5548184716220559E-2</v>
      </c>
      <c r="R6662" s="33">
        <v>0.16282860775771735</v>
      </c>
      <c r="S6662" s="34">
        <v>4.555E-2</v>
      </c>
    </row>
    <row r="6663" spans="16:19" x14ac:dyDescent="0.25">
      <c r="P6663" s="27">
        <v>3.2548184716220556E-2</v>
      </c>
      <c r="Q6663" s="28">
        <f t="shared" si="108"/>
        <v>3.5548184716220559E-2</v>
      </c>
      <c r="R6663" s="33">
        <v>0.16282860775771735</v>
      </c>
      <c r="S6663" s="34">
        <v>4.1509999999999998E-2</v>
      </c>
    </row>
    <row r="6664" spans="16:19" x14ac:dyDescent="0.25">
      <c r="P6664" s="27">
        <v>3.2548184716220556E-2</v>
      </c>
      <c r="Q6664" s="28">
        <f t="shared" si="108"/>
        <v>3.5548184716220559E-2</v>
      </c>
      <c r="R6664" s="33">
        <v>0.16282860775771735</v>
      </c>
      <c r="S6664" s="34">
        <v>3.49E-2</v>
      </c>
    </row>
    <row r="6665" spans="16:19" x14ac:dyDescent="0.25">
      <c r="P6665" s="27">
        <v>3.2548184716220556E-2</v>
      </c>
      <c r="Q6665" s="28">
        <f t="shared" si="108"/>
        <v>3.5548184716220559E-2</v>
      </c>
      <c r="R6665" s="33">
        <v>0.16282860775771735</v>
      </c>
      <c r="S6665" s="34">
        <v>3.49E-2</v>
      </c>
    </row>
    <row r="6666" spans="16:19" x14ac:dyDescent="0.25">
      <c r="P6666" s="27">
        <v>3.2548184716220556E-2</v>
      </c>
      <c r="Q6666" s="28">
        <f t="shared" si="108"/>
        <v>3.5548184716220559E-2</v>
      </c>
      <c r="R6666" s="33">
        <v>0.16282860775771735</v>
      </c>
      <c r="S6666" s="34">
        <v>4.2279999999999998E-2</v>
      </c>
    </row>
    <row r="6667" spans="16:19" x14ac:dyDescent="0.25">
      <c r="P6667" s="27">
        <v>3.2548184716220556E-2</v>
      </c>
      <c r="Q6667" s="28">
        <f t="shared" si="108"/>
        <v>3.5548184716220559E-2</v>
      </c>
      <c r="R6667" s="33">
        <v>0.16282860775771735</v>
      </c>
      <c r="S6667" s="34">
        <v>4.8000000000000001E-2</v>
      </c>
    </row>
    <row r="6668" spans="16:19" x14ac:dyDescent="0.25">
      <c r="P6668" s="27">
        <v>3.2548184716220556E-2</v>
      </c>
      <c r="Q6668" s="28">
        <f t="shared" si="108"/>
        <v>3.5548184716220559E-2</v>
      </c>
      <c r="R6668" s="33">
        <v>0.16282860775771735</v>
      </c>
      <c r="S6668" s="34">
        <v>5.3499999999999999E-2</v>
      </c>
    </row>
    <row r="6669" spans="16:19" x14ac:dyDescent="0.25">
      <c r="P6669" s="27">
        <v>3.2548184716220556E-2</v>
      </c>
      <c r="Q6669" s="28">
        <f t="shared" si="108"/>
        <v>3.5548184716220559E-2</v>
      </c>
      <c r="R6669" s="33">
        <v>0.16282860775771735</v>
      </c>
      <c r="S6669" s="34">
        <v>5.9990000000000002E-2</v>
      </c>
    </row>
    <row r="6670" spans="16:19" x14ac:dyDescent="0.25">
      <c r="P6670" s="27">
        <v>3.2548184716220556E-2</v>
      </c>
      <c r="Q6670" s="28">
        <f t="shared" si="108"/>
        <v>3.5548184716220559E-2</v>
      </c>
      <c r="R6670" s="33">
        <v>0.16282860775771735</v>
      </c>
      <c r="S6670" s="34">
        <v>8.0189999999999997E-2</v>
      </c>
    </row>
    <row r="6671" spans="16:19" x14ac:dyDescent="0.25">
      <c r="P6671" s="27">
        <v>3.2548184716220556E-2</v>
      </c>
      <c r="Q6671" s="28">
        <f t="shared" si="108"/>
        <v>3.5548184716220559E-2</v>
      </c>
      <c r="R6671" s="31">
        <v>0.15939660775771733</v>
      </c>
      <c r="S6671" s="32">
        <v>7.5900000000000009E-2</v>
      </c>
    </row>
    <row r="6672" spans="16:19" x14ac:dyDescent="0.25">
      <c r="P6672" s="27">
        <v>3.2548184716220556E-2</v>
      </c>
      <c r="Q6672" s="28">
        <f t="shared" si="108"/>
        <v>3.5548184716220559E-2</v>
      </c>
      <c r="R6672" s="31">
        <v>0.15939660775771733</v>
      </c>
      <c r="S6672" s="32">
        <v>6.1310000000000003E-2</v>
      </c>
    </row>
    <row r="6673" spans="16:19" x14ac:dyDescent="0.25">
      <c r="P6673" s="27">
        <v>3.2548184716220556E-2</v>
      </c>
      <c r="Q6673" s="28">
        <f t="shared" si="108"/>
        <v>3.5548184716220559E-2</v>
      </c>
      <c r="R6673" s="31">
        <v>0.15939660775771733</v>
      </c>
      <c r="S6673" s="32">
        <v>5.7140000000000003E-2</v>
      </c>
    </row>
    <row r="6674" spans="16:19" x14ac:dyDescent="0.25">
      <c r="P6674" s="27">
        <v>3.2548184716220556E-2</v>
      </c>
      <c r="Q6674" s="28">
        <f t="shared" si="108"/>
        <v>3.5548184716220559E-2</v>
      </c>
      <c r="R6674" s="31">
        <v>0.15939660775771733</v>
      </c>
      <c r="S6674" s="32">
        <v>5.5109999999999999E-2</v>
      </c>
    </row>
    <row r="6675" spans="16:19" x14ac:dyDescent="0.25">
      <c r="P6675" s="27">
        <v>3.2548184716220556E-2</v>
      </c>
      <c r="Q6675" s="28">
        <f t="shared" si="108"/>
        <v>3.5548184716220559E-2</v>
      </c>
      <c r="R6675" s="29">
        <v>0.15003660775771735</v>
      </c>
      <c r="S6675" s="30">
        <v>5.5299999999999995E-2</v>
      </c>
    </row>
    <row r="6676" spans="16:19" x14ac:dyDescent="0.25">
      <c r="P6676" s="27">
        <v>3.2548184716220556E-2</v>
      </c>
      <c r="Q6676" s="28">
        <f t="shared" si="108"/>
        <v>3.5548184716220559E-2</v>
      </c>
      <c r="R6676" s="29">
        <v>0.15003660775771735</v>
      </c>
      <c r="S6676" s="30">
        <v>5.1889999999999999E-2</v>
      </c>
    </row>
    <row r="6677" spans="16:19" x14ac:dyDescent="0.25">
      <c r="P6677" s="27">
        <v>3.2548184716220556E-2</v>
      </c>
      <c r="Q6677" s="28">
        <f t="shared" si="108"/>
        <v>3.5548184716220559E-2</v>
      </c>
      <c r="R6677" s="29">
        <v>0.15003660775771735</v>
      </c>
      <c r="S6677" s="30">
        <v>5.0650000000000001E-2</v>
      </c>
    </row>
    <row r="6678" spans="16:19" x14ac:dyDescent="0.25">
      <c r="P6678" s="27">
        <v>3.2548184716220556E-2</v>
      </c>
      <c r="Q6678" s="28">
        <f t="shared" si="108"/>
        <v>3.5548184716220559E-2</v>
      </c>
      <c r="R6678" s="29">
        <v>0.15003660775771735</v>
      </c>
      <c r="S6678" s="30">
        <v>4.4749999999999998E-2</v>
      </c>
    </row>
    <row r="6679" spans="16:19" x14ac:dyDescent="0.25">
      <c r="P6679" s="27">
        <v>3.2548184716220556E-2</v>
      </c>
      <c r="Q6679" s="28">
        <f t="shared" si="108"/>
        <v>3.5548184716220559E-2</v>
      </c>
      <c r="R6679" s="29">
        <v>0.15003660775771735</v>
      </c>
      <c r="S6679" s="30">
        <v>4.9100000000000005E-2</v>
      </c>
    </row>
    <row r="6680" spans="16:19" x14ac:dyDescent="0.25">
      <c r="P6680" s="27">
        <v>3.2548184716220556E-2</v>
      </c>
      <c r="Q6680" s="28">
        <f t="shared" si="108"/>
        <v>3.5548184716220559E-2</v>
      </c>
      <c r="R6680" s="29">
        <v>0.15003660775771735</v>
      </c>
      <c r="S6680" s="30">
        <v>5.4545824999999999E-2</v>
      </c>
    </row>
    <row r="6681" spans="16:19" x14ac:dyDescent="0.25">
      <c r="P6681" s="27">
        <v>3.2548184716220556E-2</v>
      </c>
      <c r="Q6681" s="28">
        <f t="shared" si="108"/>
        <v>3.5548184716220559E-2</v>
      </c>
      <c r="R6681" s="29">
        <v>0.15003660775771735</v>
      </c>
      <c r="S6681" s="30">
        <v>6.5250000000000002E-2</v>
      </c>
    </row>
    <row r="6682" spans="16:19" x14ac:dyDescent="0.25">
      <c r="P6682" s="27">
        <v>3.2548184716220556E-2</v>
      </c>
      <c r="Q6682" s="28">
        <f t="shared" si="108"/>
        <v>3.5548184716220559E-2</v>
      </c>
      <c r="R6682" s="29">
        <v>0.15003660775771735</v>
      </c>
      <c r="S6682" s="30">
        <v>6.633E-2</v>
      </c>
    </row>
    <row r="6683" spans="16:19" x14ac:dyDescent="0.25">
      <c r="P6683" s="27">
        <v>3.2548184716220556E-2</v>
      </c>
      <c r="Q6683" s="28">
        <f t="shared" si="108"/>
        <v>3.5548184716220559E-2</v>
      </c>
      <c r="R6683" s="31">
        <v>0.15939999999999999</v>
      </c>
      <c r="S6683" s="32">
        <v>7.9930000000000001E-2</v>
      </c>
    </row>
    <row r="6684" spans="16:19" x14ac:dyDescent="0.25">
      <c r="P6684" s="27">
        <v>3.2548184716220556E-2</v>
      </c>
      <c r="Q6684" s="28">
        <f t="shared" si="108"/>
        <v>3.5548184716220559E-2</v>
      </c>
      <c r="R6684" s="31">
        <v>0.15939999999999999</v>
      </c>
      <c r="S6684" s="32">
        <v>7.9040510999999994E-2</v>
      </c>
    </row>
    <row r="6685" spans="16:19" x14ac:dyDescent="0.25">
      <c r="P6685" s="27">
        <v>3.2548184716220556E-2</v>
      </c>
      <c r="Q6685" s="28">
        <f t="shared" si="108"/>
        <v>3.5548184716220559E-2</v>
      </c>
      <c r="R6685" s="31">
        <v>0.15939999999999999</v>
      </c>
      <c r="S6685" s="32">
        <v>7.8E-2</v>
      </c>
    </row>
    <row r="6686" spans="16:19" x14ac:dyDescent="0.25">
      <c r="P6686" s="27">
        <v>3.2548184716220556E-2</v>
      </c>
      <c r="Q6686" s="28">
        <f t="shared" si="108"/>
        <v>3.5548184716220559E-2</v>
      </c>
      <c r="R6686" s="31">
        <v>0.15939999999999999</v>
      </c>
      <c r="S6686" s="32">
        <v>7.1999999999999995E-2</v>
      </c>
    </row>
    <row r="6687" spans="16:19" x14ac:dyDescent="0.25">
      <c r="P6687" s="27">
        <v>3.2548184716220556E-2</v>
      </c>
      <c r="Q6687" s="28">
        <f t="shared" si="108"/>
        <v>3.5548184716220559E-2</v>
      </c>
      <c r="R6687" s="31">
        <v>0.15939999999999999</v>
      </c>
      <c r="S6687" s="32">
        <v>6.1950000000000005E-2</v>
      </c>
    </row>
    <row r="6688" spans="16:19" x14ac:dyDescent="0.25">
      <c r="P6688" s="27">
        <v>3.2548184716220556E-2</v>
      </c>
      <c r="Q6688" s="28">
        <f t="shared" si="108"/>
        <v>3.5548184716220559E-2</v>
      </c>
      <c r="R6688" s="31">
        <v>0.15939999999999999</v>
      </c>
      <c r="S6688" s="32">
        <v>6.216E-2</v>
      </c>
    </row>
    <row r="6689" spans="16:19" x14ac:dyDescent="0.25">
      <c r="P6689" s="27">
        <v>3.2548184716220556E-2</v>
      </c>
      <c r="Q6689" s="28">
        <f t="shared" si="108"/>
        <v>3.5548184716220559E-2</v>
      </c>
      <c r="R6689" s="31">
        <v>0.15939999999999999</v>
      </c>
      <c r="S6689" s="32">
        <v>7.5281186E-2</v>
      </c>
    </row>
    <row r="6690" spans="16:19" x14ac:dyDescent="0.25">
      <c r="P6690" s="27">
        <v>3.2548184716220556E-2</v>
      </c>
      <c r="Q6690" s="28">
        <f t="shared" si="108"/>
        <v>3.5548184716220559E-2</v>
      </c>
      <c r="R6690" s="31">
        <v>0.15939999999999999</v>
      </c>
      <c r="S6690" s="32">
        <v>8.1030000000000005E-2</v>
      </c>
    </row>
    <row r="6691" spans="16:19" x14ac:dyDescent="0.25">
      <c r="P6691" s="27">
        <v>3.2548184716220556E-2</v>
      </c>
      <c r="Q6691" s="28">
        <f t="shared" si="108"/>
        <v>3.5548184716220559E-2</v>
      </c>
      <c r="R6691" s="31">
        <v>0.15939999999999999</v>
      </c>
      <c r="S6691" s="32">
        <v>8.5000000000000006E-2</v>
      </c>
    </row>
    <row r="6692" spans="16:19" x14ac:dyDescent="0.25">
      <c r="P6692" s="27">
        <v>3.2548184716220556E-2</v>
      </c>
      <c r="Q6692" s="28">
        <f t="shared" si="108"/>
        <v>3.5548184716220559E-2</v>
      </c>
      <c r="R6692" s="31">
        <v>0.15939999999999999</v>
      </c>
      <c r="S6692" s="32">
        <v>7.4999999999999997E-2</v>
      </c>
    </row>
    <row r="6693" spans="16:19" x14ac:dyDescent="0.25">
      <c r="P6693" s="27">
        <v>3.2548184716220556E-2</v>
      </c>
      <c r="Q6693" s="28">
        <f t="shared" si="108"/>
        <v>3.5548184716220559E-2</v>
      </c>
      <c r="R6693" s="31">
        <v>0.15939999999999999</v>
      </c>
      <c r="S6693" s="32">
        <v>7.2540000000000007E-2</v>
      </c>
    </row>
    <row r="6694" spans="16:19" x14ac:dyDescent="0.25">
      <c r="P6694" s="27">
        <v>3.2548184716220556E-2</v>
      </c>
      <c r="Q6694" s="28">
        <f t="shared" si="108"/>
        <v>3.5548184716220559E-2</v>
      </c>
      <c r="R6694" s="31">
        <v>0.15939999999999999</v>
      </c>
      <c r="S6694" s="32">
        <v>9.7000000000000003E-2</v>
      </c>
    </row>
    <row r="6695" spans="16:19" x14ac:dyDescent="0.25">
      <c r="P6695" s="27">
        <v>3.2548184716220556E-2</v>
      </c>
      <c r="Q6695" s="28">
        <f t="shared" si="108"/>
        <v>3.5548184716220559E-2</v>
      </c>
      <c r="R6695" s="31">
        <v>0.15939999999999999</v>
      </c>
      <c r="S6695" s="32">
        <v>7.5189999999999993E-2</v>
      </c>
    </row>
    <row r="6696" spans="16:19" x14ac:dyDescent="0.25">
      <c r="P6696" s="27">
        <v>3.2548184716220556E-2</v>
      </c>
      <c r="Q6696" s="28">
        <f t="shared" si="108"/>
        <v>3.5548184716220559E-2</v>
      </c>
      <c r="R6696" s="31">
        <v>0.15939999999999999</v>
      </c>
      <c r="S6696" s="32">
        <v>6.5000000000000002E-2</v>
      </c>
    </row>
    <row r="6697" spans="16:19" x14ac:dyDescent="0.25">
      <c r="P6697" s="27">
        <v>3.2548184716220556E-2</v>
      </c>
      <c r="Q6697" s="28">
        <f t="shared" si="108"/>
        <v>3.5548184716220559E-2</v>
      </c>
      <c r="R6697" s="31">
        <v>0.15939999999999999</v>
      </c>
      <c r="S6697" s="32">
        <v>6.0100000000000001E-2</v>
      </c>
    </row>
    <row r="6698" spans="16:19" x14ac:dyDescent="0.25">
      <c r="P6698" s="27">
        <v>3.2548184716220556E-2</v>
      </c>
      <c r="Q6698" s="28">
        <f t="shared" si="108"/>
        <v>3.5548184716220559E-2</v>
      </c>
      <c r="R6698" s="31">
        <v>0.15939999999999999</v>
      </c>
      <c r="S6698" s="32">
        <v>5.9770000000000004E-2</v>
      </c>
    </row>
    <row r="6699" spans="16:19" x14ac:dyDescent="0.25">
      <c r="P6699" s="27">
        <v>3.2548184716220556E-2</v>
      </c>
      <c r="Q6699" s="28">
        <f t="shared" si="108"/>
        <v>3.5548184716220559E-2</v>
      </c>
      <c r="R6699" s="29">
        <v>0.15</v>
      </c>
      <c r="S6699" s="30">
        <v>5.7540000000000001E-2</v>
      </c>
    </row>
    <row r="6700" spans="16:19" x14ac:dyDescent="0.25">
      <c r="P6700" s="27">
        <v>3.2548184716220556E-2</v>
      </c>
      <c r="Q6700" s="28">
        <f t="shared" si="108"/>
        <v>3.5548184716220559E-2</v>
      </c>
      <c r="R6700" s="29">
        <v>0.15</v>
      </c>
      <c r="S6700" s="30">
        <v>5.7009999999999998E-2</v>
      </c>
    </row>
    <row r="6701" spans="16:19" x14ac:dyDescent="0.25">
      <c r="P6701" s="27">
        <v>3.2548184716220556E-2</v>
      </c>
      <c r="Q6701" s="28">
        <f t="shared" si="108"/>
        <v>3.5548184716220559E-2</v>
      </c>
      <c r="R6701" s="29">
        <v>0.15</v>
      </c>
      <c r="S6701" s="30">
        <v>5.45E-2</v>
      </c>
    </row>
    <row r="6702" spans="16:19" x14ac:dyDescent="0.25">
      <c r="P6702" s="27">
        <v>3.2548184716220556E-2</v>
      </c>
      <c r="Q6702" s="28">
        <f t="shared" si="108"/>
        <v>3.5548184716220559E-2</v>
      </c>
      <c r="R6702" s="29">
        <v>0.15</v>
      </c>
      <c r="S6702" s="30">
        <v>4.999E-2</v>
      </c>
    </row>
    <row r="6703" spans="16:19" x14ac:dyDescent="0.25">
      <c r="P6703" s="27">
        <v>3.2548184716220556E-2</v>
      </c>
      <c r="Q6703" s="28">
        <f t="shared" si="108"/>
        <v>3.5548184716220559E-2</v>
      </c>
      <c r="R6703" s="29">
        <v>0.15</v>
      </c>
      <c r="S6703" s="30">
        <v>5.3499999999999999E-2</v>
      </c>
    </row>
    <row r="6704" spans="16:19" x14ac:dyDescent="0.25">
      <c r="P6704" s="27">
        <v>3.2548184716220556E-2</v>
      </c>
      <c r="Q6704" s="28">
        <f t="shared" si="108"/>
        <v>3.5548184716220559E-2</v>
      </c>
      <c r="R6704" s="29">
        <v>0.15</v>
      </c>
      <c r="S6704" s="30">
        <v>5.3999999999999999E-2</v>
      </c>
    </row>
    <row r="6705" spans="16:19" x14ac:dyDescent="0.25">
      <c r="P6705" s="27">
        <v>3.2548184716220556E-2</v>
      </c>
      <c r="Q6705" s="28">
        <f t="shared" si="108"/>
        <v>3.5548184716220559E-2</v>
      </c>
      <c r="R6705" s="29">
        <v>0.15</v>
      </c>
      <c r="S6705" s="30">
        <v>6.3250000000000001E-2</v>
      </c>
    </row>
    <row r="6706" spans="16:19" x14ac:dyDescent="0.25">
      <c r="P6706" s="27">
        <v>3.2548184716220556E-2</v>
      </c>
      <c r="Q6706" s="28">
        <f t="shared" si="108"/>
        <v>3.5548184716220559E-2</v>
      </c>
      <c r="R6706" s="29">
        <v>0.15</v>
      </c>
      <c r="S6706" s="30">
        <v>7.4999999999999997E-2</v>
      </c>
    </row>
    <row r="6707" spans="16:19" x14ac:dyDescent="0.25">
      <c r="P6707" s="27">
        <v>3.2548184716220556E-2</v>
      </c>
      <c r="Q6707" s="28">
        <f t="shared" si="108"/>
        <v>3.5548184716220559E-2</v>
      </c>
      <c r="R6707" s="29">
        <v>0.15</v>
      </c>
      <c r="S6707" s="30">
        <v>8.1666476000000002E-2</v>
      </c>
    </row>
    <row r="6708" spans="16:19" x14ac:dyDescent="0.25">
      <c r="P6708" s="27">
        <v>3.2548184716220556E-2</v>
      </c>
      <c r="Q6708" s="28">
        <f t="shared" si="108"/>
        <v>3.5548184716220559E-2</v>
      </c>
      <c r="R6708" s="29">
        <v>0.15</v>
      </c>
      <c r="S6708" s="30">
        <v>9.0990000000000001E-2</v>
      </c>
    </row>
    <row r="6709" spans="16:19" x14ac:dyDescent="0.25">
      <c r="P6709" s="27">
        <v>3.2548184716220556E-2</v>
      </c>
      <c r="Q6709" s="28">
        <f t="shared" si="108"/>
        <v>3.5548184716220559E-2</v>
      </c>
      <c r="R6709" s="29">
        <v>0.15</v>
      </c>
      <c r="S6709" s="30">
        <v>8.6540000000000006E-2</v>
      </c>
    </row>
    <row r="6710" spans="16:19" x14ac:dyDescent="0.25">
      <c r="P6710" s="27">
        <v>3.2548184716220556E-2</v>
      </c>
      <c r="Q6710" s="28">
        <f t="shared" si="108"/>
        <v>3.5548184716220559E-2</v>
      </c>
      <c r="R6710" s="29">
        <v>0.15</v>
      </c>
      <c r="S6710" s="30">
        <v>7.9989999999999992E-2</v>
      </c>
    </row>
    <row r="6711" spans="16:19" x14ac:dyDescent="0.25">
      <c r="P6711" s="27">
        <v>3.2548184716220556E-2</v>
      </c>
      <c r="Q6711" s="28">
        <f t="shared" si="108"/>
        <v>3.5548184716220559E-2</v>
      </c>
      <c r="R6711" s="29">
        <v>0.15</v>
      </c>
      <c r="S6711" s="30">
        <v>6.0639999999999999E-2</v>
      </c>
    </row>
    <row r="6712" spans="16:19" x14ac:dyDescent="0.25">
      <c r="P6712" s="27">
        <v>3.2548184716220556E-2</v>
      </c>
      <c r="Q6712" s="28">
        <f t="shared" si="108"/>
        <v>3.5548184716220559E-2</v>
      </c>
      <c r="R6712" s="29">
        <v>0.15</v>
      </c>
      <c r="S6712" s="30">
        <v>6.0069999999999998E-2</v>
      </c>
    </row>
    <row r="6713" spans="16:19" x14ac:dyDescent="0.25">
      <c r="P6713" s="27">
        <v>3.2548184716220556E-2</v>
      </c>
      <c r="Q6713" s="28">
        <f t="shared" si="108"/>
        <v>3.5548184716220559E-2</v>
      </c>
      <c r="R6713" s="29">
        <v>0.15</v>
      </c>
      <c r="S6713" s="30">
        <v>7.7290754000000003E-2</v>
      </c>
    </row>
    <row r="6714" spans="16:19" x14ac:dyDescent="0.25">
      <c r="P6714" s="27">
        <v>3.2548184716220556E-2</v>
      </c>
      <c r="Q6714" s="28">
        <f t="shared" si="108"/>
        <v>3.5548184716220559E-2</v>
      </c>
      <c r="R6714" s="29">
        <v>0.15</v>
      </c>
      <c r="S6714" s="30">
        <v>8.1049999999999997E-2</v>
      </c>
    </row>
    <row r="6715" spans="16:19" x14ac:dyDescent="0.25">
      <c r="P6715" s="27">
        <v>3.2548184716220556E-2</v>
      </c>
      <c r="Q6715" s="28">
        <f t="shared" si="108"/>
        <v>3.5548184716220559E-2</v>
      </c>
      <c r="R6715" s="29">
        <v>0.15</v>
      </c>
      <c r="S6715" s="30">
        <v>8.7018112000000009E-2</v>
      </c>
    </row>
    <row r="6716" spans="16:19" x14ac:dyDescent="0.25">
      <c r="P6716" s="27">
        <v>3.2548184716220556E-2</v>
      </c>
      <c r="Q6716" s="28">
        <f t="shared" si="108"/>
        <v>3.5548184716220559E-2</v>
      </c>
      <c r="R6716" s="29">
        <v>0.15</v>
      </c>
      <c r="S6716" s="30">
        <v>7.9332483999999995E-2</v>
      </c>
    </row>
    <row r="6717" spans="16:19" x14ac:dyDescent="0.25">
      <c r="P6717" s="27">
        <v>3.2548184716220556E-2</v>
      </c>
      <c r="Q6717" s="28">
        <f t="shared" si="108"/>
        <v>3.5548184716220559E-2</v>
      </c>
      <c r="R6717" s="29">
        <v>0.15</v>
      </c>
      <c r="S6717" s="30">
        <v>7.7502334000000006E-2</v>
      </c>
    </row>
    <row r="6718" spans="16:19" x14ac:dyDescent="0.25">
      <c r="P6718" s="27">
        <v>3.2548184716220556E-2</v>
      </c>
      <c r="Q6718" s="28">
        <f t="shared" si="108"/>
        <v>3.5548184716220559E-2</v>
      </c>
      <c r="R6718" s="29">
        <v>0.15</v>
      </c>
      <c r="S6718" s="30">
        <v>0.100178035</v>
      </c>
    </row>
    <row r="6719" spans="16:19" x14ac:dyDescent="0.25">
      <c r="P6719" s="27">
        <v>3.2548184716220556E-2</v>
      </c>
      <c r="Q6719" s="28">
        <f t="shared" si="108"/>
        <v>3.5548184716220559E-2</v>
      </c>
      <c r="R6719" s="29">
        <v>0.15</v>
      </c>
      <c r="S6719" s="30">
        <v>7.6499999999999999E-2</v>
      </c>
    </row>
    <row r="6720" spans="16:19" x14ac:dyDescent="0.25">
      <c r="P6720" s="27">
        <v>3.2548184716220556E-2</v>
      </c>
      <c r="Q6720" s="28">
        <f t="shared" si="108"/>
        <v>3.5548184716220559E-2</v>
      </c>
      <c r="R6720" s="29">
        <v>0.15</v>
      </c>
      <c r="S6720" s="30">
        <v>6.5319999999999989E-2</v>
      </c>
    </row>
    <row r="6721" spans="16:19" x14ac:dyDescent="0.25">
      <c r="P6721" s="27">
        <v>3.2548184716220556E-2</v>
      </c>
      <c r="Q6721" s="28">
        <f t="shared" si="108"/>
        <v>3.5548184716220559E-2</v>
      </c>
      <c r="R6721" s="29">
        <v>0.15</v>
      </c>
      <c r="S6721" s="30">
        <v>6.0510000000000001E-2</v>
      </c>
    </row>
    <row r="6722" spans="16:19" x14ac:dyDescent="0.25">
      <c r="P6722" s="27">
        <v>3.2548184716220556E-2</v>
      </c>
      <c r="Q6722" s="28">
        <f t="shared" si="108"/>
        <v>3.5548184716220559E-2</v>
      </c>
      <c r="R6722" s="29">
        <v>0.15</v>
      </c>
      <c r="S6722" s="30">
        <v>5.9880000000000003E-2</v>
      </c>
    </row>
    <row r="6723" spans="16:19" x14ac:dyDescent="0.25">
      <c r="P6723" s="27">
        <v>3.2548184716220556E-2</v>
      </c>
      <c r="Q6723" s="28">
        <f t="shared" si="108"/>
        <v>3.5548184716220559E-2</v>
      </c>
      <c r="R6723" s="29">
        <v>0.15</v>
      </c>
      <c r="S6723" s="30">
        <v>5.8020000000000002E-2</v>
      </c>
    </row>
    <row r="6724" spans="16:19" x14ac:dyDescent="0.25">
      <c r="P6724" s="27">
        <v>3.2548184716220556E-2</v>
      </c>
      <c r="Q6724" s="28">
        <f t="shared" si="108"/>
        <v>3.5548184716220559E-2</v>
      </c>
      <c r="R6724" s="29">
        <v>0.15</v>
      </c>
      <c r="S6724" s="30">
        <v>5.8020000000000002E-2</v>
      </c>
    </row>
    <row r="6725" spans="16:19" x14ac:dyDescent="0.25">
      <c r="P6725" s="27">
        <v>3.2548184716220556E-2</v>
      </c>
      <c r="Q6725" s="28">
        <f t="shared" ref="Q6725:Q6788" si="109">P6725+0.003</f>
        <v>3.5548184716220559E-2</v>
      </c>
      <c r="R6725" s="29">
        <v>0.15</v>
      </c>
      <c r="S6725" s="30">
        <v>5.6750000000000002E-2</v>
      </c>
    </row>
    <row r="6726" spans="16:19" x14ac:dyDescent="0.25">
      <c r="P6726" s="27">
        <v>3.2548184716220556E-2</v>
      </c>
      <c r="Q6726" s="28">
        <f t="shared" si="109"/>
        <v>3.5548184716220559E-2</v>
      </c>
      <c r="R6726" s="29">
        <v>0.15</v>
      </c>
      <c r="S6726" s="30">
        <v>5.67E-2</v>
      </c>
    </row>
    <row r="6727" spans="16:19" x14ac:dyDescent="0.25">
      <c r="P6727" s="27">
        <v>3.2548184716220556E-2</v>
      </c>
      <c r="Q6727" s="28">
        <f t="shared" si="109"/>
        <v>3.5548184716220559E-2</v>
      </c>
      <c r="R6727" s="29">
        <v>0.15</v>
      </c>
      <c r="S6727" s="30">
        <v>5.8009999999999999E-2</v>
      </c>
    </row>
    <row r="6728" spans="16:19" x14ac:dyDescent="0.25">
      <c r="P6728" s="27">
        <v>3.2548184716220556E-2</v>
      </c>
      <c r="Q6728" s="28">
        <f t="shared" si="109"/>
        <v>3.5548184716220559E-2</v>
      </c>
      <c r="R6728" s="29">
        <v>0.15</v>
      </c>
      <c r="S6728" s="30">
        <v>5.8020000000000002E-2</v>
      </c>
    </row>
    <row r="6729" spans="16:19" x14ac:dyDescent="0.25">
      <c r="P6729" s="27">
        <v>3.2548184716220556E-2</v>
      </c>
      <c r="Q6729" s="28">
        <f t="shared" si="109"/>
        <v>3.5548184716220559E-2</v>
      </c>
      <c r="R6729" s="29">
        <v>0.15</v>
      </c>
      <c r="S6729" s="30">
        <v>6.9589999999999999E-2</v>
      </c>
    </row>
    <row r="6730" spans="16:19" x14ac:dyDescent="0.25">
      <c r="P6730" s="27">
        <v>3.2548184716220556E-2</v>
      </c>
      <c r="Q6730" s="28">
        <f t="shared" si="109"/>
        <v>3.5548184716220559E-2</v>
      </c>
      <c r="R6730" s="29">
        <v>0.15</v>
      </c>
      <c r="S6730" s="30">
        <v>9.5030000000000003E-2</v>
      </c>
    </row>
    <row r="6731" spans="16:19" x14ac:dyDescent="0.25">
      <c r="P6731" s="27">
        <v>3.2548184716220556E-2</v>
      </c>
      <c r="Q6731" s="28">
        <f t="shared" si="109"/>
        <v>3.5548184716220559E-2</v>
      </c>
      <c r="R6731" s="31">
        <v>0.15939660775771733</v>
      </c>
      <c r="S6731" s="32">
        <v>0.114</v>
      </c>
    </row>
    <row r="6732" spans="16:19" x14ac:dyDescent="0.25">
      <c r="P6732" s="27">
        <v>3.2548184716220556E-2</v>
      </c>
      <c r="Q6732" s="28">
        <f t="shared" si="109"/>
        <v>3.5548184716220559E-2</v>
      </c>
      <c r="R6732" s="33">
        <v>0.16282860775771735</v>
      </c>
      <c r="S6732" s="34">
        <v>0.12</v>
      </c>
    </row>
    <row r="6733" spans="16:19" x14ac:dyDescent="0.25">
      <c r="P6733" s="27">
        <v>3.2548184716220556E-2</v>
      </c>
      <c r="Q6733" s="28">
        <f t="shared" si="109"/>
        <v>3.5548184716220559E-2</v>
      </c>
      <c r="R6733" s="33">
        <v>0.16282860775771735</v>
      </c>
      <c r="S6733" s="34">
        <v>8.7040000000000006E-2</v>
      </c>
    </row>
    <row r="6734" spans="16:19" x14ac:dyDescent="0.25">
      <c r="P6734" s="27">
        <v>3.2548184716220556E-2</v>
      </c>
      <c r="Q6734" s="28">
        <f t="shared" si="109"/>
        <v>3.5548184716220559E-2</v>
      </c>
      <c r="R6734" s="33">
        <v>0.16282860775771735</v>
      </c>
      <c r="S6734" s="34">
        <v>8.133E-2</v>
      </c>
    </row>
    <row r="6735" spans="16:19" x14ac:dyDescent="0.25">
      <c r="P6735" s="27">
        <v>3.2548184716220556E-2</v>
      </c>
      <c r="Q6735" s="28">
        <f t="shared" si="109"/>
        <v>3.5548184716220559E-2</v>
      </c>
      <c r="R6735" s="33">
        <v>0.16282860775771735</v>
      </c>
      <c r="S6735" s="34">
        <v>6.1280000000000001E-2</v>
      </c>
    </row>
    <row r="6736" spans="16:19" x14ac:dyDescent="0.25">
      <c r="P6736" s="27">
        <v>3.2548184716220556E-2</v>
      </c>
      <c r="Q6736" s="28">
        <f t="shared" si="109"/>
        <v>3.5548184716220559E-2</v>
      </c>
      <c r="R6736" s="33">
        <v>0.16282860775771735</v>
      </c>
      <c r="S6736" s="34">
        <v>6.412000000000001E-2</v>
      </c>
    </row>
    <row r="6737" spans="16:19" x14ac:dyDescent="0.25">
      <c r="P6737" s="27">
        <v>3.2548184716220556E-2</v>
      </c>
      <c r="Q6737" s="28">
        <f t="shared" si="109"/>
        <v>3.5548184716220559E-2</v>
      </c>
      <c r="R6737" s="33">
        <v>0.16282860775771735</v>
      </c>
      <c r="S6737" s="34">
        <v>7.5329999999999994E-2</v>
      </c>
    </row>
    <row r="6738" spans="16:19" x14ac:dyDescent="0.25">
      <c r="P6738" s="27">
        <v>3.2548184716220556E-2</v>
      </c>
      <c r="Q6738" s="28">
        <f t="shared" si="109"/>
        <v>3.5548184716220559E-2</v>
      </c>
      <c r="R6738" s="33">
        <v>0.16282860775771735</v>
      </c>
      <c r="S6738" s="34">
        <v>7.798999999999999E-2</v>
      </c>
    </row>
    <row r="6739" spans="16:19" x14ac:dyDescent="0.25">
      <c r="P6739" s="27">
        <v>3.2548184716220556E-2</v>
      </c>
      <c r="Q6739" s="28">
        <f t="shared" si="109"/>
        <v>3.5548184716220559E-2</v>
      </c>
      <c r="R6739" s="33">
        <v>0.16282860775771735</v>
      </c>
      <c r="S6739" s="34">
        <v>8.2220000000000001E-2</v>
      </c>
    </row>
    <row r="6740" spans="16:19" x14ac:dyDescent="0.25">
      <c r="P6740" s="27">
        <v>3.2548184716220556E-2</v>
      </c>
      <c r="Q6740" s="28">
        <f t="shared" si="109"/>
        <v>3.5548184716220559E-2</v>
      </c>
      <c r="R6740" s="33">
        <v>0.16282860775771735</v>
      </c>
      <c r="S6740" s="34">
        <v>7.3193025000000009E-2</v>
      </c>
    </row>
    <row r="6741" spans="16:19" x14ac:dyDescent="0.25">
      <c r="P6741" s="27">
        <v>3.2548184716220556E-2</v>
      </c>
      <c r="Q6741" s="28">
        <f t="shared" si="109"/>
        <v>3.5548184716220559E-2</v>
      </c>
      <c r="R6741" s="33">
        <v>0.16282860775771735</v>
      </c>
      <c r="S6741" s="34">
        <v>7.9950000000000007E-2</v>
      </c>
    </row>
    <row r="6742" spans="16:19" x14ac:dyDescent="0.25">
      <c r="P6742" s="27">
        <v>3.2548184716220556E-2</v>
      </c>
      <c r="Q6742" s="28">
        <f t="shared" si="109"/>
        <v>3.5548184716220559E-2</v>
      </c>
      <c r="R6742" s="33">
        <v>0.16282860775771735</v>
      </c>
      <c r="S6742" s="34">
        <v>0.12894999999999998</v>
      </c>
    </row>
    <row r="6743" spans="16:19" x14ac:dyDescent="0.25">
      <c r="P6743" s="27">
        <v>3.2548184716220556E-2</v>
      </c>
      <c r="Q6743" s="28">
        <f t="shared" si="109"/>
        <v>3.5548184716220559E-2</v>
      </c>
      <c r="R6743" s="31">
        <v>0.15939660775771733</v>
      </c>
      <c r="S6743" s="32">
        <v>0.1</v>
      </c>
    </row>
    <row r="6744" spans="16:19" x14ac:dyDescent="0.25">
      <c r="P6744" s="27">
        <v>3.2548184716220556E-2</v>
      </c>
      <c r="Q6744" s="28">
        <f t="shared" si="109"/>
        <v>3.5548184716220559E-2</v>
      </c>
      <c r="R6744" s="31">
        <v>0.15939660775771733</v>
      </c>
      <c r="S6744" s="32">
        <v>7.4999999999999997E-2</v>
      </c>
    </row>
    <row r="6745" spans="16:19" x14ac:dyDescent="0.25">
      <c r="P6745" s="27">
        <v>3.2548184716220556E-2</v>
      </c>
      <c r="Q6745" s="28">
        <f t="shared" si="109"/>
        <v>3.5548184716220559E-2</v>
      </c>
      <c r="R6745" s="31">
        <v>0.15939660775771733</v>
      </c>
      <c r="S6745" s="32">
        <v>6.4888581000000001E-2</v>
      </c>
    </row>
    <row r="6746" spans="16:19" x14ac:dyDescent="0.25">
      <c r="P6746" s="27">
        <v>3.2548184716220556E-2</v>
      </c>
      <c r="Q6746" s="28">
        <f t="shared" si="109"/>
        <v>3.5548184716220559E-2</v>
      </c>
      <c r="R6746" s="31">
        <v>0.15939660775771733</v>
      </c>
      <c r="S6746" s="32">
        <v>6.3799999999999996E-2</v>
      </c>
    </row>
    <row r="6747" spans="16:19" x14ac:dyDescent="0.25">
      <c r="P6747" s="27">
        <v>3.2548184716220556E-2</v>
      </c>
      <c r="Q6747" s="28">
        <f t="shared" si="109"/>
        <v>3.5548184716220559E-2</v>
      </c>
      <c r="R6747" s="29">
        <v>0.15003660775771735</v>
      </c>
      <c r="S6747" s="30">
        <v>5.57E-2</v>
      </c>
    </row>
    <row r="6748" spans="16:19" x14ac:dyDescent="0.25">
      <c r="P6748" s="27">
        <v>3.2548184716220556E-2</v>
      </c>
      <c r="Q6748" s="28">
        <f t="shared" si="109"/>
        <v>3.5548184716220559E-2</v>
      </c>
      <c r="R6748" s="29">
        <v>0.15003660775771735</v>
      </c>
      <c r="S6748" s="30">
        <v>5.6509999999999998E-2</v>
      </c>
    </row>
    <row r="6749" spans="16:19" x14ac:dyDescent="0.25">
      <c r="P6749" s="27">
        <v>3.2548184716220556E-2</v>
      </c>
      <c r="Q6749" s="28">
        <f t="shared" si="109"/>
        <v>3.5548184716220559E-2</v>
      </c>
      <c r="R6749" s="29">
        <v>0.15003660775771735</v>
      </c>
      <c r="S6749" s="30">
        <v>5.45E-2</v>
      </c>
    </row>
    <row r="6750" spans="16:19" x14ac:dyDescent="0.25">
      <c r="P6750" s="27">
        <v>3.2548184716220556E-2</v>
      </c>
      <c r="Q6750" s="28">
        <f t="shared" si="109"/>
        <v>3.5548184716220559E-2</v>
      </c>
      <c r="R6750" s="29">
        <v>0.15003660775771735</v>
      </c>
      <c r="S6750" s="30">
        <v>0.05</v>
      </c>
    </row>
    <row r="6751" spans="16:19" x14ac:dyDescent="0.25">
      <c r="P6751" s="27">
        <v>3.2548184716220556E-2</v>
      </c>
      <c r="Q6751" s="28">
        <f t="shared" si="109"/>
        <v>3.5548184716220559E-2</v>
      </c>
      <c r="R6751" s="29">
        <v>0.15003660775771735</v>
      </c>
      <c r="S6751" s="30">
        <v>5.3499999999999999E-2</v>
      </c>
    </row>
    <row r="6752" spans="16:19" x14ac:dyDescent="0.25">
      <c r="P6752" s="27">
        <v>3.2548184716220556E-2</v>
      </c>
      <c r="Q6752" s="28">
        <f t="shared" si="109"/>
        <v>3.5548184716220559E-2</v>
      </c>
      <c r="R6752" s="29">
        <v>0.15003660775771735</v>
      </c>
      <c r="S6752" s="30">
        <v>5.8009999999999999E-2</v>
      </c>
    </row>
    <row r="6753" spans="16:19" x14ac:dyDescent="0.25">
      <c r="P6753" s="27">
        <v>3.2548184716220556E-2</v>
      </c>
      <c r="Q6753" s="28">
        <f t="shared" si="109"/>
        <v>3.5548184716220559E-2</v>
      </c>
      <c r="R6753" s="29">
        <v>0.15003660775771735</v>
      </c>
      <c r="S6753" s="30">
        <v>6.8000000000000005E-2</v>
      </c>
    </row>
    <row r="6754" spans="16:19" x14ac:dyDescent="0.25">
      <c r="P6754" s="27">
        <v>3.2548184716220556E-2</v>
      </c>
      <c r="Q6754" s="28">
        <f t="shared" si="109"/>
        <v>3.5548184716220559E-2</v>
      </c>
      <c r="R6754" s="29">
        <v>0.15003660775771735</v>
      </c>
      <c r="S6754" s="30">
        <v>8.9686806000000008E-2</v>
      </c>
    </row>
    <row r="6755" spans="16:19" x14ac:dyDescent="0.25">
      <c r="P6755" s="27">
        <v>3.2548184716220556E-2</v>
      </c>
      <c r="Q6755" s="28">
        <f t="shared" si="109"/>
        <v>3.5548184716220559E-2</v>
      </c>
      <c r="R6755" s="31">
        <v>0.15939660775771733</v>
      </c>
      <c r="S6755" s="32">
        <v>9.3534375999999989E-2</v>
      </c>
    </row>
    <row r="6756" spans="16:19" x14ac:dyDescent="0.25">
      <c r="P6756" s="27">
        <v>3.2548184716220556E-2</v>
      </c>
      <c r="Q6756" s="28">
        <f t="shared" si="109"/>
        <v>3.5548184716220559E-2</v>
      </c>
      <c r="R6756" s="33">
        <v>0.16282860775771735</v>
      </c>
      <c r="S6756" s="34">
        <v>0.10001</v>
      </c>
    </row>
    <row r="6757" spans="16:19" x14ac:dyDescent="0.25">
      <c r="P6757" s="27">
        <v>3.2548184716220556E-2</v>
      </c>
      <c r="Q6757" s="28">
        <f t="shared" si="109"/>
        <v>3.5548184716220559E-2</v>
      </c>
      <c r="R6757" s="33">
        <v>0.16282860775771735</v>
      </c>
      <c r="S6757" s="34">
        <v>9.2320857000000006E-2</v>
      </c>
    </row>
    <row r="6758" spans="16:19" x14ac:dyDescent="0.25">
      <c r="P6758" s="27">
        <v>3.2548184716220556E-2</v>
      </c>
      <c r="Q6758" s="28">
        <f t="shared" si="109"/>
        <v>3.5548184716220559E-2</v>
      </c>
      <c r="R6758" s="33">
        <v>0.16282860775771735</v>
      </c>
      <c r="S6758" s="34">
        <v>7.9000000000000001E-2</v>
      </c>
    </row>
    <row r="6759" spans="16:19" x14ac:dyDescent="0.25">
      <c r="P6759" s="27">
        <v>3.2548184716220556E-2</v>
      </c>
      <c r="Q6759" s="28">
        <f t="shared" si="109"/>
        <v>3.5548184716220559E-2</v>
      </c>
      <c r="R6759" s="33">
        <v>0.16282860775771735</v>
      </c>
      <c r="S6759" s="34">
        <v>6.1219999999999997E-2</v>
      </c>
    </row>
    <row r="6760" spans="16:19" x14ac:dyDescent="0.25">
      <c r="P6760" s="27">
        <v>3.2548184716220556E-2</v>
      </c>
      <c r="Q6760" s="28">
        <f t="shared" si="109"/>
        <v>3.5548184716220559E-2</v>
      </c>
      <c r="R6760" s="33">
        <v>0.16282860775771735</v>
      </c>
      <c r="S6760" s="34">
        <v>6.1579999999999996E-2</v>
      </c>
    </row>
    <row r="6761" spans="16:19" x14ac:dyDescent="0.25">
      <c r="P6761" s="27">
        <v>3.2548184716220556E-2</v>
      </c>
      <c r="Q6761" s="28">
        <f t="shared" si="109"/>
        <v>3.5548184716220559E-2</v>
      </c>
      <c r="R6761" s="33">
        <v>0.16282860775771735</v>
      </c>
      <c r="S6761" s="34">
        <v>7.6054364000000013E-2</v>
      </c>
    </row>
    <row r="6762" spans="16:19" x14ac:dyDescent="0.25">
      <c r="P6762" s="27">
        <v>3.2548184716220556E-2</v>
      </c>
      <c r="Q6762" s="28">
        <f t="shared" si="109"/>
        <v>3.5548184716220559E-2</v>
      </c>
      <c r="R6762" s="33">
        <v>0.16282860775771735</v>
      </c>
      <c r="S6762" s="34">
        <v>7.9950000000000007E-2</v>
      </c>
    </row>
    <row r="6763" spans="16:19" x14ac:dyDescent="0.25">
      <c r="P6763" s="27">
        <v>3.2548184716220556E-2</v>
      </c>
      <c r="Q6763" s="28">
        <f t="shared" si="109"/>
        <v>3.5548184716220559E-2</v>
      </c>
      <c r="R6763" s="33">
        <v>0.16282860775771735</v>
      </c>
      <c r="S6763" s="34">
        <v>7.979E-2</v>
      </c>
    </row>
    <row r="6764" spans="16:19" x14ac:dyDescent="0.25">
      <c r="P6764" s="27">
        <v>3.2548184716220556E-2</v>
      </c>
      <c r="Q6764" s="28">
        <f t="shared" si="109"/>
        <v>3.5548184716220559E-2</v>
      </c>
      <c r="R6764" s="33">
        <v>0.16282860775771735</v>
      </c>
      <c r="S6764" s="34">
        <v>7.3866673000000008E-2</v>
      </c>
    </row>
    <row r="6765" spans="16:19" x14ac:dyDescent="0.25">
      <c r="P6765" s="27">
        <v>3.2548184716220556E-2</v>
      </c>
      <c r="Q6765" s="28">
        <f t="shared" si="109"/>
        <v>3.5548184716220559E-2</v>
      </c>
      <c r="R6765" s="33">
        <v>0.16282860775771735</v>
      </c>
      <c r="S6765" s="34">
        <v>7.6090000000000005E-2</v>
      </c>
    </row>
    <row r="6766" spans="16:19" x14ac:dyDescent="0.25">
      <c r="P6766" s="27">
        <v>3.2548184716220556E-2</v>
      </c>
      <c r="Q6766" s="28">
        <f t="shared" si="109"/>
        <v>3.5548184716220559E-2</v>
      </c>
      <c r="R6766" s="33">
        <v>0.16282860775771735</v>
      </c>
      <c r="S6766" s="34">
        <v>0.106614365</v>
      </c>
    </row>
    <row r="6767" spans="16:19" x14ac:dyDescent="0.25">
      <c r="P6767" s="27">
        <v>3.2548184716220556E-2</v>
      </c>
      <c r="Q6767" s="28">
        <f t="shared" si="109"/>
        <v>3.5548184716220559E-2</v>
      </c>
      <c r="R6767" s="31">
        <v>0.15939660775771733</v>
      </c>
      <c r="S6767" s="32">
        <v>7.5189999999999993E-2</v>
      </c>
    </row>
    <row r="6768" spans="16:19" x14ac:dyDescent="0.25">
      <c r="P6768" s="27">
        <v>3.2548184716220556E-2</v>
      </c>
      <c r="Q6768" s="28">
        <f t="shared" si="109"/>
        <v>3.5548184716220559E-2</v>
      </c>
      <c r="R6768" s="31">
        <v>0.15939660775771733</v>
      </c>
      <c r="S6768" s="32">
        <v>7.1999999999999995E-2</v>
      </c>
    </row>
    <row r="6769" spans="16:19" x14ac:dyDescent="0.25">
      <c r="P6769" s="27">
        <v>3.2548184716220556E-2</v>
      </c>
      <c r="Q6769" s="28">
        <f t="shared" si="109"/>
        <v>3.5548184716220559E-2</v>
      </c>
      <c r="R6769" s="31">
        <v>0.15939660775771733</v>
      </c>
      <c r="S6769" s="32">
        <v>6.1890000000000001E-2</v>
      </c>
    </row>
    <row r="6770" spans="16:19" x14ac:dyDescent="0.25">
      <c r="P6770" s="27">
        <v>3.2548184716220556E-2</v>
      </c>
      <c r="Q6770" s="28">
        <f t="shared" si="109"/>
        <v>3.5548184716220559E-2</v>
      </c>
      <c r="R6770" s="31">
        <v>0.15939660775771733</v>
      </c>
      <c r="S6770" s="32">
        <v>6.0010000000000001E-2</v>
      </c>
    </row>
    <row r="6771" spans="16:19" x14ac:dyDescent="0.25">
      <c r="P6771" s="27">
        <v>3.2548184716220556E-2</v>
      </c>
      <c r="Q6771" s="28">
        <f t="shared" si="109"/>
        <v>3.5548184716220559E-2</v>
      </c>
      <c r="R6771" s="29">
        <v>0.15003660775771735</v>
      </c>
      <c r="S6771" s="30">
        <v>5.7500000000000002E-2</v>
      </c>
    </row>
    <row r="6772" spans="16:19" x14ac:dyDescent="0.25">
      <c r="P6772" s="27">
        <v>3.2548184716220556E-2</v>
      </c>
      <c r="Q6772" s="28">
        <f t="shared" si="109"/>
        <v>3.5548184716220559E-2</v>
      </c>
      <c r="R6772" s="29">
        <v>0.15003660775771735</v>
      </c>
      <c r="S6772" s="30">
        <v>5.6502693E-2</v>
      </c>
    </row>
    <row r="6773" spans="16:19" x14ac:dyDescent="0.25">
      <c r="P6773" s="27">
        <v>3.2548184716220556E-2</v>
      </c>
      <c r="Q6773" s="28">
        <f t="shared" si="109"/>
        <v>3.5548184716220559E-2</v>
      </c>
      <c r="R6773" s="29">
        <v>0.15003660775771735</v>
      </c>
      <c r="S6773" s="30">
        <v>5.5369999999999996E-2</v>
      </c>
    </row>
    <row r="6774" spans="16:19" x14ac:dyDescent="0.25">
      <c r="P6774" s="27">
        <v>3.2548184716220556E-2</v>
      </c>
      <c r="Q6774" s="28">
        <f t="shared" si="109"/>
        <v>3.5548184716220559E-2</v>
      </c>
      <c r="R6774" s="29">
        <v>0.15003660775771735</v>
      </c>
      <c r="S6774" s="30">
        <v>5.1369999999999999E-2</v>
      </c>
    </row>
    <row r="6775" spans="16:19" x14ac:dyDescent="0.25">
      <c r="P6775" s="27">
        <v>3.2548184716220556E-2</v>
      </c>
      <c r="Q6775" s="28">
        <f t="shared" si="109"/>
        <v>3.5548184716220559E-2</v>
      </c>
      <c r="R6775" s="29">
        <v>0.15003660775771735</v>
      </c>
      <c r="S6775" s="30">
        <v>5.6989999999999999E-2</v>
      </c>
    </row>
    <row r="6776" spans="16:19" x14ac:dyDescent="0.25">
      <c r="P6776" s="27">
        <v>3.2548184716220556E-2</v>
      </c>
      <c r="Q6776" s="28">
        <f t="shared" si="109"/>
        <v>3.5548184716220559E-2</v>
      </c>
      <c r="R6776" s="29">
        <v>0.15003660775771735</v>
      </c>
      <c r="S6776" s="30">
        <v>5.7020000000000001E-2</v>
      </c>
    </row>
    <row r="6777" spans="16:19" x14ac:dyDescent="0.25">
      <c r="P6777" s="27">
        <v>3.2548184716220556E-2</v>
      </c>
      <c r="Q6777" s="28">
        <f t="shared" si="109"/>
        <v>3.5548184716220559E-2</v>
      </c>
      <c r="R6777" s="29">
        <v>0.15003660775771735</v>
      </c>
      <c r="S6777" s="30">
        <v>6.5500000000000003E-2</v>
      </c>
    </row>
    <row r="6778" spans="16:19" x14ac:dyDescent="0.25">
      <c r="P6778" s="27">
        <v>3.2548184716220556E-2</v>
      </c>
      <c r="Q6778" s="28">
        <f t="shared" si="109"/>
        <v>3.5548184716220559E-2</v>
      </c>
      <c r="R6778" s="29">
        <v>0.15003660775771735</v>
      </c>
      <c r="S6778" s="30">
        <v>7.3529999999999998E-2</v>
      </c>
    </row>
    <row r="6779" spans="16:19" x14ac:dyDescent="0.25">
      <c r="P6779" s="27">
        <v>3.2548184716220556E-2</v>
      </c>
      <c r="Q6779" s="28">
        <f t="shared" si="109"/>
        <v>3.5548184716220559E-2</v>
      </c>
      <c r="R6779" s="31">
        <v>0.15939660775771733</v>
      </c>
      <c r="S6779" s="32">
        <v>0.08</v>
      </c>
    </row>
    <row r="6780" spans="16:19" x14ac:dyDescent="0.25">
      <c r="P6780" s="27">
        <v>3.2548184716220556E-2</v>
      </c>
      <c r="Q6780" s="28">
        <f t="shared" si="109"/>
        <v>3.5548184716220559E-2</v>
      </c>
      <c r="R6780" s="33">
        <v>0.16282860775771735</v>
      </c>
      <c r="S6780" s="34">
        <v>7.6799999999999993E-2</v>
      </c>
    </row>
    <row r="6781" spans="16:19" x14ac:dyDescent="0.25">
      <c r="P6781" s="27">
        <v>3.2548184716220556E-2</v>
      </c>
      <c r="Q6781" s="28">
        <f t="shared" si="109"/>
        <v>3.5548184716220559E-2</v>
      </c>
      <c r="R6781" s="33">
        <v>0.16282860775771735</v>
      </c>
      <c r="S6781" s="34">
        <v>6.4499342000000001E-2</v>
      </c>
    </row>
    <row r="6782" spans="16:19" x14ac:dyDescent="0.25">
      <c r="P6782" s="27">
        <v>3.2548184716220556E-2</v>
      </c>
      <c r="Q6782" s="28">
        <f t="shared" si="109"/>
        <v>3.5548184716220559E-2</v>
      </c>
      <c r="R6782" s="33">
        <v>0.16282860775771735</v>
      </c>
      <c r="S6782" s="34">
        <v>6.7519999999999997E-2</v>
      </c>
    </row>
    <row r="6783" spans="16:19" x14ac:dyDescent="0.25">
      <c r="P6783" s="27">
        <v>3.2548184716220556E-2</v>
      </c>
      <c r="Q6783" s="28">
        <f t="shared" si="109"/>
        <v>3.5548184716220559E-2</v>
      </c>
      <c r="R6783" s="33">
        <v>0.16282860775771735</v>
      </c>
      <c r="S6783" s="34">
        <v>5.9880000000000003E-2</v>
      </c>
    </row>
    <row r="6784" spans="16:19" x14ac:dyDescent="0.25">
      <c r="P6784" s="27">
        <v>3.2548184716220556E-2</v>
      </c>
      <c r="Q6784" s="28">
        <f t="shared" si="109"/>
        <v>3.5548184716220559E-2</v>
      </c>
      <c r="R6784" s="33">
        <v>0.16282860775771735</v>
      </c>
      <c r="S6784" s="34">
        <v>5.7688676000000001E-2</v>
      </c>
    </row>
    <row r="6785" spans="16:19" x14ac:dyDescent="0.25">
      <c r="P6785" s="27">
        <v>3.2548184716220556E-2</v>
      </c>
      <c r="Q6785" s="28">
        <f t="shared" si="109"/>
        <v>3.5548184716220559E-2</v>
      </c>
      <c r="R6785" s="33">
        <v>0.16282860775771735</v>
      </c>
      <c r="S6785" s="34">
        <v>6.1414695999999998E-2</v>
      </c>
    </row>
    <row r="6786" spans="16:19" x14ac:dyDescent="0.25">
      <c r="P6786" s="27">
        <v>3.2548184716220556E-2</v>
      </c>
      <c r="Q6786" s="28">
        <f t="shared" si="109"/>
        <v>3.5548184716220559E-2</v>
      </c>
      <c r="R6786" s="33">
        <v>0.16282860775771735</v>
      </c>
      <c r="S6786" s="34">
        <v>6.2609999999999999E-2</v>
      </c>
    </row>
    <row r="6787" spans="16:19" x14ac:dyDescent="0.25">
      <c r="P6787" s="27">
        <v>3.2548184716220556E-2</v>
      </c>
      <c r="Q6787" s="28">
        <f t="shared" si="109"/>
        <v>3.5548184716220559E-2</v>
      </c>
      <c r="R6787" s="33">
        <v>0.16282860775771735</v>
      </c>
      <c r="S6787" s="34">
        <v>6.7339999999999997E-2</v>
      </c>
    </row>
    <row r="6788" spans="16:19" x14ac:dyDescent="0.25">
      <c r="P6788" s="27">
        <v>3.2548184716220556E-2</v>
      </c>
      <c r="Q6788" s="28">
        <f t="shared" si="109"/>
        <v>3.5548184716220559E-2</v>
      </c>
      <c r="R6788" s="33">
        <v>0.16282860775771735</v>
      </c>
      <c r="S6788" s="34">
        <v>6.5769999999999995E-2</v>
      </c>
    </row>
    <row r="6789" spans="16:19" x14ac:dyDescent="0.25">
      <c r="P6789" s="27">
        <v>3.2548184716220556E-2</v>
      </c>
      <c r="Q6789" s="28">
        <f t="shared" ref="Q6789:Q6852" si="110">P6789+0.003</f>
        <v>3.5548184716220559E-2</v>
      </c>
      <c r="R6789" s="33">
        <v>0.16282860775771735</v>
      </c>
      <c r="S6789" s="34">
        <v>7.6208675000000003E-2</v>
      </c>
    </row>
    <row r="6790" spans="16:19" x14ac:dyDescent="0.25">
      <c r="P6790" s="27">
        <v>3.2548184716220556E-2</v>
      </c>
      <c r="Q6790" s="28">
        <f t="shared" si="110"/>
        <v>3.5548184716220559E-2</v>
      </c>
      <c r="R6790" s="33">
        <v>0.16282860775771735</v>
      </c>
      <c r="S6790" s="34">
        <v>0.10112</v>
      </c>
    </row>
    <row r="6791" spans="16:19" x14ac:dyDescent="0.25">
      <c r="P6791" s="27">
        <v>3.2548184716220556E-2</v>
      </c>
      <c r="Q6791" s="28">
        <f t="shared" si="110"/>
        <v>3.5548184716220559E-2</v>
      </c>
      <c r="R6791" s="31">
        <v>0.15939660775771733</v>
      </c>
      <c r="S6791" s="32">
        <v>7.2999999999999995E-2</v>
      </c>
    </row>
    <row r="6792" spans="16:19" x14ac:dyDescent="0.25">
      <c r="P6792" s="27">
        <v>3.2548184716220556E-2</v>
      </c>
      <c r="Q6792" s="28">
        <f t="shared" si="110"/>
        <v>3.5548184716220559E-2</v>
      </c>
      <c r="R6792" s="31">
        <v>0.15939660775771733</v>
      </c>
      <c r="S6792" s="32">
        <v>6.7709999999999992E-2</v>
      </c>
    </row>
    <row r="6793" spans="16:19" x14ac:dyDescent="0.25">
      <c r="P6793" s="27">
        <v>3.2548184716220556E-2</v>
      </c>
      <c r="Q6793" s="28">
        <f t="shared" si="110"/>
        <v>3.5548184716220559E-2</v>
      </c>
      <c r="R6793" s="31">
        <v>0.15939660775771733</v>
      </c>
      <c r="S6793" s="32">
        <v>6.4000000000000001E-2</v>
      </c>
    </row>
    <row r="6794" spans="16:19" x14ac:dyDescent="0.25">
      <c r="P6794" s="27">
        <v>3.2548184716220556E-2</v>
      </c>
      <c r="Q6794" s="28">
        <f t="shared" si="110"/>
        <v>3.5548184716220559E-2</v>
      </c>
      <c r="R6794" s="31">
        <v>0.15939660775771733</v>
      </c>
      <c r="S6794" s="32">
        <v>6.019E-2</v>
      </c>
    </row>
    <row r="6795" spans="16:19" x14ac:dyDescent="0.25">
      <c r="P6795" s="27">
        <v>3.2548184716220556E-2</v>
      </c>
      <c r="Q6795" s="28">
        <f t="shared" si="110"/>
        <v>3.5548184716220559E-2</v>
      </c>
      <c r="R6795" s="29">
        <v>0.15003660775771735</v>
      </c>
      <c r="S6795" s="30">
        <v>6.0289999999999996E-2</v>
      </c>
    </row>
    <row r="6796" spans="16:19" x14ac:dyDescent="0.25">
      <c r="P6796" s="27">
        <v>3.2548184716220556E-2</v>
      </c>
      <c r="Q6796" s="28">
        <f t="shared" si="110"/>
        <v>3.5548184716220559E-2</v>
      </c>
      <c r="R6796" s="29">
        <v>0.15003660775771735</v>
      </c>
      <c r="S6796" s="30">
        <v>0.06</v>
      </c>
    </row>
    <row r="6797" spans="16:19" x14ac:dyDescent="0.25">
      <c r="P6797" s="27">
        <v>3.2548184716220556E-2</v>
      </c>
      <c r="Q6797" s="28">
        <f t="shared" si="110"/>
        <v>3.5548184716220559E-2</v>
      </c>
      <c r="R6797" s="29">
        <v>0.15003660775771735</v>
      </c>
      <c r="S6797" s="30">
        <v>5.9590000000000004E-2</v>
      </c>
    </row>
    <row r="6798" spans="16:19" x14ac:dyDescent="0.25">
      <c r="P6798" s="27">
        <v>3.2548184716220556E-2</v>
      </c>
      <c r="Q6798" s="28">
        <f t="shared" si="110"/>
        <v>3.5548184716220559E-2</v>
      </c>
      <c r="R6798" s="29">
        <v>0.15003660775771735</v>
      </c>
      <c r="S6798" s="30">
        <v>5.6000000000000001E-2</v>
      </c>
    </row>
    <row r="6799" spans="16:19" x14ac:dyDescent="0.25">
      <c r="P6799" s="27">
        <v>3.2548184716220556E-2</v>
      </c>
      <c r="Q6799" s="28">
        <f t="shared" si="110"/>
        <v>3.5548184716220559E-2</v>
      </c>
      <c r="R6799" s="29">
        <v>0.15003660775771735</v>
      </c>
      <c r="S6799" s="30">
        <v>5.7020000000000001E-2</v>
      </c>
    </row>
    <row r="6800" spans="16:19" x14ac:dyDescent="0.25">
      <c r="P6800" s="27">
        <v>3.2548184716220556E-2</v>
      </c>
      <c r="Q6800" s="28">
        <f t="shared" si="110"/>
        <v>3.5548184716220559E-2</v>
      </c>
      <c r="R6800" s="29">
        <v>0.15003660775771735</v>
      </c>
      <c r="S6800" s="30">
        <v>5.8040000000000001E-2</v>
      </c>
    </row>
    <row r="6801" spans="16:19" x14ac:dyDescent="0.25">
      <c r="P6801" s="27">
        <v>3.2548184716220556E-2</v>
      </c>
      <c r="Q6801" s="28">
        <f t="shared" si="110"/>
        <v>3.5548184716220559E-2</v>
      </c>
      <c r="R6801" s="29">
        <v>0.15003660775771735</v>
      </c>
      <c r="S6801" s="30">
        <v>6.3899999999999998E-2</v>
      </c>
    </row>
    <row r="6802" spans="16:19" x14ac:dyDescent="0.25">
      <c r="P6802" s="27">
        <v>3.2548184716220556E-2</v>
      </c>
      <c r="Q6802" s="28">
        <f t="shared" si="110"/>
        <v>3.5548184716220559E-2</v>
      </c>
      <c r="R6802" s="29">
        <v>0.15003660775771735</v>
      </c>
      <c r="S6802" s="30">
        <v>6.4431814000000004E-2</v>
      </c>
    </row>
    <row r="6803" spans="16:19" x14ac:dyDescent="0.25">
      <c r="P6803" s="27">
        <v>3.2548184716220556E-2</v>
      </c>
      <c r="Q6803" s="28">
        <f t="shared" si="110"/>
        <v>3.5548184716220559E-2</v>
      </c>
      <c r="R6803" s="31">
        <v>0.15939660775771733</v>
      </c>
      <c r="S6803" s="32">
        <v>6.8000000000000005E-2</v>
      </c>
    </row>
    <row r="6804" spans="16:19" x14ac:dyDescent="0.25">
      <c r="P6804" s="27">
        <v>3.2548184716220556E-2</v>
      </c>
      <c r="Q6804" s="28">
        <f t="shared" si="110"/>
        <v>3.5548184716220559E-2</v>
      </c>
      <c r="R6804" s="33">
        <v>0.16282860775771735</v>
      </c>
      <c r="S6804" s="34">
        <v>6.8019999999999997E-2</v>
      </c>
    </row>
    <row r="6805" spans="16:19" x14ac:dyDescent="0.25">
      <c r="P6805" s="27">
        <v>3.2548184716220556E-2</v>
      </c>
      <c r="Q6805" s="28">
        <f t="shared" si="110"/>
        <v>3.5548184716220559E-2</v>
      </c>
      <c r="R6805" s="33">
        <v>0.16282860775771735</v>
      </c>
      <c r="S6805" s="34">
        <v>6.7360000000000003E-2</v>
      </c>
    </row>
    <row r="6806" spans="16:19" x14ac:dyDescent="0.25">
      <c r="P6806" s="27">
        <v>3.2548184716220556E-2</v>
      </c>
      <c r="Q6806" s="28">
        <f t="shared" si="110"/>
        <v>3.5548184716220559E-2</v>
      </c>
      <c r="R6806" s="33">
        <v>0.16282860775771735</v>
      </c>
      <c r="S6806" s="34">
        <v>6.3380000000000006E-2</v>
      </c>
    </row>
    <row r="6807" spans="16:19" x14ac:dyDescent="0.25">
      <c r="P6807" s="27">
        <v>3.2548184716220556E-2</v>
      </c>
      <c r="Q6807" s="28">
        <f t="shared" si="110"/>
        <v>3.5548184716220559E-2</v>
      </c>
      <c r="R6807" s="33">
        <v>0.16282860775771735</v>
      </c>
      <c r="S6807" s="34">
        <v>5.7020000000000001E-2</v>
      </c>
    </row>
    <row r="6808" spans="16:19" x14ac:dyDescent="0.25">
      <c r="P6808" s="27">
        <v>3.2548184716220556E-2</v>
      </c>
      <c r="Q6808" s="28">
        <f t="shared" si="110"/>
        <v>3.5548184716220559E-2</v>
      </c>
      <c r="R6808" s="33">
        <v>0.16282860775771735</v>
      </c>
      <c r="S6808" s="34">
        <v>5.552E-2</v>
      </c>
    </row>
    <row r="6809" spans="16:19" x14ac:dyDescent="0.25">
      <c r="P6809" s="27">
        <v>3.2548184716220556E-2</v>
      </c>
      <c r="Q6809" s="28">
        <f t="shared" si="110"/>
        <v>3.5548184716220559E-2</v>
      </c>
      <c r="R6809" s="33">
        <v>0.16282860775771735</v>
      </c>
      <c r="S6809" s="34">
        <v>5.5030000000000003E-2</v>
      </c>
    </row>
    <row r="6810" spans="16:19" x14ac:dyDescent="0.25">
      <c r="P6810" s="27">
        <v>3.2548184716220556E-2</v>
      </c>
      <c r="Q6810" s="28">
        <f t="shared" si="110"/>
        <v>3.5548184716220559E-2</v>
      </c>
      <c r="R6810" s="33">
        <v>0.16282860775771735</v>
      </c>
      <c r="S6810" s="34">
        <v>5.552E-2</v>
      </c>
    </row>
    <row r="6811" spans="16:19" x14ac:dyDescent="0.25">
      <c r="P6811" s="27">
        <v>3.2548184716220556E-2</v>
      </c>
      <c r="Q6811" s="28">
        <f t="shared" si="110"/>
        <v>3.5548184716220559E-2</v>
      </c>
      <c r="R6811" s="33">
        <v>0.16282860775771735</v>
      </c>
      <c r="S6811" s="34">
        <v>5.6090000000000001E-2</v>
      </c>
    </row>
    <row r="6812" spans="16:19" x14ac:dyDescent="0.25">
      <c r="P6812" s="27">
        <v>3.2548184716220556E-2</v>
      </c>
      <c r="Q6812" s="28">
        <f t="shared" si="110"/>
        <v>3.5548184716220559E-2</v>
      </c>
      <c r="R6812" s="33">
        <v>0.16282860775771735</v>
      </c>
      <c r="S6812" s="34">
        <v>5.969E-2</v>
      </c>
    </row>
    <row r="6813" spans="16:19" x14ac:dyDescent="0.25">
      <c r="P6813" s="27">
        <v>3.2548184716220556E-2</v>
      </c>
      <c r="Q6813" s="28">
        <f t="shared" si="110"/>
        <v>3.5548184716220559E-2</v>
      </c>
      <c r="R6813" s="33">
        <v>0.16282860775771735</v>
      </c>
      <c r="S6813" s="34">
        <v>6.6650000000000001E-2</v>
      </c>
    </row>
    <row r="6814" spans="16:19" x14ac:dyDescent="0.25">
      <c r="P6814" s="27">
        <v>3.2548184716220556E-2</v>
      </c>
      <c r="Q6814" s="28">
        <f t="shared" si="110"/>
        <v>3.5548184716220559E-2</v>
      </c>
      <c r="R6814" s="33">
        <v>0.16282860775771735</v>
      </c>
      <c r="S6814" s="34">
        <v>8.3930000000000005E-2</v>
      </c>
    </row>
    <row r="6815" spans="16:19" x14ac:dyDescent="0.25">
      <c r="P6815" s="27">
        <v>3.2548184716220556E-2</v>
      </c>
      <c r="Q6815" s="28">
        <f t="shared" si="110"/>
        <v>3.5548184716220559E-2</v>
      </c>
      <c r="R6815" s="31">
        <v>0.15939660775771733</v>
      </c>
      <c r="S6815" s="32">
        <v>7.0290000000000005E-2</v>
      </c>
    </row>
    <row r="6816" spans="16:19" x14ac:dyDescent="0.25">
      <c r="P6816" s="27">
        <v>3.2548184716220556E-2</v>
      </c>
      <c r="Q6816" s="28">
        <f t="shared" si="110"/>
        <v>3.5548184716220559E-2</v>
      </c>
      <c r="R6816" s="31">
        <v>0.15939660775771733</v>
      </c>
      <c r="S6816" s="32">
        <v>6.1380000000000004E-2</v>
      </c>
    </row>
    <row r="6817" spans="16:19" x14ac:dyDescent="0.25">
      <c r="P6817" s="27">
        <v>3.2548184716220556E-2</v>
      </c>
      <c r="Q6817" s="28">
        <f t="shared" si="110"/>
        <v>3.5548184716220559E-2</v>
      </c>
      <c r="R6817" s="31">
        <v>0.15939660775771733</v>
      </c>
      <c r="S6817" s="32">
        <v>5.9990000000000002E-2</v>
      </c>
    </row>
    <row r="6818" spans="16:19" x14ac:dyDescent="0.25">
      <c r="P6818" s="27">
        <v>3.2548184716220556E-2</v>
      </c>
      <c r="Q6818" s="28">
        <f t="shared" si="110"/>
        <v>3.5548184716220559E-2</v>
      </c>
      <c r="R6818" s="31">
        <v>0.15939660775771733</v>
      </c>
      <c r="S6818" s="32">
        <v>5.7110000000000001E-2</v>
      </c>
    </row>
    <row r="6819" spans="16:19" x14ac:dyDescent="0.25">
      <c r="P6819" s="27">
        <v>3.2548184716220556E-2</v>
      </c>
      <c r="Q6819" s="28">
        <f t="shared" si="110"/>
        <v>3.5548184716220559E-2</v>
      </c>
      <c r="R6819" s="29">
        <v>0.15003660775771735</v>
      </c>
      <c r="S6819" s="30">
        <v>5.3999999999999999E-2</v>
      </c>
    </row>
    <row r="6820" spans="16:19" x14ac:dyDescent="0.25">
      <c r="P6820" s="27">
        <v>3.2548184716220556E-2</v>
      </c>
      <c r="Q6820" s="28">
        <f t="shared" si="110"/>
        <v>3.5548184716220559E-2</v>
      </c>
      <c r="R6820" s="29">
        <v>0.15003660775771735</v>
      </c>
      <c r="S6820" s="30">
        <v>5.2020000000000004E-2</v>
      </c>
    </row>
    <row r="6821" spans="16:19" x14ac:dyDescent="0.25">
      <c r="P6821" s="27">
        <v>3.2548184716220556E-2</v>
      </c>
      <c r="Q6821" s="28">
        <f t="shared" si="110"/>
        <v>3.5548184716220559E-2</v>
      </c>
      <c r="R6821" s="29">
        <v>0.15003660775771735</v>
      </c>
      <c r="S6821" s="30">
        <v>4.9540000000000001E-2</v>
      </c>
    </row>
    <row r="6822" spans="16:19" x14ac:dyDescent="0.25">
      <c r="P6822" s="27">
        <v>3.2548184716220556E-2</v>
      </c>
      <c r="Q6822" s="28">
        <f t="shared" si="110"/>
        <v>3.5548184716220559E-2</v>
      </c>
      <c r="R6822" s="29">
        <v>0.15003660775771735</v>
      </c>
      <c r="S6822" s="30">
        <v>4.5249999999999999E-2</v>
      </c>
    </row>
    <row r="6823" spans="16:19" x14ac:dyDescent="0.25">
      <c r="P6823" s="27">
        <v>3.2548184716220556E-2</v>
      </c>
      <c r="Q6823" s="28">
        <f t="shared" si="110"/>
        <v>3.5548184716220559E-2</v>
      </c>
      <c r="R6823" s="29">
        <v>0.15003660775771735</v>
      </c>
      <c r="S6823" s="30">
        <v>4.6689999999999995E-2</v>
      </c>
    </row>
    <row r="6824" spans="16:19" x14ac:dyDescent="0.25">
      <c r="P6824" s="27">
        <v>3.2548184716220556E-2</v>
      </c>
      <c r="Q6824" s="28">
        <f t="shared" si="110"/>
        <v>3.5548184716220559E-2</v>
      </c>
      <c r="R6824" s="29">
        <v>0.15003660775771735</v>
      </c>
      <c r="S6824" s="30">
        <v>4.861E-2</v>
      </c>
    </row>
    <row r="6825" spans="16:19" x14ac:dyDescent="0.25">
      <c r="P6825" s="27">
        <v>3.2548184716220556E-2</v>
      </c>
      <c r="Q6825" s="28">
        <f t="shared" si="110"/>
        <v>3.5548184716220559E-2</v>
      </c>
      <c r="R6825" s="29">
        <v>0.15003660775771735</v>
      </c>
      <c r="S6825" s="30">
        <v>5.7020000000000001E-2</v>
      </c>
    </row>
    <row r="6826" spans="16:19" x14ac:dyDescent="0.25">
      <c r="P6826" s="27">
        <v>3.2548184716220556E-2</v>
      </c>
      <c r="Q6826" s="28">
        <f t="shared" si="110"/>
        <v>3.5548184716220559E-2</v>
      </c>
      <c r="R6826" s="29">
        <v>0.15003660775771735</v>
      </c>
      <c r="S6826" s="30">
        <v>5.5E-2</v>
      </c>
    </row>
    <row r="6827" spans="16:19" x14ac:dyDescent="0.25">
      <c r="P6827" s="27">
        <v>3.2548184716220556E-2</v>
      </c>
      <c r="Q6827" s="28">
        <f t="shared" si="110"/>
        <v>3.5548184716220559E-2</v>
      </c>
      <c r="R6827" s="31">
        <v>0.15939660775771733</v>
      </c>
      <c r="S6827" s="32">
        <v>5.4679999999999999E-2</v>
      </c>
    </row>
    <row r="6828" spans="16:19" x14ac:dyDescent="0.25">
      <c r="P6828" s="27">
        <v>3.2548184716220556E-2</v>
      </c>
      <c r="Q6828" s="28">
        <f t="shared" si="110"/>
        <v>3.5548184716220559E-2</v>
      </c>
      <c r="R6828" s="33">
        <v>0.16282860775771735</v>
      </c>
      <c r="S6828" s="34">
        <v>5.7020000000000001E-2</v>
      </c>
    </row>
    <row r="6829" spans="16:19" x14ac:dyDescent="0.25">
      <c r="P6829" s="27">
        <v>3.2548184716220556E-2</v>
      </c>
      <c r="Q6829" s="28">
        <f t="shared" si="110"/>
        <v>3.5548184716220559E-2</v>
      </c>
      <c r="R6829" s="33">
        <v>0.16282860775771735</v>
      </c>
      <c r="S6829" s="34">
        <v>5.7020000000000001E-2</v>
      </c>
    </row>
    <row r="6830" spans="16:19" x14ac:dyDescent="0.25">
      <c r="P6830" s="27">
        <v>3.2548184716220556E-2</v>
      </c>
      <c r="Q6830" s="28">
        <f t="shared" si="110"/>
        <v>3.5548184716220559E-2</v>
      </c>
      <c r="R6830" s="33">
        <v>0.16282860775771735</v>
      </c>
      <c r="S6830" s="34">
        <v>5.611E-2</v>
      </c>
    </row>
    <row r="6831" spans="16:19" x14ac:dyDescent="0.25">
      <c r="P6831" s="27">
        <v>3.2548184716220556E-2</v>
      </c>
      <c r="Q6831" s="28">
        <f t="shared" si="110"/>
        <v>3.5548184716220559E-2</v>
      </c>
      <c r="R6831" s="33">
        <v>0.16282860775771735</v>
      </c>
      <c r="S6831" s="34">
        <v>5.287E-2</v>
      </c>
    </row>
    <row r="6832" spans="16:19" x14ac:dyDescent="0.25">
      <c r="P6832" s="27">
        <v>3.2548184716220556E-2</v>
      </c>
      <c r="Q6832" s="28">
        <f t="shared" si="110"/>
        <v>3.5548184716220559E-2</v>
      </c>
      <c r="R6832" s="33">
        <v>0.16282860775771735</v>
      </c>
      <c r="S6832" s="34">
        <v>4.2317698000000001E-2</v>
      </c>
    </row>
    <row r="6833" spans="16:19" x14ac:dyDescent="0.25">
      <c r="P6833" s="27">
        <v>3.2548184716220556E-2</v>
      </c>
      <c r="Q6833" s="28">
        <f t="shared" si="110"/>
        <v>3.5548184716220559E-2</v>
      </c>
      <c r="R6833" s="33">
        <v>0.16282860775771735</v>
      </c>
      <c r="S6833" s="34">
        <v>4.19E-2</v>
      </c>
    </row>
    <row r="6834" spans="16:19" x14ac:dyDescent="0.25">
      <c r="P6834" s="27">
        <v>3.2548184716220556E-2</v>
      </c>
      <c r="Q6834" s="28">
        <f t="shared" si="110"/>
        <v>3.5548184716220559E-2</v>
      </c>
      <c r="R6834" s="33">
        <v>0.16282860775771735</v>
      </c>
      <c r="S6834" s="34">
        <v>4.9280000000000004E-2</v>
      </c>
    </row>
    <row r="6835" spans="16:19" x14ac:dyDescent="0.25">
      <c r="P6835" s="27">
        <v>3.2548184716220556E-2</v>
      </c>
      <c r="Q6835" s="28">
        <f t="shared" si="110"/>
        <v>3.5548184716220559E-2</v>
      </c>
      <c r="R6835" s="33">
        <v>0.16282860775771735</v>
      </c>
      <c r="S6835" s="34">
        <v>5.2688955999999995E-2</v>
      </c>
    </row>
    <row r="6836" spans="16:19" x14ac:dyDescent="0.25">
      <c r="P6836" s="27">
        <v>3.2548184716220556E-2</v>
      </c>
      <c r="Q6836" s="28">
        <f t="shared" si="110"/>
        <v>3.5548184716220559E-2</v>
      </c>
      <c r="R6836" s="33">
        <v>0.16282860775771735</v>
      </c>
      <c r="S6836" s="34">
        <v>5.6399999999999999E-2</v>
      </c>
    </row>
    <row r="6837" spans="16:19" x14ac:dyDescent="0.25">
      <c r="P6837" s="27">
        <v>3.2548184716220556E-2</v>
      </c>
      <c r="Q6837" s="28">
        <f t="shared" si="110"/>
        <v>3.5548184716220559E-2</v>
      </c>
      <c r="R6837" s="33">
        <v>0.16282860775771735</v>
      </c>
      <c r="S6837" s="34">
        <v>6.4760000000000012E-2</v>
      </c>
    </row>
    <row r="6838" spans="16:19" x14ac:dyDescent="0.25">
      <c r="P6838" s="27">
        <v>3.2548184716220556E-2</v>
      </c>
      <c r="Q6838" s="28">
        <f t="shared" si="110"/>
        <v>3.5548184716220559E-2</v>
      </c>
      <c r="R6838" s="33">
        <v>0.16282860775771735</v>
      </c>
      <c r="S6838" s="34">
        <v>7.9000000000000001E-2</v>
      </c>
    </row>
    <row r="6839" spans="16:19" x14ac:dyDescent="0.25">
      <c r="P6839" s="27">
        <v>3.2548184716220556E-2</v>
      </c>
      <c r="Q6839" s="28">
        <f t="shared" si="110"/>
        <v>3.5548184716220559E-2</v>
      </c>
      <c r="R6839" s="31">
        <v>0.15939660775771733</v>
      </c>
      <c r="S6839" s="32">
        <v>5.7579999999999999E-2</v>
      </c>
    </row>
    <row r="6840" spans="16:19" x14ac:dyDescent="0.25">
      <c r="P6840" s="27">
        <v>3.2548184716220556E-2</v>
      </c>
      <c r="Q6840" s="28">
        <f t="shared" si="110"/>
        <v>3.5548184716220559E-2</v>
      </c>
      <c r="R6840" s="31">
        <v>0.15939660775771733</v>
      </c>
      <c r="S6840" s="32">
        <v>5.1270000000000003E-2</v>
      </c>
    </row>
    <row r="6841" spans="16:19" x14ac:dyDescent="0.25">
      <c r="P6841" s="27">
        <v>3.2548184716220556E-2</v>
      </c>
      <c r="Q6841" s="28">
        <f t="shared" si="110"/>
        <v>3.5548184716220559E-2</v>
      </c>
      <c r="R6841" s="31">
        <v>0.15939660775771733</v>
      </c>
      <c r="S6841" s="32">
        <v>4.8939999999999997E-2</v>
      </c>
    </row>
    <row r="6842" spans="16:19" x14ac:dyDescent="0.25">
      <c r="P6842" s="27">
        <v>3.2548184716220556E-2</v>
      </c>
      <c r="Q6842" s="28">
        <f t="shared" si="110"/>
        <v>3.5548184716220559E-2</v>
      </c>
      <c r="R6842" s="31">
        <v>0.15939660775771733</v>
      </c>
      <c r="S6842" s="32">
        <v>5.0470000000000001E-2</v>
      </c>
    </row>
    <row r="6843" spans="16:19" x14ac:dyDescent="0.25">
      <c r="P6843" s="27">
        <v>3.2548184716220556E-2</v>
      </c>
      <c r="Q6843" s="28">
        <f t="shared" si="110"/>
        <v>3.5548184716220559E-2</v>
      </c>
      <c r="R6843" s="29">
        <v>0.15003660775771735</v>
      </c>
      <c r="S6843" s="30">
        <v>4.3999999999999997E-2</v>
      </c>
    </row>
    <row r="6844" spans="16:19" x14ac:dyDescent="0.25">
      <c r="P6844" s="27">
        <v>3.2548184716220556E-2</v>
      </c>
      <c r="Q6844" s="28">
        <f t="shared" si="110"/>
        <v>3.5548184716220559E-2</v>
      </c>
      <c r="R6844" s="29">
        <v>0.15003660775771735</v>
      </c>
      <c r="S6844" s="30">
        <v>3.7310000000000003E-2</v>
      </c>
    </row>
    <row r="6845" spans="16:19" x14ac:dyDescent="0.25">
      <c r="P6845" s="27">
        <v>3.2548184716220556E-2</v>
      </c>
      <c r="Q6845" s="28">
        <f t="shared" si="110"/>
        <v>3.5548184716220559E-2</v>
      </c>
      <c r="R6845" s="29">
        <v>0.15003660775771735</v>
      </c>
      <c r="S6845" s="30">
        <v>3.671E-2</v>
      </c>
    </row>
    <row r="6846" spans="16:19" x14ac:dyDescent="0.25">
      <c r="P6846" s="27">
        <v>3.2548184716220556E-2</v>
      </c>
      <c r="Q6846" s="28">
        <f t="shared" si="110"/>
        <v>3.5548184716220559E-2</v>
      </c>
      <c r="R6846" s="29">
        <v>0.15003660775771735</v>
      </c>
      <c r="S6846" s="30">
        <v>3.5159511000000004E-2</v>
      </c>
    </row>
    <row r="6847" spans="16:19" x14ac:dyDescent="0.25">
      <c r="P6847" s="27">
        <v>3.2548184716220556E-2</v>
      </c>
      <c r="Q6847" s="28">
        <f t="shared" si="110"/>
        <v>3.5548184716220559E-2</v>
      </c>
      <c r="R6847" s="29">
        <v>0.15003660775771735</v>
      </c>
      <c r="S6847" s="30">
        <v>3.671E-2</v>
      </c>
    </row>
    <row r="6848" spans="16:19" x14ac:dyDescent="0.25">
      <c r="P6848" s="27">
        <v>3.2548184716220556E-2</v>
      </c>
      <c r="Q6848" s="28">
        <f t="shared" si="110"/>
        <v>3.5548184716220559E-2</v>
      </c>
      <c r="R6848" s="29">
        <v>0.15003660775771735</v>
      </c>
      <c r="S6848" s="30">
        <v>4.7600000000000003E-2</v>
      </c>
    </row>
    <row r="6849" spans="16:19" x14ac:dyDescent="0.25">
      <c r="P6849" s="27">
        <v>3.2548184716220556E-2</v>
      </c>
      <c r="Q6849" s="28">
        <f t="shared" si="110"/>
        <v>3.5548184716220559E-2</v>
      </c>
      <c r="R6849" s="29">
        <v>0.15003660775771735</v>
      </c>
      <c r="S6849" s="30">
        <v>6.0389999999999999E-2</v>
      </c>
    </row>
    <row r="6850" spans="16:19" x14ac:dyDescent="0.25">
      <c r="P6850" s="27">
        <v>3.2548184716220556E-2</v>
      </c>
      <c r="Q6850" s="28">
        <f t="shared" si="110"/>
        <v>3.5548184716220559E-2</v>
      </c>
      <c r="R6850" s="29">
        <v>0.15003660775771735</v>
      </c>
      <c r="S6850" s="30">
        <v>7.2919999999999999E-2</v>
      </c>
    </row>
    <row r="6851" spans="16:19" x14ac:dyDescent="0.25">
      <c r="P6851" s="27">
        <v>3.2548184716220556E-2</v>
      </c>
      <c r="Q6851" s="28">
        <f t="shared" si="110"/>
        <v>3.5548184716220559E-2</v>
      </c>
      <c r="R6851" s="31">
        <v>0.15939999999999999</v>
      </c>
      <c r="S6851" s="32">
        <v>7.7249999999999999E-2</v>
      </c>
    </row>
    <row r="6852" spans="16:19" x14ac:dyDescent="0.25">
      <c r="P6852" s="27">
        <v>3.2548184716220556E-2</v>
      </c>
      <c r="Q6852" s="28">
        <f t="shared" si="110"/>
        <v>3.5548184716220559E-2</v>
      </c>
      <c r="R6852" s="31">
        <v>0.15939999999999999</v>
      </c>
      <c r="S6852" s="32">
        <v>7.8609999999999999E-2</v>
      </c>
    </row>
    <row r="6853" spans="16:19" x14ac:dyDescent="0.25">
      <c r="P6853" s="27">
        <v>3.2548184716220556E-2</v>
      </c>
      <c r="Q6853" s="28">
        <f t="shared" ref="Q6853:Q6916" si="111">P6853+0.003</f>
        <v>3.5548184716220559E-2</v>
      </c>
      <c r="R6853" s="31">
        <v>0.15939999999999999</v>
      </c>
      <c r="S6853" s="32">
        <v>6.4680000000000001E-2</v>
      </c>
    </row>
    <row r="6854" spans="16:19" x14ac:dyDescent="0.25">
      <c r="P6854" s="27">
        <v>3.2548184716220556E-2</v>
      </c>
      <c r="Q6854" s="28">
        <f t="shared" si="111"/>
        <v>3.5548184716220559E-2</v>
      </c>
      <c r="R6854" s="31">
        <v>0.15939999999999999</v>
      </c>
      <c r="S6854" s="32">
        <v>6.3079999999999997E-2</v>
      </c>
    </row>
    <row r="6855" spans="16:19" x14ac:dyDescent="0.25">
      <c r="P6855" s="27">
        <v>3.2548184716220556E-2</v>
      </c>
      <c r="Q6855" s="28">
        <f t="shared" si="111"/>
        <v>3.5548184716220559E-2</v>
      </c>
      <c r="R6855" s="31">
        <v>0.15939999999999999</v>
      </c>
      <c r="S6855" s="32">
        <v>5.8999999999999997E-2</v>
      </c>
    </row>
    <row r="6856" spans="16:19" x14ac:dyDescent="0.25">
      <c r="P6856" s="27">
        <v>3.2548184716220556E-2</v>
      </c>
      <c r="Q6856" s="28">
        <f t="shared" si="111"/>
        <v>3.5548184716220559E-2</v>
      </c>
      <c r="R6856" s="31">
        <v>0.15939999999999999</v>
      </c>
      <c r="S6856" s="32">
        <v>6.0399999999999995E-2</v>
      </c>
    </row>
    <row r="6857" spans="16:19" x14ac:dyDescent="0.25">
      <c r="P6857" s="27">
        <v>3.2548184716220556E-2</v>
      </c>
      <c r="Q6857" s="28">
        <f t="shared" si="111"/>
        <v>3.5548184716220559E-2</v>
      </c>
      <c r="R6857" s="31">
        <v>0.15939999999999999</v>
      </c>
      <c r="S6857" s="32">
        <v>6.6689999999999999E-2</v>
      </c>
    </row>
    <row r="6858" spans="16:19" x14ac:dyDescent="0.25">
      <c r="P6858" s="27">
        <v>3.2548184716220556E-2</v>
      </c>
      <c r="Q6858" s="28">
        <f t="shared" si="111"/>
        <v>3.5548184716220559E-2</v>
      </c>
      <c r="R6858" s="31">
        <v>0.15939999999999999</v>
      </c>
      <c r="S6858" s="32">
        <v>6.7860000000000004E-2</v>
      </c>
    </row>
    <row r="6859" spans="16:19" x14ac:dyDescent="0.25">
      <c r="P6859" s="27">
        <v>3.2548184716220556E-2</v>
      </c>
      <c r="Q6859" s="28">
        <f t="shared" si="111"/>
        <v>3.5548184716220559E-2</v>
      </c>
      <c r="R6859" s="31">
        <v>0.15939999999999999</v>
      </c>
      <c r="S6859" s="32">
        <v>6.8720072000000007E-2</v>
      </c>
    </row>
    <row r="6860" spans="16:19" x14ac:dyDescent="0.25">
      <c r="P6860" s="27">
        <v>3.2548184716220556E-2</v>
      </c>
      <c r="Q6860" s="28">
        <f t="shared" si="111"/>
        <v>3.5548184716220559E-2</v>
      </c>
      <c r="R6860" s="31">
        <v>0.15939999999999999</v>
      </c>
      <c r="S6860" s="32">
        <v>6.8640000000000007E-2</v>
      </c>
    </row>
    <row r="6861" spans="16:19" x14ac:dyDescent="0.25">
      <c r="P6861" s="27">
        <v>3.2548184716220556E-2</v>
      </c>
      <c r="Q6861" s="28">
        <f t="shared" si="111"/>
        <v>3.5548184716220559E-2</v>
      </c>
      <c r="R6861" s="31">
        <v>0.15939999999999999</v>
      </c>
      <c r="S6861" s="32">
        <v>7.7420000000000003E-2</v>
      </c>
    </row>
    <row r="6862" spans="16:19" x14ac:dyDescent="0.25">
      <c r="P6862" s="27">
        <v>3.2548184716220556E-2</v>
      </c>
      <c r="Q6862" s="28">
        <f t="shared" si="111"/>
        <v>3.5548184716220559E-2</v>
      </c>
      <c r="R6862" s="31">
        <v>0.15939999999999999</v>
      </c>
      <c r="S6862" s="32">
        <v>9.6069999999999989E-2</v>
      </c>
    </row>
    <row r="6863" spans="16:19" x14ac:dyDescent="0.25">
      <c r="P6863" s="27">
        <v>3.2548184716220556E-2</v>
      </c>
      <c r="Q6863" s="28">
        <f t="shared" si="111"/>
        <v>3.5548184716220559E-2</v>
      </c>
      <c r="R6863" s="31">
        <v>0.15939999999999999</v>
      </c>
      <c r="S6863" s="32">
        <v>6.8849999999999995E-2</v>
      </c>
    </row>
    <row r="6864" spans="16:19" x14ac:dyDescent="0.25">
      <c r="P6864" s="27">
        <v>3.2548184716220556E-2</v>
      </c>
      <c r="Q6864" s="28">
        <f t="shared" si="111"/>
        <v>3.5548184716220559E-2</v>
      </c>
      <c r="R6864" s="31">
        <v>0.15939999999999999</v>
      </c>
      <c r="S6864" s="32">
        <v>6.409999999999999E-2</v>
      </c>
    </row>
    <row r="6865" spans="16:19" x14ac:dyDescent="0.25">
      <c r="P6865" s="27">
        <v>3.2548184716220556E-2</v>
      </c>
      <c r="Q6865" s="28">
        <f t="shared" si="111"/>
        <v>3.5548184716220559E-2</v>
      </c>
      <c r="R6865" s="31">
        <v>0.15939999999999999</v>
      </c>
      <c r="S6865" s="32">
        <v>6.0010000000000001E-2</v>
      </c>
    </row>
    <row r="6866" spans="16:19" x14ac:dyDescent="0.25">
      <c r="P6866" s="27">
        <v>3.2548184716220556E-2</v>
      </c>
      <c r="Q6866" s="28">
        <f t="shared" si="111"/>
        <v>3.5548184716220559E-2</v>
      </c>
      <c r="R6866" s="31">
        <v>0.15939999999999999</v>
      </c>
      <c r="S6866" s="32">
        <v>5.7000000000000002E-2</v>
      </c>
    </row>
    <row r="6867" spans="16:19" x14ac:dyDescent="0.25">
      <c r="P6867" s="27">
        <v>3.2548184716220556E-2</v>
      </c>
      <c r="Q6867" s="28">
        <f t="shared" si="111"/>
        <v>3.5548184716220559E-2</v>
      </c>
      <c r="R6867" s="29">
        <v>0.15</v>
      </c>
      <c r="S6867" s="30">
        <v>4.641E-2</v>
      </c>
    </row>
    <row r="6868" spans="16:19" x14ac:dyDescent="0.25">
      <c r="P6868" s="27">
        <v>3.2548184716220556E-2</v>
      </c>
      <c r="Q6868" s="28">
        <f t="shared" si="111"/>
        <v>3.5548184716220559E-2</v>
      </c>
      <c r="R6868" s="29">
        <v>0.15</v>
      </c>
      <c r="S6868" s="30">
        <v>4.5829999999999996E-2</v>
      </c>
    </row>
    <row r="6869" spans="16:19" x14ac:dyDescent="0.25">
      <c r="P6869" s="27">
        <v>3.2548184716220556E-2</v>
      </c>
      <c r="Q6869" s="28">
        <f t="shared" si="111"/>
        <v>3.5548184716220559E-2</v>
      </c>
      <c r="R6869" s="29">
        <v>0.15</v>
      </c>
      <c r="S6869" s="30">
        <v>4.0829999999999998E-2</v>
      </c>
    </row>
    <row r="6870" spans="16:19" x14ac:dyDescent="0.25">
      <c r="P6870" s="27">
        <v>3.2548184716220556E-2</v>
      </c>
      <c r="Q6870" s="28">
        <f t="shared" si="111"/>
        <v>3.5548184716220559E-2</v>
      </c>
      <c r="R6870" s="29">
        <v>0.15</v>
      </c>
      <c r="S6870" s="30">
        <v>3.8609999999999998E-2</v>
      </c>
    </row>
    <row r="6871" spans="16:19" x14ac:dyDescent="0.25">
      <c r="P6871" s="27">
        <v>3.2548184716220556E-2</v>
      </c>
      <c r="Q6871" s="28">
        <f t="shared" si="111"/>
        <v>3.5548184716220559E-2</v>
      </c>
      <c r="R6871" s="29">
        <v>0.15</v>
      </c>
      <c r="S6871" s="30">
        <v>4.403E-2</v>
      </c>
    </row>
    <row r="6872" spans="16:19" x14ac:dyDescent="0.25">
      <c r="P6872" s="27">
        <v>3.2548184716220556E-2</v>
      </c>
      <c r="Q6872" s="28">
        <f t="shared" si="111"/>
        <v>3.5548184716220559E-2</v>
      </c>
      <c r="R6872" s="29">
        <v>0.15</v>
      </c>
      <c r="S6872" s="30">
        <v>4.7100000000000003E-2</v>
      </c>
    </row>
    <row r="6873" spans="16:19" x14ac:dyDescent="0.25">
      <c r="P6873" s="27">
        <v>3.2548184716220556E-2</v>
      </c>
      <c r="Q6873" s="28">
        <f t="shared" si="111"/>
        <v>3.5548184716220559E-2</v>
      </c>
      <c r="R6873" s="29">
        <v>0.15</v>
      </c>
      <c r="S6873" s="30">
        <v>6.0299999999999999E-2</v>
      </c>
    </row>
    <row r="6874" spans="16:19" x14ac:dyDescent="0.25">
      <c r="P6874" s="27">
        <v>3.2548184716220556E-2</v>
      </c>
      <c r="Q6874" s="28">
        <f t="shared" si="111"/>
        <v>3.5548184716220559E-2</v>
      </c>
      <c r="R6874" s="29">
        <v>0.15</v>
      </c>
      <c r="S6874" s="30">
        <v>6.3039999999999999E-2</v>
      </c>
    </row>
    <row r="6875" spans="16:19" x14ac:dyDescent="0.25">
      <c r="P6875" s="27">
        <v>3.2548184716220556E-2</v>
      </c>
      <c r="Q6875" s="28">
        <f t="shared" si="111"/>
        <v>3.5548184716220559E-2</v>
      </c>
      <c r="R6875" s="29">
        <v>0.15</v>
      </c>
      <c r="S6875" s="30">
        <v>7.5999999999999998E-2</v>
      </c>
    </row>
    <row r="6876" spans="16:19" x14ac:dyDescent="0.25">
      <c r="P6876" s="27">
        <v>3.2548184716220556E-2</v>
      </c>
      <c r="Q6876" s="28">
        <f t="shared" si="111"/>
        <v>3.5548184716220559E-2</v>
      </c>
      <c r="R6876" s="29">
        <v>0.15</v>
      </c>
      <c r="S6876" s="30">
        <v>7.1999999999999995E-2</v>
      </c>
    </row>
    <row r="6877" spans="16:19" x14ac:dyDescent="0.25">
      <c r="P6877" s="27">
        <v>3.2548184716220556E-2</v>
      </c>
      <c r="Q6877" s="28">
        <f t="shared" si="111"/>
        <v>3.5548184716220559E-2</v>
      </c>
      <c r="R6877" s="29">
        <v>0.15</v>
      </c>
      <c r="S6877" s="30">
        <v>6.2310000000000004E-2</v>
      </c>
    </row>
    <row r="6878" spans="16:19" x14ac:dyDescent="0.25">
      <c r="P6878" s="27">
        <v>3.2548184716220556E-2</v>
      </c>
      <c r="Q6878" s="28">
        <f t="shared" si="111"/>
        <v>3.5548184716220559E-2</v>
      </c>
      <c r="R6878" s="29">
        <v>0.15</v>
      </c>
      <c r="S6878" s="30">
        <v>6.1149999999999996E-2</v>
      </c>
    </row>
    <row r="6879" spans="16:19" x14ac:dyDescent="0.25">
      <c r="P6879" s="27">
        <v>3.2548184716220556E-2</v>
      </c>
      <c r="Q6879" s="28">
        <f t="shared" si="111"/>
        <v>3.5548184716220559E-2</v>
      </c>
      <c r="R6879" s="29">
        <v>0.15</v>
      </c>
      <c r="S6879" s="30">
        <v>5.6060000000000006E-2</v>
      </c>
    </row>
    <row r="6880" spans="16:19" x14ac:dyDescent="0.25">
      <c r="P6880" s="27">
        <v>3.2548184716220556E-2</v>
      </c>
      <c r="Q6880" s="28">
        <f t="shared" si="111"/>
        <v>3.5548184716220559E-2</v>
      </c>
      <c r="R6880" s="29">
        <v>0.15</v>
      </c>
      <c r="S6880" s="30">
        <v>5.5549999999999995E-2</v>
      </c>
    </row>
    <row r="6881" spans="16:19" x14ac:dyDescent="0.25">
      <c r="P6881" s="27">
        <v>3.2548184716220556E-2</v>
      </c>
      <c r="Q6881" s="28">
        <f t="shared" si="111"/>
        <v>3.5548184716220559E-2</v>
      </c>
      <c r="R6881" s="29">
        <v>0.15</v>
      </c>
      <c r="S6881" s="30">
        <v>5.978E-2</v>
      </c>
    </row>
    <row r="6882" spans="16:19" x14ac:dyDescent="0.25">
      <c r="P6882" s="27">
        <v>3.2548184716220556E-2</v>
      </c>
      <c r="Q6882" s="28">
        <f t="shared" si="111"/>
        <v>3.5548184716220559E-2</v>
      </c>
      <c r="R6882" s="29">
        <v>0.15</v>
      </c>
      <c r="S6882" s="30">
        <v>6.132E-2</v>
      </c>
    </row>
    <row r="6883" spans="16:19" x14ac:dyDescent="0.25">
      <c r="P6883" s="27">
        <v>3.2548184716220556E-2</v>
      </c>
      <c r="Q6883" s="28">
        <f t="shared" si="111"/>
        <v>3.5548184716220559E-2</v>
      </c>
      <c r="R6883" s="29">
        <v>0.15</v>
      </c>
      <c r="S6883" s="30">
        <v>6.2644564999999999E-2</v>
      </c>
    </row>
    <row r="6884" spans="16:19" x14ac:dyDescent="0.25">
      <c r="P6884" s="27">
        <v>3.2548184716220556E-2</v>
      </c>
      <c r="Q6884" s="28">
        <f t="shared" si="111"/>
        <v>3.5548184716220559E-2</v>
      </c>
      <c r="R6884" s="29">
        <v>0.15</v>
      </c>
      <c r="S6884" s="30">
        <v>6.5370000000000011E-2</v>
      </c>
    </row>
    <row r="6885" spans="16:19" x14ac:dyDescent="0.25">
      <c r="P6885" s="27">
        <v>3.2548184716220556E-2</v>
      </c>
      <c r="Q6885" s="28">
        <f t="shared" si="111"/>
        <v>3.5548184716220559E-2</v>
      </c>
      <c r="R6885" s="29">
        <v>0.15</v>
      </c>
      <c r="S6885" s="30">
        <v>7.2010000000000005E-2</v>
      </c>
    </row>
    <row r="6886" spans="16:19" x14ac:dyDescent="0.25">
      <c r="P6886" s="27">
        <v>3.2548184716220556E-2</v>
      </c>
      <c r="Q6886" s="28">
        <f t="shared" si="111"/>
        <v>3.5548184716220559E-2</v>
      </c>
      <c r="R6886" s="29">
        <v>0.15</v>
      </c>
      <c r="S6886" s="30">
        <v>9.282E-2</v>
      </c>
    </row>
    <row r="6887" spans="16:19" x14ac:dyDescent="0.25">
      <c r="P6887" s="27">
        <v>3.2548184716220556E-2</v>
      </c>
      <c r="Q6887" s="28">
        <f t="shared" si="111"/>
        <v>3.5548184716220559E-2</v>
      </c>
      <c r="R6887" s="29">
        <v>0.15</v>
      </c>
      <c r="S6887" s="30">
        <v>6.7269999999999996E-2</v>
      </c>
    </row>
    <row r="6888" spans="16:19" x14ac:dyDescent="0.25">
      <c r="P6888" s="27">
        <v>3.2548184716220556E-2</v>
      </c>
      <c r="Q6888" s="28">
        <f t="shared" si="111"/>
        <v>3.5548184716220559E-2</v>
      </c>
      <c r="R6888" s="29">
        <v>0.15</v>
      </c>
      <c r="S6888" s="30">
        <v>6.216E-2</v>
      </c>
    </row>
    <row r="6889" spans="16:19" x14ac:dyDescent="0.25">
      <c r="P6889" s="27">
        <v>3.2548184716220556E-2</v>
      </c>
      <c r="Q6889" s="28">
        <f t="shared" si="111"/>
        <v>3.5548184716220559E-2</v>
      </c>
      <c r="R6889" s="29">
        <v>0.15</v>
      </c>
      <c r="S6889" s="30">
        <v>5.9990000000000002E-2</v>
      </c>
    </row>
    <row r="6890" spans="16:19" x14ac:dyDescent="0.25">
      <c r="P6890" s="27">
        <v>3.2548184716220556E-2</v>
      </c>
      <c r="Q6890" s="28">
        <f t="shared" si="111"/>
        <v>3.5548184716220559E-2</v>
      </c>
      <c r="R6890" s="29">
        <v>0.15</v>
      </c>
      <c r="S6890" s="30">
        <v>5.2990000000000002E-2</v>
      </c>
    </row>
    <row r="6891" spans="16:19" x14ac:dyDescent="0.25">
      <c r="P6891" s="27">
        <v>3.2548184716220556E-2</v>
      </c>
      <c r="Q6891" s="28">
        <f t="shared" si="111"/>
        <v>3.5548184716220559E-2</v>
      </c>
      <c r="R6891" s="29">
        <v>0.15</v>
      </c>
      <c r="S6891" s="30">
        <v>4.4490000000000002E-2</v>
      </c>
    </row>
    <row r="6892" spans="16:19" x14ac:dyDescent="0.25">
      <c r="P6892" s="27">
        <v>3.2548184716220556E-2</v>
      </c>
      <c r="Q6892" s="28">
        <f t="shared" si="111"/>
        <v>3.5548184716220559E-2</v>
      </c>
      <c r="R6892" s="29">
        <v>0.15</v>
      </c>
      <c r="S6892" s="30">
        <v>4.3880000000000002E-2</v>
      </c>
    </row>
    <row r="6893" spans="16:19" x14ac:dyDescent="0.25">
      <c r="P6893" s="27">
        <v>3.2548184716220556E-2</v>
      </c>
      <c r="Q6893" s="28">
        <f t="shared" si="111"/>
        <v>3.5548184716220559E-2</v>
      </c>
      <c r="R6893" s="29">
        <v>0.15</v>
      </c>
      <c r="S6893" s="30">
        <v>3.8710000000000001E-2</v>
      </c>
    </row>
    <row r="6894" spans="16:19" x14ac:dyDescent="0.25">
      <c r="P6894" s="27">
        <v>3.2548184716220556E-2</v>
      </c>
      <c r="Q6894" s="28">
        <f t="shared" si="111"/>
        <v>3.5548184716220559E-2</v>
      </c>
      <c r="R6894" s="29">
        <v>0.15</v>
      </c>
      <c r="S6894" s="30">
        <v>3.5439999999999999E-2</v>
      </c>
    </row>
    <row r="6895" spans="16:19" x14ac:dyDescent="0.25">
      <c r="P6895" s="27">
        <v>3.2548184716220556E-2</v>
      </c>
      <c r="Q6895" s="28">
        <f t="shared" si="111"/>
        <v>3.5548184716220559E-2</v>
      </c>
      <c r="R6895" s="29">
        <v>0.15</v>
      </c>
      <c r="S6895" s="30">
        <v>3.7469999999999996E-2</v>
      </c>
    </row>
    <row r="6896" spans="16:19" x14ac:dyDescent="0.25">
      <c r="P6896" s="27">
        <v>3.2548184716220556E-2</v>
      </c>
      <c r="Q6896" s="28">
        <f t="shared" si="111"/>
        <v>3.5548184716220559E-2</v>
      </c>
      <c r="R6896" s="29">
        <v>0.15</v>
      </c>
      <c r="S6896" s="30">
        <v>4.2054777000000002E-2</v>
      </c>
    </row>
    <row r="6897" spans="16:19" x14ac:dyDescent="0.25">
      <c r="P6897" s="27">
        <v>3.2548184716220556E-2</v>
      </c>
      <c r="Q6897" s="28">
        <f t="shared" si="111"/>
        <v>3.5548184716220559E-2</v>
      </c>
      <c r="R6897" s="29">
        <v>0.15</v>
      </c>
      <c r="S6897" s="30">
        <v>5.4100000000000002E-2</v>
      </c>
    </row>
    <row r="6898" spans="16:19" x14ac:dyDescent="0.25">
      <c r="P6898" s="27">
        <v>3.2548184716220556E-2</v>
      </c>
      <c r="Q6898" s="28">
        <f t="shared" si="111"/>
        <v>3.5548184716220559E-2</v>
      </c>
      <c r="R6898" s="29">
        <v>0.15</v>
      </c>
      <c r="S6898" s="30">
        <v>5.9760000000000001E-2</v>
      </c>
    </row>
    <row r="6899" spans="16:19" x14ac:dyDescent="0.25">
      <c r="P6899" s="27">
        <v>3.2548184716220556E-2</v>
      </c>
      <c r="Q6899" s="28">
        <f t="shared" si="111"/>
        <v>3.5548184716220559E-2</v>
      </c>
      <c r="R6899" s="31">
        <v>0.15939660775771733</v>
      </c>
      <c r="S6899" s="32">
        <v>6.9000000000000006E-2</v>
      </c>
    </row>
    <row r="6900" spans="16:19" x14ac:dyDescent="0.25">
      <c r="P6900" s="27">
        <v>3.2548184716220556E-2</v>
      </c>
      <c r="Q6900" s="28">
        <f t="shared" si="111"/>
        <v>3.5548184716220559E-2</v>
      </c>
      <c r="R6900" s="33">
        <v>0.16282860775771735</v>
      </c>
      <c r="S6900" s="34">
        <v>6.7769999999999997E-2</v>
      </c>
    </row>
    <row r="6901" spans="16:19" x14ac:dyDescent="0.25">
      <c r="P6901" s="27">
        <v>3.2548184716220556E-2</v>
      </c>
      <c r="Q6901" s="28">
        <f t="shared" si="111"/>
        <v>3.5548184716220559E-2</v>
      </c>
      <c r="R6901" s="33">
        <v>0.16282860775771735</v>
      </c>
      <c r="S6901" s="34">
        <v>6.3E-2</v>
      </c>
    </row>
    <row r="6902" spans="16:19" x14ac:dyDescent="0.25">
      <c r="P6902" s="27">
        <v>3.2548184716220556E-2</v>
      </c>
      <c r="Q6902" s="28">
        <f t="shared" si="111"/>
        <v>3.5548184716220559E-2</v>
      </c>
      <c r="R6902" s="33">
        <v>0.16282860775771735</v>
      </c>
      <c r="S6902" s="34">
        <v>6.0370595999999999E-2</v>
      </c>
    </row>
    <row r="6903" spans="16:19" x14ac:dyDescent="0.25">
      <c r="P6903" s="27">
        <v>3.2548184716220556E-2</v>
      </c>
      <c r="Q6903" s="28">
        <f t="shared" si="111"/>
        <v>3.5548184716220559E-2</v>
      </c>
      <c r="R6903" s="33">
        <v>0.16282860775771735</v>
      </c>
      <c r="S6903" s="34">
        <v>5.5526218000000002E-2</v>
      </c>
    </row>
    <row r="6904" spans="16:19" x14ac:dyDescent="0.25">
      <c r="P6904" s="27">
        <v>3.2548184716220556E-2</v>
      </c>
      <c r="Q6904" s="28">
        <f t="shared" si="111"/>
        <v>3.5548184716220559E-2</v>
      </c>
      <c r="R6904" s="33">
        <v>0.16282860775771735</v>
      </c>
      <c r="S6904" s="34">
        <v>5.525E-2</v>
      </c>
    </row>
    <row r="6905" spans="16:19" x14ac:dyDescent="0.25">
      <c r="P6905" s="27">
        <v>3.2548184716220556E-2</v>
      </c>
      <c r="Q6905" s="28">
        <f t="shared" si="111"/>
        <v>3.5548184716220559E-2</v>
      </c>
      <c r="R6905" s="33">
        <v>0.16282860775771735</v>
      </c>
      <c r="S6905" s="34">
        <v>5.7200000000000001E-2</v>
      </c>
    </row>
    <row r="6906" spans="16:19" x14ac:dyDescent="0.25">
      <c r="P6906" s="27">
        <v>3.2548184716220556E-2</v>
      </c>
      <c r="Q6906" s="28">
        <f t="shared" si="111"/>
        <v>3.5548184716220559E-2</v>
      </c>
      <c r="R6906" s="33">
        <v>0.16282860775771735</v>
      </c>
      <c r="S6906" s="34">
        <v>5.9990000000000002E-2</v>
      </c>
    </row>
    <row r="6907" spans="16:19" x14ac:dyDescent="0.25">
      <c r="P6907" s="27">
        <v>3.2548184716220556E-2</v>
      </c>
      <c r="Q6907" s="28">
        <f t="shared" si="111"/>
        <v>3.5548184716220559E-2</v>
      </c>
      <c r="R6907" s="33">
        <v>0.16282860775771735</v>
      </c>
      <c r="S6907" s="34">
        <v>6.5780000000000005E-2</v>
      </c>
    </row>
    <row r="6908" spans="16:19" x14ac:dyDescent="0.25">
      <c r="P6908" s="27">
        <v>3.2548184716220556E-2</v>
      </c>
      <c r="Q6908" s="28">
        <f t="shared" si="111"/>
        <v>3.5548184716220559E-2</v>
      </c>
      <c r="R6908" s="33">
        <v>0.16282860775771735</v>
      </c>
      <c r="S6908" s="34">
        <v>6.4000000000000001E-2</v>
      </c>
    </row>
    <row r="6909" spans="16:19" x14ac:dyDescent="0.25">
      <c r="P6909" s="27">
        <v>3.2548184716220556E-2</v>
      </c>
      <c r="Q6909" s="28">
        <f t="shared" si="111"/>
        <v>3.5548184716220559E-2</v>
      </c>
      <c r="R6909" s="33">
        <v>0.16282860775771735</v>
      </c>
      <c r="S6909" s="34">
        <v>6.7390000000000005E-2</v>
      </c>
    </row>
    <row r="6910" spans="16:19" x14ac:dyDescent="0.25">
      <c r="P6910" s="27">
        <v>3.2548184716220556E-2</v>
      </c>
      <c r="Q6910" s="28">
        <f t="shared" si="111"/>
        <v>3.5548184716220559E-2</v>
      </c>
      <c r="R6910" s="33">
        <v>0.16282860775771735</v>
      </c>
      <c r="S6910" s="34">
        <v>8.3239999999999995E-2</v>
      </c>
    </row>
    <row r="6911" spans="16:19" x14ac:dyDescent="0.25">
      <c r="P6911" s="27">
        <v>3.2548184716220556E-2</v>
      </c>
      <c r="Q6911" s="28">
        <f t="shared" si="111"/>
        <v>3.5548184716220559E-2</v>
      </c>
      <c r="R6911" s="31">
        <v>0.15939660775771733</v>
      </c>
      <c r="S6911" s="32">
        <v>5.9990000000000002E-2</v>
      </c>
    </row>
    <row r="6912" spans="16:19" x14ac:dyDescent="0.25">
      <c r="P6912" s="27">
        <v>3.2548184716220556E-2</v>
      </c>
      <c r="Q6912" s="28">
        <f t="shared" si="111"/>
        <v>3.5548184716220559E-2</v>
      </c>
      <c r="R6912" s="31">
        <v>0.15939660775771733</v>
      </c>
      <c r="S6912" s="32">
        <v>5.8340000000000003E-2</v>
      </c>
    </row>
    <row r="6913" spans="16:19" x14ac:dyDescent="0.25">
      <c r="P6913" s="27">
        <v>3.2548184716220556E-2</v>
      </c>
      <c r="Q6913" s="28">
        <f t="shared" si="111"/>
        <v>3.5548184716220559E-2</v>
      </c>
      <c r="R6913" s="31">
        <v>0.15939660775771733</v>
      </c>
      <c r="S6913" s="32">
        <v>5.5100000000000003E-2</v>
      </c>
    </row>
    <row r="6914" spans="16:19" x14ac:dyDescent="0.25">
      <c r="P6914" s="27">
        <v>3.2548184716220556E-2</v>
      </c>
      <c r="Q6914" s="28">
        <f t="shared" si="111"/>
        <v>3.5548184716220559E-2</v>
      </c>
      <c r="R6914" s="31">
        <v>0.15939660775771733</v>
      </c>
      <c r="S6914" s="32">
        <v>4.5990000000000003E-2</v>
      </c>
    </row>
    <row r="6915" spans="16:19" x14ac:dyDescent="0.25">
      <c r="P6915" s="27">
        <v>3.2548184716220556E-2</v>
      </c>
      <c r="Q6915" s="28">
        <f t="shared" si="111"/>
        <v>3.5548184716220559E-2</v>
      </c>
      <c r="R6915" s="29">
        <v>0.15003660775771735</v>
      </c>
      <c r="S6915" s="30">
        <v>4.165E-2</v>
      </c>
    </row>
    <row r="6916" spans="16:19" x14ac:dyDescent="0.25">
      <c r="P6916" s="27">
        <v>3.2548184716220556E-2</v>
      </c>
      <c r="Q6916" s="28">
        <f t="shared" si="111"/>
        <v>3.5548184716220559E-2</v>
      </c>
      <c r="R6916" s="29">
        <v>0.15003660775771735</v>
      </c>
      <c r="S6916" s="30">
        <v>3.7469999999999996E-2</v>
      </c>
    </row>
    <row r="6917" spans="16:19" x14ac:dyDescent="0.25">
      <c r="P6917" s="27">
        <v>3.2548184716220556E-2</v>
      </c>
      <c r="Q6917" s="28">
        <f t="shared" ref="Q6917:Q6980" si="112">P6917+0.003</f>
        <v>3.5548184716220559E-2</v>
      </c>
      <c r="R6917" s="29">
        <v>0.15003660775771735</v>
      </c>
      <c r="S6917" s="30">
        <v>3.5340000000000003E-2</v>
      </c>
    </row>
    <row r="6918" spans="16:19" x14ac:dyDescent="0.25">
      <c r="P6918" s="27">
        <v>3.2548184716220556E-2</v>
      </c>
      <c r="Q6918" s="28">
        <f t="shared" si="112"/>
        <v>3.5548184716220559E-2</v>
      </c>
      <c r="R6918" s="29">
        <v>0.15003660775771735</v>
      </c>
      <c r="S6918" s="30">
        <v>3.5000000000000003E-2</v>
      </c>
    </row>
    <row r="6919" spans="16:19" x14ac:dyDescent="0.25">
      <c r="P6919" s="27">
        <v>3.2548184716220556E-2</v>
      </c>
      <c r="Q6919" s="28">
        <f t="shared" si="112"/>
        <v>3.5548184716220559E-2</v>
      </c>
      <c r="R6919" s="29">
        <v>0.15003660775771735</v>
      </c>
      <c r="S6919" s="30">
        <v>3.5439999999999999E-2</v>
      </c>
    </row>
    <row r="6920" spans="16:19" x14ac:dyDescent="0.25">
      <c r="P6920" s="27">
        <v>3.2548184716220556E-2</v>
      </c>
      <c r="Q6920" s="28">
        <f t="shared" si="112"/>
        <v>3.5548184716220559E-2</v>
      </c>
      <c r="R6920" s="29">
        <v>0.15003660775771735</v>
      </c>
      <c r="S6920" s="30">
        <v>4.2000000000000003E-2</v>
      </c>
    </row>
    <row r="6921" spans="16:19" x14ac:dyDescent="0.25">
      <c r="P6921" s="27">
        <v>3.2548184716220556E-2</v>
      </c>
      <c r="Q6921" s="28">
        <f t="shared" si="112"/>
        <v>3.5548184716220559E-2</v>
      </c>
      <c r="R6921" s="29">
        <v>0.15003660775771735</v>
      </c>
      <c r="S6921" s="30">
        <v>5.2499999999999998E-2</v>
      </c>
    </row>
    <row r="6922" spans="16:19" x14ac:dyDescent="0.25">
      <c r="P6922" s="27">
        <v>3.2548184716220556E-2</v>
      </c>
      <c r="Q6922" s="28">
        <f t="shared" si="112"/>
        <v>3.5548184716220559E-2</v>
      </c>
      <c r="R6922" s="29">
        <v>0.15003660775771735</v>
      </c>
      <c r="S6922" s="30">
        <v>5.9990000000000002E-2</v>
      </c>
    </row>
    <row r="6923" spans="16:19" x14ac:dyDescent="0.25">
      <c r="P6923" s="27">
        <v>3.2548184716220556E-2</v>
      </c>
      <c r="Q6923" s="28">
        <f t="shared" si="112"/>
        <v>3.5548184716220559E-2</v>
      </c>
      <c r="R6923" s="31">
        <v>0.15939660775771733</v>
      </c>
      <c r="S6923" s="32">
        <v>6.6189999999999999E-2</v>
      </c>
    </row>
    <row r="6924" spans="16:19" x14ac:dyDescent="0.25">
      <c r="P6924" s="27">
        <v>3.2548184716220556E-2</v>
      </c>
      <c r="Q6924" s="28">
        <f t="shared" si="112"/>
        <v>3.5548184716220559E-2</v>
      </c>
      <c r="R6924" s="33">
        <v>0.16282860775771735</v>
      </c>
      <c r="S6924" s="34">
        <v>6.5799999999999997E-2</v>
      </c>
    </row>
    <row r="6925" spans="16:19" x14ac:dyDescent="0.25">
      <c r="P6925" s="27">
        <v>3.2548184716220556E-2</v>
      </c>
      <c r="Q6925" s="28">
        <f t="shared" si="112"/>
        <v>3.5548184716220559E-2</v>
      </c>
      <c r="R6925" s="33">
        <v>0.16282860775771735</v>
      </c>
      <c r="S6925" s="34">
        <v>6.2E-2</v>
      </c>
    </row>
    <row r="6926" spans="16:19" x14ac:dyDescent="0.25">
      <c r="P6926" s="27">
        <v>3.2548184716220556E-2</v>
      </c>
      <c r="Q6926" s="28">
        <f t="shared" si="112"/>
        <v>3.5548184716220559E-2</v>
      </c>
      <c r="R6926" s="33">
        <v>0.16282860775771735</v>
      </c>
      <c r="S6926" s="34">
        <v>5.8700000000000002E-2</v>
      </c>
    </row>
    <row r="6927" spans="16:19" x14ac:dyDescent="0.25">
      <c r="P6927" s="27">
        <v>3.2548184716220556E-2</v>
      </c>
      <c r="Q6927" s="28">
        <f t="shared" si="112"/>
        <v>3.5548184716220559E-2</v>
      </c>
      <c r="R6927" s="33">
        <v>0.16282860775771735</v>
      </c>
      <c r="S6927" s="34">
        <v>5.3079999999999995E-2</v>
      </c>
    </row>
    <row r="6928" spans="16:19" x14ac:dyDescent="0.25">
      <c r="P6928" s="27">
        <v>3.2548184716220556E-2</v>
      </c>
      <c r="Q6928" s="28">
        <f t="shared" si="112"/>
        <v>3.5548184716220559E-2</v>
      </c>
      <c r="R6928" s="33">
        <v>0.16282860775771735</v>
      </c>
      <c r="S6928" s="34">
        <v>5.1369999999999999E-2</v>
      </c>
    </row>
    <row r="6929" spans="16:19" x14ac:dyDescent="0.25">
      <c r="P6929" s="27">
        <v>3.2548184716220556E-2</v>
      </c>
      <c r="Q6929" s="28">
        <f t="shared" si="112"/>
        <v>3.5548184716220559E-2</v>
      </c>
      <c r="R6929" s="33">
        <v>0.16282860775771735</v>
      </c>
      <c r="S6929" s="34">
        <v>5.1499999999999997E-2</v>
      </c>
    </row>
    <row r="6930" spans="16:19" x14ac:dyDescent="0.25">
      <c r="P6930" s="27">
        <v>3.2548184716220556E-2</v>
      </c>
      <c r="Q6930" s="28">
        <f t="shared" si="112"/>
        <v>3.5548184716220559E-2</v>
      </c>
      <c r="R6930" s="33">
        <v>0.16282860775771735</v>
      </c>
      <c r="S6930" s="34">
        <v>5.6719236999999999E-2</v>
      </c>
    </row>
    <row r="6931" spans="16:19" x14ac:dyDescent="0.25">
      <c r="P6931" s="27">
        <v>3.2548184716220556E-2</v>
      </c>
      <c r="Q6931" s="28">
        <f t="shared" si="112"/>
        <v>3.5548184716220559E-2</v>
      </c>
      <c r="R6931" s="33">
        <v>0.16282860775771735</v>
      </c>
      <c r="S6931" s="34">
        <v>6.1439999999999995E-2</v>
      </c>
    </row>
    <row r="6932" spans="16:19" x14ac:dyDescent="0.25">
      <c r="P6932" s="27">
        <v>3.2548184716220556E-2</v>
      </c>
      <c r="Q6932" s="28">
        <f t="shared" si="112"/>
        <v>3.5548184716220559E-2</v>
      </c>
      <c r="R6932" s="33">
        <v>0.16282860775771735</v>
      </c>
      <c r="S6932" s="34">
        <v>6.2E-2</v>
      </c>
    </row>
    <row r="6933" spans="16:19" x14ac:dyDescent="0.25">
      <c r="P6933" s="27">
        <v>3.2548184716220556E-2</v>
      </c>
      <c r="Q6933" s="28">
        <f t="shared" si="112"/>
        <v>3.5548184716220559E-2</v>
      </c>
      <c r="R6933" s="33">
        <v>0.16282860775771735</v>
      </c>
      <c r="S6933" s="34">
        <v>6.2899999999999998E-2</v>
      </c>
    </row>
    <row r="6934" spans="16:19" x14ac:dyDescent="0.25">
      <c r="P6934" s="27">
        <v>3.2548184716220556E-2</v>
      </c>
      <c r="Q6934" s="28">
        <f t="shared" si="112"/>
        <v>3.5548184716220559E-2</v>
      </c>
      <c r="R6934" s="33">
        <v>0.16282860775771735</v>
      </c>
      <c r="S6934" s="34">
        <v>7.6239999999999988E-2</v>
      </c>
    </row>
    <row r="6935" spans="16:19" x14ac:dyDescent="0.25">
      <c r="P6935" s="27">
        <v>3.2548184716220556E-2</v>
      </c>
      <c r="Q6935" s="28">
        <f t="shared" si="112"/>
        <v>3.5548184716220559E-2</v>
      </c>
      <c r="R6935" s="31">
        <v>0.15939660775771733</v>
      </c>
      <c r="S6935" s="32">
        <v>5.8459999999999998E-2</v>
      </c>
    </row>
    <row r="6936" spans="16:19" x14ac:dyDescent="0.25">
      <c r="P6936" s="27">
        <v>3.2548184716220556E-2</v>
      </c>
      <c r="Q6936" s="28">
        <f t="shared" si="112"/>
        <v>3.5548184716220559E-2</v>
      </c>
      <c r="R6936" s="31">
        <v>0.15939660775771733</v>
      </c>
      <c r="S6936" s="32">
        <v>5.3069999999999999E-2</v>
      </c>
    </row>
    <row r="6937" spans="16:19" x14ac:dyDescent="0.25">
      <c r="P6937" s="27">
        <v>3.2548184716220556E-2</v>
      </c>
      <c r="Q6937" s="28">
        <f t="shared" si="112"/>
        <v>3.5548184716220559E-2</v>
      </c>
      <c r="R6937" s="31">
        <v>0.15939660775771733</v>
      </c>
      <c r="S6937" s="32">
        <v>4.8287602999999998E-2</v>
      </c>
    </row>
    <row r="6938" spans="16:19" x14ac:dyDescent="0.25">
      <c r="P6938" s="27">
        <v>3.2548184716220556E-2</v>
      </c>
      <c r="Q6938" s="28">
        <f t="shared" si="112"/>
        <v>3.5548184716220559E-2</v>
      </c>
      <c r="R6938" s="31">
        <v>0.15939660775771733</v>
      </c>
      <c r="S6938" s="32">
        <v>4.5990000000000003E-2</v>
      </c>
    </row>
    <row r="6939" spans="16:19" x14ac:dyDescent="0.25">
      <c r="P6939" s="27">
        <v>3.2548184716220556E-2</v>
      </c>
      <c r="Q6939" s="28">
        <f t="shared" si="112"/>
        <v>3.5548184716220559E-2</v>
      </c>
      <c r="R6939" s="29">
        <v>0.15003660775771735</v>
      </c>
      <c r="S6939" s="30">
        <v>4.2787692000000002E-2</v>
      </c>
    </row>
    <row r="6940" spans="16:19" x14ac:dyDescent="0.25">
      <c r="P6940" s="27">
        <v>3.2548184716220556E-2</v>
      </c>
      <c r="Q6940" s="28">
        <f t="shared" si="112"/>
        <v>3.5548184716220559E-2</v>
      </c>
      <c r="R6940" s="29">
        <v>0.15003660775771735</v>
      </c>
      <c r="S6940" s="30">
        <v>3.8950179000000001E-2</v>
      </c>
    </row>
    <row r="6941" spans="16:19" x14ac:dyDescent="0.25">
      <c r="P6941" s="27">
        <v>3.2548184716220556E-2</v>
      </c>
      <c r="Q6941" s="28">
        <f t="shared" si="112"/>
        <v>3.5548184716220559E-2</v>
      </c>
      <c r="R6941" s="29">
        <v>0.15003660775771735</v>
      </c>
      <c r="S6941" s="30">
        <v>3.6209999999999999E-2</v>
      </c>
    </row>
    <row r="6942" spans="16:19" x14ac:dyDescent="0.25">
      <c r="P6942" s="27">
        <v>3.2548184716220556E-2</v>
      </c>
      <c r="Q6942" s="28">
        <f t="shared" si="112"/>
        <v>3.5548184716220559E-2</v>
      </c>
      <c r="R6942" s="29">
        <v>0.15003660775771735</v>
      </c>
      <c r="S6942" s="30">
        <v>3.5000000000000003E-2</v>
      </c>
    </row>
    <row r="6943" spans="16:19" x14ac:dyDescent="0.25">
      <c r="P6943" s="27">
        <v>3.2548184716220556E-2</v>
      </c>
      <c r="Q6943" s="28">
        <f t="shared" si="112"/>
        <v>3.5548184716220559E-2</v>
      </c>
      <c r="R6943" s="29">
        <v>0.15003660775771735</v>
      </c>
      <c r="S6943" s="30">
        <v>3.4470000000000001E-2</v>
      </c>
    </row>
    <row r="6944" spans="16:19" x14ac:dyDescent="0.25">
      <c r="P6944" s="27">
        <v>3.2548184716220556E-2</v>
      </c>
      <c r="Q6944" s="28">
        <f t="shared" si="112"/>
        <v>3.5548184716220559E-2</v>
      </c>
      <c r="R6944" s="29">
        <v>0.15003660775771735</v>
      </c>
      <c r="S6944" s="30">
        <v>4.3999999999999997E-2</v>
      </c>
    </row>
    <row r="6945" spans="16:19" x14ac:dyDescent="0.25">
      <c r="P6945" s="27">
        <v>3.2548184716220556E-2</v>
      </c>
      <c r="Q6945" s="28">
        <f t="shared" si="112"/>
        <v>3.5548184716220559E-2</v>
      </c>
      <c r="R6945" s="29">
        <v>0.15003660775771735</v>
      </c>
      <c r="S6945" s="30">
        <v>5.2499999999999998E-2</v>
      </c>
    </row>
    <row r="6946" spans="16:19" x14ac:dyDescent="0.25">
      <c r="P6946" s="27">
        <v>3.2548184716220556E-2</v>
      </c>
      <c r="Q6946" s="28">
        <f t="shared" si="112"/>
        <v>3.5548184716220559E-2</v>
      </c>
      <c r="R6946" s="29">
        <v>0.15003660775771735</v>
      </c>
      <c r="S6946" s="30">
        <v>6.1090000000000005E-2</v>
      </c>
    </row>
    <row r="6947" spans="16:19" x14ac:dyDescent="0.25">
      <c r="P6947" s="27">
        <v>3.2548184716220556E-2</v>
      </c>
      <c r="Q6947" s="28">
        <f t="shared" si="112"/>
        <v>3.5548184716220559E-2</v>
      </c>
      <c r="R6947" s="31">
        <v>0.15939660775771733</v>
      </c>
      <c r="S6947" s="32">
        <v>6.9529999999999995E-2</v>
      </c>
    </row>
    <row r="6948" spans="16:19" x14ac:dyDescent="0.25">
      <c r="P6948" s="27">
        <v>3.2548184716220556E-2</v>
      </c>
      <c r="Q6948" s="28">
        <f t="shared" si="112"/>
        <v>3.5548184716220559E-2</v>
      </c>
      <c r="R6948" s="33">
        <v>0.16282860775771735</v>
      </c>
      <c r="S6948" s="34">
        <v>6.9000000000000006E-2</v>
      </c>
    </row>
    <row r="6949" spans="16:19" x14ac:dyDescent="0.25">
      <c r="P6949" s="27">
        <v>3.2548184716220556E-2</v>
      </c>
      <c r="Q6949" s="28">
        <f t="shared" si="112"/>
        <v>3.5548184716220559E-2</v>
      </c>
      <c r="R6949" s="33">
        <v>0.16282860775771735</v>
      </c>
      <c r="S6949" s="34">
        <v>6.3009999999999997E-2</v>
      </c>
    </row>
    <row r="6950" spans="16:19" x14ac:dyDescent="0.25">
      <c r="P6950" s="27">
        <v>3.2548184716220556E-2</v>
      </c>
      <c r="Q6950" s="28">
        <f t="shared" si="112"/>
        <v>3.5548184716220559E-2</v>
      </c>
      <c r="R6950" s="33">
        <v>0.16282860775771735</v>
      </c>
      <c r="S6950" s="34">
        <v>6.1399999999999996E-2</v>
      </c>
    </row>
    <row r="6951" spans="16:19" x14ac:dyDescent="0.25">
      <c r="P6951" s="27">
        <v>3.2548184716220556E-2</v>
      </c>
      <c r="Q6951" s="28">
        <f t="shared" si="112"/>
        <v>3.5548184716220559E-2</v>
      </c>
      <c r="R6951" s="33">
        <v>0.16282860775771735</v>
      </c>
      <c r="S6951" s="34">
        <v>5.305E-2</v>
      </c>
    </row>
    <row r="6952" spans="16:19" x14ac:dyDescent="0.25">
      <c r="P6952" s="27">
        <v>3.2548184716220556E-2</v>
      </c>
      <c r="Q6952" s="28">
        <f t="shared" si="112"/>
        <v>3.5548184716220559E-2</v>
      </c>
      <c r="R6952" s="33">
        <v>0.16282860775771735</v>
      </c>
      <c r="S6952" s="34">
        <v>5.0189999999999999E-2</v>
      </c>
    </row>
    <row r="6953" spans="16:19" x14ac:dyDescent="0.25">
      <c r="P6953" s="27">
        <v>3.2548184716220556E-2</v>
      </c>
      <c r="Q6953" s="28">
        <f t="shared" si="112"/>
        <v>3.5548184716220559E-2</v>
      </c>
      <c r="R6953" s="33">
        <v>0.16282860775771735</v>
      </c>
      <c r="S6953" s="34">
        <v>5.1209999999999999E-2</v>
      </c>
    </row>
    <row r="6954" spans="16:19" x14ac:dyDescent="0.25">
      <c r="P6954" s="27">
        <v>3.2548184716220556E-2</v>
      </c>
      <c r="Q6954" s="28">
        <f t="shared" si="112"/>
        <v>3.5548184716220559E-2</v>
      </c>
      <c r="R6954" s="33">
        <v>0.16282860775771735</v>
      </c>
      <c r="S6954" s="34">
        <v>5.5799999999999995E-2</v>
      </c>
    </row>
    <row r="6955" spans="16:19" x14ac:dyDescent="0.25">
      <c r="P6955" s="27">
        <v>3.2548184716220556E-2</v>
      </c>
      <c r="Q6955" s="28">
        <f t="shared" si="112"/>
        <v>3.5548184716220559E-2</v>
      </c>
      <c r="R6955" s="33">
        <v>0.16282860775771735</v>
      </c>
      <c r="S6955" s="34">
        <v>5.7110000000000001E-2</v>
      </c>
    </row>
    <row r="6956" spans="16:19" x14ac:dyDescent="0.25">
      <c r="P6956" s="27">
        <v>3.2548184716220556E-2</v>
      </c>
      <c r="Q6956" s="28">
        <f t="shared" si="112"/>
        <v>3.5548184716220559E-2</v>
      </c>
      <c r="R6956" s="33">
        <v>0.16282860775771735</v>
      </c>
      <c r="S6956" s="34">
        <v>6.0639999999999999E-2</v>
      </c>
    </row>
    <row r="6957" spans="16:19" x14ac:dyDescent="0.25">
      <c r="P6957" s="27">
        <v>3.2548184716220556E-2</v>
      </c>
      <c r="Q6957" s="28">
        <f t="shared" si="112"/>
        <v>3.5548184716220559E-2</v>
      </c>
      <c r="R6957" s="33">
        <v>0.16282860775771735</v>
      </c>
      <c r="S6957" s="34">
        <v>6.2039999999999998E-2</v>
      </c>
    </row>
    <row r="6958" spans="16:19" x14ac:dyDescent="0.25">
      <c r="P6958" s="27">
        <v>3.2548184716220556E-2</v>
      </c>
      <c r="Q6958" s="28">
        <f t="shared" si="112"/>
        <v>3.5548184716220559E-2</v>
      </c>
      <c r="R6958" s="33">
        <v>0.16282860775771735</v>
      </c>
      <c r="S6958" s="34">
        <v>7.0999999999999994E-2</v>
      </c>
    </row>
    <row r="6959" spans="16:19" x14ac:dyDescent="0.25">
      <c r="P6959" s="27">
        <v>3.2548184716220556E-2</v>
      </c>
      <c r="Q6959" s="28">
        <f t="shared" si="112"/>
        <v>3.5548184716220559E-2</v>
      </c>
      <c r="R6959" s="31">
        <v>0.15939660775771733</v>
      </c>
      <c r="S6959" s="32">
        <v>5.7259999999999998E-2</v>
      </c>
    </row>
    <row r="6960" spans="16:19" x14ac:dyDescent="0.25">
      <c r="P6960" s="27">
        <v>3.2548184716220556E-2</v>
      </c>
      <c r="Q6960" s="28">
        <f t="shared" si="112"/>
        <v>3.5548184716220559E-2</v>
      </c>
      <c r="R6960" s="31">
        <v>0.15939660775771733</v>
      </c>
      <c r="S6960" s="32">
        <v>0.05</v>
      </c>
    </row>
    <row r="6961" spans="16:19" x14ac:dyDescent="0.25">
      <c r="P6961" s="27">
        <v>3.2548184716220556E-2</v>
      </c>
      <c r="Q6961" s="28">
        <f t="shared" si="112"/>
        <v>3.5548184716220559E-2</v>
      </c>
      <c r="R6961" s="31">
        <v>0.15939660775771733</v>
      </c>
      <c r="S6961" s="32">
        <v>4.8430000000000001E-2</v>
      </c>
    </row>
    <row r="6962" spans="16:19" x14ac:dyDescent="0.25">
      <c r="P6962" s="27">
        <v>3.2548184716220556E-2</v>
      </c>
      <c r="Q6962" s="28">
        <f t="shared" si="112"/>
        <v>3.5548184716220559E-2</v>
      </c>
      <c r="R6962" s="31">
        <v>0.15939660775771733</v>
      </c>
      <c r="S6962" s="32">
        <v>4.5420000000000002E-2</v>
      </c>
    </row>
    <row r="6963" spans="16:19" x14ac:dyDescent="0.25">
      <c r="P6963" s="27">
        <v>3.2548184716220556E-2</v>
      </c>
      <c r="Q6963" s="28">
        <f t="shared" si="112"/>
        <v>3.5548184716220559E-2</v>
      </c>
      <c r="R6963" s="29">
        <v>0.15003660775771735</v>
      </c>
      <c r="S6963" s="30">
        <v>5.1200000000000002E-2</v>
      </c>
    </row>
    <row r="6964" spans="16:19" x14ac:dyDescent="0.25">
      <c r="P6964" s="27">
        <v>3.2548184716220556E-2</v>
      </c>
      <c r="Q6964" s="28">
        <f t="shared" si="112"/>
        <v>3.5548184716220559E-2</v>
      </c>
      <c r="R6964" s="29">
        <v>0.15003660775771735</v>
      </c>
      <c r="S6964" s="30">
        <v>4.7E-2</v>
      </c>
    </row>
    <row r="6965" spans="16:19" x14ac:dyDescent="0.25">
      <c r="P6965" s="27">
        <v>3.2548184716220556E-2</v>
      </c>
      <c r="Q6965" s="28">
        <f t="shared" si="112"/>
        <v>3.5548184716220559E-2</v>
      </c>
      <c r="R6965" s="29">
        <v>0.15003660775771735</v>
      </c>
      <c r="S6965" s="30">
        <v>4.3999999999999997E-2</v>
      </c>
    </row>
    <row r="6966" spans="16:19" x14ac:dyDescent="0.25">
      <c r="P6966" s="27">
        <v>3.2548184716220556E-2</v>
      </c>
      <c r="Q6966" s="28">
        <f t="shared" si="112"/>
        <v>3.5548184716220559E-2</v>
      </c>
      <c r="R6966" s="29">
        <v>0.15003660775771735</v>
      </c>
      <c r="S6966" s="30">
        <v>4.369E-2</v>
      </c>
    </row>
    <row r="6967" spans="16:19" x14ac:dyDescent="0.25">
      <c r="P6967" s="27">
        <v>3.2548184716220556E-2</v>
      </c>
      <c r="Q6967" s="28">
        <f t="shared" si="112"/>
        <v>3.5548184716220559E-2</v>
      </c>
      <c r="R6967" s="29">
        <v>0.15003660775771735</v>
      </c>
      <c r="S6967" s="30">
        <v>4.369E-2</v>
      </c>
    </row>
    <row r="6968" spans="16:19" x14ac:dyDescent="0.25">
      <c r="P6968" s="27">
        <v>3.2548184716220556E-2</v>
      </c>
      <c r="Q6968" s="28">
        <f t="shared" si="112"/>
        <v>3.5548184716220559E-2</v>
      </c>
      <c r="R6968" s="29">
        <v>0.15003660775771735</v>
      </c>
      <c r="S6968" s="30">
        <v>4.7439999999999996E-2</v>
      </c>
    </row>
    <row r="6969" spans="16:19" x14ac:dyDescent="0.25">
      <c r="P6969" s="27">
        <v>3.2548184716220556E-2</v>
      </c>
      <c r="Q6969" s="28">
        <f t="shared" si="112"/>
        <v>3.5548184716220559E-2</v>
      </c>
      <c r="R6969" s="29">
        <v>0.15003660775771735</v>
      </c>
      <c r="S6969" s="30">
        <v>5.5E-2</v>
      </c>
    </row>
    <row r="6970" spans="16:19" x14ac:dyDescent="0.25">
      <c r="P6970" s="27">
        <v>3.2548184716220556E-2</v>
      </c>
      <c r="Q6970" s="28">
        <f t="shared" si="112"/>
        <v>3.5548184716220559E-2</v>
      </c>
      <c r="R6970" s="29">
        <v>0.15003660775771735</v>
      </c>
      <c r="S6970" s="30">
        <v>5.9090000000000004E-2</v>
      </c>
    </row>
    <row r="6971" spans="16:19" x14ac:dyDescent="0.25">
      <c r="P6971" s="27">
        <v>3.2548184716220556E-2</v>
      </c>
      <c r="Q6971" s="28">
        <f t="shared" si="112"/>
        <v>3.5548184716220559E-2</v>
      </c>
      <c r="R6971" s="31">
        <v>0.15939660775771733</v>
      </c>
      <c r="S6971" s="32">
        <v>6.3009999999999997E-2</v>
      </c>
    </row>
    <row r="6972" spans="16:19" x14ac:dyDescent="0.25">
      <c r="P6972" s="27">
        <v>3.2548184716220556E-2</v>
      </c>
      <c r="Q6972" s="28">
        <f t="shared" si="112"/>
        <v>3.5548184716220559E-2</v>
      </c>
      <c r="R6972" s="33">
        <v>0.16282860775771735</v>
      </c>
      <c r="S6972" s="34">
        <v>0.06</v>
      </c>
    </row>
    <row r="6973" spans="16:19" x14ac:dyDescent="0.25">
      <c r="P6973" s="27">
        <v>3.2548184716220556E-2</v>
      </c>
      <c r="Q6973" s="28">
        <f t="shared" si="112"/>
        <v>3.5548184716220559E-2</v>
      </c>
      <c r="R6973" s="33">
        <v>0.16282860775771735</v>
      </c>
      <c r="S6973" s="34">
        <v>5.6299999999999996E-2</v>
      </c>
    </row>
    <row r="6974" spans="16:19" x14ac:dyDescent="0.25">
      <c r="P6974" s="27">
        <v>3.2548184716220556E-2</v>
      </c>
      <c r="Q6974" s="28">
        <f t="shared" si="112"/>
        <v>3.5548184716220559E-2</v>
      </c>
      <c r="R6974" s="33">
        <v>0.16282860775771735</v>
      </c>
      <c r="S6974" s="34">
        <v>5.4840000000000007E-2</v>
      </c>
    </row>
    <row r="6975" spans="16:19" x14ac:dyDescent="0.25">
      <c r="P6975" s="27">
        <v>3.2548184716220556E-2</v>
      </c>
      <c r="Q6975" s="28">
        <f t="shared" si="112"/>
        <v>3.5548184716220559E-2</v>
      </c>
      <c r="R6975" s="33">
        <v>0.16282860775771735</v>
      </c>
      <c r="S6975" s="34">
        <v>4.3999999999999997E-2</v>
      </c>
    </row>
    <row r="6976" spans="16:19" x14ac:dyDescent="0.25">
      <c r="P6976" s="27">
        <v>3.2548184716220556E-2</v>
      </c>
      <c r="Q6976" s="28">
        <f t="shared" si="112"/>
        <v>3.5548184716220559E-2</v>
      </c>
      <c r="R6976" s="33">
        <v>0.16282860775771735</v>
      </c>
      <c r="S6976" s="34">
        <v>3.6775094000000001E-2</v>
      </c>
    </row>
    <row r="6977" spans="16:19" x14ac:dyDescent="0.25">
      <c r="P6977" s="27">
        <v>3.2548184716220556E-2</v>
      </c>
      <c r="Q6977" s="28">
        <f t="shared" si="112"/>
        <v>3.5548184716220559E-2</v>
      </c>
      <c r="R6977" s="33">
        <v>0.16282860775771735</v>
      </c>
      <c r="S6977" s="34">
        <v>3.8890000000000001E-2</v>
      </c>
    </row>
    <row r="6978" spans="16:19" x14ac:dyDescent="0.25">
      <c r="P6978" s="27">
        <v>3.2548184716220556E-2</v>
      </c>
      <c r="Q6978" s="28">
        <f t="shared" si="112"/>
        <v>3.5548184716220559E-2</v>
      </c>
      <c r="R6978" s="33">
        <v>0.16282860775771735</v>
      </c>
      <c r="S6978" s="34">
        <v>4.2889999999999998E-2</v>
      </c>
    </row>
    <row r="6979" spans="16:19" x14ac:dyDescent="0.25">
      <c r="P6979" s="27">
        <v>3.2548184716220556E-2</v>
      </c>
      <c r="Q6979" s="28">
        <f t="shared" si="112"/>
        <v>3.5548184716220559E-2</v>
      </c>
      <c r="R6979" s="33">
        <v>0.16282860775771735</v>
      </c>
      <c r="S6979" s="34">
        <v>4.8236715999999999E-2</v>
      </c>
    </row>
    <row r="6980" spans="16:19" x14ac:dyDescent="0.25">
      <c r="P6980" s="27">
        <v>3.2548184716220556E-2</v>
      </c>
      <c r="Q6980" s="28">
        <f t="shared" si="112"/>
        <v>3.5548184716220559E-2</v>
      </c>
      <c r="R6980" s="33">
        <v>0.16282860775771735</v>
      </c>
      <c r="S6980" s="34">
        <v>5.6989999999999999E-2</v>
      </c>
    </row>
    <row r="6981" spans="16:19" x14ac:dyDescent="0.25">
      <c r="P6981" s="27">
        <v>3.2548184716220556E-2</v>
      </c>
      <c r="Q6981" s="28">
        <f t="shared" ref="Q6981:Q7044" si="113">P6981+0.003</f>
        <v>3.5548184716220559E-2</v>
      </c>
      <c r="R6981" s="33">
        <v>0.16282860775771735</v>
      </c>
      <c r="S6981" s="34">
        <v>6.3140000000000002E-2</v>
      </c>
    </row>
    <row r="6982" spans="16:19" x14ac:dyDescent="0.25">
      <c r="P6982" s="27">
        <v>3.2548184716220556E-2</v>
      </c>
      <c r="Q6982" s="28">
        <f t="shared" si="113"/>
        <v>3.5548184716220559E-2</v>
      </c>
      <c r="R6982" s="33">
        <v>0.16282860775771735</v>
      </c>
      <c r="S6982" s="34">
        <v>7.571E-2</v>
      </c>
    </row>
    <row r="6983" spans="16:19" x14ac:dyDescent="0.25">
      <c r="P6983" s="27">
        <v>3.2548184716220556E-2</v>
      </c>
      <c r="Q6983" s="28">
        <f t="shared" si="113"/>
        <v>3.5548184716220559E-2</v>
      </c>
      <c r="R6983" s="31">
        <v>0.15939660775771733</v>
      </c>
      <c r="S6983" s="32">
        <v>0.06</v>
      </c>
    </row>
    <row r="6984" spans="16:19" x14ac:dyDescent="0.25">
      <c r="P6984" s="27">
        <v>3.2548184716220556E-2</v>
      </c>
      <c r="Q6984" s="28">
        <f t="shared" si="113"/>
        <v>3.5548184716220559E-2</v>
      </c>
      <c r="R6984" s="31">
        <v>0.15939660775771733</v>
      </c>
      <c r="S6984" s="32">
        <v>5.4649999999999997E-2</v>
      </c>
    </row>
    <row r="6985" spans="16:19" x14ac:dyDescent="0.25">
      <c r="P6985" s="27">
        <v>3.2548184716220556E-2</v>
      </c>
      <c r="Q6985" s="28">
        <f t="shared" si="113"/>
        <v>3.5548184716220559E-2</v>
      </c>
      <c r="R6985" s="31">
        <v>0.15939660775771733</v>
      </c>
      <c r="S6985" s="32">
        <v>5.1990000000000001E-2</v>
      </c>
    </row>
    <row r="6986" spans="16:19" x14ac:dyDescent="0.25">
      <c r="P6986" s="27">
        <v>3.2548184716220556E-2</v>
      </c>
      <c r="Q6986" s="28">
        <f t="shared" si="113"/>
        <v>3.5548184716220559E-2</v>
      </c>
      <c r="R6986" s="31">
        <v>0.15939660775771733</v>
      </c>
      <c r="S6986" s="32">
        <v>4.929E-2</v>
      </c>
    </row>
    <row r="6987" spans="16:19" x14ac:dyDescent="0.25">
      <c r="P6987" s="27">
        <v>3.2548184716220556E-2</v>
      </c>
      <c r="Q6987" s="28">
        <f t="shared" si="113"/>
        <v>3.5548184716220559E-2</v>
      </c>
      <c r="R6987" s="29">
        <v>0.15003660775771735</v>
      </c>
      <c r="S6987" s="30">
        <v>4.1000000000000002E-2</v>
      </c>
    </row>
    <row r="6988" spans="16:19" x14ac:dyDescent="0.25">
      <c r="P6988" s="27">
        <v>3.2548184716220556E-2</v>
      </c>
      <c r="Q6988" s="28">
        <f t="shared" si="113"/>
        <v>3.5548184716220559E-2</v>
      </c>
      <c r="R6988" s="29">
        <v>0.15003660775771735</v>
      </c>
      <c r="S6988" s="30">
        <v>3.7399999999999996E-2</v>
      </c>
    </row>
    <row r="6989" spans="16:19" x14ac:dyDescent="0.25">
      <c r="P6989" s="27">
        <v>3.2548184716220556E-2</v>
      </c>
      <c r="Q6989" s="28">
        <f t="shared" si="113"/>
        <v>3.5548184716220559E-2</v>
      </c>
      <c r="R6989" s="29">
        <v>0.15003660775771735</v>
      </c>
      <c r="S6989" s="30">
        <v>3.669E-2</v>
      </c>
    </row>
    <row r="6990" spans="16:19" x14ac:dyDescent="0.25">
      <c r="P6990" s="27">
        <v>3.2548184716220556E-2</v>
      </c>
      <c r="Q6990" s="28">
        <f t="shared" si="113"/>
        <v>3.5548184716220559E-2</v>
      </c>
      <c r="R6990" s="29">
        <v>0.15003660775771735</v>
      </c>
      <c r="S6990" s="30">
        <v>3.6609999999999997E-2</v>
      </c>
    </row>
    <row r="6991" spans="16:19" x14ac:dyDescent="0.25">
      <c r="P6991" s="27">
        <v>3.2548184716220556E-2</v>
      </c>
      <c r="Q6991" s="28">
        <f t="shared" si="113"/>
        <v>3.5548184716220559E-2</v>
      </c>
      <c r="R6991" s="29">
        <v>0.15003660775771735</v>
      </c>
      <c r="S6991" s="30">
        <v>3.2909999999999995E-2</v>
      </c>
    </row>
    <row r="6992" spans="16:19" x14ac:dyDescent="0.25">
      <c r="P6992" s="27">
        <v>3.2548184716220556E-2</v>
      </c>
      <c r="Q6992" s="28">
        <f t="shared" si="113"/>
        <v>3.5548184716220559E-2</v>
      </c>
      <c r="R6992" s="29">
        <v>0.15003660775771735</v>
      </c>
      <c r="S6992" s="30">
        <v>3.669E-2</v>
      </c>
    </row>
    <row r="6993" spans="16:19" x14ac:dyDescent="0.25">
      <c r="P6993" s="27">
        <v>3.2548184716220556E-2</v>
      </c>
      <c r="Q6993" s="28">
        <f t="shared" si="113"/>
        <v>3.5548184716220559E-2</v>
      </c>
      <c r="R6993" s="29">
        <v>0.15003660775771735</v>
      </c>
      <c r="S6993" s="30">
        <v>3.5439999999999999E-2</v>
      </c>
    </row>
    <row r="6994" spans="16:19" x14ac:dyDescent="0.25">
      <c r="P6994" s="27">
        <v>3.2548184716220556E-2</v>
      </c>
      <c r="Q6994" s="28">
        <f t="shared" si="113"/>
        <v>3.5548184716220559E-2</v>
      </c>
      <c r="R6994" s="29">
        <v>0.15003660775771735</v>
      </c>
      <c r="S6994" s="30">
        <v>4.4999999999999998E-2</v>
      </c>
    </row>
    <row r="6995" spans="16:19" x14ac:dyDescent="0.25">
      <c r="P6995" s="27">
        <v>3.2548184716220556E-2</v>
      </c>
      <c r="Q6995" s="28">
        <f t="shared" si="113"/>
        <v>3.5548184716220559E-2</v>
      </c>
      <c r="R6995" s="31">
        <v>0.15939660775771733</v>
      </c>
      <c r="S6995" s="32">
        <v>4.4999999999999998E-2</v>
      </c>
    </row>
    <row r="6996" spans="16:19" x14ac:dyDescent="0.25">
      <c r="P6996" s="27">
        <v>3.2548184716220556E-2</v>
      </c>
      <c r="Q6996" s="28">
        <f t="shared" si="113"/>
        <v>3.5548184716220559E-2</v>
      </c>
      <c r="R6996" s="33">
        <v>0.16282860775771735</v>
      </c>
      <c r="S6996" s="34">
        <v>4.4999999999999998E-2</v>
      </c>
    </row>
    <row r="6997" spans="16:19" x14ac:dyDescent="0.25">
      <c r="P6997" s="27">
        <v>3.2548184716220556E-2</v>
      </c>
      <c r="Q6997" s="28">
        <f t="shared" si="113"/>
        <v>3.5548184716220559E-2</v>
      </c>
      <c r="R6997" s="33">
        <v>0.16282860775771735</v>
      </c>
      <c r="S6997" s="34">
        <v>4.3529999999999999E-2</v>
      </c>
    </row>
    <row r="6998" spans="16:19" x14ac:dyDescent="0.25">
      <c r="P6998" s="27">
        <v>3.2548184716220556E-2</v>
      </c>
      <c r="Q6998" s="28">
        <f t="shared" si="113"/>
        <v>3.5548184716220559E-2</v>
      </c>
      <c r="R6998" s="33">
        <v>0.16282860775771735</v>
      </c>
      <c r="S6998" s="34">
        <v>3.6221201000000001E-2</v>
      </c>
    </row>
    <row r="6999" spans="16:19" x14ac:dyDescent="0.25">
      <c r="P6999" s="27">
        <v>3.2548184716220556E-2</v>
      </c>
      <c r="Q6999" s="28">
        <f t="shared" si="113"/>
        <v>3.5548184716220559E-2</v>
      </c>
      <c r="R6999" s="33">
        <v>0.16282860775771735</v>
      </c>
      <c r="S6999" s="34">
        <v>3.2909999999999995E-2</v>
      </c>
    </row>
    <row r="7000" spans="16:19" x14ac:dyDescent="0.25">
      <c r="P7000" s="27">
        <v>3.2548184716220556E-2</v>
      </c>
      <c r="Q7000" s="28">
        <f t="shared" si="113"/>
        <v>3.5548184716220559E-2</v>
      </c>
      <c r="R7000" s="33">
        <v>0.16282860775771735</v>
      </c>
      <c r="S7000" s="34">
        <v>2.7800000000000002E-2</v>
      </c>
    </row>
    <row r="7001" spans="16:19" x14ac:dyDescent="0.25">
      <c r="P7001" s="27">
        <v>3.2548184716220556E-2</v>
      </c>
      <c r="Q7001" s="28">
        <f t="shared" si="113"/>
        <v>3.5548184716220559E-2</v>
      </c>
      <c r="R7001" s="33">
        <v>0.16282860775771735</v>
      </c>
      <c r="S7001" s="34">
        <v>2.6620911000000001E-2</v>
      </c>
    </row>
    <row r="7002" spans="16:19" x14ac:dyDescent="0.25">
      <c r="P7002" s="27">
        <v>3.2548184716220556E-2</v>
      </c>
      <c r="Q7002" s="28">
        <f t="shared" si="113"/>
        <v>3.5548184716220559E-2</v>
      </c>
      <c r="R7002" s="33">
        <v>0.16282860775771735</v>
      </c>
      <c r="S7002" s="34">
        <v>2.9559999999999999E-2</v>
      </c>
    </row>
    <row r="7003" spans="16:19" x14ac:dyDescent="0.25">
      <c r="P7003" s="27">
        <v>3.2548184716220556E-2</v>
      </c>
      <c r="Q7003" s="28">
        <f t="shared" si="113"/>
        <v>3.5548184716220559E-2</v>
      </c>
      <c r="R7003" s="33">
        <v>0.16282860775771735</v>
      </c>
      <c r="S7003" s="34">
        <v>3.9689999999999996E-2</v>
      </c>
    </row>
    <row r="7004" spans="16:19" x14ac:dyDescent="0.25">
      <c r="P7004" s="27">
        <v>3.2548184716220556E-2</v>
      </c>
      <c r="Q7004" s="28">
        <f t="shared" si="113"/>
        <v>3.5548184716220559E-2</v>
      </c>
      <c r="R7004" s="33">
        <v>0.16282860775771735</v>
      </c>
      <c r="S7004" s="34">
        <v>4.5387271E-2</v>
      </c>
    </row>
    <row r="7005" spans="16:19" x14ac:dyDescent="0.25">
      <c r="P7005" s="27">
        <v>3.2548184716220556E-2</v>
      </c>
      <c r="Q7005" s="28">
        <f t="shared" si="113"/>
        <v>3.5548184716220559E-2</v>
      </c>
      <c r="R7005" s="33">
        <v>0.16282860775771735</v>
      </c>
      <c r="S7005" s="34">
        <v>5.9990000000000002E-2</v>
      </c>
    </row>
    <row r="7006" spans="16:19" x14ac:dyDescent="0.25">
      <c r="P7006" s="27">
        <v>3.2548184716220556E-2</v>
      </c>
      <c r="Q7006" s="28">
        <f t="shared" si="113"/>
        <v>3.5548184716220559E-2</v>
      </c>
      <c r="R7006" s="33">
        <v>0.16282860775771735</v>
      </c>
      <c r="S7006" s="34">
        <v>7.7599999999999988E-2</v>
      </c>
    </row>
    <row r="7007" spans="16:19" x14ac:dyDescent="0.25">
      <c r="P7007" s="27">
        <v>3.2548184716220556E-2</v>
      </c>
      <c r="Q7007" s="28">
        <f t="shared" si="113"/>
        <v>3.5548184716220559E-2</v>
      </c>
      <c r="R7007" s="31">
        <v>0.15939660775771733</v>
      </c>
      <c r="S7007" s="32">
        <v>6.4989999999999992E-2</v>
      </c>
    </row>
    <row r="7008" spans="16:19" x14ac:dyDescent="0.25">
      <c r="P7008" s="27">
        <v>3.2548184716220556E-2</v>
      </c>
      <c r="Q7008" s="28">
        <f t="shared" si="113"/>
        <v>3.5548184716220559E-2</v>
      </c>
      <c r="R7008" s="31">
        <v>0.15939660775771733</v>
      </c>
      <c r="S7008" s="32">
        <v>5.9539999999999996E-2</v>
      </c>
    </row>
    <row r="7009" spans="16:19" x14ac:dyDescent="0.25">
      <c r="P7009" s="27">
        <v>3.2548184716220556E-2</v>
      </c>
      <c r="Q7009" s="28">
        <f t="shared" si="113"/>
        <v>3.5548184716220559E-2</v>
      </c>
      <c r="R7009" s="31">
        <v>0.15939660775771733</v>
      </c>
      <c r="S7009" s="32">
        <v>5.6520000000000001E-2</v>
      </c>
    </row>
    <row r="7010" spans="16:19" x14ac:dyDescent="0.25">
      <c r="P7010" s="27">
        <v>3.2548184716220556E-2</v>
      </c>
      <c r="Q7010" s="28">
        <f t="shared" si="113"/>
        <v>3.5548184716220559E-2</v>
      </c>
      <c r="R7010" s="31">
        <v>0.15939660775771733</v>
      </c>
      <c r="S7010" s="32">
        <v>4.9000000000000002E-2</v>
      </c>
    </row>
    <row r="7011" spans="16:19" x14ac:dyDescent="0.25">
      <c r="P7011" s="27">
        <v>3.2548184716220556E-2</v>
      </c>
      <c r="Q7011" s="28">
        <f t="shared" si="113"/>
        <v>3.5548184716220559E-2</v>
      </c>
      <c r="R7011" s="29">
        <v>0.15003660775771735</v>
      </c>
      <c r="S7011" s="30">
        <v>4.3999999999999997E-2</v>
      </c>
    </row>
    <row r="7012" spans="16:19" x14ac:dyDescent="0.25">
      <c r="P7012" s="27">
        <v>3.2548184716220556E-2</v>
      </c>
      <c r="Q7012" s="28">
        <f t="shared" si="113"/>
        <v>3.5548184716220559E-2</v>
      </c>
      <c r="R7012" s="29">
        <v>0.15003660775771735</v>
      </c>
      <c r="S7012" s="30">
        <v>3.7310000000000003E-2</v>
      </c>
    </row>
    <row r="7013" spans="16:19" x14ac:dyDescent="0.25">
      <c r="P7013" s="27">
        <v>3.2548184716220556E-2</v>
      </c>
      <c r="Q7013" s="28">
        <f t="shared" si="113"/>
        <v>3.5548184716220559E-2</v>
      </c>
      <c r="R7013" s="29">
        <v>0.15003660775771735</v>
      </c>
      <c r="S7013" s="30">
        <v>3.669E-2</v>
      </c>
    </row>
    <row r="7014" spans="16:19" x14ac:dyDescent="0.25">
      <c r="P7014" s="27">
        <v>3.2548184716220556E-2</v>
      </c>
      <c r="Q7014" s="28">
        <f t="shared" si="113"/>
        <v>3.5548184716220559E-2</v>
      </c>
      <c r="R7014" s="29">
        <v>0.15003660775771735</v>
      </c>
      <c r="S7014" s="30">
        <v>3.5470754E-2</v>
      </c>
    </row>
    <row r="7015" spans="16:19" x14ac:dyDescent="0.25">
      <c r="P7015" s="27">
        <v>3.2548184716220556E-2</v>
      </c>
      <c r="Q7015" s="28">
        <f t="shared" si="113"/>
        <v>3.5548184716220559E-2</v>
      </c>
      <c r="R7015" s="29">
        <v>0.15003660775771735</v>
      </c>
      <c r="S7015" s="30">
        <v>3.669E-2</v>
      </c>
    </row>
    <row r="7016" spans="16:19" x14ac:dyDescent="0.25">
      <c r="P7016" s="27">
        <v>3.2548184716220556E-2</v>
      </c>
      <c r="Q7016" s="28">
        <f t="shared" si="113"/>
        <v>3.5548184716220559E-2</v>
      </c>
      <c r="R7016" s="29">
        <v>0.15003660775771735</v>
      </c>
      <c r="S7016" s="30">
        <v>4.3950000000000003E-2</v>
      </c>
    </row>
    <row r="7017" spans="16:19" x14ac:dyDescent="0.25">
      <c r="P7017" s="27">
        <v>3.2548184716220556E-2</v>
      </c>
      <c r="Q7017" s="28">
        <f t="shared" si="113"/>
        <v>3.5548184716220559E-2</v>
      </c>
      <c r="R7017" s="29">
        <v>0.15003660775771735</v>
      </c>
      <c r="S7017" s="30">
        <v>5.883E-2</v>
      </c>
    </row>
    <row r="7018" spans="16:19" x14ac:dyDescent="0.25">
      <c r="P7018" s="27">
        <v>3.2548184716220556E-2</v>
      </c>
      <c r="Q7018" s="28">
        <f t="shared" si="113"/>
        <v>3.5548184716220559E-2</v>
      </c>
      <c r="R7018" s="29">
        <v>0.15003660775771735</v>
      </c>
      <c r="S7018" s="30">
        <v>6.5768371000000006E-2</v>
      </c>
    </row>
    <row r="7019" spans="16:19" x14ac:dyDescent="0.25">
      <c r="P7019" s="27">
        <v>3.2548184716220556E-2</v>
      </c>
      <c r="Q7019" s="28">
        <f t="shared" si="113"/>
        <v>3.5548184716220559E-2</v>
      </c>
      <c r="R7019" s="31">
        <v>0.15939999999999999</v>
      </c>
      <c r="S7019" s="32">
        <v>7.646E-2</v>
      </c>
    </row>
    <row r="7020" spans="16:19" x14ac:dyDescent="0.25">
      <c r="P7020" s="27">
        <v>3.2548184716220556E-2</v>
      </c>
      <c r="Q7020" s="28">
        <f t="shared" si="113"/>
        <v>3.5548184716220559E-2</v>
      </c>
      <c r="R7020" s="31">
        <v>0.15939999999999999</v>
      </c>
      <c r="S7020" s="32">
        <v>7.3639999999999997E-2</v>
      </c>
    </row>
    <row r="7021" spans="16:19" x14ac:dyDescent="0.25">
      <c r="P7021" s="27">
        <v>3.2548184716220556E-2</v>
      </c>
      <c r="Q7021" s="28">
        <f t="shared" si="113"/>
        <v>3.5548184716220559E-2</v>
      </c>
      <c r="R7021" s="31">
        <v>0.15939999999999999</v>
      </c>
      <c r="S7021" s="32">
        <v>6.9190000000000002E-2</v>
      </c>
    </row>
    <row r="7022" spans="16:19" x14ac:dyDescent="0.25">
      <c r="P7022" s="27">
        <v>3.2548184716220556E-2</v>
      </c>
      <c r="Q7022" s="28">
        <f t="shared" si="113"/>
        <v>3.5548184716220559E-2</v>
      </c>
      <c r="R7022" s="31">
        <v>0.15939999999999999</v>
      </c>
      <c r="S7022" s="32">
        <v>6.4819999999999989E-2</v>
      </c>
    </row>
    <row r="7023" spans="16:19" x14ac:dyDescent="0.25">
      <c r="P7023" s="27">
        <v>3.2548184716220556E-2</v>
      </c>
      <c r="Q7023" s="28">
        <f t="shared" si="113"/>
        <v>3.5548184716220559E-2</v>
      </c>
      <c r="R7023" s="31">
        <v>0.15939999999999999</v>
      </c>
      <c r="S7023" s="32">
        <v>5.7770000000000002E-2</v>
      </c>
    </row>
    <row r="7024" spans="16:19" x14ac:dyDescent="0.25">
      <c r="P7024" s="27">
        <v>3.2548184716220556E-2</v>
      </c>
      <c r="Q7024" s="28">
        <f t="shared" si="113"/>
        <v>3.5548184716220559E-2</v>
      </c>
      <c r="R7024" s="31">
        <v>0.15939999999999999</v>
      </c>
      <c r="S7024" s="32">
        <v>5.6659999999999995E-2</v>
      </c>
    </row>
    <row r="7025" spans="16:19" x14ac:dyDescent="0.25">
      <c r="P7025" s="27">
        <v>3.2548184716220556E-2</v>
      </c>
      <c r="Q7025" s="28">
        <f t="shared" si="113"/>
        <v>3.5548184716220559E-2</v>
      </c>
      <c r="R7025" s="31">
        <v>0.15939999999999999</v>
      </c>
      <c r="S7025" s="32">
        <v>6.2939999999999996E-2</v>
      </c>
    </row>
    <row r="7026" spans="16:19" x14ac:dyDescent="0.25">
      <c r="P7026" s="27">
        <v>3.2548184716220556E-2</v>
      </c>
      <c r="Q7026" s="28">
        <f t="shared" si="113"/>
        <v>3.5548184716220559E-2</v>
      </c>
      <c r="R7026" s="31">
        <v>0.15939999999999999</v>
      </c>
      <c r="S7026" s="32">
        <v>7.1859999999999993E-2</v>
      </c>
    </row>
    <row r="7027" spans="16:19" x14ac:dyDescent="0.25">
      <c r="P7027" s="27">
        <v>3.2548184716220556E-2</v>
      </c>
      <c r="Q7027" s="28">
        <f t="shared" si="113"/>
        <v>3.5548184716220559E-2</v>
      </c>
      <c r="R7027" s="31">
        <v>0.15939999999999999</v>
      </c>
      <c r="S7027" s="32">
        <v>7.551999999999999E-2</v>
      </c>
    </row>
    <row r="7028" spans="16:19" x14ac:dyDescent="0.25">
      <c r="P7028" s="27">
        <v>3.2548184716220556E-2</v>
      </c>
      <c r="Q7028" s="28">
        <f t="shared" si="113"/>
        <v>3.5548184716220559E-2</v>
      </c>
      <c r="R7028" s="31">
        <v>0.15939999999999999</v>
      </c>
      <c r="S7028" s="32">
        <v>8.5000000000000006E-2</v>
      </c>
    </row>
    <row r="7029" spans="16:19" x14ac:dyDescent="0.25">
      <c r="P7029" s="27">
        <v>3.2548184716220556E-2</v>
      </c>
      <c r="Q7029" s="28">
        <f t="shared" si="113"/>
        <v>3.5548184716220559E-2</v>
      </c>
      <c r="R7029" s="31">
        <v>0.15939999999999999</v>
      </c>
      <c r="S7029" s="32">
        <v>8.1989999999999993E-2</v>
      </c>
    </row>
    <row r="7030" spans="16:19" x14ac:dyDescent="0.25">
      <c r="P7030" s="27">
        <v>3.2548184716220556E-2</v>
      </c>
      <c r="Q7030" s="28">
        <f t="shared" si="113"/>
        <v>3.5548184716220559E-2</v>
      </c>
      <c r="R7030" s="31">
        <v>0.15939999999999999</v>
      </c>
      <c r="S7030" s="32">
        <v>9.7000000000000003E-2</v>
      </c>
    </row>
    <row r="7031" spans="16:19" x14ac:dyDescent="0.25">
      <c r="P7031" s="27">
        <v>3.2548184716220556E-2</v>
      </c>
      <c r="Q7031" s="28">
        <f t="shared" si="113"/>
        <v>3.5548184716220559E-2</v>
      </c>
      <c r="R7031" s="31">
        <v>0.15939999999999999</v>
      </c>
      <c r="S7031" s="32">
        <v>7.3160000000000003E-2</v>
      </c>
    </row>
    <row r="7032" spans="16:19" x14ac:dyDescent="0.25">
      <c r="P7032" s="27">
        <v>3.2548184716220556E-2</v>
      </c>
      <c r="Q7032" s="28">
        <f t="shared" si="113"/>
        <v>3.5548184716220559E-2</v>
      </c>
      <c r="R7032" s="31">
        <v>0.15939999999999999</v>
      </c>
      <c r="S7032" s="32">
        <v>6.7989999999999995E-2</v>
      </c>
    </row>
    <row r="7033" spans="16:19" x14ac:dyDescent="0.25">
      <c r="P7033" s="27">
        <v>3.2548184716220556E-2</v>
      </c>
      <c r="Q7033" s="28">
        <f t="shared" si="113"/>
        <v>3.5548184716220559E-2</v>
      </c>
      <c r="R7033" s="31">
        <v>0.15939999999999999</v>
      </c>
      <c r="S7033" s="32">
        <v>6.4579999999999999E-2</v>
      </c>
    </row>
    <row r="7034" spans="16:19" x14ac:dyDescent="0.25">
      <c r="P7034" s="27">
        <v>3.2548184716220556E-2</v>
      </c>
      <c r="Q7034" s="28">
        <f t="shared" si="113"/>
        <v>3.5548184716220559E-2</v>
      </c>
      <c r="R7034" s="31">
        <v>0.15939999999999999</v>
      </c>
      <c r="S7034" s="32">
        <v>5.9990000000000002E-2</v>
      </c>
    </row>
    <row r="7035" spans="16:19" x14ac:dyDescent="0.25">
      <c r="P7035" s="27">
        <v>3.2548184716220556E-2</v>
      </c>
      <c r="Q7035" s="28">
        <f t="shared" si="113"/>
        <v>3.5548184716220559E-2</v>
      </c>
      <c r="R7035" s="29">
        <v>0.15</v>
      </c>
      <c r="S7035" s="30">
        <v>5.3200000000000004E-2</v>
      </c>
    </row>
    <row r="7036" spans="16:19" x14ac:dyDescent="0.25">
      <c r="P7036" s="27">
        <v>3.2548184716220556E-2</v>
      </c>
      <c r="Q7036" s="28">
        <f t="shared" si="113"/>
        <v>3.5548184716220559E-2</v>
      </c>
      <c r="R7036" s="29">
        <v>0.15</v>
      </c>
      <c r="S7036" s="30">
        <v>4.8963393000000001E-2</v>
      </c>
    </row>
    <row r="7037" spans="16:19" x14ac:dyDescent="0.25">
      <c r="P7037" s="27">
        <v>3.2548184716220556E-2</v>
      </c>
      <c r="Q7037" s="28">
        <f t="shared" si="113"/>
        <v>3.5548184716220559E-2</v>
      </c>
      <c r="R7037" s="29">
        <v>0.15</v>
      </c>
      <c r="S7037" s="30">
        <v>4.4990000000000002E-2</v>
      </c>
    </row>
    <row r="7038" spans="16:19" x14ac:dyDescent="0.25">
      <c r="P7038" s="27">
        <v>3.2548184716220556E-2</v>
      </c>
      <c r="Q7038" s="28">
        <f t="shared" si="113"/>
        <v>3.5548184716220559E-2</v>
      </c>
      <c r="R7038" s="29">
        <v>0.15</v>
      </c>
      <c r="S7038" s="30">
        <v>4.3609999999999996E-2</v>
      </c>
    </row>
    <row r="7039" spans="16:19" x14ac:dyDescent="0.25">
      <c r="P7039" s="27">
        <v>3.2548184716220556E-2</v>
      </c>
      <c r="Q7039" s="28">
        <f t="shared" si="113"/>
        <v>3.5548184716220559E-2</v>
      </c>
      <c r="R7039" s="29">
        <v>0.15</v>
      </c>
      <c r="S7039" s="30">
        <v>4.5370000000000001E-2</v>
      </c>
    </row>
    <row r="7040" spans="16:19" x14ac:dyDescent="0.25">
      <c r="P7040" s="27">
        <v>3.2548184716220556E-2</v>
      </c>
      <c r="Q7040" s="28">
        <f t="shared" si="113"/>
        <v>3.5548184716220559E-2</v>
      </c>
      <c r="R7040" s="29">
        <v>0.15</v>
      </c>
      <c r="S7040" s="30">
        <v>0.05</v>
      </c>
    </row>
    <row r="7041" spans="16:19" x14ac:dyDescent="0.25">
      <c r="P7041" s="27">
        <v>3.2548184716220556E-2</v>
      </c>
      <c r="Q7041" s="28">
        <f t="shared" si="113"/>
        <v>3.5548184716220559E-2</v>
      </c>
      <c r="R7041" s="29">
        <v>0.15</v>
      </c>
      <c r="S7041" s="30">
        <v>6.2109999999999999E-2</v>
      </c>
    </row>
    <row r="7042" spans="16:19" x14ac:dyDescent="0.25">
      <c r="P7042" s="27">
        <v>3.2548184716220556E-2</v>
      </c>
      <c r="Q7042" s="28">
        <f t="shared" si="113"/>
        <v>3.5548184716220559E-2</v>
      </c>
      <c r="R7042" s="29">
        <v>0.15</v>
      </c>
      <c r="S7042" s="30">
        <v>7.6999999999999999E-2</v>
      </c>
    </row>
    <row r="7043" spans="16:19" x14ac:dyDescent="0.25">
      <c r="P7043" s="27">
        <v>3.2548184716220556E-2</v>
      </c>
      <c r="Q7043" s="28">
        <f t="shared" si="113"/>
        <v>3.5548184716220559E-2</v>
      </c>
      <c r="R7043" s="29">
        <v>0.15</v>
      </c>
      <c r="S7043" s="30">
        <v>8.1989999999999993E-2</v>
      </c>
    </row>
    <row r="7044" spans="16:19" x14ac:dyDescent="0.25">
      <c r="P7044" s="27">
        <v>3.2548184716220556E-2</v>
      </c>
      <c r="Q7044" s="28">
        <f t="shared" si="113"/>
        <v>3.5548184716220559E-2</v>
      </c>
      <c r="R7044" s="29">
        <v>0.15</v>
      </c>
      <c r="S7044" s="30">
        <v>8.5000000000000006E-2</v>
      </c>
    </row>
    <row r="7045" spans="16:19" x14ac:dyDescent="0.25">
      <c r="P7045" s="27">
        <v>3.2548184716220556E-2</v>
      </c>
      <c r="Q7045" s="28">
        <f t="shared" ref="Q7045:Q7108" si="114">P7045+0.003</f>
        <v>3.5548184716220559E-2</v>
      </c>
      <c r="R7045" s="29">
        <v>0.15</v>
      </c>
      <c r="S7045" s="30">
        <v>7.9189999999999997E-2</v>
      </c>
    </row>
    <row r="7046" spans="16:19" x14ac:dyDescent="0.25">
      <c r="P7046" s="27">
        <v>3.2548184716220556E-2</v>
      </c>
      <c r="Q7046" s="28">
        <f t="shared" si="114"/>
        <v>3.5548184716220559E-2</v>
      </c>
      <c r="R7046" s="29">
        <v>0.15</v>
      </c>
      <c r="S7046" s="30">
        <v>7.4999999999999997E-2</v>
      </c>
    </row>
    <row r="7047" spans="16:19" x14ac:dyDescent="0.25">
      <c r="P7047" s="27">
        <v>3.2548184716220556E-2</v>
      </c>
      <c r="Q7047" s="28">
        <f t="shared" si="114"/>
        <v>3.5548184716220559E-2</v>
      </c>
      <c r="R7047" s="29">
        <v>0.15</v>
      </c>
      <c r="S7047" s="30">
        <v>5.9990000000000002E-2</v>
      </c>
    </row>
    <row r="7048" spans="16:19" x14ac:dyDescent="0.25">
      <c r="P7048" s="27">
        <v>3.2548184716220556E-2</v>
      </c>
      <c r="Q7048" s="28">
        <f t="shared" si="114"/>
        <v>3.5548184716220559E-2</v>
      </c>
      <c r="R7048" s="29">
        <v>0.15</v>
      </c>
      <c r="S7048" s="30">
        <v>5.7610000000000001E-2</v>
      </c>
    </row>
    <row r="7049" spans="16:19" x14ac:dyDescent="0.25">
      <c r="P7049" s="27">
        <v>3.2548184716220556E-2</v>
      </c>
      <c r="Q7049" s="28">
        <f t="shared" si="114"/>
        <v>3.5548184716220559E-2</v>
      </c>
      <c r="R7049" s="29">
        <v>0.15</v>
      </c>
      <c r="S7049" s="30">
        <v>6.7726084999999991E-2</v>
      </c>
    </row>
    <row r="7050" spans="16:19" x14ac:dyDescent="0.25">
      <c r="P7050" s="27">
        <v>3.2548184716220556E-2</v>
      </c>
      <c r="Q7050" s="28">
        <f t="shared" si="114"/>
        <v>3.5548184716220559E-2</v>
      </c>
      <c r="R7050" s="29">
        <v>0.15</v>
      </c>
      <c r="S7050" s="30">
        <v>7.2031893E-2</v>
      </c>
    </row>
    <row r="7051" spans="16:19" x14ac:dyDescent="0.25">
      <c r="P7051" s="27">
        <v>3.2548184716220556E-2</v>
      </c>
      <c r="Q7051" s="28">
        <f t="shared" si="114"/>
        <v>3.5548184716220559E-2</v>
      </c>
      <c r="R7051" s="29">
        <v>0.15</v>
      </c>
      <c r="S7051" s="30">
        <v>7.1849999999999997E-2</v>
      </c>
    </row>
    <row r="7052" spans="16:19" x14ac:dyDescent="0.25">
      <c r="P7052" s="27">
        <v>3.2548184716220556E-2</v>
      </c>
      <c r="Q7052" s="28">
        <f t="shared" si="114"/>
        <v>3.5548184716220559E-2</v>
      </c>
      <c r="R7052" s="29">
        <v>0.15</v>
      </c>
      <c r="S7052" s="30">
        <v>6.9110000000000005E-2</v>
      </c>
    </row>
    <row r="7053" spans="16:19" x14ac:dyDescent="0.25">
      <c r="P7053" s="27">
        <v>3.2548184716220556E-2</v>
      </c>
      <c r="Q7053" s="28">
        <f t="shared" si="114"/>
        <v>3.5548184716220559E-2</v>
      </c>
      <c r="R7053" s="29">
        <v>0.15</v>
      </c>
      <c r="S7053" s="30">
        <v>7.7890000000000001E-2</v>
      </c>
    </row>
    <row r="7054" spans="16:19" x14ac:dyDescent="0.25">
      <c r="P7054" s="27">
        <v>3.2548184716220556E-2</v>
      </c>
      <c r="Q7054" s="28">
        <f t="shared" si="114"/>
        <v>3.5548184716220559E-2</v>
      </c>
      <c r="R7054" s="29">
        <v>0.15</v>
      </c>
      <c r="S7054" s="30">
        <v>9.8970000000000002E-2</v>
      </c>
    </row>
    <row r="7055" spans="16:19" x14ac:dyDescent="0.25">
      <c r="P7055" s="27">
        <v>3.2548184716220556E-2</v>
      </c>
      <c r="Q7055" s="28">
        <f t="shared" si="114"/>
        <v>3.5548184716220559E-2</v>
      </c>
      <c r="R7055" s="29">
        <v>0.15</v>
      </c>
      <c r="S7055" s="30">
        <v>6.7989999999999995E-2</v>
      </c>
    </row>
    <row r="7056" spans="16:19" x14ac:dyDescent="0.25">
      <c r="P7056" s="27">
        <v>3.2548184716220556E-2</v>
      </c>
      <c r="Q7056" s="28">
        <f t="shared" si="114"/>
        <v>3.5548184716220559E-2</v>
      </c>
      <c r="R7056" s="29">
        <v>0.15</v>
      </c>
      <c r="S7056" s="30">
        <v>6.4250000000000002E-2</v>
      </c>
    </row>
    <row r="7057" spans="16:19" x14ac:dyDescent="0.25">
      <c r="P7057" s="27">
        <v>3.2548184716220556E-2</v>
      </c>
      <c r="Q7057" s="28">
        <f t="shared" si="114"/>
        <v>3.5548184716220559E-2</v>
      </c>
      <c r="R7057" s="29">
        <v>0.15</v>
      </c>
      <c r="S7057" s="30">
        <v>5.6259999999999998E-2</v>
      </c>
    </row>
    <row r="7058" spans="16:19" x14ac:dyDescent="0.25">
      <c r="P7058" s="27">
        <v>3.2548184716220556E-2</v>
      </c>
      <c r="Q7058" s="28">
        <f t="shared" si="114"/>
        <v>3.5548184716220559E-2</v>
      </c>
      <c r="R7058" s="29">
        <v>0.15</v>
      </c>
      <c r="S7058" s="30">
        <v>5.2700000000000004E-2</v>
      </c>
    </row>
    <row r="7059" spans="16:19" x14ac:dyDescent="0.25">
      <c r="P7059" s="27">
        <v>3.2548184716220556E-2</v>
      </c>
      <c r="Q7059" s="28">
        <f t="shared" si="114"/>
        <v>3.5548184716220559E-2</v>
      </c>
      <c r="R7059" s="29">
        <v>0.15</v>
      </c>
      <c r="S7059" s="30">
        <v>4.5990000000000003E-2</v>
      </c>
    </row>
    <row r="7060" spans="16:19" x14ac:dyDescent="0.25">
      <c r="P7060" s="27">
        <v>3.2548184716220556E-2</v>
      </c>
      <c r="Q7060" s="28">
        <f t="shared" si="114"/>
        <v>3.5548184716220559E-2</v>
      </c>
      <c r="R7060" s="29">
        <v>0.15</v>
      </c>
      <c r="S7060" s="30">
        <v>4.8532494999999995E-2</v>
      </c>
    </row>
    <row r="7061" spans="16:19" x14ac:dyDescent="0.25">
      <c r="P7061" s="27">
        <v>3.2548184716220556E-2</v>
      </c>
      <c r="Q7061" s="28">
        <f t="shared" si="114"/>
        <v>3.5548184716220559E-2</v>
      </c>
      <c r="R7061" s="29">
        <v>0.15</v>
      </c>
      <c r="S7061" s="30">
        <v>4.1590000000000002E-2</v>
      </c>
    </row>
    <row r="7062" spans="16:19" x14ac:dyDescent="0.25">
      <c r="P7062" s="27">
        <v>3.2548184716220556E-2</v>
      </c>
      <c r="Q7062" s="28">
        <f t="shared" si="114"/>
        <v>3.5548184716220559E-2</v>
      </c>
      <c r="R7062" s="29">
        <v>0.15</v>
      </c>
      <c r="S7062" s="30">
        <v>4.2999999999999997E-2</v>
      </c>
    </row>
    <row r="7063" spans="16:19" x14ac:dyDescent="0.25">
      <c r="P7063" s="27">
        <v>3.2548184716220556E-2</v>
      </c>
      <c r="Q7063" s="28">
        <f t="shared" si="114"/>
        <v>3.5548184716220559E-2</v>
      </c>
      <c r="R7063" s="29">
        <v>0.15</v>
      </c>
      <c r="S7063" s="30">
        <v>4.5569999999999999E-2</v>
      </c>
    </row>
    <row r="7064" spans="16:19" x14ac:dyDescent="0.25">
      <c r="P7064" s="27">
        <v>3.2548184716220556E-2</v>
      </c>
      <c r="Q7064" s="28">
        <f t="shared" si="114"/>
        <v>3.5548184716220559E-2</v>
      </c>
      <c r="R7064" s="29">
        <v>0.15</v>
      </c>
      <c r="S7064" s="30">
        <v>4.9189999999999998E-2</v>
      </c>
    </row>
    <row r="7065" spans="16:19" x14ac:dyDescent="0.25">
      <c r="P7065" s="27">
        <v>3.2548184716220556E-2</v>
      </c>
      <c r="Q7065" s="28">
        <f t="shared" si="114"/>
        <v>3.5548184716220559E-2</v>
      </c>
      <c r="R7065" s="29">
        <v>0.15</v>
      </c>
      <c r="S7065" s="30">
        <v>7.0000000000000007E-2</v>
      </c>
    </row>
    <row r="7066" spans="16:19" x14ac:dyDescent="0.25">
      <c r="P7066" s="27">
        <v>3.2548184716220556E-2</v>
      </c>
      <c r="Q7066" s="28">
        <f t="shared" si="114"/>
        <v>3.5548184716220559E-2</v>
      </c>
      <c r="R7066" s="29">
        <v>0.15</v>
      </c>
      <c r="S7066" s="30">
        <v>7.0220000000000005E-2</v>
      </c>
    </row>
    <row r="7067" spans="16:19" x14ac:dyDescent="0.25">
      <c r="P7067" s="27">
        <v>3.2548184716220556E-2</v>
      </c>
      <c r="Q7067" s="28">
        <f t="shared" si="114"/>
        <v>3.5548184716220559E-2</v>
      </c>
      <c r="R7067" s="31">
        <v>0.15939660775771733</v>
      </c>
      <c r="S7067" s="32">
        <v>7.4200000000000002E-2</v>
      </c>
    </row>
    <row r="7068" spans="16:19" x14ac:dyDescent="0.25">
      <c r="P7068" s="27">
        <v>3.2548184716220556E-2</v>
      </c>
      <c r="Q7068" s="28">
        <f t="shared" si="114"/>
        <v>3.5548184716220559E-2</v>
      </c>
      <c r="R7068" s="33">
        <v>0.16282860775771735</v>
      </c>
      <c r="S7068" s="34">
        <v>7.3499999999999996E-2</v>
      </c>
    </row>
    <row r="7069" spans="16:19" x14ac:dyDescent="0.25">
      <c r="P7069" s="27">
        <v>3.2548184716220556E-2</v>
      </c>
      <c r="Q7069" s="28">
        <f t="shared" si="114"/>
        <v>3.5548184716220559E-2</v>
      </c>
      <c r="R7069" s="33">
        <v>0.16282860775771735</v>
      </c>
      <c r="S7069" s="34">
        <v>6.8900000000000003E-2</v>
      </c>
    </row>
    <row r="7070" spans="16:19" x14ac:dyDescent="0.25">
      <c r="P7070" s="27">
        <v>3.2548184716220556E-2</v>
      </c>
      <c r="Q7070" s="28">
        <f t="shared" si="114"/>
        <v>3.5548184716220559E-2</v>
      </c>
      <c r="R7070" s="33">
        <v>0.16282860775771735</v>
      </c>
      <c r="S7070" s="34">
        <v>6.8489999999999995E-2</v>
      </c>
    </row>
    <row r="7071" spans="16:19" x14ac:dyDescent="0.25">
      <c r="P7071" s="27">
        <v>3.2548184716220556E-2</v>
      </c>
      <c r="Q7071" s="28">
        <f t="shared" si="114"/>
        <v>3.5548184716220559E-2</v>
      </c>
      <c r="R7071" s="33">
        <v>0.16282860775771735</v>
      </c>
      <c r="S7071" s="34">
        <v>5.6619999999999997E-2</v>
      </c>
    </row>
    <row r="7072" spans="16:19" x14ac:dyDescent="0.25">
      <c r="P7072" s="27">
        <v>3.2548184716220556E-2</v>
      </c>
      <c r="Q7072" s="28">
        <f t="shared" si="114"/>
        <v>3.5548184716220559E-2</v>
      </c>
      <c r="R7072" s="33">
        <v>0.16282860775771735</v>
      </c>
      <c r="S7072" s="34">
        <v>5.611E-2</v>
      </c>
    </row>
    <row r="7073" spans="16:19" x14ac:dyDescent="0.25">
      <c r="P7073" s="27">
        <v>3.2548184716220556E-2</v>
      </c>
      <c r="Q7073" s="28">
        <f t="shared" si="114"/>
        <v>3.5548184716220559E-2</v>
      </c>
      <c r="R7073" s="33">
        <v>0.16282860775771735</v>
      </c>
      <c r="S7073" s="34">
        <v>6.0420000000000001E-2</v>
      </c>
    </row>
    <row r="7074" spans="16:19" x14ac:dyDescent="0.25">
      <c r="P7074" s="27">
        <v>3.2548184716220556E-2</v>
      </c>
      <c r="Q7074" s="28">
        <f t="shared" si="114"/>
        <v>3.5548184716220559E-2</v>
      </c>
      <c r="R7074" s="33">
        <v>0.16282860775771735</v>
      </c>
      <c r="S7074" s="34">
        <v>6.3890000000000002E-2</v>
      </c>
    </row>
    <row r="7075" spans="16:19" x14ac:dyDescent="0.25">
      <c r="P7075" s="27">
        <v>3.2548184716220556E-2</v>
      </c>
      <c r="Q7075" s="28">
        <f t="shared" si="114"/>
        <v>3.5548184716220559E-2</v>
      </c>
      <c r="R7075" s="33">
        <v>0.16282860775771735</v>
      </c>
      <c r="S7075" s="34">
        <v>6.7629999999999996E-2</v>
      </c>
    </row>
    <row r="7076" spans="16:19" x14ac:dyDescent="0.25">
      <c r="P7076" s="27">
        <v>3.2548184716220556E-2</v>
      </c>
      <c r="Q7076" s="28">
        <f t="shared" si="114"/>
        <v>3.5548184716220559E-2</v>
      </c>
      <c r="R7076" s="33">
        <v>0.16282860775771735</v>
      </c>
      <c r="S7076" s="34">
        <v>6.3890000000000002E-2</v>
      </c>
    </row>
    <row r="7077" spans="16:19" x14ac:dyDescent="0.25">
      <c r="P7077" s="27">
        <v>3.2548184716220556E-2</v>
      </c>
      <c r="Q7077" s="28">
        <f t="shared" si="114"/>
        <v>3.5548184716220559E-2</v>
      </c>
      <c r="R7077" s="33">
        <v>0.16282860775771735</v>
      </c>
      <c r="S7077" s="34">
        <v>7.324E-2</v>
      </c>
    </row>
    <row r="7078" spans="16:19" x14ac:dyDescent="0.25">
      <c r="P7078" s="27">
        <v>3.2548184716220556E-2</v>
      </c>
      <c r="Q7078" s="28">
        <f t="shared" si="114"/>
        <v>3.5548184716220559E-2</v>
      </c>
      <c r="R7078" s="33">
        <v>0.16282860775771735</v>
      </c>
      <c r="S7078" s="34">
        <v>8.5449999999999998E-2</v>
      </c>
    </row>
    <row r="7079" spans="16:19" x14ac:dyDescent="0.25">
      <c r="P7079" s="27">
        <v>3.2548184716220556E-2</v>
      </c>
      <c r="Q7079" s="28">
        <f t="shared" si="114"/>
        <v>3.5548184716220559E-2</v>
      </c>
      <c r="R7079" s="31">
        <v>0.15939660775771733</v>
      </c>
      <c r="S7079" s="32">
        <v>6.5250000000000002E-2</v>
      </c>
    </row>
    <row r="7080" spans="16:19" x14ac:dyDescent="0.25">
      <c r="P7080" s="27">
        <v>3.2548184716220556E-2</v>
      </c>
      <c r="Q7080" s="28">
        <f t="shared" si="114"/>
        <v>3.5548184716220559E-2</v>
      </c>
      <c r="R7080" s="31">
        <v>0.15939660775771733</v>
      </c>
      <c r="S7080" s="32">
        <v>5.9990000000000002E-2</v>
      </c>
    </row>
    <row r="7081" spans="16:19" x14ac:dyDescent="0.25">
      <c r="P7081" s="27">
        <v>3.2548184716220556E-2</v>
      </c>
      <c r="Q7081" s="28">
        <f t="shared" si="114"/>
        <v>3.5548184716220559E-2</v>
      </c>
      <c r="R7081" s="31">
        <v>0.15939660775771733</v>
      </c>
      <c r="S7081" s="32">
        <v>5.6259999999999998E-2</v>
      </c>
    </row>
    <row r="7082" spans="16:19" x14ac:dyDescent="0.25">
      <c r="P7082" s="27">
        <v>3.2548184716220556E-2</v>
      </c>
      <c r="Q7082" s="28">
        <f t="shared" si="114"/>
        <v>3.5548184716220559E-2</v>
      </c>
      <c r="R7082" s="31">
        <v>0.15939660775771733</v>
      </c>
      <c r="S7082" s="32">
        <v>4.931E-2</v>
      </c>
    </row>
    <row r="7083" spans="16:19" x14ac:dyDescent="0.25">
      <c r="P7083" s="27">
        <v>3.2548184716220556E-2</v>
      </c>
      <c r="Q7083" s="28">
        <f t="shared" si="114"/>
        <v>3.5548184716220559E-2</v>
      </c>
      <c r="R7083" s="29">
        <v>0.15003660775771735</v>
      </c>
      <c r="S7083" s="30">
        <v>5.1470000000000002E-2</v>
      </c>
    </row>
    <row r="7084" spans="16:19" x14ac:dyDescent="0.25">
      <c r="P7084" s="27">
        <v>3.2548184716220556E-2</v>
      </c>
      <c r="Q7084" s="28">
        <f t="shared" si="114"/>
        <v>3.5548184716220559E-2</v>
      </c>
      <c r="R7084" s="29">
        <v>0.15003660775771735</v>
      </c>
      <c r="S7084" s="30">
        <v>4.938E-2</v>
      </c>
    </row>
    <row r="7085" spans="16:19" x14ac:dyDescent="0.25">
      <c r="P7085" s="27">
        <v>3.2548184716220556E-2</v>
      </c>
      <c r="Q7085" s="28">
        <f t="shared" si="114"/>
        <v>3.5548184716220559E-2</v>
      </c>
      <c r="R7085" s="29">
        <v>0.15003660775771735</v>
      </c>
      <c r="S7085" s="30">
        <v>4.4569999999999999E-2</v>
      </c>
    </row>
    <row r="7086" spans="16:19" x14ac:dyDescent="0.25">
      <c r="P7086" s="27">
        <v>3.2548184716220556E-2</v>
      </c>
      <c r="Q7086" s="28">
        <f t="shared" si="114"/>
        <v>3.5548184716220559E-2</v>
      </c>
      <c r="R7086" s="29">
        <v>0.15003660775771735</v>
      </c>
      <c r="S7086" s="30">
        <v>4.3749999999999997E-2</v>
      </c>
    </row>
    <row r="7087" spans="16:19" x14ac:dyDescent="0.25">
      <c r="P7087" s="27">
        <v>3.2548184716220556E-2</v>
      </c>
      <c r="Q7087" s="28">
        <f t="shared" si="114"/>
        <v>3.5548184716220559E-2</v>
      </c>
      <c r="R7087" s="29">
        <v>0.15003660775771735</v>
      </c>
      <c r="S7087" s="30">
        <v>4.3499999999999997E-2</v>
      </c>
    </row>
    <row r="7088" spans="16:19" x14ac:dyDescent="0.25">
      <c r="P7088" s="27">
        <v>3.2548184716220556E-2</v>
      </c>
      <c r="Q7088" s="28">
        <f t="shared" si="114"/>
        <v>3.5548184716220559E-2</v>
      </c>
      <c r="R7088" s="29">
        <v>0.15003660775771735</v>
      </c>
      <c r="S7088" s="30">
        <v>4.9223542000000002E-2</v>
      </c>
    </row>
    <row r="7089" spans="16:19" x14ac:dyDescent="0.25">
      <c r="P7089" s="27">
        <v>3.2548184716220556E-2</v>
      </c>
      <c r="Q7089" s="28">
        <f t="shared" si="114"/>
        <v>3.5548184716220559E-2</v>
      </c>
      <c r="R7089" s="29">
        <v>0.15003660775771735</v>
      </c>
      <c r="S7089" s="30">
        <v>6.1972807999999997E-2</v>
      </c>
    </row>
    <row r="7090" spans="16:19" x14ac:dyDescent="0.25">
      <c r="P7090" s="27">
        <v>3.2548184716220556E-2</v>
      </c>
      <c r="Q7090" s="28">
        <f t="shared" si="114"/>
        <v>3.5548184716220559E-2</v>
      </c>
      <c r="R7090" s="29">
        <v>0.15003660775771735</v>
      </c>
      <c r="S7090" s="30">
        <v>7.6138022999999999E-2</v>
      </c>
    </row>
    <row r="7091" spans="16:19" x14ac:dyDescent="0.25">
      <c r="P7091" s="27">
        <v>3.2548184716220556E-2</v>
      </c>
      <c r="Q7091" s="28">
        <f t="shared" si="114"/>
        <v>3.5548184716220559E-2</v>
      </c>
      <c r="R7091" s="31">
        <v>0.15939660775771733</v>
      </c>
      <c r="S7091" s="32">
        <v>7.6999999999999999E-2</v>
      </c>
    </row>
    <row r="7092" spans="16:19" x14ac:dyDescent="0.25">
      <c r="P7092" s="27">
        <v>3.2548184716220556E-2</v>
      </c>
      <c r="Q7092" s="28">
        <f t="shared" si="114"/>
        <v>3.5548184716220559E-2</v>
      </c>
      <c r="R7092" s="33">
        <v>0.16282860775771735</v>
      </c>
      <c r="S7092" s="34">
        <v>7.0599999999999996E-2</v>
      </c>
    </row>
    <row r="7093" spans="16:19" x14ac:dyDescent="0.25">
      <c r="P7093" s="27">
        <v>3.2548184716220556E-2</v>
      </c>
      <c r="Q7093" s="28">
        <f t="shared" si="114"/>
        <v>3.5548184716220559E-2</v>
      </c>
      <c r="R7093" s="33">
        <v>0.16282860775771735</v>
      </c>
      <c r="S7093" s="34">
        <v>6.7000000000000004E-2</v>
      </c>
    </row>
    <row r="7094" spans="16:19" x14ac:dyDescent="0.25">
      <c r="P7094" s="27">
        <v>3.2548184716220556E-2</v>
      </c>
      <c r="Q7094" s="28">
        <f t="shared" si="114"/>
        <v>3.5548184716220559E-2</v>
      </c>
      <c r="R7094" s="33">
        <v>0.16282860775771735</v>
      </c>
      <c r="S7094" s="34">
        <v>6.2210000000000001E-2</v>
      </c>
    </row>
    <row r="7095" spans="16:19" x14ac:dyDescent="0.25">
      <c r="P7095" s="27">
        <v>3.2548184716220556E-2</v>
      </c>
      <c r="Q7095" s="28">
        <f t="shared" si="114"/>
        <v>3.5548184716220559E-2</v>
      </c>
      <c r="R7095" s="33">
        <v>0.16282860775771735</v>
      </c>
      <c r="S7095" s="34">
        <v>5.8999999999999997E-2</v>
      </c>
    </row>
    <row r="7096" spans="16:19" x14ac:dyDescent="0.25">
      <c r="P7096" s="27">
        <v>3.2548184716220556E-2</v>
      </c>
      <c r="Q7096" s="28">
        <f t="shared" si="114"/>
        <v>3.5548184716220559E-2</v>
      </c>
      <c r="R7096" s="33">
        <v>0.16282860775771735</v>
      </c>
      <c r="S7096" s="34">
        <v>5.7090000000000002E-2</v>
      </c>
    </row>
    <row r="7097" spans="16:19" x14ac:dyDescent="0.25">
      <c r="P7097" s="27">
        <v>3.2548184716220556E-2</v>
      </c>
      <c r="Q7097" s="28">
        <f t="shared" si="114"/>
        <v>3.5548184716220559E-2</v>
      </c>
      <c r="R7097" s="33">
        <v>0.16282860775771735</v>
      </c>
      <c r="S7097" s="34">
        <v>6.1590000000000006E-2</v>
      </c>
    </row>
    <row r="7098" spans="16:19" x14ac:dyDescent="0.25">
      <c r="P7098" s="27">
        <v>3.2548184716220556E-2</v>
      </c>
      <c r="Q7098" s="28">
        <f t="shared" si="114"/>
        <v>3.5548184716220559E-2</v>
      </c>
      <c r="R7098" s="33">
        <v>0.16282860775771735</v>
      </c>
      <c r="S7098" s="34">
        <v>6.523000000000001E-2</v>
      </c>
    </row>
    <row r="7099" spans="16:19" x14ac:dyDescent="0.25">
      <c r="P7099" s="27">
        <v>3.2548184716220556E-2</v>
      </c>
      <c r="Q7099" s="28">
        <f t="shared" si="114"/>
        <v>3.5548184716220559E-2</v>
      </c>
      <c r="R7099" s="33">
        <v>0.16282860775771735</v>
      </c>
      <c r="S7099" s="34">
        <v>6.6989999999999994E-2</v>
      </c>
    </row>
    <row r="7100" spans="16:19" x14ac:dyDescent="0.25">
      <c r="P7100" s="27">
        <v>3.2548184716220556E-2</v>
      </c>
      <c r="Q7100" s="28">
        <f t="shared" si="114"/>
        <v>3.5548184716220559E-2</v>
      </c>
      <c r="R7100" s="33">
        <v>0.16282860775771735</v>
      </c>
      <c r="S7100" s="34">
        <v>6.1590000000000006E-2</v>
      </c>
    </row>
    <row r="7101" spans="16:19" x14ac:dyDescent="0.25">
      <c r="P7101" s="27">
        <v>3.2548184716220556E-2</v>
      </c>
      <c r="Q7101" s="28">
        <f t="shared" si="114"/>
        <v>3.5548184716220559E-2</v>
      </c>
      <c r="R7101" s="33">
        <v>0.16282860775771735</v>
      </c>
      <c r="S7101" s="34">
        <v>7.5969999999999996E-2</v>
      </c>
    </row>
    <row r="7102" spans="16:19" x14ac:dyDescent="0.25">
      <c r="P7102" s="27">
        <v>3.2548184716220556E-2</v>
      </c>
      <c r="Q7102" s="28">
        <f t="shared" si="114"/>
        <v>3.5548184716220559E-2</v>
      </c>
      <c r="R7102" s="33">
        <v>0.16282860775771735</v>
      </c>
      <c r="S7102" s="34">
        <v>8.5449999999999998E-2</v>
      </c>
    </row>
    <row r="7103" spans="16:19" x14ac:dyDescent="0.25">
      <c r="P7103" s="27">
        <v>3.2548184716220556E-2</v>
      </c>
      <c r="Q7103" s="28">
        <f t="shared" si="114"/>
        <v>3.5548184716220559E-2</v>
      </c>
      <c r="R7103" s="31">
        <v>0.15939660775771733</v>
      </c>
      <c r="S7103" s="32">
        <v>6.7599999999999993E-2</v>
      </c>
    </row>
    <row r="7104" spans="16:19" x14ac:dyDescent="0.25">
      <c r="P7104" s="27">
        <v>3.2548184716220556E-2</v>
      </c>
      <c r="Q7104" s="28">
        <f t="shared" si="114"/>
        <v>3.5548184716220559E-2</v>
      </c>
      <c r="R7104" s="31">
        <v>0.15939660775771733</v>
      </c>
      <c r="S7104" s="32">
        <v>6.3258369999999994E-2</v>
      </c>
    </row>
    <row r="7105" spans="16:19" x14ac:dyDescent="0.25">
      <c r="P7105" s="27">
        <v>3.2548184716220556E-2</v>
      </c>
      <c r="Q7105" s="28">
        <f t="shared" si="114"/>
        <v>3.5548184716220559E-2</v>
      </c>
      <c r="R7105" s="31">
        <v>0.15939660775771733</v>
      </c>
      <c r="S7105" s="32">
        <v>6.1590000000000006E-2</v>
      </c>
    </row>
    <row r="7106" spans="16:19" x14ac:dyDescent="0.25">
      <c r="P7106" s="27">
        <v>3.2548184716220556E-2</v>
      </c>
      <c r="Q7106" s="28">
        <f t="shared" si="114"/>
        <v>3.5548184716220559E-2</v>
      </c>
      <c r="R7106" s="31">
        <v>0.15939660775771733</v>
      </c>
      <c r="S7106" s="32">
        <v>5.4719999999999998E-2</v>
      </c>
    </row>
    <row r="7107" spans="16:19" x14ac:dyDescent="0.25">
      <c r="P7107" s="27">
        <v>3.2548184716220556E-2</v>
      </c>
      <c r="Q7107" s="28">
        <f t="shared" si="114"/>
        <v>3.5548184716220559E-2</v>
      </c>
      <c r="R7107" s="29">
        <v>0.15003660775771735</v>
      </c>
      <c r="S7107" s="30">
        <v>5.2999999999999999E-2</v>
      </c>
    </row>
    <row r="7108" spans="16:19" x14ac:dyDescent="0.25">
      <c r="P7108" s="27">
        <v>3.2548184716220556E-2</v>
      </c>
      <c r="Q7108" s="28">
        <f t="shared" si="114"/>
        <v>3.5548184716220559E-2</v>
      </c>
      <c r="R7108" s="29">
        <v>0.15003660775771735</v>
      </c>
      <c r="S7108" s="30">
        <v>5.0082003999999999E-2</v>
      </c>
    </row>
    <row r="7109" spans="16:19" x14ac:dyDescent="0.25">
      <c r="P7109" s="27">
        <v>3.2548184716220556E-2</v>
      </c>
      <c r="Q7109" s="28">
        <f t="shared" ref="Q7109:Q7172" si="115">P7109+0.003</f>
        <v>3.5548184716220559E-2</v>
      </c>
      <c r="R7109" s="29">
        <v>0.15003660775771735</v>
      </c>
      <c r="S7109" s="30">
        <v>4.555E-2</v>
      </c>
    </row>
    <row r="7110" spans="16:19" x14ac:dyDescent="0.25">
      <c r="P7110" s="27">
        <v>3.2548184716220556E-2</v>
      </c>
      <c r="Q7110" s="28">
        <f t="shared" si="115"/>
        <v>3.5548184716220559E-2</v>
      </c>
      <c r="R7110" s="29">
        <v>0.15003660775771735</v>
      </c>
      <c r="S7110" s="30">
        <v>4.6399999999999997E-2</v>
      </c>
    </row>
    <row r="7111" spans="16:19" x14ac:dyDescent="0.25">
      <c r="P7111" s="27">
        <v>3.2548184716220556E-2</v>
      </c>
      <c r="Q7111" s="28">
        <f t="shared" si="115"/>
        <v>3.5548184716220559E-2</v>
      </c>
      <c r="R7111" s="29">
        <v>0.15003660775771735</v>
      </c>
      <c r="S7111" s="30">
        <v>4.6399999999999997E-2</v>
      </c>
    </row>
    <row r="7112" spans="16:19" x14ac:dyDescent="0.25">
      <c r="P7112" s="27">
        <v>3.2548184716220556E-2</v>
      </c>
      <c r="Q7112" s="28">
        <f t="shared" si="115"/>
        <v>3.5548184716220559E-2</v>
      </c>
      <c r="R7112" s="29">
        <v>0.15003660775771735</v>
      </c>
      <c r="S7112" s="30">
        <v>5.28E-2</v>
      </c>
    </row>
    <row r="7113" spans="16:19" x14ac:dyDescent="0.25">
      <c r="P7113" s="27">
        <v>3.2548184716220556E-2</v>
      </c>
      <c r="Q7113" s="28">
        <f t="shared" si="115"/>
        <v>3.5548184716220559E-2</v>
      </c>
      <c r="R7113" s="29">
        <v>0.15003660775771735</v>
      </c>
      <c r="S7113" s="30">
        <v>5.8709999999999998E-2</v>
      </c>
    </row>
    <row r="7114" spans="16:19" x14ac:dyDescent="0.25">
      <c r="P7114" s="27">
        <v>3.2548184716220556E-2</v>
      </c>
      <c r="Q7114" s="28">
        <f t="shared" si="115"/>
        <v>3.5548184716220559E-2</v>
      </c>
      <c r="R7114" s="29">
        <v>0.15003660775771735</v>
      </c>
      <c r="S7114" s="30">
        <v>6.5042263000000003E-2</v>
      </c>
    </row>
    <row r="7115" spans="16:19" x14ac:dyDescent="0.25">
      <c r="P7115" s="27">
        <v>3.2548184716220556E-2</v>
      </c>
      <c r="Q7115" s="28">
        <f t="shared" si="115"/>
        <v>3.5548184716220559E-2</v>
      </c>
      <c r="R7115" s="31">
        <v>0.15939660775771733</v>
      </c>
      <c r="S7115" s="32">
        <v>6.8680000000000005E-2</v>
      </c>
    </row>
    <row r="7116" spans="16:19" x14ac:dyDescent="0.25">
      <c r="P7116" s="27">
        <v>3.2548184716220556E-2</v>
      </c>
      <c r="Q7116" s="28">
        <f t="shared" si="115"/>
        <v>3.5548184716220559E-2</v>
      </c>
      <c r="R7116" s="33">
        <v>0.16282860775771735</v>
      </c>
      <c r="S7116" s="34">
        <v>6.7920000000000008E-2</v>
      </c>
    </row>
    <row r="7117" spans="16:19" x14ac:dyDescent="0.25">
      <c r="P7117" s="27">
        <v>3.2548184716220556E-2</v>
      </c>
      <c r="Q7117" s="28">
        <f t="shared" si="115"/>
        <v>3.5548184716220559E-2</v>
      </c>
      <c r="R7117" s="33">
        <v>0.16282860775771735</v>
      </c>
      <c r="S7117" s="34">
        <v>6.3E-2</v>
      </c>
    </row>
    <row r="7118" spans="16:19" x14ac:dyDescent="0.25">
      <c r="P7118" s="27">
        <v>3.2548184716220556E-2</v>
      </c>
      <c r="Q7118" s="28">
        <f t="shared" si="115"/>
        <v>3.5548184716220559E-2</v>
      </c>
      <c r="R7118" s="33">
        <v>0.16282860775771735</v>
      </c>
      <c r="S7118" s="34">
        <v>5.9959999999999999E-2</v>
      </c>
    </row>
    <row r="7119" spans="16:19" x14ac:dyDescent="0.25">
      <c r="P7119" s="27">
        <v>3.2548184716220556E-2</v>
      </c>
      <c r="Q7119" s="28">
        <f t="shared" si="115"/>
        <v>3.5548184716220559E-2</v>
      </c>
      <c r="R7119" s="33">
        <v>0.16282860775771735</v>
      </c>
      <c r="S7119" s="34">
        <v>5.28E-2</v>
      </c>
    </row>
    <row r="7120" spans="16:19" x14ac:dyDescent="0.25">
      <c r="P7120" s="27">
        <v>3.2548184716220556E-2</v>
      </c>
      <c r="Q7120" s="28">
        <f t="shared" si="115"/>
        <v>3.5548184716220559E-2</v>
      </c>
      <c r="R7120" s="33">
        <v>0.16282860775771735</v>
      </c>
      <c r="S7120" s="34">
        <v>0.05</v>
      </c>
    </row>
    <row r="7121" spans="16:19" x14ac:dyDescent="0.25">
      <c r="P7121" s="27">
        <v>3.2548184716220556E-2</v>
      </c>
      <c r="Q7121" s="28">
        <f t="shared" si="115"/>
        <v>3.5548184716220559E-2</v>
      </c>
      <c r="R7121" s="33">
        <v>0.16282860775771735</v>
      </c>
      <c r="S7121" s="34">
        <v>5.5850000000000004E-2</v>
      </c>
    </row>
    <row r="7122" spans="16:19" x14ac:dyDescent="0.25">
      <c r="P7122" s="27">
        <v>3.2548184716220556E-2</v>
      </c>
      <c r="Q7122" s="28">
        <f t="shared" si="115"/>
        <v>3.5548184716220559E-2</v>
      </c>
      <c r="R7122" s="33">
        <v>0.16282860775771735</v>
      </c>
      <c r="S7122" s="34">
        <v>5.8700000000000002E-2</v>
      </c>
    </row>
    <row r="7123" spans="16:19" x14ac:dyDescent="0.25">
      <c r="P7123" s="27">
        <v>3.2548184716220556E-2</v>
      </c>
      <c r="Q7123" s="28">
        <f t="shared" si="115"/>
        <v>3.5548184716220559E-2</v>
      </c>
      <c r="R7123" s="33">
        <v>0.16282860775771735</v>
      </c>
      <c r="S7123" s="34">
        <v>6.0828724000000001E-2</v>
      </c>
    </row>
    <row r="7124" spans="16:19" x14ac:dyDescent="0.25">
      <c r="P7124" s="27">
        <v>3.2548184716220556E-2</v>
      </c>
      <c r="Q7124" s="28">
        <f t="shared" si="115"/>
        <v>3.5548184716220559E-2</v>
      </c>
      <c r="R7124" s="33">
        <v>0.16282860775771735</v>
      </c>
      <c r="S7124" s="34">
        <v>5.8590404999999998E-2</v>
      </c>
    </row>
    <row r="7125" spans="16:19" x14ac:dyDescent="0.25">
      <c r="P7125" s="27">
        <v>3.2548184716220556E-2</v>
      </c>
      <c r="Q7125" s="28">
        <f t="shared" si="115"/>
        <v>3.5548184716220559E-2</v>
      </c>
      <c r="R7125" s="33">
        <v>0.16282860775771735</v>
      </c>
      <c r="S7125" s="34">
        <v>6.5959999999999991E-2</v>
      </c>
    </row>
    <row r="7126" spans="16:19" x14ac:dyDescent="0.25">
      <c r="P7126" s="27">
        <v>3.2548184716220556E-2</v>
      </c>
      <c r="Q7126" s="28">
        <f t="shared" si="115"/>
        <v>3.5548184716220559E-2</v>
      </c>
      <c r="R7126" s="33">
        <v>0.16282860775771735</v>
      </c>
      <c r="S7126" s="34">
        <v>8.3360000000000004E-2</v>
      </c>
    </row>
    <row r="7127" spans="16:19" x14ac:dyDescent="0.25">
      <c r="P7127" s="27">
        <v>3.2548184716220556E-2</v>
      </c>
      <c r="Q7127" s="28">
        <f t="shared" si="115"/>
        <v>3.5548184716220559E-2</v>
      </c>
      <c r="R7127" s="31">
        <v>0.15939660775771733</v>
      </c>
      <c r="S7127" s="32">
        <v>6.2E-2</v>
      </c>
    </row>
    <row r="7128" spans="16:19" x14ac:dyDescent="0.25">
      <c r="P7128" s="27">
        <v>3.2548184716220556E-2</v>
      </c>
      <c r="Q7128" s="28">
        <f t="shared" si="115"/>
        <v>3.5548184716220559E-2</v>
      </c>
      <c r="R7128" s="31">
        <v>0.15939660775771733</v>
      </c>
      <c r="S7128" s="32">
        <v>5.8689999999999999E-2</v>
      </c>
    </row>
    <row r="7129" spans="16:19" x14ac:dyDescent="0.25">
      <c r="P7129" s="27">
        <v>3.2548184716220556E-2</v>
      </c>
      <c r="Q7129" s="28">
        <f t="shared" si="115"/>
        <v>3.5548184716220559E-2</v>
      </c>
      <c r="R7129" s="31">
        <v>0.15939660775771733</v>
      </c>
      <c r="S7129" s="32">
        <v>5.4329999999999996E-2</v>
      </c>
    </row>
    <row r="7130" spans="16:19" x14ac:dyDescent="0.25">
      <c r="P7130" s="27">
        <v>3.2548184716220556E-2</v>
      </c>
      <c r="Q7130" s="28">
        <f t="shared" si="115"/>
        <v>3.5548184716220559E-2</v>
      </c>
      <c r="R7130" s="31">
        <v>0.15939660775771733</v>
      </c>
      <c r="S7130" s="32">
        <v>4.9399999999999999E-2</v>
      </c>
    </row>
    <row r="7131" spans="16:19" x14ac:dyDescent="0.25">
      <c r="P7131" s="27">
        <v>3.2548184716220556E-2</v>
      </c>
      <c r="Q7131" s="28">
        <f t="shared" si="115"/>
        <v>3.5548184716220559E-2</v>
      </c>
      <c r="R7131" s="29">
        <v>0.15003660775771735</v>
      </c>
      <c r="S7131" s="30">
        <v>5.178E-2</v>
      </c>
    </row>
    <row r="7132" spans="16:19" x14ac:dyDescent="0.25">
      <c r="P7132" s="27">
        <v>3.2548184716220556E-2</v>
      </c>
      <c r="Q7132" s="28">
        <f t="shared" si="115"/>
        <v>3.5548184716220559E-2</v>
      </c>
      <c r="R7132" s="29">
        <v>0.15003660775771735</v>
      </c>
      <c r="S7132" s="30">
        <v>5.1770000000000004E-2</v>
      </c>
    </row>
    <row r="7133" spans="16:19" x14ac:dyDescent="0.25">
      <c r="P7133" s="27">
        <v>3.2548184716220556E-2</v>
      </c>
      <c r="Q7133" s="28">
        <f t="shared" si="115"/>
        <v>3.5548184716220559E-2</v>
      </c>
      <c r="R7133" s="29">
        <v>0.15003660775771735</v>
      </c>
      <c r="S7133" s="30">
        <v>4.3529999999999999E-2</v>
      </c>
    </row>
    <row r="7134" spans="16:19" x14ac:dyDescent="0.25">
      <c r="P7134" s="27">
        <v>3.2548184716220556E-2</v>
      </c>
      <c r="Q7134" s="28">
        <f t="shared" si="115"/>
        <v>3.5548184716220559E-2</v>
      </c>
      <c r="R7134" s="29">
        <v>0.15003660775771735</v>
      </c>
      <c r="S7134" s="30">
        <v>4.3529999999999999E-2</v>
      </c>
    </row>
    <row r="7135" spans="16:19" x14ac:dyDescent="0.25">
      <c r="P7135" s="27">
        <v>3.2548184716220556E-2</v>
      </c>
      <c r="Q7135" s="28">
        <f t="shared" si="115"/>
        <v>3.5548184716220559E-2</v>
      </c>
      <c r="R7135" s="29">
        <v>0.15003660775771735</v>
      </c>
      <c r="S7135" s="30">
        <v>4.3529999999999999E-2</v>
      </c>
    </row>
    <row r="7136" spans="16:19" x14ac:dyDescent="0.25">
      <c r="P7136" s="27">
        <v>3.2548184716220556E-2</v>
      </c>
      <c r="Q7136" s="28">
        <f t="shared" si="115"/>
        <v>3.5548184716220559E-2</v>
      </c>
      <c r="R7136" s="29">
        <v>0.15003660775771735</v>
      </c>
      <c r="S7136" s="30">
        <v>4.4150000000000002E-2</v>
      </c>
    </row>
    <row r="7137" spans="16:19" x14ac:dyDescent="0.25">
      <c r="P7137" s="27">
        <v>3.2548184716220556E-2</v>
      </c>
      <c r="Q7137" s="28">
        <f t="shared" si="115"/>
        <v>3.5548184716220559E-2</v>
      </c>
      <c r="R7137" s="29">
        <v>0.15003660775771735</v>
      </c>
      <c r="S7137" s="30">
        <v>5.5E-2</v>
      </c>
    </row>
    <row r="7138" spans="16:19" x14ac:dyDescent="0.25">
      <c r="P7138" s="27">
        <v>3.2548184716220556E-2</v>
      </c>
      <c r="Q7138" s="28">
        <f t="shared" si="115"/>
        <v>3.5548184716220559E-2</v>
      </c>
      <c r="R7138" s="29">
        <v>0.15003660775771735</v>
      </c>
      <c r="S7138" s="30">
        <v>5.8070000000000004E-2</v>
      </c>
    </row>
    <row r="7139" spans="16:19" x14ac:dyDescent="0.25">
      <c r="P7139" s="27">
        <v>3.2548184716220556E-2</v>
      </c>
      <c r="Q7139" s="28">
        <f t="shared" si="115"/>
        <v>3.5548184716220559E-2</v>
      </c>
      <c r="R7139" s="31">
        <v>0.15939660775771733</v>
      </c>
      <c r="S7139" s="32">
        <v>6.1316907000000004E-2</v>
      </c>
    </row>
    <row r="7140" spans="16:19" x14ac:dyDescent="0.25">
      <c r="P7140" s="27">
        <v>3.2548184716220556E-2</v>
      </c>
      <c r="Q7140" s="28">
        <f t="shared" si="115"/>
        <v>3.5548184716220559E-2</v>
      </c>
      <c r="R7140" s="33">
        <v>0.16282860775771735</v>
      </c>
      <c r="S7140" s="34">
        <v>6.4700000000000008E-2</v>
      </c>
    </row>
    <row r="7141" spans="16:19" x14ac:dyDescent="0.25">
      <c r="P7141" s="27">
        <v>3.2548184716220556E-2</v>
      </c>
      <c r="Q7141" s="28">
        <f t="shared" si="115"/>
        <v>3.5548184716220559E-2</v>
      </c>
      <c r="R7141" s="33">
        <v>0.16282860775771735</v>
      </c>
      <c r="S7141" s="34">
        <v>5.135E-2</v>
      </c>
    </row>
    <row r="7142" spans="16:19" x14ac:dyDescent="0.25">
      <c r="P7142" s="27">
        <v>3.2548184716220556E-2</v>
      </c>
      <c r="Q7142" s="28">
        <f t="shared" si="115"/>
        <v>3.5548184716220559E-2</v>
      </c>
      <c r="R7142" s="33">
        <v>0.16282860775771735</v>
      </c>
      <c r="S7142" s="34">
        <v>4.3529999999999999E-2</v>
      </c>
    </row>
    <row r="7143" spans="16:19" x14ac:dyDescent="0.25">
      <c r="P7143" s="27">
        <v>3.2548184716220556E-2</v>
      </c>
      <c r="Q7143" s="28">
        <f t="shared" si="115"/>
        <v>3.5548184716220559E-2</v>
      </c>
      <c r="R7143" s="33">
        <v>0.16282860775771735</v>
      </c>
      <c r="S7143" s="34">
        <v>4.0439999999999997E-2</v>
      </c>
    </row>
    <row r="7144" spans="16:19" x14ac:dyDescent="0.25">
      <c r="P7144" s="27">
        <v>3.2548184716220556E-2</v>
      </c>
      <c r="Q7144" s="28">
        <f t="shared" si="115"/>
        <v>3.5548184716220559E-2</v>
      </c>
      <c r="R7144" s="33">
        <v>0.16282860775771735</v>
      </c>
      <c r="S7144" s="34">
        <v>3.6240000000000001E-2</v>
      </c>
    </row>
    <row r="7145" spans="16:19" x14ac:dyDescent="0.25">
      <c r="P7145" s="27">
        <v>3.2548184716220556E-2</v>
      </c>
      <c r="Q7145" s="28">
        <f t="shared" si="115"/>
        <v>3.5548184716220559E-2</v>
      </c>
      <c r="R7145" s="33">
        <v>0.16282860775771735</v>
      </c>
      <c r="S7145" s="34">
        <v>3.5770000000000003E-2</v>
      </c>
    </row>
    <row r="7146" spans="16:19" x14ac:dyDescent="0.25">
      <c r="P7146" s="27">
        <v>3.2548184716220556E-2</v>
      </c>
      <c r="Q7146" s="28">
        <f t="shared" si="115"/>
        <v>3.5548184716220559E-2</v>
      </c>
      <c r="R7146" s="33">
        <v>0.16282860775771735</v>
      </c>
      <c r="S7146" s="34">
        <v>3.6069999999999998E-2</v>
      </c>
    </row>
    <row r="7147" spans="16:19" x14ac:dyDescent="0.25">
      <c r="P7147" s="27">
        <v>3.2548184716220556E-2</v>
      </c>
      <c r="Q7147" s="28">
        <f t="shared" si="115"/>
        <v>3.5548184716220559E-2</v>
      </c>
      <c r="R7147" s="33">
        <v>0.16282860775771735</v>
      </c>
      <c r="S7147" s="34">
        <v>4.2999999999999997E-2</v>
      </c>
    </row>
    <row r="7148" spans="16:19" x14ac:dyDescent="0.25">
      <c r="P7148" s="27">
        <v>3.2548184716220556E-2</v>
      </c>
      <c r="Q7148" s="28">
        <f t="shared" si="115"/>
        <v>3.5548184716220559E-2</v>
      </c>
      <c r="R7148" s="33">
        <v>0.16282860775771735</v>
      </c>
      <c r="S7148" s="34">
        <v>4.6719999999999998E-2</v>
      </c>
    </row>
    <row r="7149" spans="16:19" x14ac:dyDescent="0.25">
      <c r="P7149" s="27">
        <v>3.2548184716220556E-2</v>
      </c>
      <c r="Q7149" s="28">
        <f t="shared" si="115"/>
        <v>3.5548184716220559E-2</v>
      </c>
      <c r="R7149" s="33">
        <v>0.16282860775771735</v>
      </c>
      <c r="S7149" s="34">
        <v>6.2E-2</v>
      </c>
    </row>
    <row r="7150" spans="16:19" x14ac:dyDescent="0.25">
      <c r="P7150" s="27">
        <v>3.2548184716220556E-2</v>
      </c>
      <c r="Q7150" s="28">
        <f t="shared" si="115"/>
        <v>3.5548184716220559E-2</v>
      </c>
      <c r="R7150" s="33">
        <v>0.16282860775771735</v>
      </c>
      <c r="S7150" s="34">
        <v>8.1599999999999992E-2</v>
      </c>
    </row>
    <row r="7151" spans="16:19" x14ac:dyDescent="0.25">
      <c r="P7151" s="27">
        <v>3.2548184716220556E-2</v>
      </c>
      <c r="Q7151" s="28">
        <f t="shared" si="115"/>
        <v>3.5548184716220559E-2</v>
      </c>
      <c r="R7151" s="31">
        <v>0.15939660775771733</v>
      </c>
      <c r="S7151" s="32">
        <v>5.9990000000000002E-2</v>
      </c>
    </row>
    <row r="7152" spans="16:19" x14ac:dyDescent="0.25">
      <c r="P7152" s="27">
        <v>3.2548184716220556E-2</v>
      </c>
      <c r="Q7152" s="28">
        <f t="shared" si="115"/>
        <v>3.5548184716220559E-2</v>
      </c>
      <c r="R7152" s="31">
        <v>0.15939660775771733</v>
      </c>
      <c r="S7152" s="32">
        <v>5.5479999999999995E-2</v>
      </c>
    </row>
    <row r="7153" spans="16:19" x14ac:dyDescent="0.25">
      <c r="P7153" s="27">
        <v>3.2548184716220556E-2</v>
      </c>
      <c r="Q7153" s="28">
        <f t="shared" si="115"/>
        <v>3.5548184716220559E-2</v>
      </c>
      <c r="R7153" s="31">
        <v>0.15939660775771733</v>
      </c>
      <c r="S7153" s="32">
        <v>4.8600000000000004E-2</v>
      </c>
    </row>
    <row r="7154" spans="16:19" x14ac:dyDescent="0.25">
      <c r="P7154" s="27">
        <v>3.2548184716220556E-2</v>
      </c>
      <c r="Q7154" s="28">
        <f t="shared" si="115"/>
        <v>3.5548184716220559E-2</v>
      </c>
      <c r="R7154" s="31">
        <v>0.15939660775771733</v>
      </c>
      <c r="S7154" s="32">
        <v>4.6784013999999999E-2</v>
      </c>
    </row>
    <row r="7155" spans="16:19" x14ac:dyDescent="0.25">
      <c r="P7155" s="27">
        <v>3.2548184716220556E-2</v>
      </c>
      <c r="Q7155" s="28">
        <f t="shared" si="115"/>
        <v>3.5548184716220559E-2</v>
      </c>
      <c r="R7155" s="29">
        <v>0.15003660775771735</v>
      </c>
      <c r="S7155" s="30">
        <v>4.3529999999999999E-2</v>
      </c>
    </row>
    <row r="7156" spans="16:19" x14ac:dyDescent="0.25">
      <c r="P7156" s="27">
        <v>3.2548184716220556E-2</v>
      </c>
      <c r="Q7156" s="28">
        <f t="shared" si="115"/>
        <v>3.5548184716220559E-2</v>
      </c>
      <c r="R7156" s="29">
        <v>0.15003660775771735</v>
      </c>
      <c r="S7156" s="30">
        <v>3.7260000000000001E-2</v>
      </c>
    </row>
    <row r="7157" spans="16:19" x14ac:dyDescent="0.25">
      <c r="P7157" s="27">
        <v>3.2548184716220556E-2</v>
      </c>
      <c r="Q7157" s="28">
        <f t="shared" si="115"/>
        <v>3.5548184716220559E-2</v>
      </c>
      <c r="R7157" s="29">
        <v>0.15003660775771735</v>
      </c>
      <c r="S7157" s="30">
        <v>3.3149999999999999E-2</v>
      </c>
    </row>
    <row r="7158" spans="16:19" x14ac:dyDescent="0.25">
      <c r="P7158" s="27">
        <v>3.2548184716220556E-2</v>
      </c>
      <c r="Q7158" s="28">
        <f t="shared" si="115"/>
        <v>3.5548184716220559E-2</v>
      </c>
      <c r="R7158" s="29">
        <v>0.15003660775771735</v>
      </c>
      <c r="S7158" s="30">
        <v>3.3149999999999999E-2</v>
      </c>
    </row>
    <row r="7159" spans="16:19" x14ac:dyDescent="0.25">
      <c r="P7159" s="27">
        <v>3.2548184716220556E-2</v>
      </c>
      <c r="Q7159" s="28">
        <f t="shared" si="115"/>
        <v>3.5548184716220559E-2</v>
      </c>
      <c r="R7159" s="29">
        <v>0.15003660775771735</v>
      </c>
      <c r="S7159" s="30">
        <v>3.2018773E-2</v>
      </c>
    </row>
    <row r="7160" spans="16:19" x14ac:dyDescent="0.25">
      <c r="P7160" s="27">
        <v>3.2548184716220556E-2</v>
      </c>
      <c r="Q7160" s="28">
        <f t="shared" si="115"/>
        <v>3.5548184716220559E-2</v>
      </c>
      <c r="R7160" s="29">
        <v>0.15003660775771735</v>
      </c>
      <c r="S7160" s="30">
        <v>2.5870795000000002E-2</v>
      </c>
    </row>
    <row r="7161" spans="16:19" x14ac:dyDescent="0.25">
      <c r="P7161" s="27">
        <v>3.2548184716220556E-2</v>
      </c>
      <c r="Q7161" s="28">
        <f t="shared" si="115"/>
        <v>3.5548184716220559E-2</v>
      </c>
      <c r="R7161" s="29">
        <v>0.15003660775771735</v>
      </c>
      <c r="S7161" s="30">
        <v>2.3E-2</v>
      </c>
    </row>
    <row r="7162" spans="16:19" x14ac:dyDescent="0.25">
      <c r="P7162" s="27">
        <v>3.2548184716220556E-2</v>
      </c>
      <c r="Q7162" s="28">
        <f t="shared" si="115"/>
        <v>3.5548184716220559E-2</v>
      </c>
      <c r="R7162" s="29">
        <v>0.15003660775771735</v>
      </c>
      <c r="S7162" s="30">
        <v>2.6719999999999997E-2</v>
      </c>
    </row>
    <row r="7163" spans="16:19" x14ac:dyDescent="0.25">
      <c r="P7163" s="27">
        <v>3.2548184716220556E-2</v>
      </c>
      <c r="Q7163" s="28">
        <f t="shared" si="115"/>
        <v>3.5548184716220559E-2</v>
      </c>
      <c r="R7163" s="31">
        <v>0.15939660775771733</v>
      </c>
      <c r="S7163" s="32">
        <v>2.2409999999999999E-2</v>
      </c>
    </row>
    <row r="7164" spans="16:19" x14ac:dyDescent="0.25">
      <c r="P7164" s="27">
        <v>3.2548184716220556E-2</v>
      </c>
      <c r="Q7164" s="28">
        <f t="shared" si="115"/>
        <v>3.5548184716220559E-2</v>
      </c>
      <c r="R7164" s="33">
        <v>0.16282860775771735</v>
      </c>
      <c r="S7164" s="34">
        <v>2.332E-2</v>
      </c>
    </row>
    <row r="7165" spans="16:19" x14ac:dyDescent="0.25">
      <c r="P7165" s="27">
        <v>3.2548184716220556E-2</v>
      </c>
      <c r="Q7165" s="28">
        <f t="shared" si="115"/>
        <v>3.5548184716220559E-2</v>
      </c>
      <c r="R7165" s="33">
        <v>0.16282860775771735</v>
      </c>
      <c r="S7165" s="34">
        <v>2.7050000000000001E-2</v>
      </c>
    </row>
    <row r="7166" spans="16:19" x14ac:dyDescent="0.25">
      <c r="P7166" s="27">
        <v>3.2548184716220556E-2</v>
      </c>
      <c r="Q7166" s="28">
        <f t="shared" si="115"/>
        <v>3.5548184716220559E-2</v>
      </c>
      <c r="R7166" s="33">
        <v>0.16282860775771735</v>
      </c>
      <c r="S7166" s="34">
        <v>2.759E-2</v>
      </c>
    </row>
    <row r="7167" spans="16:19" x14ac:dyDescent="0.25">
      <c r="P7167" s="27">
        <v>3.2548184716220556E-2</v>
      </c>
      <c r="Q7167" s="28">
        <f t="shared" si="115"/>
        <v>3.5548184716220559E-2</v>
      </c>
      <c r="R7167" s="33">
        <v>0.16282860775771735</v>
      </c>
      <c r="S7167" s="34">
        <v>2.9479999999999999E-2</v>
      </c>
    </row>
    <row r="7168" spans="16:19" x14ac:dyDescent="0.25">
      <c r="P7168" s="27">
        <v>3.2548184716220556E-2</v>
      </c>
      <c r="Q7168" s="28">
        <f t="shared" si="115"/>
        <v>3.5548184716220559E-2</v>
      </c>
      <c r="R7168" s="33">
        <v>0.16282860775771735</v>
      </c>
      <c r="S7168" s="34">
        <v>2.9589999999999998E-2</v>
      </c>
    </row>
    <row r="7169" spans="16:19" x14ac:dyDescent="0.25">
      <c r="P7169" s="27">
        <v>3.2548184716220556E-2</v>
      </c>
      <c r="Q7169" s="28">
        <f t="shared" si="115"/>
        <v>3.5548184716220559E-2</v>
      </c>
      <c r="R7169" s="33">
        <v>0.16282860775771735</v>
      </c>
      <c r="S7169" s="34">
        <v>2.8000000000000001E-2</v>
      </c>
    </row>
    <row r="7170" spans="16:19" x14ac:dyDescent="0.25">
      <c r="P7170" s="27">
        <v>3.2548184716220556E-2</v>
      </c>
      <c r="Q7170" s="28">
        <f t="shared" si="115"/>
        <v>3.5548184716220559E-2</v>
      </c>
      <c r="R7170" s="33">
        <v>0.16282860775771735</v>
      </c>
      <c r="S7170" s="34">
        <v>2.8140000000000002E-2</v>
      </c>
    </row>
    <row r="7171" spans="16:19" x14ac:dyDescent="0.25">
      <c r="P7171" s="27">
        <v>3.2548184716220556E-2</v>
      </c>
      <c r="Q7171" s="28">
        <f t="shared" si="115"/>
        <v>3.5548184716220559E-2</v>
      </c>
      <c r="R7171" s="33">
        <v>0.16282860775771735</v>
      </c>
      <c r="S7171" s="34">
        <v>3.005E-2</v>
      </c>
    </row>
    <row r="7172" spans="16:19" x14ac:dyDescent="0.25">
      <c r="P7172" s="27">
        <v>3.2548184716220556E-2</v>
      </c>
      <c r="Q7172" s="28">
        <f t="shared" si="115"/>
        <v>3.5548184716220559E-2</v>
      </c>
      <c r="R7172" s="33">
        <v>0.16282860775771735</v>
      </c>
      <c r="S7172" s="34">
        <v>4.1450000000000001E-2</v>
      </c>
    </row>
    <row r="7173" spans="16:19" x14ac:dyDescent="0.25">
      <c r="P7173" s="27">
        <v>3.2548184716220556E-2</v>
      </c>
      <c r="Q7173" s="28">
        <f t="shared" ref="Q7173:Q7236" si="116">P7173+0.003</f>
        <v>3.5548184716220559E-2</v>
      </c>
      <c r="R7173" s="33">
        <v>0.16282860775771735</v>
      </c>
      <c r="S7173" s="34">
        <v>0.05</v>
      </c>
    </row>
    <row r="7174" spans="16:19" x14ac:dyDescent="0.25">
      <c r="P7174" s="27">
        <v>3.2548184716220556E-2</v>
      </c>
      <c r="Q7174" s="28">
        <f t="shared" si="116"/>
        <v>3.5548184716220559E-2</v>
      </c>
      <c r="R7174" s="33">
        <v>0.16282860775771735</v>
      </c>
      <c r="S7174" s="34">
        <v>6.3600000000000004E-2</v>
      </c>
    </row>
    <row r="7175" spans="16:19" x14ac:dyDescent="0.25">
      <c r="P7175" s="27">
        <v>3.2548184716220556E-2</v>
      </c>
      <c r="Q7175" s="28">
        <f t="shared" si="116"/>
        <v>3.5548184716220559E-2</v>
      </c>
      <c r="R7175" s="31">
        <v>0.15939660775771733</v>
      </c>
      <c r="S7175" s="32">
        <v>6.2119999999999995E-2</v>
      </c>
    </row>
    <row r="7176" spans="16:19" x14ac:dyDescent="0.25">
      <c r="P7176" s="27">
        <v>3.2548184716220556E-2</v>
      </c>
      <c r="Q7176" s="28">
        <f t="shared" si="116"/>
        <v>3.5548184716220559E-2</v>
      </c>
      <c r="R7176" s="31">
        <v>0.15939660775771733</v>
      </c>
      <c r="S7176" s="32">
        <v>6.8180000000000004E-2</v>
      </c>
    </row>
    <row r="7177" spans="16:19" x14ac:dyDescent="0.25">
      <c r="P7177" s="27">
        <v>3.2548184716220556E-2</v>
      </c>
      <c r="Q7177" s="28">
        <f t="shared" si="116"/>
        <v>3.5548184716220559E-2</v>
      </c>
      <c r="R7177" s="31">
        <v>0.15939660775771733</v>
      </c>
      <c r="S7177" s="32">
        <v>5.9539999999999996E-2</v>
      </c>
    </row>
    <row r="7178" spans="16:19" x14ac:dyDescent="0.25">
      <c r="P7178" s="27">
        <v>3.2548184716220556E-2</v>
      </c>
      <c r="Q7178" s="28">
        <f t="shared" si="116"/>
        <v>3.5548184716220559E-2</v>
      </c>
      <c r="R7178" s="31">
        <v>0.15939660775771733</v>
      </c>
      <c r="S7178" s="32">
        <v>5.5689999999999996E-2</v>
      </c>
    </row>
    <row r="7179" spans="16:19" x14ac:dyDescent="0.25">
      <c r="P7179" s="27">
        <v>3.2548184716220556E-2</v>
      </c>
      <c r="Q7179" s="28">
        <f t="shared" si="116"/>
        <v>3.5548184716220559E-2</v>
      </c>
      <c r="R7179" s="29">
        <v>0.15003660775771735</v>
      </c>
      <c r="S7179" s="30">
        <v>5.1749999999999997E-2</v>
      </c>
    </row>
    <row r="7180" spans="16:19" x14ac:dyDescent="0.25">
      <c r="P7180" s="27">
        <v>3.2548184716220556E-2</v>
      </c>
      <c r="Q7180" s="28">
        <f t="shared" si="116"/>
        <v>3.5548184716220559E-2</v>
      </c>
      <c r="R7180" s="29">
        <v>0.15003660775771735</v>
      </c>
      <c r="S7180" s="30">
        <v>4.045E-2</v>
      </c>
    </row>
    <row r="7181" spans="16:19" x14ac:dyDescent="0.25">
      <c r="P7181" s="27">
        <v>3.2548184716220556E-2</v>
      </c>
      <c r="Q7181" s="28">
        <f t="shared" si="116"/>
        <v>3.5548184716220559E-2</v>
      </c>
      <c r="R7181" s="29">
        <v>0.15003660775771735</v>
      </c>
      <c r="S7181" s="30">
        <v>3.526E-2</v>
      </c>
    </row>
    <row r="7182" spans="16:19" x14ac:dyDescent="0.25">
      <c r="P7182" s="27">
        <v>3.2548184716220556E-2</v>
      </c>
      <c r="Q7182" s="28">
        <f t="shared" si="116"/>
        <v>3.5548184716220559E-2</v>
      </c>
      <c r="R7182" s="29">
        <v>0.15003660775771735</v>
      </c>
      <c r="S7182" s="30">
        <v>3.2770000000000001E-2</v>
      </c>
    </row>
    <row r="7183" spans="16:19" x14ac:dyDescent="0.25">
      <c r="P7183" s="27">
        <v>3.2548184716220556E-2</v>
      </c>
      <c r="Q7183" s="28">
        <f t="shared" si="116"/>
        <v>3.5548184716220559E-2</v>
      </c>
      <c r="R7183" s="29">
        <v>0.15003660775771735</v>
      </c>
      <c r="S7183" s="30">
        <v>3.2770000000000001E-2</v>
      </c>
    </row>
    <row r="7184" spans="16:19" x14ac:dyDescent="0.25">
      <c r="P7184" s="27">
        <v>3.2548184716220556E-2</v>
      </c>
      <c r="Q7184" s="28">
        <f t="shared" si="116"/>
        <v>3.5548184716220559E-2</v>
      </c>
      <c r="R7184" s="29">
        <v>0.15003660775771735</v>
      </c>
      <c r="S7184" s="30">
        <v>3.2770000000000001E-2</v>
      </c>
    </row>
    <row r="7185" spans="16:19" x14ac:dyDescent="0.25">
      <c r="P7185" s="27">
        <v>3.2548184716220556E-2</v>
      </c>
      <c r="Q7185" s="28">
        <f t="shared" si="116"/>
        <v>3.5548184716220559E-2</v>
      </c>
      <c r="R7185" s="29">
        <v>0.15003660775771735</v>
      </c>
      <c r="S7185" s="30">
        <v>3.4729999999999997E-2</v>
      </c>
    </row>
    <row r="7186" spans="16:19" x14ac:dyDescent="0.25">
      <c r="P7186" s="27">
        <v>3.2548184716220556E-2</v>
      </c>
      <c r="Q7186" s="28">
        <f t="shared" si="116"/>
        <v>3.5548184716220559E-2</v>
      </c>
      <c r="R7186" s="29">
        <v>0.15003660775771735</v>
      </c>
      <c r="S7186" s="30">
        <v>4.9599999999999998E-2</v>
      </c>
    </row>
    <row r="7187" spans="16:19" x14ac:dyDescent="0.25">
      <c r="P7187" s="27">
        <v>3.2548184716220556E-2</v>
      </c>
      <c r="Q7187" s="28">
        <f t="shared" si="116"/>
        <v>3.5548184716220559E-2</v>
      </c>
      <c r="R7187" s="31">
        <v>0.15939999999999999</v>
      </c>
      <c r="S7187" s="32">
        <v>5.7149999999999999E-2</v>
      </c>
    </row>
    <row r="7188" spans="16:19" x14ac:dyDescent="0.25">
      <c r="P7188" s="27">
        <v>3.2548184716220556E-2</v>
      </c>
      <c r="Q7188" s="28">
        <f t="shared" si="116"/>
        <v>3.5548184716220559E-2</v>
      </c>
      <c r="R7188" s="31">
        <v>0.15939999999999999</v>
      </c>
      <c r="S7188" s="32">
        <v>6.2240000000000004E-2</v>
      </c>
    </row>
    <row r="7189" spans="16:19" x14ac:dyDescent="0.25">
      <c r="P7189" s="27">
        <v>3.2548184716220556E-2</v>
      </c>
      <c r="Q7189" s="28">
        <f t="shared" si="116"/>
        <v>3.5548184716220559E-2</v>
      </c>
      <c r="R7189" s="31">
        <v>0.15939999999999999</v>
      </c>
      <c r="S7189" s="32">
        <v>6.2469999999999998E-2</v>
      </c>
    </row>
    <row r="7190" spans="16:19" x14ac:dyDescent="0.25">
      <c r="P7190" s="27">
        <v>3.2548184716220556E-2</v>
      </c>
      <c r="Q7190" s="28">
        <f t="shared" si="116"/>
        <v>3.5548184716220559E-2</v>
      </c>
      <c r="R7190" s="31">
        <v>0.15939999999999999</v>
      </c>
      <c r="S7190" s="32">
        <v>5.9395332000000002E-2</v>
      </c>
    </row>
    <row r="7191" spans="16:19" x14ac:dyDescent="0.25">
      <c r="P7191" s="27">
        <v>3.2548184716220556E-2</v>
      </c>
      <c r="Q7191" s="28">
        <f t="shared" si="116"/>
        <v>3.5548184716220559E-2</v>
      </c>
      <c r="R7191" s="31">
        <v>0.15939999999999999</v>
      </c>
      <c r="S7191" s="32">
        <v>5.8200000000000002E-2</v>
      </c>
    </row>
    <row r="7192" spans="16:19" x14ac:dyDescent="0.25">
      <c r="P7192" s="27">
        <v>3.2548184716220556E-2</v>
      </c>
      <c r="Q7192" s="28">
        <f t="shared" si="116"/>
        <v>3.5548184716220559E-2</v>
      </c>
      <c r="R7192" s="31">
        <v>0.15939999999999999</v>
      </c>
      <c r="S7192" s="32">
        <v>5.33E-2</v>
      </c>
    </row>
    <row r="7193" spans="16:19" x14ac:dyDescent="0.25">
      <c r="P7193" s="27">
        <v>3.2548184716220556E-2</v>
      </c>
      <c r="Q7193" s="28">
        <f t="shared" si="116"/>
        <v>3.5548184716220559E-2</v>
      </c>
      <c r="R7193" s="31">
        <v>0.15939999999999999</v>
      </c>
      <c r="S7193" s="32">
        <v>5.3659999999999999E-2</v>
      </c>
    </row>
    <row r="7194" spans="16:19" x14ac:dyDescent="0.25">
      <c r="P7194" s="27">
        <v>3.2548184716220556E-2</v>
      </c>
      <c r="Q7194" s="28">
        <f t="shared" si="116"/>
        <v>3.5548184716220559E-2</v>
      </c>
      <c r="R7194" s="31">
        <v>0.15939999999999999</v>
      </c>
      <c r="S7194" s="32">
        <v>0.06</v>
      </c>
    </row>
    <row r="7195" spans="16:19" x14ac:dyDescent="0.25">
      <c r="P7195" s="27">
        <v>3.2548184716220556E-2</v>
      </c>
      <c r="Q7195" s="28">
        <f t="shared" si="116"/>
        <v>3.5548184716220559E-2</v>
      </c>
      <c r="R7195" s="31">
        <v>0.15939999999999999</v>
      </c>
      <c r="S7195" s="32">
        <v>6.9849999999999995E-2</v>
      </c>
    </row>
    <row r="7196" spans="16:19" x14ac:dyDescent="0.25">
      <c r="P7196" s="27">
        <v>3.2548184716220556E-2</v>
      </c>
      <c r="Q7196" s="28">
        <f t="shared" si="116"/>
        <v>3.5548184716220559E-2</v>
      </c>
      <c r="R7196" s="31">
        <v>0.15939999999999999</v>
      </c>
      <c r="S7196" s="32">
        <v>8.5550000000000001E-2</v>
      </c>
    </row>
    <row r="7197" spans="16:19" x14ac:dyDescent="0.25">
      <c r="P7197" s="27">
        <v>3.2548184716220556E-2</v>
      </c>
      <c r="Q7197" s="28">
        <f t="shared" si="116"/>
        <v>3.5548184716220559E-2</v>
      </c>
      <c r="R7197" s="31">
        <v>0.15939999999999999</v>
      </c>
      <c r="S7197" s="32">
        <v>7.4290000000000009E-2</v>
      </c>
    </row>
    <row r="7198" spans="16:19" x14ac:dyDescent="0.25">
      <c r="P7198" s="27">
        <v>3.2548184716220556E-2</v>
      </c>
      <c r="Q7198" s="28">
        <f t="shared" si="116"/>
        <v>3.5548184716220559E-2</v>
      </c>
      <c r="R7198" s="31">
        <v>0.15939999999999999</v>
      </c>
      <c r="S7198" s="32">
        <v>8.0502009999999999E-2</v>
      </c>
    </row>
    <row r="7199" spans="16:19" x14ac:dyDescent="0.25">
      <c r="P7199" s="27">
        <v>3.2548184716220556E-2</v>
      </c>
      <c r="Q7199" s="28">
        <f t="shared" si="116"/>
        <v>3.5548184716220559E-2</v>
      </c>
      <c r="R7199" s="31">
        <v>0.15939999999999999</v>
      </c>
      <c r="S7199" s="32">
        <v>8.0357468000000001E-2</v>
      </c>
    </row>
    <row r="7200" spans="16:19" x14ac:dyDescent="0.25">
      <c r="P7200" s="27">
        <v>3.2548184716220556E-2</v>
      </c>
      <c r="Q7200" s="28">
        <f t="shared" si="116"/>
        <v>3.5548184716220559E-2</v>
      </c>
      <c r="R7200" s="31">
        <v>0.15939999999999999</v>
      </c>
      <c r="S7200" s="32">
        <v>6.4780000000000004E-2</v>
      </c>
    </row>
    <row r="7201" spans="16:19" x14ac:dyDescent="0.25">
      <c r="P7201" s="27">
        <v>3.2548184716220556E-2</v>
      </c>
      <c r="Q7201" s="28">
        <f t="shared" si="116"/>
        <v>3.5548184716220559E-2</v>
      </c>
      <c r="R7201" s="31">
        <v>0.15939999999999999</v>
      </c>
      <c r="S7201" s="32">
        <v>6.7250000000000004E-2</v>
      </c>
    </row>
    <row r="7202" spans="16:19" x14ac:dyDescent="0.25">
      <c r="P7202" s="27">
        <v>3.2548184716220556E-2</v>
      </c>
      <c r="Q7202" s="28">
        <f t="shared" si="116"/>
        <v>3.5548184716220559E-2</v>
      </c>
      <c r="R7202" s="31">
        <v>0.15939999999999999</v>
      </c>
      <c r="S7202" s="32">
        <v>6.0999999999999999E-2</v>
      </c>
    </row>
    <row r="7203" spans="16:19" x14ac:dyDescent="0.25">
      <c r="P7203" s="27">
        <v>3.2548184716220556E-2</v>
      </c>
      <c r="Q7203" s="28">
        <f t="shared" si="116"/>
        <v>3.5548184716220559E-2</v>
      </c>
      <c r="R7203" s="29">
        <v>0.15</v>
      </c>
      <c r="S7203" s="30">
        <v>5.704E-2</v>
      </c>
    </row>
    <row r="7204" spans="16:19" x14ac:dyDescent="0.25">
      <c r="P7204" s="27">
        <v>3.2548184716220556E-2</v>
      </c>
      <c r="Q7204" s="28">
        <f t="shared" si="116"/>
        <v>3.5548184716220559E-2</v>
      </c>
      <c r="R7204" s="29">
        <v>0.15</v>
      </c>
      <c r="S7204" s="30">
        <v>4.6450000000000005E-2</v>
      </c>
    </row>
    <row r="7205" spans="16:19" x14ac:dyDescent="0.25">
      <c r="P7205" s="27">
        <v>3.2548184716220556E-2</v>
      </c>
      <c r="Q7205" s="28">
        <f t="shared" si="116"/>
        <v>3.5548184716220559E-2</v>
      </c>
      <c r="R7205" s="29">
        <v>0.15</v>
      </c>
      <c r="S7205" s="30">
        <v>4.1939999999999998E-2</v>
      </c>
    </row>
    <row r="7206" spans="16:19" x14ac:dyDescent="0.25">
      <c r="P7206" s="27">
        <v>3.2548184716220556E-2</v>
      </c>
      <c r="Q7206" s="28">
        <f t="shared" si="116"/>
        <v>3.5548184716220559E-2</v>
      </c>
      <c r="R7206" s="29">
        <v>0.15</v>
      </c>
      <c r="S7206" s="30">
        <v>3.7149999999999996E-2</v>
      </c>
    </row>
    <row r="7207" spans="16:19" x14ac:dyDescent="0.25">
      <c r="P7207" s="27">
        <v>3.2548184716220556E-2</v>
      </c>
      <c r="Q7207" s="28">
        <f t="shared" si="116"/>
        <v>3.5548184716220559E-2</v>
      </c>
      <c r="R7207" s="29">
        <v>0.15</v>
      </c>
      <c r="S7207" s="30">
        <v>3.8009999999999995E-2</v>
      </c>
    </row>
    <row r="7208" spans="16:19" x14ac:dyDescent="0.25">
      <c r="P7208" s="27">
        <v>3.2548184716220556E-2</v>
      </c>
      <c r="Q7208" s="28">
        <f t="shared" si="116"/>
        <v>3.5548184716220559E-2</v>
      </c>
      <c r="R7208" s="29">
        <v>0.15</v>
      </c>
      <c r="S7208" s="30">
        <v>3.7969999999999997E-2</v>
      </c>
    </row>
    <row r="7209" spans="16:19" x14ac:dyDescent="0.25">
      <c r="P7209" s="27">
        <v>3.2548184716220556E-2</v>
      </c>
      <c r="Q7209" s="28">
        <f t="shared" si="116"/>
        <v>3.5548184716220559E-2</v>
      </c>
      <c r="R7209" s="29">
        <v>0.15</v>
      </c>
      <c r="S7209" s="30">
        <v>4.045E-2</v>
      </c>
    </row>
    <row r="7210" spans="16:19" x14ac:dyDescent="0.25">
      <c r="P7210" s="27">
        <v>3.2548184716220556E-2</v>
      </c>
      <c r="Q7210" s="28">
        <f t="shared" si="116"/>
        <v>3.5548184716220559E-2</v>
      </c>
      <c r="R7210" s="29">
        <v>0.15</v>
      </c>
      <c r="S7210" s="30">
        <v>5.382E-2</v>
      </c>
    </row>
    <row r="7211" spans="16:19" x14ac:dyDescent="0.25">
      <c r="P7211" s="27">
        <v>3.2548184716220556E-2</v>
      </c>
      <c r="Q7211" s="28">
        <f t="shared" si="116"/>
        <v>3.5548184716220559E-2</v>
      </c>
      <c r="R7211" s="29">
        <v>0.15</v>
      </c>
      <c r="S7211" s="30">
        <v>5.9990000000000002E-2</v>
      </c>
    </row>
    <row r="7212" spans="16:19" x14ac:dyDescent="0.25">
      <c r="P7212" s="27">
        <v>3.2548184716220556E-2</v>
      </c>
      <c r="Q7212" s="28">
        <f t="shared" si="116"/>
        <v>3.5548184716220559E-2</v>
      </c>
      <c r="R7212" s="29">
        <v>0.15</v>
      </c>
      <c r="S7212" s="30">
        <v>6.4599999999999991E-2</v>
      </c>
    </row>
    <row r="7213" spans="16:19" x14ac:dyDescent="0.25">
      <c r="P7213" s="27">
        <v>3.2548184716220556E-2</v>
      </c>
      <c r="Q7213" s="28">
        <f t="shared" si="116"/>
        <v>3.5548184716220559E-2</v>
      </c>
      <c r="R7213" s="29">
        <v>0.15</v>
      </c>
      <c r="S7213" s="30">
        <v>6.5000000000000002E-2</v>
      </c>
    </row>
    <row r="7214" spans="16:19" x14ac:dyDescent="0.25">
      <c r="P7214" s="27">
        <v>3.2548184716220556E-2</v>
      </c>
      <c r="Q7214" s="28">
        <f t="shared" si="116"/>
        <v>3.5548184716220559E-2</v>
      </c>
      <c r="R7214" s="29">
        <v>0.15</v>
      </c>
      <c r="S7214" s="30">
        <v>5.9990000000000002E-2</v>
      </c>
    </row>
    <row r="7215" spans="16:19" x14ac:dyDescent="0.25">
      <c r="P7215" s="27">
        <v>3.2548184716220556E-2</v>
      </c>
      <c r="Q7215" s="28">
        <f t="shared" si="116"/>
        <v>3.5548184716220559E-2</v>
      </c>
      <c r="R7215" s="29">
        <v>0.15</v>
      </c>
      <c r="S7215" s="30">
        <v>5.9990000000000002E-2</v>
      </c>
    </row>
    <row r="7216" spans="16:19" x14ac:dyDescent="0.25">
      <c r="P7216" s="27">
        <v>3.2548184716220556E-2</v>
      </c>
      <c r="Q7216" s="28">
        <f t="shared" si="116"/>
        <v>3.5548184716220559E-2</v>
      </c>
      <c r="R7216" s="29">
        <v>0.15</v>
      </c>
      <c r="S7216" s="30">
        <v>5.33E-2</v>
      </c>
    </row>
    <row r="7217" spans="16:19" x14ac:dyDescent="0.25">
      <c r="P7217" s="27">
        <v>3.2548184716220556E-2</v>
      </c>
      <c r="Q7217" s="28">
        <f t="shared" si="116"/>
        <v>3.5548184716220559E-2</v>
      </c>
      <c r="R7217" s="29">
        <v>0.15</v>
      </c>
      <c r="S7217" s="30">
        <v>5.382E-2</v>
      </c>
    </row>
    <row r="7218" spans="16:19" x14ac:dyDescent="0.25">
      <c r="P7218" s="27">
        <v>3.2548184716220556E-2</v>
      </c>
      <c r="Q7218" s="28">
        <f t="shared" si="116"/>
        <v>3.5548184716220559E-2</v>
      </c>
      <c r="R7218" s="29">
        <v>0.15</v>
      </c>
      <c r="S7218" s="30">
        <v>5.9990000000000002E-2</v>
      </c>
    </row>
    <row r="7219" spans="16:19" x14ac:dyDescent="0.25">
      <c r="P7219" s="27">
        <v>3.2548184716220556E-2</v>
      </c>
      <c r="Q7219" s="28">
        <f t="shared" si="116"/>
        <v>3.5548184716220559E-2</v>
      </c>
      <c r="R7219" s="29">
        <v>0.15</v>
      </c>
      <c r="S7219" s="30">
        <v>6.7989999999999995E-2</v>
      </c>
    </row>
    <row r="7220" spans="16:19" x14ac:dyDescent="0.25">
      <c r="P7220" s="27">
        <v>3.2548184716220556E-2</v>
      </c>
      <c r="Q7220" s="28">
        <f t="shared" si="116"/>
        <v>3.5548184716220559E-2</v>
      </c>
      <c r="R7220" s="29">
        <v>0.15</v>
      </c>
      <c r="S7220" s="30">
        <v>8.5449999999999998E-2</v>
      </c>
    </row>
    <row r="7221" spans="16:19" x14ac:dyDescent="0.25">
      <c r="P7221" s="27">
        <v>3.2548184716220556E-2</v>
      </c>
      <c r="Q7221" s="28">
        <f t="shared" si="116"/>
        <v>3.5548184716220559E-2</v>
      </c>
      <c r="R7221" s="29">
        <v>0.15</v>
      </c>
      <c r="S7221" s="30">
        <v>7.7639844999999999E-2</v>
      </c>
    </row>
    <row r="7222" spans="16:19" x14ac:dyDescent="0.25">
      <c r="P7222" s="27">
        <v>3.2548184716220556E-2</v>
      </c>
      <c r="Q7222" s="28">
        <f t="shared" si="116"/>
        <v>3.5548184716220559E-2</v>
      </c>
      <c r="R7222" s="29">
        <v>0.15</v>
      </c>
      <c r="S7222" s="30">
        <v>8.6999999999999994E-2</v>
      </c>
    </row>
    <row r="7223" spans="16:19" x14ac:dyDescent="0.25">
      <c r="P7223" s="27">
        <v>3.2548184716220556E-2</v>
      </c>
      <c r="Q7223" s="28">
        <f t="shared" si="116"/>
        <v>3.5548184716220559E-2</v>
      </c>
      <c r="R7223" s="29">
        <v>0.15</v>
      </c>
      <c r="S7223" s="30">
        <v>8.5449999999999998E-2</v>
      </c>
    </row>
    <row r="7224" spans="16:19" x14ac:dyDescent="0.25">
      <c r="P7224" s="27">
        <v>3.2548184716220556E-2</v>
      </c>
      <c r="Q7224" s="28">
        <f t="shared" si="116"/>
        <v>3.5548184716220559E-2</v>
      </c>
      <c r="R7224" s="29">
        <v>0.15</v>
      </c>
      <c r="S7224" s="30">
        <v>7.5299999999999992E-2</v>
      </c>
    </row>
    <row r="7225" spans="16:19" x14ac:dyDescent="0.25">
      <c r="P7225" s="27">
        <v>3.2548184716220556E-2</v>
      </c>
      <c r="Q7225" s="28">
        <f t="shared" si="116"/>
        <v>3.5548184716220559E-2</v>
      </c>
      <c r="R7225" s="29">
        <v>0.15</v>
      </c>
      <c r="S7225" s="30">
        <v>6.5009999999999998E-2</v>
      </c>
    </row>
    <row r="7226" spans="16:19" x14ac:dyDescent="0.25">
      <c r="P7226" s="27">
        <v>3.2548184716220556E-2</v>
      </c>
      <c r="Q7226" s="28">
        <f t="shared" si="116"/>
        <v>3.5548184716220559E-2</v>
      </c>
      <c r="R7226" s="29">
        <v>0.15</v>
      </c>
      <c r="S7226" s="30">
        <v>6.0770000000000005E-2</v>
      </c>
    </row>
    <row r="7227" spans="16:19" x14ac:dyDescent="0.25">
      <c r="P7227" s="27">
        <v>3.2548184716220556E-2</v>
      </c>
      <c r="Q7227" s="28">
        <f t="shared" si="116"/>
        <v>3.5548184716220559E-2</v>
      </c>
      <c r="R7227" s="29">
        <v>0.15</v>
      </c>
      <c r="S7227" s="30">
        <v>5.9990000000000002E-2</v>
      </c>
    </row>
    <row r="7228" spans="16:19" x14ac:dyDescent="0.25">
      <c r="P7228" s="27">
        <v>3.2548184716220556E-2</v>
      </c>
      <c r="Q7228" s="28">
        <f t="shared" si="116"/>
        <v>3.5548184716220559E-2</v>
      </c>
      <c r="R7228" s="29">
        <v>0.15</v>
      </c>
      <c r="S7228" s="30">
        <v>4.9779999999999998E-2</v>
      </c>
    </row>
    <row r="7229" spans="16:19" x14ac:dyDescent="0.25">
      <c r="P7229" s="27">
        <v>3.2548184716220556E-2</v>
      </c>
      <c r="Q7229" s="28">
        <f t="shared" si="116"/>
        <v>3.5548184716220559E-2</v>
      </c>
      <c r="R7229" s="29">
        <v>0.15</v>
      </c>
      <c r="S7229" s="30">
        <v>4.5090000000000005E-2</v>
      </c>
    </row>
    <row r="7230" spans="16:19" x14ac:dyDescent="0.25">
      <c r="P7230" s="27">
        <v>3.2548184716220556E-2</v>
      </c>
      <c r="Q7230" s="28">
        <f t="shared" si="116"/>
        <v>3.5548184716220559E-2</v>
      </c>
      <c r="R7230" s="29">
        <v>0.15</v>
      </c>
      <c r="S7230" s="30">
        <v>4.1030000000000004E-2</v>
      </c>
    </row>
    <row r="7231" spans="16:19" x14ac:dyDescent="0.25">
      <c r="P7231" s="27">
        <v>3.2548184716220556E-2</v>
      </c>
      <c r="Q7231" s="28">
        <f t="shared" si="116"/>
        <v>3.5548184716220559E-2</v>
      </c>
      <c r="R7231" s="29">
        <v>0.15</v>
      </c>
      <c r="S7231" s="30">
        <v>4.1189999999999997E-2</v>
      </c>
    </row>
    <row r="7232" spans="16:19" x14ac:dyDescent="0.25">
      <c r="P7232" s="27">
        <v>3.2548184716220556E-2</v>
      </c>
      <c r="Q7232" s="28">
        <f t="shared" si="116"/>
        <v>3.5548184716220559E-2</v>
      </c>
      <c r="R7232" s="29">
        <v>0.15</v>
      </c>
      <c r="S7232" s="30">
        <v>4.1169999999999998E-2</v>
      </c>
    </row>
    <row r="7233" spans="16:19" x14ac:dyDescent="0.25">
      <c r="P7233" s="27">
        <v>3.2548184716220556E-2</v>
      </c>
      <c r="Q7233" s="28">
        <f t="shared" si="116"/>
        <v>3.5548184716220559E-2</v>
      </c>
      <c r="R7233" s="29">
        <v>0.15</v>
      </c>
      <c r="S7233" s="30">
        <v>4.5499999999999999E-2</v>
      </c>
    </row>
    <row r="7234" spans="16:19" x14ac:dyDescent="0.25">
      <c r="P7234" s="27">
        <v>3.2548184716220556E-2</v>
      </c>
      <c r="Q7234" s="28">
        <f t="shared" si="116"/>
        <v>3.5548184716220559E-2</v>
      </c>
      <c r="R7234" s="29">
        <v>0.15</v>
      </c>
      <c r="S7234" s="30">
        <v>5.9290000000000002E-2</v>
      </c>
    </row>
    <row r="7235" spans="16:19" x14ac:dyDescent="0.25">
      <c r="P7235" s="27">
        <v>3.2548184716220556E-2</v>
      </c>
      <c r="Q7235" s="28">
        <f t="shared" si="116"/>
        <v>3.5548184716220559E-2</v>
      </c>
      <c r="R7235" s="31">
        <v>0.15939660775771733</v>
      </c>
      <c r="S7235" s="32">
        <v>5.9319999999999998E-2</v>
      </c>
    </row>
    <row r="7236" spans="16:19" x14ac:dyDescent="0.25">
      <c r="P7236" s="27">
        <v>3.2548184716220556E-2</v>
      </c>
      <c r="Q7236" s="28">
        <f t="shared" si="116"/>
        <v>3.5548184716220559E-2</v>
      </c>
      <c r="R7236" s="33">
        <v>0.16282860775771735</v>
      </c>
      <c r="S7236" s="34">
        <v>6.885488599999999E-2</v>
      </c>
    </row>
    <row r="7237" spans="16:19" x14ac:dyDescent="0.25">
      <c r="P7237" s="27">
        <v>3.2548184716220556E-2</v>
      </c>
      <c r="Q7237" s="28">
        <f t="shared" ref="Q7237:Q7300" si="117">P7237+0.003</f>
        <v>3.5548184716220559E-2</v>
      </c>
      <c r="R7237" s="33">
        <v>0.16282860775771735</v>
      </c>
      <c r="S7237" s="34">
        <v>6.9550000000000001E-2</v>
      </c>
    </row>
    <row r="7238" spans="16:19" x14ac:dyDescent="0.25">
      <c r="P7238" s="27">
        <v>3.2548184716220556E-2</v>
      </c>
      <c r="Q7238" s="28">
        <f t="shared" si="117"/>
        <v>3.5548184716220559E-2</v>
      </c>
      <c r="R7238" s="33">
        <v>0.16282860775771735</v>
      </c>
      <c r="S7238" s="34">
        <v>6.0749999999999998E-2</v>
      </c>
    </row>
    <row r="7239" spans="16:19" x14ac:dyDescent="0.25">
      <c r="P7239" s="27">
        <v>3.2548184716220556E-2</v>
      </c>
      <c r="Q7239" s="28">
        <f t="shared" si="117"/>
        <v>3.5548184716220559E-2</v>
      </c>
      <c r="R7239" s="33">
        <v>0.16282860775771735</v>
      </c>
      <c r="S7239" s="34">
        <v>6.0749999999999998E-2</v>
      </c>
    </row>
    <row r="7240" spans="16:19" x14ac:dyDescent="0.25">
      <c r="P7240" s="27">
        <v>3.2548184716220556E-2</v>
      </c>
      <c r="Q7240" s="28">
        <f t="shared" si="117"/>
        <v>3.5548184716220559E-2</v>
      </c>
      <c r="R7240" s="33">
        <v>0.16282860775771735</v>
      </c>
      <c r="S7240" s="34">
        <v>5.4549999999999994E-2</v>
      </c>
    </row>
    <row r="7241" spans="16:19" x14ac:dyDescent="0.25">
      <c r="P7241" s="27">
        <v>3.2548184716220556E-2</v>
      </c>
      <c r="Q7241" s="28">
        <f t="shared" si="117"/>
        <v>3.5548184716220559E-2</v>
      </c>
      <c r="R7241" s="33">
        <v>0.16282860775771735</v>
      </c>
      <c r="S7241" s="34">
        <v>5.6270000000000001E-2</v>
      </c>
    </row>
    <row r="7242" spans="16:19" x14ac:dyDescent="0.25">
      <c r="P7242" s="27">
        <v>3.2548184716220556E-2</v>
      </c>
      <c r="Q7242" s="28">
        <f t="shared" si="117"/>
        <v>3.5548184716220559E-2</v>
      </c>
      <c r="R7242" s="33">
        <v>0.16282860775771735</v>
      </c>
      <c r="S7242" s="34">
        <v>6.6000000000000003E-2</v>
      </c>
    </row>
    <row r="7243" spans="16:19" x14ac:dyDescent="0.25">
      <c r="P7243" s="27">
        <v>3.2548184716220556E-2</v>
      </c>
      <c r="Q7243" s="28">
        <f t="shared" si="117"/>
        <v>3.5548184716220559E-2</v>
      </c>
      <c r="R7243" s="33">
        <v>0.16282860775771735</v>
      </c>
      <c r="S7243" s="34">
        <v>7.7402429999999994E-2</v>
      </c>
    </row>
    <row r="7244" spans="16:19" x14ac:dyDescent="0.25">
      <c r="P7244" s="27">
        <v>3.2548184716220556E-2</v>
      </c>
      <c r="Q7244" s="28">
        <f t="shared" si="117"/>
        <v>3.5548184716220559E-2</v>
      </c>
      <c r="R7244" s="33">
        <v>0.16282860775771735</v>
      </c>
      <c r="S7244" s="34">
        <v>9.5039999999999999E-2</v>
      </c>
    </row>
    <row r="7245" spans="16:19" x14ac:dyDescent="0.25">
      <c r="P7245" s="27">
        <v>3.2548184716220556E-2</v>
      </c>
      <c r="Q7245" s="28">
        <f t="shared" si="117"/>
        <v>3.5548184716220559E-2</v>
      </c>
      <c r="R7245" s="33">
        <v>0.16282860775771735</v>
      </c>
      <c r="S7245" s="34">
        <v>9.5781650999999995E-2</v>
      </c>
    </row>
    <row r="7246" spans="16:19" x14ac:dyDescent="0.25">
      <c r="P7246" s="27">
        <v>3.2548184716220556E-2</v>
      </c>
      <c r="Q7246" s="28">
        <f t="shared" si="117"/>
        <v>3.5548184716220559E-2</v>
      </c>
      <c r="R7246" s="33">
        <v>0.16282860775771735</v>
      </c>
      <c r="S7246" s="34">
        <v>0.1</v>
      </c>
    </row>
    <row r="7247" spans="16:19" x14ac:dyDescent="0.25">
      <c r="P7247" s="27">
        <v>3.2548184716220556E-2</v>
      </c>
      <c r="Q7247" s="28">
        <f t="shared" si="117"/>
        <v>3.5548184716220559E-2</v>
      </c>
      <c r="R7247" s="31">
        <v>0.15939660775771733</v>
      </c>
      <c r="S7247" s="32">
        <v>0.08</v>
      </c>
    </row>
    <row r="7248" spans="16:19" x14ac:dyDescent="0.25">
      <c r="P7248" s="27">
        <v>3.2548184716220556E-2</v>
      </c>
      <c r="Q7248" s="28">
        <f t="shared" si="117"/>
        <v>3.5548184716220559E-2</v>
      </c>
      <c r="R7248" s="31">
        <v>0.15939660775771733</v>
      </c>
      <c r="S7248" s="32">
        <v>6.7989999999999995E-2</v>
      </c>
    </row>
    <row r="7249" spans="16:19" x14ac:dyDescent="0.25">
      <c r="P7249" s="27">
        <v>3.2548184716220556E-2</v>
      </c>
      <c r="Q7249" s="28">
        <f t="shared" si="117"/>
        <v>3.5548184716220559E-2</v>
      </c>
      <c r="R7249" s="31">
        <v>0.15939660775771733</v>
      </c>
      <c r="S7249" s="32">
        <v>6.7989999999999995E-2</v>
      </c>
    </row>
    <row r="7250" spans="16:19" x14ac:dyDescent="0.25">
      <c r="P7250" s="27">
        <v>3.2548184716220556E-2</v>
      </c>
      <c r="Q7250" s="28">
        <f t="shared" si="117"/>
        <v>3.5548184716220559E-2</v>
      </c>
      <c r="R7250" s="31">
        <v>0.15939660775771733</v>
      </c>
      <c r="S7250" s="32">
        <v>6.2119999999999995E-2</v>
      </c>
    </row>
    <row r="7251" spans="16:19" x14ac:dyDescent="0.25">
      <c r="P7251" s="27">
        <v>3.2548184716220556E-2</v>
      </c>
      <c r="Q7251" s="28">
        <f t="shared" si="117"/>
        <v>3.5548184716220559E-2</v>
      </c>
      <c r="R7251" s="29">
        <v>0.15003660775771735</v>
      </c>
      <c r="S7251" s="30">
        <v>6.1289999999999997E-2</v>
      </c>
    </row>
    <row r="7252" spans="16:19" x14ac:dyDescent="0.25">
      <c r="P7252" s="27">
        <v>3.2548184716220556E-2</v>
      </c>
      <c r="Q7252" s="28">
        <f t="shared" si="117"/>
        <v>3.5548184716220559E-2</v>
      </c>
      <c r="R7252" s="29">
        <v>0.15003660775771735</v>
      </c>
      <c r="S7252" s="30">
        <v>5.0999999999999997E-2</v>
      </c>
    </row>
    <row r="7253" spans="16:19" x14ac:dyDescent="0.25">
      <c r="P7253" s="27">
        <v>3.2548184716220556E-2</v>
      </c>
      <c r="Q7253" s="28">
        <f t="shared" si="117"/>
        <v>3.5548184716220559E-2</v>
      </c>
      <c r="R7253" s="29">
        <v>0.15003660775771735</v>
      </c>
      <c r="S7253" s="30">
        <v>4.6609999999999999E-2</v>
      </c>
    </row>
    <row r="7254" spans="16:19" x14ac:dyDescent="0.25">
      <c r="P7254" s="27">
        <v>3.2548184716220556E-2</v>
      </c>
      <c r="Q7254" s="28">
        <f t="shared" si="117"/>
        <v>3.5548184716220559E-2</v>
      </c>
      <c r="R7254" s="29">
        <v>0.15003660775771735</v>
      </c>
      <c r="S7254" s="30">
        <v>4.3299999999999998E-2</v>
      </c>
    </row>
    <row r="7255" spans="16:19" x14ac:dyDescent="0.25">
      <c r="P7255" s="27">
        <v>3.2548184716220556E-2</v>
      </c>
      <c r="Q7255" s="28">
        <f t="shared" si="117"/>
        <v>3.5548184716220559E-2</v>
      </c>
      <c r="R7255" s="29">
        <v>0.15003660775771735</v>
      </c>
      <c r="S7255" s="30">
        <v>4.3299999999999998E-2</v>
      </c>
    </row>
    <row r="7256" spans="16:19" x14ac:dyDescent="0.25">
      <c r="P7256" s="27">
        <v>3.2548184716220556E-2</v>
      </c>
      <c r="Q7256" s="28">
        <f t="shared" si="117"/>
        <v>3.5548184716220559E-2</v>
      </c>
      <c r="R7256" s="29">
        <v>0.15003660775771735</v>
      </c>
      <c r="S7256" s="30">
        <v>4.3299999999999998E-2</v>
      </c>
    </row>
    <row r="7257" spans="16:19" x14ac:dyDescent="0.25">
      <c r="P7257" s="27">
        <v>3.2548184716220556E-2</v>
      </c>
      <c r="Q7257" s="28">
        <f t="shared" si="117"/>
        <v>3.5548184716220559E-2</v>
      </c>
      <c r="R7257" s="29">
        <v>0.15003660775771735</v>
      </c>
      <c r="S7257" s="30">
        <v>5.0049999999999997E-2</v>
      </c>
    </row>
    <row r="7258" spans="16:19" x14ac:dyDescent="0.25">
      <c r="P7258" s="27">
        <v>3.2548184716220556E-2</v>
      </c>
      <c r="Q7258" s="28">
        <f t="shared" si="117"/>
        <v>3.5548184716220559E-2</v>
      </c>
      <c r="R7258" s="29">
        <v>0.15003660775771735</v>
      </c>
      <c r="S7258" s="30">
        <v>6.4652349999999997E-2</v>
      </c>
    </row>
    <row r="7259" spans="16:19" x14ac:dyDescent="0.25">
      <c r="P7259" s="27">
        <v>3.2548184716220556E-2</v>
      </c>
      <c r="Q7259" s="28">
        <f t="shared" si="117"/>
        <v>3.5548184716220559E-2</v>
      </c>
      <c r="R7259" s="31">
        <v>0.15939660775771733</v>
      </c>
      <c r="S7259" s="32">
        <v>6.4189999999999997E-2</v>
      </c>
    </row>
    <row r="7260" spans="16:19" x14ac:dyDescent="0.25">
      <c r="P7260" s="27">
        <v>3.2548184716220556E-2</v>
      </c>
      <c r="Q7260" s="28">
        <f t="shared" si="117"/>
        <v>3.5548184716220559E-2</v>
      </c>
      <c r="R7260" s="33">
        <v>0.16282860775771735</v>
      </c>
      <c r="S7260" s="34">
        <v>7.2099999999999997E-2</v>
      </c>
    </row>
    <row r="7261" spans="16:19" x14ac:dyDescent="0.25">
      <c r="P7261" s="27">
        <v>3.2548184716220556E-2</v>
      </c>
      <c r="Q7261" s="28">
        <f t="shared" si="117"/>
        <v>3.5548184716220559E-2</v>
      </c>
      <c r="R7261" s="33">
        <v>0.16282860775771735</v>
      </c>
      <c r="S7261" s="34">
        <v>7.4631932000000012E-2</v>
      </c>
    </row>
    <row r="7262" spans="16:19" x14ac:dyDescent="0.25">
      <c r="P7262" s="27">
        <v>3.2548184716220556E-2</v>
      </c>
      <c r="Q7262" s="28">
        <f t="shared" si="117"/>
        <v>3.5548184716220559E-2</v>
      </c>
      <c r="R7262" s="33">
        <v>0.16282860775771735</v>
      </c>
      <c r="S7262" s="34">
        <v>6.4750000000000002E-2</v>
      </c>
    </row>
    <row r="7263" spans="16:19" x14ac:dyDescent="0.25">
      <c r="P7263" s="27">
        <v>3.2548184716220556E-2</v>
      </c>
      <c r="Q7263" s="28">
        <f t="shared" si="117"/>
        <v>3.5548184716220559E-2</v>
      </c>
      <c r="R7263" s="33">
        <v>0.16282860775771735</v>
      </c>
      <c r="S7263" s="34">
        <v>6.2990000000000004E-2</v>
      </c>
    </row>
    <row r="7264" spans="16:19" x14ac:dyDescent="0.25">
      <c r="P7264" s="27">
        <v>3.2548184716220556E-2</v>
      </c>
      <c r="Q7264" s="28">
        <f t="shared" si="117"/>
        <v>3.5548184716220559E-2</v>
      </c>
      <c r="R7264" s="33">
        <v>0.16282860775771735</v>
      </c>
      <c r="S7264" s="34">
        <v>5.6000000000000001E-2</v>
      </c>
    </row>
    <row r="7265" spans="16:19" x14ac:dyDescent="0.25">
      <c r="P7265" s="27">
        <v>3.2548184716220556E-2</v>
      </c>
      <c r="Q7265" s="28">
        <f t="shared" si="117"/>
        <v>3.5548184716220559E-2</v>
      </c>
      <c r="R7265" s="33">
        <v>0.16282860775771735</v>
      </c>
      <c r="S7265" s="34">
        <v>5.7290399999999998E-2</v>
      </c>
    </row>
    <row r="7266" spans="16:19" x14ac:dyDescent="0.25">
      <c r="P7266" s="27">
        <v>3.2548184716220556E-2</v>
      </c>
      <c r="Q7266" s="28">
        <f t="shared" si="117"/>
        <v>3.5548184716220559E-2</v>
      </c>
      <c r="R7266" s="33">
        <v>0.16282860775771735</v>
      </c>
      <c r="S7266" s="34">
        <v>6.5000000000000002E-2</v>
      </c>
    </row>
    <row r="7267" spans="16:19" x14ac:dyDescent="0.25">
      <c r="P7267" s="27">
        <v>3.2548184716220556E-2</v>
      </c>
      <c r="Q7267" s="28">
        <f t="shared" si="117"/>
        <v>3.5548184716220559E-2</v>
      </c>
      <c r="R7267" s="33">
        <v>0.16282860775771735</v>
      </c>
      <c r="S7267" s="34">
        <v>7.6081143000000004E-2</v>
      </c>
    </row>
    <row r="7268" spans="16:19" x14ac:dyDescent="0.25">
      <c r="P7268" s="27">
        <v>3.2548184716220556E-2</v>
      </c>
      <c r="Q7268" s="28">
        <f t="shared" si="117"/>
        <v>3.5548184716220559E-2</v>
      </c>
      <c r="R7268" s="33">
        <v>0.16282860775771735</v>
      </c>
      <c r="S7268" s="34">
        <v>9.4519999999999993E-2</v>
      </c>
    </row>
    <row r="7269" spans="16:19" x14ac:dyDescent="0.25">
      <c r="P7269" s="27">
        <v>3.2548184716220556E-2</v>
      </c>
      <c r="Q7269" s="28">
        <f t="shared" si="117"/>
        <v>3.5548184716220559E-2</v>
      </c>
      <c r="R7269" s="33">
        <v>0.16282860775771735</v>
      </c>
      <c r="S7269" s="34">
        <v>0.10100000000000001</v>
      </c>
    </row>
    <row r="7270" spans="16:19" x14ac:dyDescent="0.25">
      <c r="P7270" s="27">
        <v>3.2548184716220556E-2</v>
      </c>
      <c r="Q7270" s="28">
        <f t="shared" si="117"/>
        <v>3.5548184716220559E-2</v>
      </c>
      <c r="R7270" s="33">
        <v>0.16282860775771735</v>
      </c>
      <c r="S7270" s="34">
        <v>0.11923</v>
      </c>
    </row>
    <row r="7271" spans="16:19" x14ac:dyDescent="0.25">
      <c r="P7271" s="27">
        <v>3.2548184716220556E-2</v>
      </c>
      <c r="Q7271" s="28">
        <f t="shared" si="117"/>
        <v>3.5548184716220559E-2</v>
      </c>
      <c r="R7271" s="31">
        <v>0.15939660775771733</v>
      </c>
      <c r="S7271" s="32">
        <v>8.6150000000000004E-2</v>
      </c>
    </row>
    <row r="7272" spans="16:19" x14ac:dyDescent="0.25">
      <c r="P7272" s="27">
        <v>3.2548184716220556E-2</v>
      </c>
      <c r="Q7272" s="28">
        <f t="shared" si="117"/>
        <v>3.5548184716220559E-2</v>
      </c>
      <c r="R7272" s="31">
        <v>0.15939660775771733</v>
      </c>
      <c r="S7272" s="32">
        <v>6.7000000000000004E-2</v>
      </c>
    </row>
    <row r="7273" spans="16:19" x14ac:dyDescent="0.25">
      <c r="P7273" s="27">
        <v>3.2548184716220556E-2</v>
      </c>
      <c r="Q7273" s="28">
        <f t="shared" si="117"/>
        <v>3.5548184716220559E-2</v>
      </c>
      <c r="R7273" s="31">
        <v>0.15939660775771733</v>
      </c>
      <c r="S7273" s="32">
        <v>6.4627450999999989E-2</v>
      </c>
    </row>
    <row r="7274" spans="16:19" x14ac:dyDescent="0.25">
      <c r="P7274" s="27">
        <v>3.2548184716220556E-2</v>
      </c>
      <c r="Q7274" s="28">
        <f t="shared" si="117"/>
        <v>3.5548184716220559E-2</v>
      </c>
      <c r="R7274" s="31">
        <v>0.15939660775771733</v>
      </c>
      <c r="S7274" s="32">
        <v>5.4939999999999996E-2</v>
      </c>
    </row>
    <row r="7275" spans="16:19" x14ac:dyDescent="0.25">
      <c r="P7275" s="27">
        <v>3.2548184716220556E-2</v>
      </c>
      <c r="Q7275" s="28">
        <f t="shared" si="117"/>
        <v>3.5548184716220559E-2</v>
      </c>
      <c r="R7275" s="29">
        <v>0.15003660775771735</v>
      </c>
      <c r="S7275" s="30">
        <v>5.101E-2</v>
      </c>
    </row>
    <row r="7276" spans="16:19" x14ac:dyDescent="0.25">
      <c r="P7276" s="27">
        <v>3.2548184716220556E-2</v>
      </c>
      <c r="Q7276" s="28">
        <f t="shared" si="117"/>
        <v>3.5548184716220559E-2</v>
      </c>
      <c r="R7276" s="29">
        <v>0.15003660775771735</v>
      </c>
      <c r="S7276" s="30">
        <v>4.5999999999999999E-2</v>
      </c>
    </row>
    <row r="7277" spans="16:19" x14ac:dyDescent="0.25">
      <c r="P7277" s="27">
        <v>3.2548184716220556E-2</v>
      </c>
      <c r="Q7277" s="28">
        <f t="shared" si="117"/>
        <v>3.5548184716220559E-2</v>
      </c>
      <c r="R7277" s="29">
        <v>0.15003660775771735</v>
      </c>
      <c r="S7277" s="30">
        <v>4.0688288999999996E-2</v>
      </c>
    </row>
    <row r="7278" spans="16:19" x14ac:dyDescent="0.25">
      <c r="P7278" s="27">
        <v>3.2548184716220556E-2</v>
      </c>
      <c r="Q7278" s="28">
        <f t="shared" si="117"/>
        <v>3.5548184716220559E-2</v>
      </c>
      <c r="R7278" s="29">
        <v>0.15003660775771735</v>
      </c>
      <c r="S7278" s="30">
        <v>3.9520000000000007E-2</v>
      </c>
    </row>
    <row r="7279" spans="16:19" x14ac:dyDescent="0.25">
      <c r="P7279" s="27">
        <v>3.2548184716220556E-2</v>
      </c>
      <c r="Q7279" s="28">
        <f t="shared" si="117"/>
        <v>3.5548184716220559E-2</v>
      </c>
      <c r="R7279" s="29">
        <v>0.15003660775771735</v>
      </c>
      <c r="S7279" s="30">
        <v>3.8789999999999998E-2</v>
      </c>
    </row>
    <row r="7280" spans="16:19" x14ac:dyDescent="0.25">
      <c r="P7280" s="27">
        <v>3.2548184716220556E-2</v>
      </c>
      <c r="Q7280" s="28">
        <f t="shared" si="117"/>
        <v>3.5548184716220559E-2</v>
      </c>
      <c r="R7280" s="29">
        <v>0.15003660775771735</v>
      </c>
      <c r="S7280" s="30">
        <v>3.8109999999999998E-2</v>
      </c>
    </row>
    <row r="7281" spans="16:19" x14ac:dyDescent="0.25">
      <c r="P7281" s="27">
        <v>3.2548184716220556E-2</v>
      </c>
      <c r="Q7281" s="28">
        <f t="shared" si="117"/>
        <v>3.5548184716220559E-2</v>
      </c>
      <c r="R7281" s="29">
        <v>0.15003660775771735</v>
      </c>
      <c r="S7281" s="30">
        <v>4.5676821999999999E-2</v>
      </c>
    </row>
    <row r="7282" spans="16:19" x14ac:dyDescent="0.25">
      <c r="P7282" s="27">
        <v>3.2548184716220556E-2</v>
      </c>
      <c r="Q7282" s="28">
        <f t="shared" si="117"/>
        <v>3.5548184716220559E-2</v>
      </c>
      <c r="R7282" s="29">
        <v>0.15003660775771735</v>
      </c>
      <c r="S7282" s="30">
        <v>6.4010000000000011E-2</v>
      </c>
    </row>
    <row r="7283" spans="16:19" x14ac:dyDescent="0.25">
      <c r="P7283" s="27">
        <v>3.2548184716220556E-2</v>
      </c>
      <c r="Q7283" s="28">
        <f t="shared" si="117"/>
        <v>3.5548184716220559E-2</v>
      </c>
      <c r="R7283" s="31">
        <v>0.15939660775771733</v>
      </c>
      <c r="S7283" s="32">
        <v>7.0264357E-2</v>
      </c>
    </row>
    <row r="7284" spans="16:19" x14ac:dyDescent="0.25">
      <c r="P7284" s="27">
        <v>3.2548184716220556E-2</v>
      </c>
      <c r="Q7284" s="28">
        <f t="shared" si="117"/>
        <v>3.5548184716220559E-2</v>
      </c>
      <c r="R7284" s="33">
        <v>0.16282860775771735</v>
      </c>
      <c r="S7284" s="34">
        <v>7.2525977999999991E-2</v>
      </c>
    </row>
    <row r="7285" spans="16:19" x14ac:dyDescent="0.25">
      <c r="P7285" s="27">
        <v>3.2548184716220556E-2</v>
      </c>
      <c r="Q7285" s="28">
        <f t="shared" si="117"/>
        <v>3.5548184716220559E-2</v>
      </c>
      <c r="R7285" s="33">
        <v>0.16282860775771735</v>
      </c>
      <c r="S7285" s="34">
        <v>6.9930000000000006E-2</v>
      </c>
    </row>
    <row r="7286" spans="16:19" x14ac:dyDescent="0.25">
      <c r="P7286" s="27">
        <v>3.2548184716220556E-2</v>
      </c>
      <c r="Q7286" s="28">
        <f t="shared" si="117"/>
        <v>3.5548184716220559E-2</v>
      </c>
      <c r="R7286" s="33">
        <v>0.16282860775771735</v>
      </c>
      <c r="S7286" s="34">
        <v>0.06</v>
      </c>
    </row>
    <row r="7287" spans="16:19" x14ac:dyDescent="0.25">
      <c r="P7287" s="27">
        <v>3.2548184716220556E-2</v>
      </c>
      <c r="Q7287" s="28">
        <f t="shared" si="117"/>
        <v>3.5548184716220559E-2</v>
      </c>
      <c r="R7287" s="33">
        <v>0.16282860775771735</v>
      </c>
      <c r="S7287" s="34">
        <v>5.8959999999999999E-2</v>
      </c>
    </row>
    <row r="7288" spans="16:19" x14ac:dyDescent="0.25">
      <c r="P7288" s="27">
        <v>3.2548184716220556E-2</v>
      </c>
      <c r="Q7288" s="28">
        <f t="shared" si="117"/>
        <v>3.5548184716220559E-2</v>
      </c>
      <c r="R7288" s="33">
        <v>0.16282860775771735</v>
      </c>
      <c r="S7288" s="34">
        <v>5.2760000000000001E-2</v>
      </c>
    </row>
    <row r="7289" spans="16:19" x14ac:dyDescent="0.25">
      <c r="P7289" s="27">
        <v>3.2548184716220556E-2</v>
      </c>
      <c r="Q7289" s="28">
        <f t="shared" si="117"/>
        <v>3.5548184716220559E-2</v>
      </c>
      <c r="R7289" s="33">
        <v>0.16282860775771735</v>
      </c>
      <c r="S7289" s="34">
        <v>5.3399999999999996E-2</v>
      </c>
    </row>
    <row r="7290" spans="16:19" x14ac:dyDescent="0.25">
      <c r="P7290" s="27">
        <v>3.2548184716220556E-2</v>
      </c>
      <c r="Q7290" s="28">
        <f t="shared" si="117"/>
        <v>3.5548184716220559E-2</v>
      </c>
      <c r="R7290" s="33">
        <v>0.16282860775771735</v>
      </c>
      <c r="S7290" s="34">
        <v>5.91E-2</v>
      </c>
    </row>
    <row r="7291" spans="16:19" x14ac:dyDescent="0.25">
      <c r="P7291" s="27">
        <v>3.2548184716220556E-2</v>
      </c>
      <c r="Q7291" s="28">
        <f t="shared" si="117"/>
        <v>3.5548184716220559E-2</v>
      </c>
      <c r="R7291" s="33">
        <v>0.16282860775771735</v>
      </c>
      <c r="S7291" s="34">
        <v>7.0739472000000012E-2</v>
      </c>
    </row>
    <row r="7292" spans="16:19" x14ac:dyDescent="0.25">
      <c r="P7292" s="27">
        <v>3.2548184716220556E-2</v>
      </c>
      <c r="Q7292" s="28">
        <f t="shared" si="117"/>
        <v>3.5548184716220559E-2</v>
      </c>
      <c r="R7292" s="33">
        <v>0.16282860775771735</v>
      </c>
      <c r="S7292" s="34">
        <v>8.4269999999999998E-2</v>
      </c>
    </row>
    <row r="7293" spans="16:19" x14ac:dyDescent="0.25">
      <c r="P7293" s="27">
        <v>3.2548184716220556E-2</v>
      </c>
      <c r="Q7293" s="28">
        <f t="shared" si="117"/>
        <v>3.5548184716220559E-2</v>
      </c>
      <c r="R7293" s="33">
        <v>0.16282860775771735</v>
      </c>
      <c r="S7293" s="34">
        <v>7.6999999999999999E-2</v>
      </c>
    </row>
    <row r="7294" spans="16:19" x14ac:dyDescent="0.25">
      <c r="P7294" s="27">
        <v>3.2548184716220556E-2</v>
      </c>
      <c r="Q7294" s="28">
        <f t="shared" si="117"/>
        <v>3.5548184716220559E-2</v>
      </c>
      <c r="R7294" s="33">
        <v>0.16282860775771735</v>
      </c>
      <c r="S7294" s="34">
        <v>9.6103413999999998E-2</v>
      </c>
    </row>
    <row r="7295" spans="16:19" x14ac:dyDescent="0.25">
      <c r="P7295" s="27">
        <v>3.2548184716220556E-2</v>
      </c>
      <c r="Q7295" s="28">
        <f t="shared" si="117"/>
        <v>3.5548184716220559E-2</v>
      </c>
      <c r="R7295" s="31">
        <v>0.15939660775771733</v>
      </c>
      <c r="S7295" s="32">
        <v>8.6970000000000006E-2</v>
      </c>
    </row>
    <row r="7296" spans="16:19" x14ac:dyDescent="0.25">
      <c r="P7296" s="27">
        <v>3.2548184716220556E-2</v>
      </c>
      <c r="Q7296" s="28">
        <f t="shared" si="117"/>
        <v>3.5548184716220559E-2</v>
      </c>
      <c r="R7296" s="31">
        <v>0.15939660775771733</v>
      </c>
      <c r="S7296" s="32">
        <v>6.4250000000000002E-2</v>
      </c>
    </row>
    <row r="7297" spans="16:19" x14ac:dyDescent="0.25">
      <c r="P7297" s="27">
        <v>3.2548184716220556E-2</v>
      </c>
      <c r="Q7297" s="28">
        <f t="shared" si="117"/>
        <v>3.5548184716220559E-2</v>
      </c>
      <c r="R7297" s="31">
        <v>0.15939660775771733</v>
      </c>
      <c r="S7297" s="32">
        <v>0.06</v>
      </c>
    </row>
    <row r="7298" spans="16:19" x14ac:dyDescent="0.25">
      <c r="P7298" s="27">
        <v>3.2548184716220556E-2</v>
      </c>
      <c r="Q7298" s="28">
        <f t="shared" si="117"/>
        <v>3.5548184716220559E-2</v>
      </c>
      <c r="R7298" s="31">
        <v>0.15939660775771733</v>
      </c>
      <c r="S7298" s="32">
        <v>5.3120000000000001E-2</v>
      </c>
    </row>
    <row r="7299" spans="16:19" x14ac:dyDescent="0.25">
      <c r="P7299" s="27">
        <v>3.2548184716220556E-2</v>
      </c>
      <c r="Q7299" s="28">
        <f t="shared" si="117"/>
        <v>3.5548184716220559E-2</v>
      </c>
      <c r="R7299" s="29">
        <v>0.15003660775771735</v>
      </c>
      <c r="S7299" s="30">
        <v>5.1020000000000003E-2</v>
      </c>
    </row>
    <row r="7300" spans="16:19" x14ac:dyDescent="0.25">
      <c r="P7300" s="27">
        <v>3.2548184716220556E-2</v>
      </c>
      <c r="Q7300" s="28">
        <f t="shared" si="117"/>
        <v>3.5548184716220559E-2</v>
      </c>
      <c r="R7300" s="29">
        <v>0.15003660775771735</v>
      </c>
      <c r="S7300" s="30">
        <v>5.5357258999999999E-2</v>
      </c>
    </row>
    <row r="7301" spans="16:19" x14ac:dyDescent="0.25">
      <c r="P7301" s="27">
        <v>3.2548184716220556E-2</v>
      </c>
      <c r="Q7301" s="28">
        <f t="shared" ref="Q7301:Q7364" si="118">P7301+0.003</f>
        <v>3.5548184716220559E-2</v>
      </c>
      <c r="R7301" s="29">
        <v>0.15003660775771735</v>
      </c>
      <c r="S7301" s="30">
        <v>5.3790478000000003E-2</v>
      </c>
    </row>
    <row r="7302" spans="16:19" x14ac:dyDescent="0.25">
      <c r="P7302" s="27">
        <v>3.2548184716220556E-2</v>
      </c>
      <c r="Q7302" s="28">
        <f t="shared" si="118"/>
        <v>3.5548184716220559E-2</v>
      </c>
      <c r="R7302" s="29">
        <v>0.15003660775771735</v>
      </c>
      <c r="S7302" s="30">
        <v>4.8966627999999998E-2</v>
      </c>
    </row>
    <row r="7303" spans="16:19" x14ac:dyDescent="0.25">
      <c r="P7303" s="27">
        <v>3.2548184716220556E-2</v>
      </c>
      <c r="Q7303" s="28">
        <f t="shared" si="118"/>
        <v>3.5548184716220559E-2</v>
      </c>
      <c r="R7303" s="29">
        <v>0.15003660775771735</v>
      </c>
      <c r="S7303" s="30">
        <v>4.8500000000000001E-2</v>
      </c>
    </row>
    <row r="7304" spans="16:19" x14ac:dyDescent="0.25">
      <c r="P7304" s="27">
        <v>3.2548184716220556E-2</v>
      </c>
      <c r="Q7304" s="28">
        <f t="shared" si="118"/>
        <v>3.5548184716220559E-2</v>
      </c>
      <c r="R7304" s="29">
        <v>0.15003660775771735</v>
      </c>
      <c r="S7304" s="30">
        <v>4.4609999999999997E-2</v>
      </c>
    </row>
    <row r="7305" spans="16:19" x14ac:dyDescent="0.25">
      <c r="P7305" s="27">
        <v>3.2548184716220556E-2</v>
      </c>
      <c r="Q7305" s="28">
        <f t="shared" si="118"/>
        <v>3.5548184716220559E-2</v>
      </c>
      <c r="R7305" s="29">
        <v>0.15003660775771735</v>
      </c>
      <c r="S7305" s="30">
        <v>4.4609999999999997E-2</v>
      </c>
    </row>
    <row r="7306" spans="16:19" x14ac:dyDescent="0.25">
      <c r="P7306" s="27">
        <v>3.2548184716220556E-2</v>
      </c>
      <c r="Q7306" s="28">
        <f t="shared" si="118"/>
        <v>3.5548184716220559E-2</v>
      </c>
      <c r="R7306" s="29">
        <v>0.15003660775771735</v>
      </c>
      <c r="S7306" s="30">
        <v>4.4479999999999999E-2</v>
      </c>
    </row>
    <row r="7307" spans="16:19" x14ac:dyDescent="0.25">
      <c r="P7307" s="27">
        <v>3.2548184716220556E-2</v>
      </c>
      <c r="Q7307" s="28">
        <f t="shared" si="118"/>
        <v>3.5548184716220559E-2</v>
      </c>
      <c r="R7307" s="29">
        <v>0.15840000000000001</v>
      </c>
      <c r="S7307" s="30">
        <v>4.4999999999999998E-2</v>
      </c>
    </row>
    <row r="7308" spans="16:19" x14ac:dyDescent="0.25">
      <c r="P7308" s="27">
        <v>3.2548184716220556E-2</v>
      </c>
      <c r="Q7308" s="28">
        <f t="shared" si="118"/>
        <v>3.5548184716220559E-2</v>
      </c>
      <c r="R7308" s="29">
        <v>0.15840000000000001</v>
      </c>
      <c r="S7308" s="30">
        <v>4.5439999999999994E-2</v>
      </c>
    </row>
    <row r="7309" spans="16:19" x14ac:dyDescent="0.25">
      <c r="P7309" s="27">
        <v>3.2548184716220556E-2</v>
      </c>
      <c r="Q7309" s="28">
        <f t="shared" si="118"/>
        <v>3.5548184716220559E-2</v>
      </c>
      <c r="R7309" s="29">
        <v>0.15840000000000001</v>
      </c>
      <c r="S7309" s="30">
        <v>4.3529999999999999E-2</v>
      </c>
    </row>
    <row r="7310" spans="16:19" x14ac:dyDescent="0.25">
      <c r="P7310" s="27">
        <v>3.2548184716220556E-2</v>
      </c>
      <c r="Q7310" s="28">
        <f t="shared" si="118"/>
        <v>3.5548184716220559E-2</v>
      </c>
      <c r="R7310" s="29">
        <v>0.15840000000000001</v>
      </c>
      <c r="S7310" s="30">
        <v>3.7939999999999995E-2</v>
      </c>
    </row>
    <row r="7311" spans="16:19" x14ac:dyDescent="0.25">
      <c r="P7311" s="27">
        <v>3.2548184716220556E-2</v>
      </c>
      <c r="Q7311" s="28">
        <f t="shared" si="118"/>
        <v>3.5548184716220559E-2</v>
      </c>
      <c r="R7311" s="29">
        <v>0.15840000000000001</v>
      </c>
      <c r="S7311" s="30">
        <v>4.0009999999999997E-2</v>
      </c>
    </row>
    <row r="7312" spans="16:19" x14ac:dyDescent="0.25">
      <c r="P7312" s="27">
        <v>3.2548184716220556E-2</v>
      </c>
      <c r="Q7312" s="28">
        <f t="shared" si="118"/>
        <v>3.5548184716220559E-2</v>
      </c>
      <c r="R7312" s="29">
        <v>0.15840000000000001</v>
      </c>
      <c r="S7312" s="30">
        <v>3.8530000000000002E-2</v>
      </c>
    </row>
    <row r="7313" spans="16:19" x14ac:dyDescent="0.25">
      <c r="P7313" s="27">
        <v>3.2548184716220556E-2</v>
      </c>
      <c r="Q7313" s="28">
        <f t="shared" si="118"/>
        <v>3.5548184716220559E-2</v>
      </c>
      <c r="R7313" s="29">
        <v>0.15840000000000001</v>
      </c>
      <c r="S7313" s="30">
        <v>3.7829999999999996E-2</v>
      </c>
    </row>
    <row r="7314" spans="16:19" x14ac:dyDescent="0.25">
      <c r="P7314" s="27">
        <v>3.2548184716220556E-2</v>
      </c>
      <c r="Q7314" s="28">
        <f t="shared" si="118"/>
        <v>3.5548184716220559E-2</v>
      </c>
      <c r="R7314" s="29">
        <v>0.15840000000000001</v>
      </c>
      <c r="S7314" s="30">
        <v>4.2409999999999996E-2</v>
      </c>
    </row>
    <row r="7315" spans="16:19" x14ac:dyDescent="0.25">
      <c r="P7315" s="27">
        <v>3.2548184716220556E-2</v>
      </c>
      <c r="Q7315" s="28">
        <f t="shared" si="118"/>
        <v>3.5548184716220559E-2</v>
      </c>
      <c r="R7315" s="29">
        <v>0.15840000000000001</v>
      </c>
      <c r="S7315" s="30">
        <v>0.05</v>
      </c>
    </row>
    <row r="7316" spans="16:19" x14ac:dyDescent="0.25">
      <c r="P7316" s="27">
        <v>3.2548184716220556E-2</v>
      </c>
      <c r="Q7316" s="28">
        <f t="shared" si="118"/>
        <v>3.5548184716220559E-2</v>
      </c>
      <c r="R7316" s="29">
        <v>0.15840000000000001</v>
      </c>
      <c r="S7316" s="30">
        <v>5.919E-2</v>
      </c>
    </row>
    <row r="7317" spans="16:19" x14ac:dyDescent="0.25">
      <c r="P7317" s="27">
        <v>3.2548184716220556E-2</v>
      </c>
      <c r="Q7317" s="28">
        <f t="shared" si="118"/>
        <v>3.5548184716220559E-2</v>
      </c>
      <c r="R7317" s="29">
        <v>0.15840000000000001</v>
      </c>
      <c r="S7317" s="30">
        <v>6.1969999999999997E-2</v>
      </c>
    </row>
    <row r="7318" spans="16:19" x14ac:dyDescent="0.25">
      <c r="P7318" s="27">
        <v>3.2548184716220556E-2</v>
      </c>
      <c r="Q7318" s="28">
        <f t="shared" si="118"/>
        <v>3.5548184716220559E-2</v>
      </c>
      <c r="R7318" s="29">
        <v>0.15840000000000001</v>
      </c>
      <c r="S7318" s="30">
        <v>7.5150000000000008E-2</v>
      </c>
    </row>
    <row r="7319" spans="16:19" x14ac:dyDescent="0.25">
      <c r="P7319" s="27">
        <v>3.2548184716220556E-2</v>
      </c>
      <c r="Q7319" s="28">
        <f t="shared" si="118"/>
        <v>3.5548184716220559E-2</v>
      </c>
      <c r="R7319" s="29">
        <v>0.15840000000000001</v>
      </c>
      <c r="S7319" s="30">
        <v>7.9989999999999992E-2</v>
      </c>
    </row>
    <row r="7320" spans="16:19" x14ac:dyDescent="0.25">
      <c r="P7320" s="27">
        <v>3.2548184716220556E-2</v>
      </c>
      <c r="Q7320" s="28">
        <f t="shared" si="118"/>
        <v>3.5548184716220559E-2</v>
      </c>
      <c r="R7320" s="29">
        <v>0.15840000000000001</v>
      </c>
      <c r="S7320" s="30">
        <v>6.5000000000000002E-2</v>
      </c>
    </row>
    <row r="7321" spans="16:19" x14ac:dyDescent="0.25">
      <c r="P7321" s="27">
        <v>3.2548184716220556E-2</v>
      </c>
      <c r="Q7321" s="28">
        <f t="shared" si="118"/>
        <v>3.5548184716220559E-2</v>
      </c>
      <c r="R7321" s="29">
        <v>0.15840000000000001</v>
      </c>
      <c r="S7321" s="30">
        <v>5.8430000000000003E-2</v>
      </c>
    </row>
    <row r="7322" spans="16:19" x14ac:dyDescent="0.25">
      <c r="P7322" s="27">
        <v>3.2548184716220556E-2</v>
      </c>
      <c r="Q7322" s="28">
        <f t="shared" si="118"/>
        <v>3.5548184716220559E-2</v>
      </c>
      <c r="R7322" s="29">
        <v>0.15840000000000001</v>
      </c>
      <c r="S7322" s="30">
        <v>5.5920000000000004E-2</v>
      </c>
    </row>
    <row r="7323" spans="16:19" x14ac:dyDescent="0.25">
      <c r="P7323" s="27">
        <v>3.2548184716220556E-2</v>
      </c>
      <c r="Q7323" s="28">
        <f t="shared" si="118"/>
        <v>3.5548184716220559E-2</v>
      </c>
      <c r="R7323" s="29">
        <v>0.15840000000000001</v>
      </c>
      <c r="S7323" s="30">
        <v>5.2309775000000003E-2</v>
      </c>
    </row>
    <row r="7324" spans="16:19" x14ac:dyDescent="0.25">
      <c r="P7324" s="27">
        <v>3.2548184716220556E-2</v>
      </c>
      <c r="Q7324" s="28">
        <f t="shared" si="118"/>
        <v>3.5548184716220559E-2</v>
      </c>
      <c r="R7324" s="29">
        <v>0.15840000000000001</v>
      </c>
      <c r="S7324" s="30">
        <v>5.441E-2</v>
      </c>
    </row>
    <row r="7325" spans="16:19" x14ac:dyDescent="0.25">
      <c r="P7325" s="27">
        <v>3.2548184716220556E-2</v>
      </c>
      <c r="Q7325" s="28">
        <f t="shared" si="118"/>
        <v>3.5548184716220559E-2</v>
      </c>
      <c r="R7325" s="29">
        <v>0.15840000000000001</v>
      </c>
      <c r="S7325" s="30">
        <v>5.1700000000000003E-2</v>
      </c>
    </row>
    <row r="7326" spans="16:19" x14ac:dyDescent="0.25">
      <c r="P7326" s="27">
        <v>3.2548184716220556E-2</v>
      </c>
      <c r="Q7326" s="28">
        <f t="shared" si="118"/>
        <v>3.5548184716220559E-2</v>
      </c>
      <c r="R7326" s="29">
        <v>0.15840000000000001</v>
      </c>
      <c r="S7326" s="30">
        <v>4.8967292999999995E-2</v>
      </c>
    </row>
    <row r="7327" spans="16:19" x14ac:dyDescent="0.25">
      <c r="P7327" s="27">
        <v>3.2548184716220556E-2</v>
      </c>
      <c r="Q7327" s="28">
        <f t="shared" si="118"/>
        <v>3.5548184716220559E-2</v>
      </c>
      <c r="R7327" s="29">
        <v>0.15840000000000001</v>
      </c>
      <c r="S7327" s="30">
        <v>4.8409999999999995E-2</v>
      </c>
    </row>
    <row r="7328" spans="16:19" x14ac:dyDescent="0.25">
      <c r="P7328" s="27">
        <v>3.2548184716220556E-2</v>
      </c>
      <c r="Q7328" s="28">
        <f t="shared" si="118"/>
        <v>3.5548184716220559E-2</v>
      </c>
      <c r="R7328" s="29">
        <v>0.15840000000000001</v>
      </c>
      <c r="S7328" s="30">
        <v>4.8409999999999995E-2</v>
      </c>
    </row>
    <row r="7329" spans="16:19" x14ac:dyDescent="0.25">
      <c r="P7329" s="27">
        <v>3.2548184716220556E-2</v>
      </c>
      <c r="Q7329" s="28">
        <f t="shared" si="118"/>
        <v>3.5548184716220559E-2</v>
      </c>
      <c r="R7329" s="29">
        <v>0.15840000000000001</v>
      </c>
      <c r="S7329" s="30">
        <v>4.9599999999999998E-2</v>
      </c>
    </row>
    <row r="7330" spans="16:19" x14ac:dyDescent="0.25">
      <c r="P7330" s="27">
        <v>3.2548184716220556E-2</v>
      </c>
      <c r="Q7330" s="28">
        <f t="shared" si="118"/>
        <v>3.5548184716220559E-2</v>
      </c>
      <c r="R7330" s="29">
        <v>0.15840000000000001</v>
      </c>
      <c r="S7330" s="30">
        <v>5.2880000000000003E-2</v>
      </c>
    </row>
    <row r="7331" spans="16:19" x14ac:dyDescent="0.25">
      <c r="P7331" s="27">
        <v>3.2548184716220556E-2</v>
      </c>
      <c r="Q7331" s="28">
        <f t="shared" si="118"/>
        <v>3.5548184716220559E-2</v>
      </c>
      <c r="R7331" s="31">
        <v>0.15939660775771733</v>
      </c>
      <c r="S7331" s="32">
        <v>5.1061843000000003E-2</v>
      </c>
    </row>
    <row r="7332" spans="16:19" x14ac:dyDescent="0.25">
      <c r="P7332" s="27">
        <v>3.2548184716220556E-2</v>
      </c>
      <c r="Q7332" s="28">
        <f t="shared" si="118"/>
        <v>3.5548184716220559E-2</v>
      </c>
      <c r="R7332" s="33">
        <v>0.16282860775771735</v>
      </c>
      <c r="S7332" s="34">
        <v>5.2789999999999997E-2</v>
      </c>
    </row>
    <row r="7333" spans="16:19" x14ac:dyDescent="0.25">
      <c r="P7333" s="27">
        <v>3.2548184716220556E-2</v>
      </c>
      <c r="Q7333" s="28">
        <f t="shared" si="118"/>
        <v>3.5548184716220559E-2</v>
      </c>
      <c r="R7333" s="33">
        <v>0.16282860775771735</v>
      </c>
      <c r="S7333" s="34">
        <v>4.8409999999999995E-2</v>
      </c>
    </row>
    <row r="7334" spans="16:19" x14ac:dyDescent="0.25">
      <c r="P7334" s="27">
        <v>3.2548184716220556E-2</v>
      </c>
      <c r="Q7334" s="28">
        <f t="shared" si="118"/>
        <v>3.5548184716220559E-2</v>
      </c>
      <c r="R7334" s="33">
        <v>0.16282860775771735</v>
      </c>
      <c r="S7334" s="34">
        <v>4.1479999999999996E-2</v>
      </c>
    </row>
    <row r="7335" spans="16:19" x14ac:dyDescent="0.25">
      <c r="P7335" s="27">
        <v>3.2548184716220556E-2</v>
      </c>
      <c r="Q7335" s="28">
        <f t="shared" si="118"/>
        <v>3.5548184716220559E-2</v>
      </c>
      <c r="R7335" s="33">
        <v>0.16282860775771735</v>
      </c>
      <c r="S7335" s="34">
        <v>4.1479999999999996E-2</v>
      </c>
    </row>
    <row r="7336" spans="16:19" x14ac:dyDescent="0.25">
      <c r="P7336" s="27">
        <v>3.2548184716220556E-2</v>
      </c>
      <c r="Q7336" s="28">
        <f t="shared" si="118"/>
        <v>3.5548184716220559E-2</v>
      </c>
      <c r="R7336" s="33">
        <v>0.16282860775771735</v>
      </c>
      <c r="S7336" s="34">
        <v>4.1439999999999998E-2</v>
      </c>
    </row>
    <row r="7337" spans="16:19" x14ac:dyDescent="0.25">
      <c r="P7337" s="27">
        <v>3.2548184716220556E-2</v>
      </c>
      <c r="Q7337" s="28">
        <f t="shared" si="118"/>
        <v>3.5548184716220559E-2</v>
      </c>
      <c r="R7337" s="33">
        <v>0.16282860775771735</v>
      </c>
      <c r="S7337" s="34">
        <v>3.9E-2</v>
      </c>
    </row>
    <row r="7338" spans="16:19" x14ac:dyDescent="0.25">
      <c r="P7338" s="27">
        <v>3.2548184716220556E-2</v>
      </c>
      <c r="Q7338" s="28">
        <f t="shared" si="118"/>
        <v>3.5548184716220559E-2</v>
      </c>
      <c r="R7338" s="33">
        <v>0.16282860775771735</v>
      </c>
      <c r="S7338" s="34">
        <v>4.3529999999999999E-2</v>
      </c>
    </row>
    <row r="7339" spans="16:19" x14ac:dyDescent="0.25">
      <c r="P7339" s="27">
        <v>3.2548184716220556E-2</v>
      </c>
      <c r="Q7339" s="28">
        <f t="shared" si="118"/>
        <v>3.5548184716220559E-2</v>
      </c>
      <c r="R7339" s="33">
        <v>0.16282860775771735</v>
      </c>
      <c r="S7339" s="34">
        <v>5.3590000000000006E-2</v>
      </c>
    </row>
    <row r="7340" spans="16:19" x14ac:dyDescent="0.25">
      <c r="P7340" s="27">
        <v>3.2548184716220556E-2</v>
      </c>
      <c r="Q7340" s="28">
        <f t="shared" si="118"/>
        <v>3.5548184716220559E-2</v>
      </c>
      <c r="R7340" s="33">
        <v>0.16282860775771735</v>
      </c>
      <c r="S7340" s="34">
        <v>6.584000000000001E-2</v>
      </c>
    </row>
    <row r="7341" spans="16:19" x14ac:dyDescent="0.25">
      <c r="P7341" s="27">
        <v>3.2548184716220556E-2</v>
      </c>
      <c r="Q7341" s="28">
        <f t="shared" si="118"/>
        <v>3.5548184716220559E-2</v>
      </c>
      <c r="R7341" s="33">
        <v>0.16282860775771735</v>
      </c>
      <c r="S7341" s="34">
        <v>7.0800000000000002E-2</v>
      </c>
    </row>
    <row r="7342" spans="16:19" x14ac:dyDescent="0.25">
      <c r="P7342" s="27">
        <v>3.2548184716220556E-2</v>
      </c>
      <c r="Q7342" s="28">
        <f t="shared" si="118"/>
        <v>3.5548184716220559E-2</v>
      </c>
      <c r="R7342" s="33">
        <v>0.16282860775771735</v>
      </c>
      <c r="S7342" s="34">
        <v>0.08</v>
      </c>
    </row>
    <row r="7343" spans="16:19" x14ac:dyDescent="0.25">
      <c r="P7343" s="27">
        <v>3.2548184716220556E-2</v>
      </c>
      <c r="Q7343" s="28">
        <f t="shared" si="118"/>
        <v>3.5548184716220559E-2</v>
      </c>
      <c r="R7343" s="31">
        <v>0.15939660775771733</v>
      </c>
      <c r="S7343" s="32">
        <v>0.09</v>
      </c>
    </row>
    <row r="7344" spans="16:19" x14ac:dyDescent="0.25">
      <c r="P7344" s="27">
        <v>3.2548184716220556E-2</v>
      </c>
      <c r="Q7344" s="28">
        <f t="shared" si="118"/>
        <v>3.5548184716220559E-2</v>
      </c>
      <c r="R7344" s="31">
        <v>0.15939660775771733</v>
      </c>
      <c r="S7344" s="32">
        <v>7.3799999999999991E-2</v>
      </c>
    </row>
    <row r="7345" spans="16:19" x14ac:dyDescent="0.25">
      <c r="P7345" s="27">
        <v>3.2548184716220556E-2</v>
      </c>
      <c r="Q7345" s="28">
        <f t="shared" si="118"/>
        <v>3.5548184716220559E-2</v>
      </c>
      <c r="R7345" s="31">
        <v>0.15939660775771733</v>
      </c>
      <c r="S7345" s="32">
        <v>6.0219999999999996E-2</v>
      </c>
    </row>
    <row r="7346" spans="16:19" x14ac:dyDescent="0.25">
      <c r="P7346" s="27">
        <v>3.2548184716220556E-2</v>
      </c>
      <c r="Q7346" s="28">
        <f t="shared" si="118"/>
        <v>3.5548184716220559E-2</v>
      </c>
      <c r="R7346" s="31">
        <v>0.15939660775771733</v>
      </c>
      <c r="S7346" s="32">
        <v>5.6049999999999996E-2</v>
      </c>
    </row>
    <row r="7347" spans="16:19" x14ac:dyDescent="0.25">
      <c r="P7347" s="27">
        <v>3.2548184716220556E-2</v>
      </c>
      <c r="Q7347" s="28">
        <f t="shared" si="118"/>
        <v>3.5548184716220559E-2</v>
      </c>
      <c r="R7347" s="29">
        <v>0.15003660775771735</v>
      </c>
      <c r="S7347" s="30">
        <v>5.1999999999999998E-2</v>
      </c>
    </row>
    <row r="7348" spans="16:19" x14ac:dyDescent="0.25">
      <c r="P7348" s="27">
        <v>3.2548184716220556E-2</v>
      </c>
      <c r="Q7348" s="28">
        <f t="shared" si="118"/>
        <v>3.5548184716220559E-2</v>
      </c>
      <c r="R7348" s="29">
        <v>0.15003660775771735</v>
      </c>
      <c r="S7348" s="30">
        <v>5.4759999999999996E-2</v>
      </c>
    </row>
    <row r="7349" spans="16:19" x14ac:dyDescent="0.25">
      <c r="P7349" s="27">
        <v>3.2548184716220556E-2</v>
      </c>
      <c r="Q7349" s="28">
        <f t="shared" si="118"/>
        <v>3.5548184716220559E-2</v>
      </c>
      <c r="R7349" s="29">
        <v>0.15003660775771735</v>
      </c>
      <c r="S7349" s="30">
        <v>4.8000000000000001E-2</v>
      </c>
    </row>
    <row r="7350" spans="16:19" x14ac:dyDescent="0.25">
      <c r="P7350" s="27">
        <v>3.2548184716220556E-2</v>
      </c>
      <c r="Q7350" s="28">
        <f t="shared" si="118"/>
        <v>3.5548184716220559E-2</v>
      </c>
      <c r="R7350" s="29">
        <v>0.15003660775771735</v>
      </c>
      <c r="S7350" s="30">
        <v>4.4350000000000001E-2</v>
      </c>
    </row>
    <row r="7351" spans="16:19" x14ac:dyDescent="0.25">
      <c r="P7351" s="27">
        <v>3.2548184716220556E-2</v>
      </c>
      <c r="Q7351" s="28">
        <f t="shared" si="118"/>
        <v>3.5548184716220559E-2</v>
      </c>
      <c r="R7351" s="29">
        <v>0.15003660775771735</v>
      </c>
      <c r="S7351" s="30">
        <v>4.4350000000000001E-2</v>
      </c>
    </row>
    <row r="7352" spans="16:19" x14ac:dyDescent="0.25">
      <c r="P7352" s="27">
        <v>3.2548184716220556E-2</v>
      </c>
      <c r="Q7352" s="28">
        <f t="shared" si="118"/>
        <v>3.5548184716220559E-2</v>
      </c>
      <c r="R7352" s="29">
        <v>0.15003660775771735</v>
      </c>
      <c r="S7352" s="30">
        <v>4.546E-2</v>
      </c>
    </row>
    <row r="7353" spans="16:19" x14ac:dyDescent="0.25">
      <c r="P7353" s="27">
        <v>3.2548184716220556E-2</v>
      </c>
      <c r="Q7353" s="28">
        <f t="shared" si="118"/>
        <v>3.5548184716220559E-2</v>
      </c>
      <c r="R7353" s="29">
        <v>0.15003660775771735</v>
      </c>
      <c r="S7353" s="30">
        <v>5.0479999999999997E-2</v>
      </c>
    </row>
    <row r="7354" spans="16:19" x14ac:dyDescent="0.25">
      <c r="P7354" s="27">
        <v>3.2548184716220556E-2</v>
      </c>
      <c r="Q7354" s="28">
        <f t="shared" si="118"/>
        <v>3.5548184716220559E-2</v>
      </c>
      <c r="R7354" s="29">
        <v>0.15003660775771735</v>
      </c>
      <c r="S7354" s="30">
        <v>6.8110000000000004E-2</v>
      </c>
    </row>
    <row r="7355" spans="16:19" x14ac:dyDescent="0.25">
      <c r="P7355" s="27">
        <v>3.2548184716220556E-2</v>
      </c>
      <c r="Q7355" s="28">
        <f t="shared" si="118"/>
        <v>3.5548184716220559E-2</v>
      </c>
      <c r="R7355" s="31">
        <v>0.15939999999999999</v>
      </c>
      <c r="S7355" s="32">
        <v>7.3169263999999998E-2</v>
      </c>
    </row>
    <row r="7356" spans="16:19" x14ac:dyDescent="0.25">
      <c r="P7356" s="27">
        <v>3.2548184716220556E-2</v>
      </c>
      <c r="Q7356" s="28">
        <f t="shared" si="118"/>
        <v>3.5548184716220559E-2</v>
      </c>
      <c r="R7356" s="31">
        <v>0.15939999999999999</v>
      </c>
      <c r="S7356" s="32">
        <v>7.4609999999999996E-2</v>
      </c>
    </row>
    <row r="7357" spans="16:19" x14ac:dyDescent="0.25">
      <c r="P7357" s="27">
        <v>3.2548184716220556E-2</v>
      </c>
      <c r="Q7357" s="28">
        <f t="shared" si="118"/>
        <v>3.5548184716220559E-2</v>
      </c>
      <c r="R7357" s="31">
        <v>0.15939999999999999</v>
      </c>
      <c r="S7357" s="32">
        <v>6.2909999999999994E-2</v>
      </c>
    </row>
    <row r="7358" spans="16:19" x14ac:dyDescent="0.25">
      <c r="P7358" s="27">
        <v>3.2548184716220556E-2</v>
      </c>
      <c r="Q7358" s="28">
        <f t="shared" si="118"/>
        <v>3.5548184716220559E-2</v>
      </c>
      <c r="R7358" s="31">
        <v>0.15939999999999999</v>
      </c>
      <c r="S7358" s="32">
        <v>5.5899999999999998E-2</v>
      </c>
    </row>
    <row r="7359" spans="16:19" x14ac:dyDescent="0.25">
      <c r="P7359" s="27">
        <v>3.2548184716220556E-2</v>
      </c>
      <c r="Q7359" s="28">
        <f t="shared" si="118"/>
        <v>3.5548184716220559E-2</v>
      </c>
      <c r="R7359" s="31">
        <v>0.15939999999999999</v>
      </c>
      <c r="S7359" s="32">
        <v>5.5420000000000004E-2</v>
      </c>
    </row>
    <row r="7360" spans="16:19" x14ac:dyDescent="0.25">
      <c r="P7360" s="27">
        <v>3.2548184716220556E-2</v>
      </c>
      <c r="Q7360" s="28">
        <f t="shared" si="118"/>
        <v>3.5548184716220559E-2</v>
      </c>
      <c r="R7360" s="31">
        <v>0.15939999999999999</v>
      </c>
      <c r="S7360" s="32">
        <v>5.1090000000000003E-2</v>
      </c>
    </row>
    <row r="7361" spans="16:19" x14ac:dyDescent="0.25">
      <c r="P7361" s="27">
        <v>3.2548184716220556E-2</v>
      </c>
      <c r="Q7361" s="28">
        <f t="shared" si="118"/>
        <v>3.5548184716220559E-2</v>
      </c>
      <c r="R7361" s="31">
        <v>0.15939999999999999</v>
      </c>
      <c r="S7361" s="32">
        <v>5.3509999999999995E-2</v>
      </c>
    </row>
    <row r="7362" spans="16:19" x14ac:dyDescent="0.25">
      <c r="P7362" s="27">
        <v>3.2548184716220556E-2</v>
      </c>
      <c r="Q7362" s="28">
        <f t="shared" si="118"/>
        <v>3.5548184716220559E-2</v>
      </c>
      <c r="R7362" s="31">
        <v>0.15939999999999999</v>
      </c>
      <c r="S7362" s="32">
        <v>6.0899999999999996E-2</v>
      </c>
    </row>
    <row r="7363" spans="16:19" x14ac:dyDescent="0.25">
      <c r="P7363" s="27">
        <v>3.2548184716220556E-2</v>
      </c>
      <c r="Q7363" s="28">
        <f t="shared" si="118"/>
        <v>3.5548184716220559E-2</v>
      </c>
      <c r="R7363" s="31">
        <v>0.15939999999999999</v>
      </c>
      <c r="S7363" s="32">
        <v>7.0550000000000002E-2</v>
      </c>
    </row>
    <row r="7364" spans="16:19" x14ac:dyDescent="0.25">
      <c r="P7364" s="27">
        <v>3.2548184716220556E-2</v>
      </c>
      <c r="Q7364" s="28">
        <f t="shared" si="118"/>
        <v>3.5548184716220559E-2</v>
      </c>
      <c r="R7364" s="31">
        <v>0.15939999999999999</v>
      </c>
      <c r="S7364" s="32">
        <v>8.2819999999999991E-2</v>
      </c>
    </row>
    <row r="7365" spans="16:19" x14ac:dyDescent="0.25">
      <c r="P7365" s="27">
        <v>3.2548184716220556E-2</v>
      </c>
      <c r="Q7365" s="28">
        <f t="shared" ref="Q7365:Q7428" si="119">P7365+0.003</f>
        <v>3.5548184716220559E-2</v>
      </c>
      <c r="R7365" s="31">
        <v>0.15939999999999999</v>
      </c>
      <c r="S7365" s="32">
        <v>8.5086185999999994E-2</v>
      </c>
    </row>
    <row r="7366" spans="16:19" x14ac:dyDescent="0.25">
      <c r="P7366" s="27">
        <v>3.2548184716220556E-2</v>
      </c>
      <c r="Q7366" s="28">
        <f t="shared" si="119"/>
        <v>3.5548184716220559E-2</v>
      </c>
      <c r="R7366" s="31">
        <v>0.15939999999999999</v>
      </c>
      <c r="S7366" s="32">
        <v>8.8550000000000004E-2</v>
      </c>
    </row>
    <row r="7367" spans="16:19" x14ac:dyDescent="0.25">
      <c r="P7367" s="27">
        <v>3.2548184716220556E-2</v>
      </c>
      <c r="Q7367" s="28">
        <f t="shared" si="119"/>
        <v>3.5548184716220559E-2</v>
      </c>
      <c r="R7367" s="31">
        <v>0.15939999999999999</v>
      </c>
      <c r="S7367" s="32">
        <v>7.714E-2</v>
      </c>
    </row>
    <row r="7368" spans="16:19" x14ac:dyDescent="0.25">
      <c r="P7368" s="27">
        <v>3.2548184716220556E-2</v>
      </c>
      <c r="Q7368" s="28">
        <f t="shared" si="119"/>
        <v>3.5548184716220559E-2</v>
      </c>
      <c r="R7368" s="31">
        <v>0.15939999999999999</v>
      </c>
      <c r="S7368" s="32">
        <v>6.3939999999999997E-2</v>
      </c>
    </row>
    <row r="7369" spans="16:19" x14ac:dyDescent="0.25">
      <c r="P7369" s="27">
        <v>3.2548184716220556E-2</v>
      </c>
      <c r="Q7369" s="28">
        <f t="shared" si="119"/>
        <v>3.5548184716220559E-2</v>
      </c>
      <c r="R7369" s="31">
        <v>0.15939999999999999</v>
      </c>
      <c r="S7369" s="32">
        <v>5.8799999999999998E-2</v>
      </c>
    </row>
    <row r="7370" spans="16:19" x14ac:dyDescent="0.25">
      <c r="P7370" s="27">
        <v>3.2548184716220556E-2</v>
      </c>
      <c r="Q7370" s="28">
        <f t="shared" si="119"/>
        <v>3.5548184716220559E-2</v>
      </c>
      <c r="R7370" s="31">
        <v>0.15939999999999999</v>
      </c>
      <c r="S7370" s="32">
        <v>5.4770000000000006E-2</v>
      </c>
    </row>
    <row r="7371" spans="16:19" x14ac:dyDescent="0.25">
      <c r="P7371" s="27">
        <v>3.2548184716220556E-2</v>
      </c>
      <c r="Q7371" s="28">
        <f t="shared" si="119"/>
        <v>3.5548184716220559E-2</v>
      </c>
      <c r="R7371" s="29">
        <v>0.15</v>
      </c>
      <c r="S7371" s="30">
        <v>4.9000000000000002E-2</v>
      </c>
    </row>
    <row r="7372" spans="16:19" x14ac:dyDescent="0.25">
      <c r="P7372" s="27">
        <v>3.2548184716220556E-2</v>
      </c>
      <c r="Q7372" s="28">
        <f t="shared" si="119"/>
        <v>3.5548184716220559E-2</v>
      </c>
      <c r="R7372" s="29">
        <v>0.15</v>
      </c>
      <c r="S7372" s="30">
        <v>4.4921795E-2</v>
      </c>
    </row>
    <row r="7373" spans="16:19" x14ac:dyDescent="0.25">
      <c r="P7373" s="27">
        <v>3.2548184716220556E-2</v>
      </c>
      <c r="Q7373" s="28">
        <f t="shared" si="119"/>
        <v>3.5548184716220559E-2</v>
      </c>
      <c r="R7373" s="29">
        <v>0.15</v>
      </c>
      <c r="S7373" s="30">
        <v>4.0409999999999995E-2</v>
      </c>
    </row>
    <row r="7374" spans="16:19" x14ac:dyDescent="0.25">
      <c r="P7374" s="27">
        <v>3.2548184716220556E-2</v>
      </c>
      <c r="Q7374" s="28">
        <f t="shared" si="119"/>
        <v>3.5548184716220559E-2</v>
      </c>
      <c r="R7374" s="29">
        <v>0.15</v>
      </c>
      <c r="S7374" s="30">
        <v>3.6940000000000001E-2</v>
      </c>
    </row>
    <row r="7375" spans="16:19" x14ac:dyDescent="0.25">
      <c r="P7375" s="27">
        <v>3.2548184716220556E-2</v>
      </c>
      <c r="Q7375" s="28">
        <f t="shared" si="119"/>
        <v>3.5548184716220559E-2</v>
      </c>
      <c r="R7375" s="29">
        <v>0.15</v>
      </c>
      <c r="S7375" s="30">
        <v>3.848E-2</v>
      </c>
    </row>
    <row r="7376" spans="16:19" x14ac:dyDescent="0.25">
      <c r="P7376" s="27">
        <v>3.2548184716220556E-2</v>
      </c>
      <c r="Q7376" s="28">
        <f t="shared" si="119"/>
        <v>3.5548184716220559E-2</v>
      </c>
      <c r="R7376" s="29">
        <v>0.15</v>
      </c>
      <c r="S7376" s="30">
        <v>3.8939999999999995E-2</v>
      </c>
    </row>
    <row r="7377" spans="16:19" x14ac:dyDescent="0.25">
      <c r="P7377" s="27">
        <v>3.2548184716220556E-2</v>
      </c>
      <c r="Q7377" s="28">
        <f t="shared" si="119"/>
        <v>3.5548184716220559E-2</v>
      </c>
      <c r="R7377" s="29">
        <v>0.15</v>
      </c>
      <c r="S7377" s="30">
        <v>4.2439999999999999E-2</v>
      </c>
    </row>
    <row r="7378" spans="16:19" x14ac:dyDescent="0.25">
      <c r="P7378" s="27">
        <v>3.2548184716220556E-2</v>
      </c>
      <c r="Q7378" s="28">
        <f t="shared" si="119"/>
        <v>3.5548184716220559E-2</v>
      </c>
      <c r="R7378" s="29">
        <v>0.15</v>
      </c>
      <c r="S7378" s="30">
        <v>5.7489999999999999E-2</v>
      </c>
    </row>
    <row r="7379" spans="16:19" x14ac:dyDescent="0.25">
      <c r="P7379" s="27">
        <v>3.2548184716220556E-2</v>
      </c>
      <c r="Q7379" s="28">
        <f t="shared" si="119"/>
        <v>3.5548184716220559E-2</v>
      </c>
      <c r="R7379" s="29">
        <v>0.15</v>
      </c>
      <c r="S7379" s="30">
        <v>6.0499999999999998E-2</v>
      </c>
    </row>
    <row r="7380" spans="16:19" x14ac:dyDescent="0.25">
      <c r="P7380" s="27">
        <v>3.2548184716220556E-2</v>
      </c>
      <c r="Q7380" s="28">
        <f t="shared" si="119"/>
        <v>3.5548184716220559E-2</v>
      </c>
      <c r="R7380" s="29">
        <v>0.15</v>
      </c>
      <c r="S7380" s="30">
        <v>6.3939999999999997E-2</v>
      </c>
    </row>
    <row r="7381" spans="16:19" x14ac:dyDescent="0.25">
      <c r="P7381" s="27">
        <v>3.2548184716220556E-2</v>
      </c>
      <c r="Q7381" s="28">
        <f t="shared" si="119"/>
        <v>3.5548184716220559E-2</v>
      </c>
      <c r="R7381" s="29">
        <v>0.15</v>
      </c>
      <c r="S7381" s="30">
        <v>6.2469999999999998E-2</v>
      </c>
    </row>
    <row r="7382" spans="16:19" x14ac:dyDescent="0.25">
      <c r="P7382" s="27">
        <v>3.2548184716220556E-2</v>
      </c>
      <c r="Q7382" s="28">
        <f t="shared" si="119"/>
        <v>3.5548184716220559E-2</v>
      </c>
      <c r="R7382" s="29">
        <v>0.15</v>
      </c>
      <c r="S7382" s="30">
        <v>5.987E-2</v>
      </c>
    </row>
    <row r="7383" spans="16:19" x14ac:dyDescent="0.25">
      <c r="P7383" s="27">
        <v>3.2548184716220556E-2</v>
      </c>
      <c r="Q7383" s="28">
        <f t="shared" si="119"/>
        <v>3.5548184716220559E-2</v>
      </c>
      <c r="R7383" s="29">
        <v>0.15</v>
      </c>
      <c r="S7383" s="30">
        <v>5.9539999999999996E-2</v>
      </c>
    </row>
    <row r="7384" spans="16:19" x14ac:dyDescent="0.25">
      <c r="P7384" s="27">
        <v>3.2548184716220556E-2</v>
      </c>
      <c r="Q7384" s="28">
        <f t="shared" si="119"/>
        <v>3.5548184716220559E-2</v>
      </c>
      <c r="R7384" s="29">
        <v>0.15</v>
      </c>
      <c r="S7384" s="30">
        <v>5.5350000000000003E-2</v>
      </c>
    </row>
    <row r="7385" spans="16:19" x14ac:dyDescent="0.25">
      <c r="P7385" s="27">
        <v>3.2548184716220556E-2</v>
      </c>
      <c r="Q7385" s="28">
        <f t="shared" si="119"/>
        <v>3.5548184716220559E-2</v>
      </c>
      <c r="R7385" s="29">
        <v>0.15</v>
      </c>
      <c r="S7385" s="30">
        <v>5.6649999999999999E-2</v>
      </c>
    </row>
    <row r="7386" spans="16:19" x14ac:dyDescent="0.25">
      <c r="P7386" s="27">
        <v>3.2548184716220556E-2</v>
      </c>
      <c r="Q7386" s="28">
        <f t="shared" si="119"/>
        <v>3.5548184716220559E-2</v>
      </c>
      <c r="R7386" s="29">
        <v>0.15</v>
      </c>
      <c r="S7386" s="30">
        <v>6.3490000000000005E-2</v>
      </c>
    </row>
    <row r="7387" spans="16:19" x14ac:dyDescent="0.25">
      <c r="P7387" s="27">
        <v>3.2548184716220556E-2</v>
      </c>
      <c r="Q7387" s="28">
        <f t="shared" si="119"/>
        <v>3.5548184716220559E-2</v>
      </c>
      <c r="R7387" s="29">
        <v>0.15</v>
      </c>
      <c r="S7387" s="30">
        <v>7.0870000000000002E-2</v>
      </c>
    </row>
    <row r="7388" spans="16:19" x14ac:dyDescent="0.25">
      <c r="P7388" s="27">
        <v>3.2548184716220556E-2</v>
      </c>
      <c r="Q7388" s="28">
        <f t="shared" si="119"/>
        <v>3.5548184716220559E-2</v>
      </c>
      <c r="R7388" s="29">
        <v>0.15</v>
      </c>
      <c r="S7388" s="30">
        <v>8.0879999999999994E-2</v>
      </c>
    </row>
    <row r="7389" spans="16:19" x14ac:dyDescent="0.25">
      <c r="P7389" s="27">
        <v>3.2548184716220556E-2</v>
      </c>
      <c r="Q7389" s="28">
        <f t="shared" si="119"/>
        <v>3.5548184716220559E-2</v>
      </c>
      <c r="R7389" s="29">
        <v>0.15</v>
      </c>
      <c r="S7389" s="30">
        <v>8.5449999999999998E-2</v>
      </c>
    </row>
    <row r="7390" spans="16:19" x14ac:dyDescent="0.25">
      <c r="P7390" s="27">
        <v>3.2548184716220556E-2</v>
      </c>
      <c r="Q7390" s="28">
        <f t="shared" si="119"/>
        <v>3.5548184716220559E-2</v>
      </c>
      <c r="R7390" s="29">
        <v>0.15</v>
      </c>
      <c r="S7390" s="30">
        <v>8.6989999999999998E-2</v>
      </c>
    </row>
    <row r="7391" spans="16:19" x14ac:dyDescent="0.25">
      <c r="P7391" s="27">
        <v>3.2548184716220556E-2</v>
      </c>
      <c r="Q7391" s="28">
        <f t="shared" si="119"/>
        <v>3.5548184716220559E-2</v>
      </c>
      <c r="R7391" s="29">
        <v>0.15</v>
      </c>
      <c r="S7391" s="30">
        <v>7.3700000000000002E-2</v>
      </c>
    </row>
    <row r="7392" spans="16:19" x14ac:dyDescent="0.25">
      <c r="P7392" s="27">
        <v>3.2548184716220556E-2</v>
      </c>
      <c r="Q7392" s="28">
        <f t="shared" si="119"/>
        <v>3.5548184716220559E-2</v>
      </c>
      <c r="R7392" s="29">
        <v>0.15</v>
      </c>
      <c r="S7392" s="30">
        <v>6.2829999999999997E-2</v>
      </c>
    </row>
    <row r="7393" spans="16:19" x14ac:dyDescent="0.25">
      <c r="P7393" s="27">
        <v>3.2548184716220556E-2</v>
      </c>
      <c r="Q7393" s="28">
        <f t="shared" si="119"/>
        <v>3.5548184716220559E-2</v>
      </c>
      <c r="R7393" s="29">
        <v>0.15</v>
      </c>
      <c r="S7393" s="30">
        <v>5.62E-2</v>
      </c>
    </row>
    <row r="7394" spans="16:19" x14ac:dyDescent="0.25">
      <c r="P7394" s="27">
        <v>3.2548184716220556E-2</v>
      </c>
      <c r="Q7394" s="28">
        <f t="shared" si="119"/>
        <v>3.5548184716220559E-2</v>
      </c>
      <c r="R7394" s="29">
        <v>0.15</v>
      </c>
      <c r="S7394" s="30">
        <v>5.3069999999999999E-2</v>
      </c>
    </row>
    <row r="7395" spans="16:19" x14ac:dyDescent="0.25">
      <c r="P7395" s="27">
        <v>3.2548184716220556E-2</v>
      </c>
      <c r="Q7395" s="28">
        <f t="shared" si="119"/>
        <v>3.5548184716220559E-2</v>
      </c>
      <c r="R7395" s="29">
        <v>0.15</v>
      </c>
      <c r="S7395" s="30">
        <v>4.9000000000000002E-2</v>
      </c>
    </row>
    <row r="7396" spans="16:19" x14ac:dyDescent="0.25">
      <c r="P7396" s="27">
        <v>3.2548184716220556E-2</v>
      </c>
      <c r="Q7396" s="28">
        <f t="shared" si="119"/>
        <v>3.5548184716220559E-2</v>
      </c>
      <c r="R7396" s="29">
        <v>0.15</v>
      </c>
      <c r="S7396" s="30">
        <v>4.2999999999999997E-2</v>
      </c>
    </row>
    <row r="7397" spans="16:19" x14ac:dyDescent="0.25">
      <c r="P7397" s="27">
        <v>3.2548184716220556E-2</v>
      </c>
      <c r="Q7397" s="28">
        <f t="shared" si="119"/>
        <v>3.5548184716220559E-2</v>
      </c>
      <c r="R7397" s="29">
        <v>0.15</v>
      </c>
      <c r="S7397" s="30">
        <v>3.6999999999999998E-2</v>
      </c>
    </row>
    <row r="7398" spans="16:19" x14ac:dyDescent="0.25">
      <c r="P7398" s="27">
        <v>3.2548184716220556E-2</v>
      </c>
      <c r="Q7398" s="28">
        <f t="shared" si="119"/>
        <v>3.5548184716220559E-2</v>
      </c>
      <c r="R7398" s="29">
        <v>0.15</v>
      </c>
      <c r="S7398" s="30">
        <v>3.4849999999999999E-2</v>
      </c>
    </row>
    <row r="7399" spans="16:19" x14ac:dyDescent="0.25">
      <c r="P7399" s="27">
        <v>3.2548184716220556E-2</v>
      </c>
      <c r="Q7399" s="28">
        <f t="shared" si="119"/>
        <v>3.5548184716220559E-2</v>
      </c>
      <c r="R7399" s="29">
        <v>0.15</v>
      </c>
      <c r="S7399" s="30">
        <v>3.2909999999999995E-2</v>
      </c>
    </row>
    <row r="7400" spans="16:19" x14ac:dyDescent="0.25">
      <c r="P7400" s="27">
        <v>3.2548184716220556E-2</v>
      </c>
      <c r="Q7400" s="28">
        <f t="shared" si="119"/>
        <v>3.5548184716220559E-2</v>
      </c>
      <c r="R7400" s="29">
        <v>0.15</v>
      </c>
      <c r="S7400" s="30">
        <v>3.2350000000000004E-2</v>
      </c>
    </row>
    <row r="7401" spans="16:19" x14ac:dyDescent="0.25">
      <c r="P7401" s="27">
        <v>3.2548184716220556E-2</v>
      </c>
      <c r="Q7401" s="28">
        <f t="shared" si="119"/>
        <v>3.5548184716220559E-2</v>
      </c>
      <c r="R7401" s="29">
        <v>0.15</v>
      </c>
      <c r="S7401" s="30">
        <v>3.6420000000000001E-2</v>
      </c>
    </row>
    <row r="7402" spans="16:19" x14ac:dyDescent="0.25">
      <c r="P7402" s="27">
        <v>3.2548184716220556E-2</v>
      </c>
      <c r="Q7402" s="28">
        <f t="shared" si="119"/>
        <v>3.5548184716220559E-2</v>
      </c>
      <c r="R7402" s="29">
        <v>0.15</v>
      </c>
      <c r="S7402" s="30">
        <v>4.9000000000000002E-2</v>
      </c>
    </row>
    <row r="7403" spans="16:19" x14ac:dyDescent="0.25">
      <c r="P7403" s="27">
        <v>3.2548184716220556E-2</v>
      </c>
      <c r="Q7403" s="28">
        <f t="shared" si="119"/>
        <v>3.5548184716220559E-2</v>
      </c>
      <c r="R7403" s="31">
        <v>0.15939660775771733</v>
      </c>
      <c r="S7403" s="32">
        <v>5.6270000000000001E-2</v>
      </c>
    </row>
    <row r="7404" spans="16:19" x14ac:dyDescent="0.25">
      <c r="P7404" s="27">
        <v>3.2548184716220556E-2</v>
      </c>
      <c r="Q7404" s="28">
        <f t="shared" si="119"/>
        <v>3.5548184716220559E-2</v>
      </c>
      <c r="R7404" s="33">
        <v>0.16282860775771735</v>
      </c>
      <c r="S7404" s="34">
        <v>6.3420000000000004E-2</v>
      </c>
    </row>
    <row r="7405" spans="16:19" x14ac:dyDescent="0.25">
      <c r="P7405" s="27">
        <v>3.2548184716220556E-2</v>
      </c>
      <c r="Q7405" s="28">
        <f t="shared" si="119"/>
        <v>3.5548184716220559E-2</v>
      </c>
      <c r="R7405" s="33">
        <v>0.16282860775771735</v>
      </c>
      <c r="S7405" s="34">
        <v>6.2829999999999997E-2</v>
      </c>
    </row>
    <row r="7406" spans="16:19" x14ac:dyDescent="0.25">
      <c r="P7406" s="27">
        <v>3.2548184716220556E-2</v>
      </c>
      <c r="Q7406" s="28">
        <f t="shared" si="119"/>
        <v>3.5548184716220559E-2</v>
      </c>
      <c r="R7406" s="33">
        <v>0.16282860775771735</v>
      </c>
      <c r="S7406" s="34">
        <v>5.9080000000000001E-2</v>
      </c>
    </row>
    <row r="7407" spans="16:19" x14ac:dyDescent="0.25">
      <c r="P7407" s="27">
        <v>3.2548184716220556E-2</v>
      </c>
      <c r="Q7407" s="28">
        <f t="shared" si="119"/>
        <v>3.5548184716220559E-2</v>
      </c>
      <c r="R7407" s="33">
        <v>0.16282860775771735</v>
      </c>
      <c r="S7407" s="34">
        <v>5.8349999999999999E-2</v>
      </c>
    </row>
    <row r="7408" spans="16:19" x14ac:dyDescent="0.25">
      <c r="P7408" s="27">
        <v>3.2548184716220556E-2</v>
      </c>
      <c r="Q7408" s="28">
        <f t="shared" si="119"/>
        <v>3.5548184716220559E-2</v>
      </c>
      <c r="R7408" s="33">
        <v>0.16282860775771735</v>
      </c>
      <c r="S7408" s="34">
        <v>5.5030000000000003E-2</v>
      </c>
    </row>
    <row r="7409" spans="16:19" x14ac:dyDescent="0.25">
      <c r="P7409" s="27">
        <v>3.2548184716220556E-2</v>
      </c>
      <c r="Q7409" s="28">
        <f t="shared" si="119"/>
        <v>3.5548184716220559E-2</v>
      </c>
      <c r="R7409" s="33">
        <v>0.16282860775771735</v>
      </c>
      <c r="S7409" s="34">
        <v>5.3950000000000005E-2</v>
      </c>
    </row>
    <row r="7410" spans="16:19" x14ac:dyDescent="0.25">
      <c r="P7410" s="27">
        <v>3.2548184716220556E-2</v>
      </c>
      <c r="Q7410" s="28">
        <f t="shared" si="119"/>
        <v>3.5548184716220559E-2</v>
      </c>
      <c r="R7410" s="33">
        <v>0.16282860775771735</v>
      </c>
      <c r="S7410" s="34">
        <v>5.9679999999999997E-2</v>
      </c>
    </row>
    <row r="7411" spans="16:19" x14ac:dyDescent="0.25">
      <c r="P7411" s="27">
        <v>3.2548184716220556E-2</v>
      </c>
      <c r="Q7411" s="28">
        <f t="shared" si="119"/>
        <v>3.5548184716220559E-2</v>
      </c>
      <c r="R7411" s="33">
        <v>0.16282860775771735</v>
      </c>
      <c r="S7411" s="34">
        <v>6.7739999999999995E-2</v>
      </c>
    </row>
    <row r="7412" spans="16:19" x14ac:dyDescent="0.25">
      <c r="P7412" s="27">
        <v>3.2548184716220556E-2</v>
      </c>
      <c r="Q7412" s="28">
        <f t="shared" si="119"/>
        <v>3.5548184716220559E-2</v>
      </c>
      <c r="R7412" s="33">
        <v>0.16282860775771735</v>
      </c>
      <c r="S7412" s="34">
        <v>7.5150000000000008E-2</v>
      </c>
    </row>
    <row r="7413" spans="16:19" x14ac:dyDescent="0.25">
      <c r="P7413" s="27">
        <v>3.2548184716220556E-2</v>
      </c>
      <c r="Q7413" s="28">
        <f t="shared" si="119"/>
        <v>3.5548184716220559E-2</v>
      </c>
      <c r="R7413" s="33">
        <v>0.16282860775771735</v>
      </c>
      <c r="S7413" s="34">
        <v>8.1110000000000002E-2</v>
      </c>
    </row>
    <row r="7414" spans="16:19" x14ac:dyDescent="0.25">
      <c r="P7414" s="27">
        <v>3.2548184716220556E-2</v>
      </c>
      <c r="Q7414" s="28">
        <f t="shared" si="119"/>
        <v>3.5548184716220559E-2</v>
      </c>
      <c r="R7414" s="33">
        <v>0.16282860775771735</v>
      </c>
      <c r="S7414" s="34">
        <v>7.8049999999999994E-2</v>
      </c>
    </row>
    <row r="7415" spans="16:19" x14ac:dyDescent="0.25">
      <c r="P7415" s="27">
        <v>3.2548184716220556E-2</v>
      </c>
      <c r="Q7415" s="28">
        <f t="shared" si="119"/>
        <v>3.5548184716220559E-2</v>
      </c>
      <c r="R7415" s="31">
        <v>0.15939660775771733</v>
      </c>
      <c r="S7415" s="32">
        <v>6.7739999999999995E-2</v>
      </c>
    </row>
    <row r="7416" spans="16:19" x14ac:dyDescent="0.25">
      <c r="P7416" s="27">
        <v>3.2548184716220556E-2</v>
      </c>
      <c r="Q7416" s="28">
        <f t="shared" si="119"/>
        <v>3.5548184716220559E-2</v>
      </c>
      <c r="R7416" s="31">
        <v>0.15939660775771733</v>
      </c>
      <c r="S7416" s="32">
        <v>5.9249999999999997E-2</v>
      </c>
    </row>
    <row r="7417" spans="16:19" x14ac:dyDescent="0.25">
      <c r="P7417" s="27">
        <v>3.2548184716220556E-2</v>
      </c>
      <c r="Q7417" s="28">
        <f t="shared" si="119"/>
        <v>3.5548184716220559E-2</v>
      </c>
      <c r="R7417" s="31">
        <v>0.15939660775771733</v>
      </c>
      <c r="S7417" s="32">
        <v>5.1999999999999998E-2</v>
      </c>
    </row>
    <row r="7418" spans="16:19" x14ac:dyDescent="0.25">
      <c r="P7418" s="27">
        <v>3.2548184716220556E-2</v>
      </c>
      <c r="Q7418" s="28">
        <f t="shared" si="119"/>
        <v>3.5548184716220559E-2</v>
      </c>
      <c r="R7418" s="31">
        <v>0.15939660775771733</v>
      </c>
      <c r="S7418" s="32">
        <v>0.05</v>
      </c>
    </row>
    <row r="7419" spans="16:19" x14ac:dyDescent="0.25">
      <c r="P7419" s="27">
        <v>3.2548184716220556E-2</v>
      </c>
      <c r="Q7419" s="28">
        <f t="shared" si="119"/>
        <v>3.5548184716220559E-2</v>
      </c>
      <c r="R7419" s="29">
        <v>0.15003660775771735</v>
      </c>
      <c r="S7419" s="30">
        <v>4.4119999999999999E-2</v>
      </c>
    </row>
    <row r="7420" spans="16:19" x14ac:dyDescent="0.25">
      <c r="P7420" s="27">
        <v>3.2548184716220556E-2</v>
      </c>
      <c r="Q7420" s="28">
        <f t="shared" si="119"/>
        <v>3.5548184716220559E-2</v>
      </c>
      <c r="R7420" s="29">
        <v>0.15003660775771735</v>
      </c>
      <c r="S7420" s="30">
        <v>4.147E-2</v>
      </c>
    </row>
    <row r="7421" spans="16:19" x14ac:dyDescent="0.25">
      <c r="P7421" s="27">
        <v>3.2548184716220556E-2</v>
      </c>
      <c r="Q7421" s="28">
        <f t="shared" si="119"/>
        <v>3.5548184716220559E-2</v>
      </c>
      <c r="R7421" s="29">
        <v>0.15003660775771735</v>
      </c>
      <c r="S7421" s="30">
        <v>3.7499999999999999E-2</v>
      </c>
    </row>
    <row r="7422" spans="16:19" x14ac:dyDescent="0.25">
      <c r="P7422" s="27">
        <v>3.2548184716220556E-2</v>
      </c>
      <c r="Q7422" s="28">
        <f t="shared" si="119"/>
        <v>3.5548184716220559E-2</v>
      </c>
      <c r="R7422" s="29">
        <v>0.15003660775771735</v>
      </c>
      <c r="S7422" s="30">
        <v>3.5000000000000003E-2</v>
      </c>
    </row>
    <row r="7423" spans="16:19" x14ac:dyDescent="0.25">
      <c r="P7423" s="27">
        <v>3.2548184716220556E-2</v>
      </c>
      <c r="Q7423" s="28">
        <f t="shared" si="119"/>
        <v>3.5548184716220559E-2</v>
      </c>
      <c r="R7423" s="29">
        <v>0.15003660775771735</v>
      </c>
      <c r="S7423" s="30">
        <v>2.9499999999999998E-2</v>
      </c>
    </row>
    <row r="7424" spans="16:19" x14ac:dyDescent="0.25">
      <c r="P7424" s="27">
        <v>3.2548184716220556E-2</v>
      </c>
      <c r="Q7424" s="28">
        <f t="shared" si="119"/>
        <v>3.5548184716220559E-2</v>
      </c>
      <c r="R7424" s="29">
        <v>0.15003660775771735</v>
      </c>
      <c r="S7424" s="30">
        <v>3.0190000000000002E-2</v>
      </c>
    </row>
    <row r="7425" spans="16:19" x14ac:dyDescent="0.25">
      <c r="P7425" s="27">
        <v>3.2548184716220556E-2</v>
      </c>
      <c r="Q7425" s="28">
        <f t="shared" si="119"/>
        <v>3.5548184716220559E-2</v>
      </c>
      <c r="R7425" s="29">
        <v>0.15003660775771735</v>
      </c>
      <c r="S7425" s="30">
        <v>3.5909999999999997E-2</v>
      </c>
    </row>
    <row r="7426" spans="16:19" x14ac:dyDescent="0.25">
      <c r="P7426" s="27">
        <v>3.2548184716220556E-2</v>
      </c>
      <c r="Q7426" s="28">
        <f t="shared" si="119"/>
        <v>3.5548184716220559E-2</v>
      </c>
      <c r="R7426" s="29">
        <v>0.15003660775771735</v>
      </c>
      <c r="S7426" s="30">
        <v>4.795E-2</v>
      </c>
    </row>
    <row r="7427" spans="16:19" x14ac:dyDescent="0.25">
      <c r="P7427" s="27">
        <v>3.2548184716220556E-2</v>
      </c>
      <c r="Q7427" s="28">
        <f t="shared" si="119"/>
        <v>3.5548184716220559E-2</v>
      </c>
      <c r="R7427" s="31">
        <v>0.15939660775771733</v>
      </c>
      <c r="S7427" s="32">
        <v>5.6170000000000005E-2</v>
      </c>
    </row>
    <row r="7428" spans="16:19" x14ac:dyDescent="0.25">
      <c r="P7428" s="27">
        <v>3.2548184716220556E-2</v>
      </c>
      <c r="Q7428" s="28">
        <f t="shared" si="119"/>
        <v>3.5548184716220559E-2</v>
      </c>
      <c r="R7428" s="33">
        <v>0.16282860775771735</v>
      </c>
      <c r="S7428" s="34">
        <v>6.4010000000000011E-2</v>
      </c>
    </row>
    <row r="7429" spans="16:19" x14ac:dyDescent="0.25">
      <c r="P7429" s="27">
        <v>3.2548184716220556E-2</v>
      </c>
      <c r="Q7429" s="28">
        <f t="shared" ref="Q7429:Q7492" si="120">P7429+0.003</f>
        <v>3.5548184716220559E-2</v>
      </c>
      <c r="R7429" s="33">
        <v>0.16282860775771735</v>
      </c>
      <c r="S7429" s="34">
        <v>6.2829999999999997E-2</v>
      </c>
    </row>
    <row r="7430" spans="16:19" x14ac:dyDescent="0.25">
      <c r="P7430" s="27">
        <v>3.2548184716220556E-2</v>
      </c>
      <c r="Q7430" s="28">
        <f t="shared" si="120"/>
        <v>3.5548184716220559E-2</v>
      </c>
      <c r="R7430" s="33">
        <v>0.16282860775771735</v>
      </c>
      <c r="S7430" s="34">
        <v>5.9990000000000002E-2</v>
      </c>
    </row>
    <row r="7431" spans="16:19" x14ac:dyDescent="0.25">
      <c r="P7431" s="27">
        <v>3.2548184716220556E-2</v>
      </c>
      <c r="Q7431" s="28">
        <f t="shared" si="120"/>
        <v>3.5548184716220559E-2</v>
      </c>
      <c r="R7431" s="33">
        <v>0.16282860775771735</v>
      </c>
      <c r="S7431" s="34">
        <v>5.9990000000000002E-2</v>
      </c>
    </row>
    <row r="7432" spans="16:19" x14ac:dyDescent="0.25">
      <c r="P7432" s="27">
        <v>3.2548184716220556E-2</v>
      </c>
      <c r="Q7432" s="28">
        <f t="shared" si="120"/>
        <v>3.5548184716220559E-2</v>
      </c>
      <c r="R7432" s="33">
        <v>0.16282860775771735</v>
      </c>
      <c r="S7432" s="34">
        <v>5.4820000000000001E-2</v>
      </c>
    </row>
    <row r="7433" spans="16:19" x14ac:dyDescent="0.25">
      <c r="P7433" s="27">
        <v>3.2548184716220556E-2</v>
      </c>
      <c r="Q7433" s="28">
        <f t="shared" si="120"/>
        <v>3.5548184716220559E-2</v>
      </c>
      <c r="R7433" s="33">
        <v>0.16282860775771735</v>
      </c>
      <c r="S7433" s="34">
        <v>5.4200000000000005E-2</v>
      </c>
    </row>
    <row r="7434" spans="16:19" x14ac:dyDescent="0.25">
      <c r="P7434" s="27">
        <v>3.2548184716220556E-2</v>
      </c>
      <c r="Q7434" s="28">
        <f t="shared" si="120"/>
        <v>3.5548184716220559E-2</v>
      </c>
      <c r="R7434" s="33">
        <v>0.16282860775771735</v>
      </c>
      <c r="S7434" s="34">
        <v>5.8749999999999997E-2</v>
      </c>
    </row>
    <row r="7435" spans="16:19" x14ac:dyDescent="0.25">
      <c r="P7435" s="27">
        <v>3.2548184716220556E-2</v>
      </c>
      <c r="Q7435" s="28">
        <f t="shared" si="120"/>
        <v>3.5548184716220559E-2</v>
      </c>
      <c r="R7435" s="33">
        <v>0.16282860775771735</v>
      </c>
      <c r="S7435" s="34">
        <v>6.6989999999999994E-2</v>
      </c>
    </row>
    <row r="7436" spans="16:19" x14ac:dyDescent="0.25">
      <c r="P7436" s="27">
        <v>3.2548184716220556E-2</v>
      </c>
      <c r="Q7436" s="28">
        <f t="shared" si="120"/>
        <v>3.5548184716220559E-2</v>
      </c>
      <c r="R7436" s="33">
        <v>0.16282860775771735</v>
      </c>
      <c r="S7436" s="34">
        <v>7.4999999999999997E-2</v>
      </c>
    </row>
    <row r="7437" spans="16:19" x14ac:dyDescent="0.25">
      <c r="P7437" s="27">
        <v>3.2548184716220556E-2</v>
      </c>
      <c r="Q7437" s="28">
        <f t="shared" si="120"/>
        <v>3.5548184716220559E-2</v>
      </c>
      <c r="R7437" s="33">
        <v>0.16282860775771735</v>
      </c>
      <c r="S7437" s="34">
        <v>8.5760000000000003E-2</v>
      </c>
    </row>
    <row r="7438" spans="16:19" x14ac:dyDescent="0.25">
      <c r="P7438" s="27">
        <v>3.2548184716220556E-2</v>
      </c>
      <c r="Q7438" s="28">
        <f t="shared" si="120"/>
        <v>3.5548184716220559E-2</v>
      </c>
      <c r="R7438" s="33">
        <v>0.16282860775771735</v>
      </c>
      <c r="S7438" s="34">
        <v>7.4520000000000003E-2</v>
      </c>
    </row>
    <row r="7439" spans="16:19" x14ac:dyDescent="0.25">
      <c r="P7439" s="27">
        <v>3.2548184716220556E-2</v>
      </c>
      <c r="Q7439" s="28">
        <f t="shared" si="120"/>
        <v>3.5548184716220559E-2</v>
      </c>
      <c r="R7439" s="31">
        <v>0.15939660775771733</v>
      </c>
      <c r="S7439" s="32">
        <v>6.5000000000000002E-2</v>
      </c>
    </row>
    <row r="7440" spans="16:19" x14ac:dyDescent="0.25">
      <c r="P7440" s="27">
        <v>3.2548184716220556E-2</v>
      </c>
      <c r="Q7440" s="28">
        <f t="shared" si="120"/>
        <v>3.5548184716220559E-2</v>
      </c>
      <c r="R7440" s="31">
        <v>0.15939660775771733</v>
      </c>
      <c r="S7440" s="32">
        <v>5.7669999999999999E-2</v>
      </c>
    </row>
    <row r="7441" spans="16:19" x14ac:dyDescent="0.25">
      <c r="P7441" s="27">
        <v>3.2548184716220556E-2</v>
      </c>
      <c r="Q7441" s="28">
        <f t="shared" si="120"/>
        <v>3.5548184716220559E-2</v>
      </c>
      <c r="R7441" s="31">
        <v>0.15939660775771733</v>
      </c>
      <c r="S7441" s="32">
        <v>5.1380000000000002E-2</v>
      </c>
    </row>
    <row r="7442" spans="16:19" x14ac:dyDescent="0.25">
      <c r="P7442" s="27">
        <v>3.2548184716220556E-2</v>
      </c>
      <c r="Q7442" s="28">
        <f t="shared" si="120"/>
        <v>3.5548184716220559E-2</v>
      </c>
      <c r="R7442" s="31">
        <v>0.15939660775771733</v>
      </c>
      <c r="S7442" s="32">
        <v>4.7649999999999998E-2</v>
      </c>
    </row>
    <row r="7443" spans="16:19" x14ac:dyDescent="0.25">
      <c r="P7443" s="27">
        <v>3.2548184716220556E-2</v>
      </c>
      <c r="Q7443" s="28">
        <f t="shared" si="120"/>
        <v>3.5548184716220559E-2</v>
      </c>
      <c r="R7443" s="29">
        <v>0.15003660775771735</v>
      </c>
      <c r="S7443" s="30">
        <v>4.4630000000000003E-2</v>
      </c>
    </row>
    <row r="7444" spans="16:19" x14ac:dyDescent="0.25">
      <c r="P7444" s="27">
        <v>3.2548184716220556E-2</v>
      </c>
      <c r="Q7444" s="28">
        <f t="shared" si="120"/>
        <v>3.5548184716220559E-2</v>
      </c>
      <c r="R7444" s="29">
        <v>0.15003660775771735</v>
      </c>
      <c r="S7444" s="30">
        <v>4.0479999999999995E-2</v>
      </c>
    </row>
    <row r="7445" spans="16:19" x14ac:dyDescent="0.25">
      <c r="P7445" s="27">
        <v>3.2548184716220556E-2</v>
      </c>
      <c r="Q7445" s="28">
        <f t="shared" si="120"/>
        <v>3.5548184716220559E-2</v>
      </c>
      <c r="R7445" s="29">
        <v>0.15003660775771735</v>
      </c>
      <c r="S7445" s="30">
        <v>3.5470000000000002E-2</v>
      </c>
    </row>
    <row r="7446" spans="16:19" x14ac:dyDescent="0.25">
      <c r="P7446" s="27">
        <v>3.2548184716220556E-2</v>
      </c>
      <c r="Q7446" s="28">
        <f t="shared" si="120"/>
        <v>3.5548184716220559E-2</v>
      </c>
      <c r="R7446" s="29">
        <v>0.15003660775771735</v>
      </c>
      <c r="S7446" s="30">
        <v>3.2000000000000001E-2</v>
      </c>
    </row>
    <row r="7447" spans="16:19" x14ac:dyDescent="0.25">
      <c r="P7447" s="27">
        <v>3.2548184716220556E-2</v>
      </c>
      <c r="Q7447" s="28">
        <f t="shared" si="120"/>
        <v>3.5548184716220559E-2</v>
      </c>
      <c r="R7447" s="29">
        <v>0.15003660775771735</v>
      </c>
      <c r="S7447" s="30">
        <v>2.767E-2</v>
      </c>
    </row>
    <row r="7448" spans="16:19" x14ac:dyDescent="0.25">
      <c r="P7448" s="27">
        <v>3.2548184716220556E-2</v>
      </c>
      <c r="Q7448" s="28">
        <f t="shared" si="120"/>
        <v>3.5548184716220559E-2</v>
      </c>
      <c r="R7448" s="29">
        <v>0.15003660775771735</v>
      </c>
      <c r="S7448" s="30">
        <v>2.9000000000000001E-2</v>
      </c>
    </row>
    <row r="7449" spans="16:19" x14ac:dyDescent="0.25">
      <c r="P7449" s="27">
        <v>3.2548184716220556E-2</v>
      </c>
      <c r="Q7449" s="28">
        <f t="shared" si="120"/>
        <v>3.5548184716220559E-2</v>
      </c>
      <c r="R7449" s="29">
        <v>0.15003660775771735</v>
      </c>
      <c r="S7449" s="30">
        <v>3.4909999999999997E-2</v>
      </c>
    </row>
    <row r="7450" spans="16:19" x14ac:dyDescent="0.25">
      <c r="P7450" s="27">
        <v>3.2548184716220556E-2</v>
      </c>
      <c r="Q7450" s="28">
        <f t="shared" si="120"/>
        <v>3.5548184716220559E-2</v>
      </c>
      <c r="R7450" s="29">
        <v>0.15003660775771735</v>
      </c>
      <c r="S7450" s="30">
        <v>4.8600000000000004E-2</v>
      </c>
    </row>
    <row r="7451" spans="16:19" x14ac:dyDescent="0.25">
      <c r="P7451" s="27">
        <v>3.2548184716220556E-2</v>
      </c>
      <c r="Q7451" s="28">
        <f t="shared" si="120"/>
        <v>3.5548184716220559E-2</v>
      </c>
      <c r="R7451" s="31">
        <v>0.15939660775771733</v>
      </c>
      <c r="S7451" s="32">
        <v>5.5969999999999999E-2</v>
      </c>
    </row>
    <row r="7452" spans="16:19" x14ac:dyDescent="0.25">
      <c r="P7452" s="27">
        <v>3.2548184716220556E-2</v>
      </c>
      <c r="Q7452" s="28">
        <f t="shared" si="120"/>
        <v>3.5548184716220559E-2</v>
      </c>
      <c r="R7452" s="33">
        <v>0.16282860775771735</v>
      </c>
      <c r="S7452" s="34">
        <v>6.7989999999999995E-2</v>
      </c>
    </row>
    <row r="7453" spans="16:19" x14ac:dyDescent="0.25">
      <c r="P7453" s="27">
        <v>3.2548184716220556E-2</v>
      </c>
      <c r="Q7453" s="28">
        <f t="shared" si="120"/>
        <v>3.5548184716220559E-2</v>
      </c>
      <c r="R7453" s="33">
        <v>0.16282860775771735</v>
      </c>
      <c r="S7453" s="34">
        <v>6.7989999999999995E-2</v>
      </c>
    </row>
    <row r="7454" spans="16:19" x14ac:dyDescent="0.25">
      <c r="P7454" s="27">
        <v>3.2548184716220556E-2</v>
      </c>
      <c r="Q7454" s="28">
        <f t="shared" si="120"/>
        <v>3.5548184716220559E-2</v>
      </c>
      <c r="R7454" s="33">
        <v>0.16282860775771735</v>
      </c>
      <c r="S7454" s="34">
        <v>0.06</v>
      </c>
    </row>
    <row r="7455" spans="16:19" x14ac:dyDescent="0.25">
      <c r="P7455" s="27">
        <v>3.2548184716220556E-2</v>
      </c>
      <c r="Q7455" s="28">
        <f t="shared" si="120"/>
        <v>3.5548184716220559E-2</v>
      </c>
      <c r="R7455" s="33">
        <v>0.16282860775771735</v>
      </c>
      <c r="S7455" s="34">
        <v>5.9990000000000002E-2</v>
      </c>
    </row>
    <row r="7456" spans="16:19" x14ac:dyDescent="0.25">
      <c r="P7456" s="27">
        <v>3.2548184716220556E-2</v>
      </c>
      <c r="Q7456" s="28">
        <f t="shared" si="120"/>
        <v>3.5548184716220559E-2</v>
      </c>
      <c r="R7456" s="33">
        <v>0.16282860775771735</v>
      </c>
      <c r="S7456" s="34">
        <v>5.3409999999999999E-2</v>
      </c>
    </row>
    <row r="7457" spans="16:19" x14ac:dyDescent="0.25">
      <c r="P7457" s="27">
        <v>3.2548184716220556E-2</v>
      </c>
      <c r="Q7457" s="28">
        <f t="shared" si="120"/>
        <v>3.5548184716220559E-2</v>
      </c>
      <c r="R7457" s="33">
        <v>0.16282860775771735</v>
      </c>
      <c r="S7457" s="34">
        <v>5.3310000000000003E-2</v>
      </c>
    </row>
    <row r="7458" spans="16:19" x14ac:dyDescent="0.25">
      <c r="P7458" s="27">
        <v>3.2548184716220556E-2</v>
      </c>
      <c r="Q7458" s="28">
        <f t="shared" si="120"/>
        <v>3.5548184716220559E-2</v>
      </c>
      <c r="R7458" s="33">
        <v>0.16282860775771735</v>
      </c>
      <c r="S7458" s="34">
        <v>5.8900000000000001E-2</v>
      </c>
    </row>
    <row r="7459" spans="16:19" x14ac:dyDescent="0.25">
      <c r="P7459" s="27">
        <v>3.2548184716220556E-2</v>
      </c>
      <c r="Q7459" s="28">
        <f t="shared" si="120"/>
        <v>3.5548184716220559E-2</v>
      </c>
      <c r="R7459" s="33">
        <v>0.16282860775771735</v>
      </c>
      <c r="S7459" s="34">
        <v>6.4489999999999992E-2</v>
      </c>
    </row>
    <row r="7460" spans="16:19" x14ac:dyDescent="0.25">
      <c r="P7460" s="27">
        <v>3.2548184716220556E-2</v>
      </c>
      <c r="Q7460" s="28">
        <f t="shared" si="120"/>
        <v>3.5548184716220559E-2</v>
      </c>
      <c r="R7460" s="33">
        <v>0.16282860775771735</v>
      </c>
      <c r="S7460" s="34">
        <v>7.2999999999999995E-2</v>
      </c>
    </row>
    <row r="7461" spans="16:19" x14ac:dyDescent="0.25">
      <c r="P7461" s="27">
        <v>3.2548184716220556E-2</v>
      </c>
      <c r="Q7461" s="28">
        <f t="shared" si="120"/>
        <v>3.5548184716220559E-2</v>
      </c>
      <c r="R7461" s="33">
        <v>0.16282860775771735</v>
      </c>
      <c r="S7461" s="34">
        <v>9.0579999999999994E-2</v>
      </c>
    </row>
    <row r="7462" spans="16:19" x14ac:dyDescent="0.25">
      <c r="P7462" s="27">
        <v>3.2548184716220556E-2</v>
      </c>
      <c r="Q7462" s="28">
        <f t="shared" si="120"/>
        <v>3.5548184716220559E-2</v>
      </c>
      <c r="R7462" s="33">
        <v>0.16282860775771735</v>
      </c>
      <c r="S7462" s="34">
        <v>7.4944742000000009E-2</v>
      </c>
    </row>
    <row r="7463" spans="16:19" x14ac:dyDescent="0.25">
      <c r="P7463" s="27">
        <v>3.2548184716220556E-2</v>
      </c>
      <c r="Q7463" s="28">
        <f t="shared" si="120"/>
        <v>3.5548184716220559E-2</v>
      </c>
      <c r="R7463" s="31">
        <v>0.15939660775771733</v>
      </c>
      <c r="S7463" s="32">
        <v>6.4860000000000001E-2</v>
      </c>
    </row>
    <row r="7464" spans="16:19" x14ac:dyDescent="0.25">
      <c r="P7464" s="27">
        <v>3.2548184716220556E-2</v>
      </c>
      <c r="Q7464" s="28">
        <f t="shared" si="120"/>
        <v>3.5548184716220559E-2</v>
      </c>
      <c r="R7464" s="31">
        <v>0.15939660775771733</v>
      </c>
      <c r="S7464" s="32">
        <v>5.8979999999999998E-2</v>
      </c>
    </row>
    <row r="7465" spans="16:19" x14ac:dyDescent="0.25">
      <c r="P7465" s="27">
        <v>3.2548184716220556E-2</v>
      </c>
      <c r="Q7465" s="28">
        <f t="shared" si="120"/>
        <v>3.5548184716220559E-2</v>
      </c>
      <c r="R7465" s="31">
        <v>0.15939660775771733</v>
      </c>
      <c r="S7465" s="32">
        <v>5.4469999999999998E-2</v>
      </c>
    </row>
    <row r="7466" spans="16:19" x14ac:dyDescent="0.25">
      <c r="P7466" s="27">
        <v>3.2548184716220556E-2</v>
      </c>
      <c r="Q7466" s="28">
        <f t="shared" si="120"/>
        <v>3.5548184716220559E-2</v>
      </c>
      <c r="R7466" s="31">
        <v>0.15939660775771733</v>
      </c>
      <c r="S7466" s="32">
        <v>5.4130000000000005E-2</v>
      </c>
    </row>
    <row r="7467" spans="16:19" x14ac:dyDescent="0.25">
      <c r="P7467" s="27">
        <v>3.2548184716220556E-2</v>
      </c>
      <c r="Q7467" s="28">
        <f t="shared" si="120"/>
        <v>3.5548184716220559E-2</v>
      </c>
      <c r="R7467" s="29">
        <v>0.15003660775771735</v>
      </c>
      <c r="S7467" s="30">
        <v>5.1119999999999999E-2</v>
      </c>
    </row>
    <row r="7468" spans="16:19" x14ac:dyDescent="0.25">
      <c r="P7468" s="27">
        <v>3.2548184716220556E-2</v>
      </c>
      <c r="Q7468" s="28">
        <f t="shared" si="120"/>
        <v>3.5548184716220559E-2</v>
      </c>
      <c r="R7468" s="29">
        <v>0.15003660775771735</v>
      </c>
      <c r="S7468" s="30">
        <v>4.3529999999999999E-2</v>
      </c>
    </row>
    <row r="7469" spans="16:19" x14ac:dyDescent="0.25">
      <c r="P7469" s="27">
        <v>3.2548184716220556E-2</v>
      </c>
      <c r="Q7469" s="28">
        <f t="shared" si="120"/>
        <v>3.5548184716220559E-2</v>
      </c>
      <c r="R7469" s="29">
        <v>0.15003660775771735</v>
      </c>
      <c r="S7469" s="30">
        <v>3.7499999999999999E-2</v>
      </c>
    </row>
    <row r="7470" spans="16:19" x14ac:dyDescent="0.25">
      <c r="P7470" s="27">
        <v>3.2548184716220556E-2</v>
      </c>
      <c r="Q7470" s="28">
        <f t="shared" si="120"/>
        <v>3.5548184716220559E-2</v>
      </c>
      <c r="R7470" s="29">
        <v>0.15003660775771735</v>
      </c>
      <c r="S7470" s="30">
        <v>3.5499999999999997E-2</v>
      </c>
    </row>
    <row r="7471" spans="16:19" x14ac:dyDescent="0.25">
      <c r="P7471" s="27">
        <v>3.2548184716220556E-2</v>
      </c>
      <c r="Q7471" s="28">
        <f t="shared" si="120"/>
        <v>3.5548184716220559E-2</v>
      </c>
      <c r="R7471" s="29">
        <v>0.15003660775771735</v>
      </c>
      <c r="S7471" s="30">
        <v>2.9058394000000001E-2</v>
      </c>
    </row>
    <row r="7472" spans="16:19" x14ac:dyDescent="0.25">
      <c r="P7472" s="27">
        <v>3.2548184716220556E-2</v>
      </c>
      <c r="Q7472" s="28">
        <f t="shared" si="120"/>
        <v>3.5548184716220559E-2</v>
      </c>
      <c r="R7472" s="29">
        <v>0.15003660775771735</v>
      </c>
      <c r="S7472" s="30">
        <v>3.5000000000000003E-2</v>
      </c>
    </row>
    <row r="7473" spans="16:19" x14ac:dyDescent="0.25">
      <c r="P7473" s="27">
        <v>3.2548184716220556E-2</v>
      </c>
      <c r="Q7473" s="28">
        <f t="shared" si="120"/>
        <v>3.5548184716220559E-2</v>
      </c>
      <c r="R7473" s="29">
        <v>0.15003660775771735</v>
      </c>
      <c r="S7473" s="30">
        <v>3.5000000000000003E-2</v>
      </c>
    </row>
    <row r="7474" spans="16:19" x14ac:dyDescent="0.25">
      <c r="P7474" s="27">
        <v>3.2548184716220556E-2</v>
      </c>
      <c r="Q7474" s="28">
        <f t="shared" si="120"/>
        <v>3.5548184716220559E-2</v>
      </c>
      <c r="R7474" s="29">
        <v>0.15003660775771735</v>
      </c>
      <c r="S7474" s="30">
        <v>4.3529999999999999E-2</v>
      </c>
    </row>
    <row r="7475" spans="16:19" x14ac:dyDescent="0.25">
      <c r="P7475" s="27">
        <v>3.2548184716220556E-2</v>
      </c>
      <c r="Q7475" s="28">
        <f t="shared" si="120"/>
        <v>3.5548184716220559E-2</v>
      </c>
      <c r="R7475" s="31">
        <v>0.15939660775771733</v>
      </c>
      <c r="S7475" s="32">
        <v>5.1959999999999999E-2</v>
      </c>
    </row>
    <row r="7476" spans="16:19" x14ac:dyDescent="0.25">
      <c r="P7476" s="27">
        <v>3.2548184716220556E-2</v>
      </c>
      <c r="Q7476" s="28">
        <f t="shared" si="120"/>
        <v>3.5548184716220559E-2</v>
      </c>
      <c r="R7476" s="33">
        <v>0.16282860775771735</v>
      </c>
      <c r="S7476" s="34">
        <v>5.5590000000000001E-2</v>
      </c>
    </row>
    <row r="7477" spans="16:19" x14ac:dyDescent="0.25">
      <c r="P7477" s="27">
        <v>3.2548184716220556E-2</v>
      </c>
      <c r="Q7477" s="28">
        <f t="shared" si="120"/>
        <v>3.5548184716220559E-2</v>
      </c>
      <c r="R7477" s="33">
        <v>0.16282860775771735</v>
      </c>
      <c r="S7477" s="34">
        <v>5.5E-2</v>
      </c>
    </row>
    <row r="7478" spans="16:19" x14ac:dyDescent="0.25">
      <c r="P7478" s="27">
        <v>3.2548184716220556E-2</v>
      </c>
      <c r="Q7478" s="28">
        <f t="shared" si="120"/>
        <v>3.5548184716220559E-2</v>
      </c>
      <c r="R7478" s="33">
        <v>0.16282860775771735</v>
      </c>
      <c r="S7478" s="34">
        <v>4.9700000000000001E-2</v>
      </c>
    </row>
    <row r="7479" spans="16:19" x14ac:dyDescent="0.25">
      <c r="P7479" s="27">
        <v>3.2548184716220556E-2</v>
      </c>
      <c r="Q7479" s="28">
        <f t="shared" si="120"/>
        <v>3.5548184716220559E-2</v>
      </c>
      <c r="R7479" s="33">
        <v>0.16282860775771735</v>
      </c>
      <c r="S7479" s="34">
        <v>4.4560000000000002E-2</v>
      </c>
    </row>
    <row r="7480" spans="16:19" x14ac:dyDescent="0.25">
      <c r="P7480" s="27">
        <v>3.2548184716220556E-2</v>
      </c>
      <c r="Q7480" s="28">
        <f t="shared" si="120"/>
        <v>3.5548184716220559E-2</v>
      </c>
      <c r="R7480" s="33">
        <v>0.16282860775771735</v>
      </c>
      <c r="S7480" s="34">
        <v>4.1950000000000001E-2</v>
      </c>
    </row>
    <row r="7481" spans="16:19" x14ac:dyDescent="0.25">
      <c r="P7481" s="27">
        <v>3.2548184716220556E-2</v>
      </c>
      <c r="Q7481" s="28">
        <f t="shared" si="120"/>
        <v>3.5548184716220559E-2</v>
      </c>
      <c r="R7481" s="33">
        <v>0.16282860775771735</v>
      </c>
      <c r="S7481" s="34">
        <v>3.85E-2</v>
      </c>
    </row>
    <row r="7482" spans="16:19" x14ac:dyDescent="0.25">
      <c r="P7482" s="27">
        <v>3.2548184716220556E-2</v>
      </c>
      <c r="Q7482" s="28">
        <f t="shared" si="120"/>
        <v>3.5548184716220559E-2</v>
      </c>
      <c r="R7482" s="33">
        <v>0.16282860775771735</v>
      </c>
      <c r="S7482" s="34">
        <v>3.85E-2</v>
      </c>
    </row>
    <row r="7483" spans="16:19" x14ac:dyDescent="0.25">
      <c r="P7483" s="27">
        <v>3.2548184716220556E-2</v>
      </c>
      <c r="Q7483" s="28">
        <f t="shared" si="120"/>
        <v>3.5548184716220559E-2</v>
      </c>
      <c r="R7483" s="33">
        <v>0.16282860775771735</v>
      </c>
      <c r="S7483" s="34">
        <v>4.3529999999999999E-2</v>
      </c>
    </row>
    <row r="7484" spans="16:19" x14ac:dyDescent="0.25">
      <c r="P7484" s="27">
        <v>3.2548184716220556E-2</v>
      </c>
      <c r="Q7484" s="28">
        <f t="shared" si="120"/>
        <v>3.5548184716220559E-2</v>
      </c>
      <c r="R7484" s="33">
        <v>0.16282860775771735</v>
      </c>
      <c r="S7484" s="34">
        <v>5.4140000000000001E-2</v>
      </c>
    </row>
    <row r="7485" spans="16:19" x14ac:dyDescent="0.25">
      <c r="P7485" s="27">
        <v>3.2548184716220556E-2</v>
      </c>
      <c r="Q7485" s="28">
        <f t="shared" si="120"/>
        <v>3.5548184716220559E-2</v>
      </c>
      <c r="R7485" s="33">
        <v>0.16282860775771735</v>
      </c>
      <c r="S7485" s="34">
        <v>7.4340000000000003E-2</v>
      </c>
    </row>
    <row r="7486" spans="16:19" x14ac:dyDescent="0.25">
      <c r="P7486" s="27">
        <v>3.2548184716220556E-2</v>
      </c>
      <c r="Q7486" s="28">
        <f t="shared" si="120"/>
        <v>3.5548184716220559E-2</v>
      </c>
      <c r="R7486" s="33">
        <v>0.16282860775771735</v>
      </c>
      <c r="S7486" s="34">
        <v>7.5200000000000003E-2</v>
      </c>
    </row>
    <row r="7487" spans="16:19" x14ac:dyDescent="0.25">
      <c r="P7487" s="27">
        <v>3.2548184716220556E-2</v>
      </c>
      <c r="Q7487" s="28">
        <f t="shared" si="120"/>
        <v>3.5548184716220559E-2</v>
      </c>
      <c r="R7487" s="31">
        <v>0.15939660775771733</v>
      </c>
      <c r="S7487" s="32">
        <v>6.898E-2</v>
      </c>
    </row>
    <row r="7488" spans="16:19" x14ac:dyDescent="0.25">
      <c r="P7488" s="27">
        <v>3.2548184716220556E-2</v>
      </c>
      <c r="Q7488" s="28">
        <f t="shared" si="120"/>
        <v>3.5548184716220559E-2</v>
      </c>
      <c r="R7488" s="31">
        <v>0.15939660775771733</v>
      </c>
      <c r="S7488" s="32">
        <v>5.8400000000000001E-2</v>
      </c>
    </row>
    <row r="7489" spans="16:19" x14ac:dyDescent="0.25">
      <c r="P7489" s="27">
        <v>3.2548184716220556E-2</v>
      </c>
      <c r="Q7489" s="28">
        <f t="shared" si="120"/>
        <v>3.5548184716220559E-2</v>
      </c>
      <c r="R7489" s="31">
        <v>0.15939660775771733</v>
      </c>
      <c r="S7489" s="32">
        <v>5.2929999999999998E-2</v>
      </c>
    </row>
    <row r="7490" spans="16:19" x14ac:dyDescent="0.25">
      <c r="P7490" s="27">
        <v>3.2548184716220556E-2</v>
      </c>
      <c r="Q7490" s="28">
        <f t="shared" si="120"/>
        <v>3.5548184716220559E-2</v>
      </c>
      <c r="R7490" s="31">
        <v>0.15939660775771733</v>
      </c>
      <c r="S7490" s="32">
        <v>5.1290000000000002E-2</v>
      </c>
    </row>
    <row r="7491" spans="16:19" x14ac:dyDescent="0.25">
      <c r="P7491" s="27">
        <v>3.2548184716220556E-2</v>
      </c>
      <c r="Q7491" s="28">
        <f t="shared" si="120"/>
        <v>3.5548184716220559E-2</v>
      </c>
      <c r="R7491" s="29">
        <v>0.15003660775771735</v>
      </c>
      <c r="S7491" s="30">
        <v>4.2900000000000001E-2</v>
      </c>
    </row>
    <row r="7492" spans="16:19" x14ac:dyDescent="0.25">
      <c r="P7492" s="27">
        <v>3.2548184716220556E-2</v>
      </c>
      <c r="Q7492" s="28">
        <f t="shared" si="120"/>
        <v>3.5548184716220559E-2</v>
      </c>
      <c r="R7492" s="29">
        <v>0.15003660775771735</v>
      </c>
      <c r="S7492" s="30">
        <v>3.9310000000000005E-2</v>
      </c>
    </row>
    <row r="7493" spans="16:19" x14ac:dyDescent="0.25">
      <c r="P7493" s="27">
        <v>3.2548184716220556E-2</v>
      </c>
      <c r="Q7493" s="28">
        <f t="shared" ref="Q7493:Q7556" si="121">P7493+0.003</f>
        <v>3.5548184716220559E-2</v>
      </c>
      <c r="R7493" s="29">
        <v>0.15003660775771735</v>
      </c>
      <c r="S7493" s="30">
        <v>2.8979999999999999E-2</v>
      </c>
    </row>
    <row r="7494" spans="16:19" x14ac:dyDescent="0.25">
      <c r="P7494" s="27">
        <v>3.2548184716220556E-2</v>
      </c>
      <c r="Q7494" s="28">
        <f t="shared" si="121"/>
        <v>3.5548184716220559E-2</v>
      </c>
      <c r="R7494" s="29">
        <v>0.15003660775771735</v>
      </c>
      <c r="S7494" s="30">
        <v>2.1999999999999999E-2</v>
      </c>
    </row>
    <row r="7495" spans="16:19" x14ac:dyDescent="0.25">
      <c r="P7495" s="27">
        <v>3.2548184716220556E-2</v>
      </c>
      <c r="Q7495" s="28">
        <f t="shared" si="121"/>
        <v>3.5548184716220559E-2</v>
      </c>
      <c r="R7495" s="29">
        <v>0.15003660775771735</v>
      </c>
      <c r="S7495" s="30">
        <v>1.7739999999999999E-2</v>
      </c>
    </row>
    <row r="7496" spans="16:19" x14ac:dyDescent="0.25">
      <c r="P7496" s="27">
        <v>3.2548184716220556E-2</v>
      </c>
      <c r="Q7496" s="28">
        <f t="shared" si="121"/>
        <v>3.5548184716220559E-2</v>
      </c>
      <c r="R7496" s="29">
        <v>0.15003660775771735</v>
      </c>
      <c r="S7496" s="30">
        <v>1.7000000000000001E-2</v>
      </c>
    </row>
    <row r="7497" spans="16:19" x14ac:dyDescent="0.25">
      <c r="P7497" s="27">
        <v>3.2548184716220556E-2</v>
      </c>
      <c r="Q7497" s="28">
        <f t="shared" si="121"/>
        <v>3.5548184716220559E-2</v>
      </c>
      <c r="R7497" s="29">
        <v>0.15003660775771735</v>
      </c>
      <c r="S7497" s="30">
        <v>2.0660000000000001E-2</v>
      </c>
    </row>
    <row r="7498" spans="16:19" x14ac:dyDescent="0.25">
      <c r="P7498" s="27">
        <v>3.2548184716220556E-2</v>
      </c>
      <c r="Q7498" s="28">
        <f t="shared" si="121"/>
        <v>3.5548184716220559E-2</v>
      </c>
      <c r="R7498" s="29">
        <v>0.15003660775771735</v>
      </c>
      <c r="S7498" s="30">
        <v>2.12E-2</v>
      </c>
    </row>
    <row r="7499" spans="16:19" x14ac:dyDescent="0.25">
      <c r="P7499" s="27">
        <v>3.2548184716220556E-2</v>
      </c>
      <c r="Q7499" s="28">
        <f t="shared" si="121"/>
        <v>3.5548184716220559E-2</v>
      </c>
      <c r="R7499" s="31">
        <v>0.15939660775771733</v>
      </c>
      <c r="S7499" s="32">
        <v>2.4570000000000002E-2</v>
      </c>
    </row>
    <row r="7500" spans="16:19" x14ac:dyDescent="0.25">
      <c r="P7500" s="27">
        <v>3.2548184716220556E-2</v>
      </c>
      <c r="Q7500" s="28">
        <f t="shared" si="121"/>
        <v>3.5548184716220559E-2</v>
      </c>
      <c r="R7500" s="33">
        <v>0.16282860775771735</v>
      </c>
      <c r="S7500" s="34">
        <v>3.4549999999999997E-2</v>
      </c>
    </row>
    <row r="7501" spans="16:19" x14ac:dyDescent="0.25">
      <c r="P7501" s="27">
        <v>3.2548184716220556E-2</v>
      </c>
      <c r="Q7501" s="28">
        <f t="shared" si="121"/>
        <v>3.5548184716220559E-2</v>
      </c>
      <c r="R7501" s="33">
        <v>0.16282860775771735</v>
      </c>
      <c r="S7501" s="34">
        <v>3.4840000000000003E-2</v>
      </c>
    </row>
    <row r="7502" spans="16:19" x14ac:dyDescent="0.25">
      <c r="P7502" s="27">
        <v>3.2548184716220556E-2</v>
      </c>
      <c r="Q7502" s="28">
        <f t="shared" si="121"/>
        <v>3.5548184716220559E-2</v>
      </c>
      <c r="R7502" s="33">
        <v>0.16282860775771735</v>
      </c>
      <c r="S7502" s="34">
        <v>3.5999999999999997E-2</v>
      </c>
    </row>
    <row r="7503" spans="16:19" x14ac:dyDescent="0.25">
      <c r="P7503" s="27">
        <v>3.2548184716220556E-2</v>
      </c>
      <c r="Q7503" s="28">
        <f t="shared" si="121"/>
        <v>3.5548184716220559E-2</v>
      </c>
      <c r="R7503" s="33">
        <v>0.16282860775771735</v>
      </c>
      <c r="S7503" s="34">
        <v>3.5869999999999999E-2</v>
      </c>
    </row>
    <row r="7504" spans="16:19" x14ac:dyDescent="0.25">
      <c r="P7504" s="27">
        <v>3.2548184716220556E-2</v>
      </c>
      <c r="Q7504" s="28">
        <f t="shared" si="121"/>
        <v>3.5548184716220559E-2</v>
      </c>
      <c r="R7504" s="33">
        <v>0.16282860775771735</v>
      </c>
      <c r="S7504" s="34">
        <v>3.5869999999999999E-2</v>
      </c>
    </row>
    <row r="7505" spans="16:19" x14ac:dyDescent="0.25">
      <c r="P7505" s="27">
        <v>3.2548184716220556E-2</v>
      </c>
      <c r="Q7505" s="28">
        <f t="shared" si="121"/>
        <v>3.5548184716220559E-2</v>
      </c>
      <c r="R7505" s="33">
        <v>0.16282860775771735</v>
      </c>
      <c r="S7505" s="34">
        <v>3.3159999999999995E-2</v>
      </c>
    </row>
    <row r="7506" spans="16:19" x14ac:dyDescent="0.25">
      <c r="P7506" s="27">
        <v>3.2548184716220556E-2</v>
      </c>
      <c r="Q7506" s="28">
        <f t="shared" si="121"/>
        <v>3.5548184716220559E-2</v>
      </c>
      <c r="R7506" s="33">
        <v>0.16282860775771735</v>
      </c>
      <c r="S7506" s="34">
        <v>3.0600000000000002E-2</v>
      </c>
    </row>
    <row r="7507" spans="16:19" x14ac:dyDescent="0.25">
      <c r="P7507" s="27">
        <v>3.2548184716220556E-2</v>
      </c>
      <c r="Q7507" s="28">
        <f t="shared" si="121"/>
        <v>3.5548184716220559E-2</v>
      </c>
      <c r="R7507" s="33">
        <v>0.16282860775771735</v>
      </c>
      <c r="S7507" s="34">
        <v>3.5499999999999997E-2</v>
      </c>
    </row>
    <row r="7508" spans="16:19" x14ac:dyDescent="0.25">
      <c r="P7508" s="27">
        <v>3.2548184716220556E-2</v>
      </c>
      <c r="Q7508" s="28">
        <f t="shared" si="121"/>
        <v>3.5548184716220559E-2</v>
      </c>
      <c r="R7508" s="33">
        <v>0.16282860775771735</v>
      </c>
      <c r="S7508" s="34">
        <v>3.7870000000000001E-2</v>
      </c>
    </row>
    <row r="7509" spans="16:19" x14ac:dyDescent="0.25">
      <c r="P7509" s="27">
        <v>3.2548184716220556E-2</v>
      </c>
      <c r="Q7509" s="28">
        <f t="shared" si="121"/>
        <v>3.5548184716220559E-2</v>
      </c>
      <c r="R7509" s="33">
        <v>0.16282860775771735</v>
      </c>
      <c r="S7509" s="34">
        <v>6.2429999999999999E-2</v>
      </c>
    </row>
    <row r="7510" spans="16:19" x14ac:dyDescent="0.25">
      <c r="P7510" s="27">
        <v>3.2548184716220556E-2</v>
      </c>
      <c r="Q7510" s="28">
        <f t="shared" si="121"/>
        <v>3.5548184716220559E-2</v>
      </c>
      <c r="R7510" s="33">
        <v>0.16282860775771735</v>
      </c>
      <c r="S7510" s="34">
        <v>6.1210000000000001E-2</v>
      </c>
    </row>
    <row r="7511" spans="16:19" x14ac:dyDescent="0.25">
      <c r="P7511" s="27">
        <v>3.2548184716220556E-2</v>
      </c>
      <c r="Q7511" s="28">
        <f t="shared" si="121"/>
        <v>3.5548184716220559E-2</v>
      </c>
      <c r="R7511" s="31">
        <v>0.15939660775771733</v>
      </c>
      <c r="S7511" s="32">
        <v>6.1210000000000001E-2</v>
      </c>
    </row>
    <row r="7512" spans="16:19" x14ac:dyDescent="0.25">
      <c r="P7512" s="27">
        <v>3.2548184716220556E-2</v>
      </c>
      <c r="Q7512" s="28">
        <f t="shared" si="121"/>
        <v>3.5548184716220559E-2</v>
      </c>
      <c r="R7512" s="31">
        <v>0.15939660775771733</v>
      </c>
      <c r="S7512" s="32">
        <v>5.5659999999999994E-2</v>
      </c>
    </row>
    <row r="7513" spans="16:19" x14ac:dyDescent="0.25">
      <c r="P7513" s="27">
        <v>3.2548184716220556E-2</v>
      </c>
      <c r="Q7513" s="28">
        <f t="shared" si="121"/>
        <v>3.5548184716220559E-2</v>
      </c>
      <c r="R7513" s="31">
        <v>0.15939660775771733</v>
      </c>
      <c r="S7513" s="32">
        <v>5.2420000000000001E-2</v>
      </c>
    </row>
    <row r="7514" spans="16:19" x14ac:dyDescent="0.25">
      <c r="P7514" s="27">
        <v>3.2548184716220556E-2</v>
      </c>
      <c r="Q7514" s="28">
        <f t="shared" si="121"/>
        <v>3.5548184716220559E-2</v>
      </c>
      <c r="R7514" s="31">
        <v>0.15939660775771733</v>
      </c>
      <c r="S7514" s="32">
        <v>4.3900000000000002E-2</v>
      </c>
    </row>
    <row r="7515" spans="16:19" x14ac:dyDescent="0.25">
      <c r="P7515" s="27">
        <v>3.2548184716220556E-2</v>
      </c>
      <c r="Q7515" s="28">
        <f t="shared" si="121"/>
        <v>3.5548184716220559E-2</v>
      </c>
      <c r="R7515" s="29">
        <v>0.15003660775771735</v>
      </c>
      <c r="S7515" s="30">
        <v>3.7499999999999999E-2</v>
      </c>
    </row>
    <row r="7516" spans="16:19" x14ac:dyDescent="0.25">
      <c r="P7516" s="27">
        <v>3.2548184716220556E-2</v>
      </c>
      <c r="Q7516" s="28">
        <f t="shared" si="121"/>
        <v>3.5548184716220559E-2</v>
      </c>
      <c r="R7516" s="29">
        <v>0.15003660775771735</v>
      </c>
      <c r="S7516" s="30">
        <v>3.2566390000000001E-2</v>
      </c>
    </row>
    <row r="7517" spans="16:19" x14ac:dyDescent="0.25">
      <c r="P7517" s="27">
        <v>3.2548184716220556E-2</v>
      </c>
      <c r="Q7517" s="28">
        <f t="shared" si="121"/>
        <v>3.5548184716220559E-2</v>
      </c>
      <c r="R7517" s="29">
        <v>0.15003660775771735</v>
      </c>
      <c r="S7517" s="30">
        <v>2.5000000000000001E-2</v>
      </c>
    </row>
    <row r="7518" spans="16:19" x14ac:dyDescent="0.25">
      <c r="P7518" s="27">
        <v>3.2548184716220556E-2</v>
      </c>
      <c r="Q7518" s="28">
        <f t="shared" si="121"/>
        <v>3.5548184716220559E-2</v>
      </c>
      <c r="R7518" s="29">
        <v>0.15003660775771735</v>
      </c>
      <c r="S7518" s="30">
        <v>0.02</v>
      </c>
    </row>
    <row r="7519" spans="16:19" x14ac:dyDescent="0.25">
      <c r="P7519" s="27">
        <v>3.2548184716220556E-2</v>
      </c>
      <c r="Q7519" s="28">
        <f t="shared" si="121"/>
        <v>3.5548184716220559E-2</v>
      </c>
      <c r="R7519" s="29">
        <v>0.15003660775771735</v>
      </c>
      <c r="S7519" s="30">
        <v>1.7260000000000001E-2</v>
      </c>
    </row>
    <row r="7520" spans="16:19" x14ac:dyDescent="0.25">
      <c r="P7520" s="27">
        <v>3.2548184716220556E-2</v>
      </c>
      <c r="Q7520" s="28">
        <f t="shared" si="121"/>
        <v>3.5548184716220559E-2</v>
      </c>
      <c r="R7520" s="29">
        <v>0.15003660775771735</v>
      </c>
      <c r="S7520" s="30">
        <v>1.9100000000000002E-2</v>
      </c>
    </row>
    <row r="7521" spans="16:19" x14ac:dyDescent="0.25">
      <c r="P7521" s="27">
        <v>3.2548184716220556E-2</v>
      </c>
      <c r="Q7521" s="28">
        <f t="shared" si="121"/>
        <v>3.5548184716220559E-2</v>
      </c>
      <c r="R7521" s="29">
        <v>0.15003660775771735</v>
      </c>
      <c r="S7521" s="30">
        <v>2.8649999999999998E-2</v>
      </c>
    </row>
    <row r="7522" spans="16:19" x14ac:dyDescent="0.25">
      <c r="P7522" s="27">
        <v>3.2548184716220556E-2</v>
      </c>
      <c r="Q7522" s="28">
        <f t="shared" si="121"/>
        <v>3.5548184716220559E-2</v>
      </c>
      <c r="R7522" s="29">
        <v>0.15003660775771735</v>
      </c>
      <c r="S7522" s="30">
        <v>4.913E-2</v>
      </c>
    </row>
    <row r="7523" spans="16:19" x14ac:dyDescent="0.25">
      <c r="P7523" s="27">
        <v>3.2548184716220556E-2</v>
      </c>
      <c r="Q7523" s="28">
        <f t="shared" si="121"/>
        <v>3.5548184716220559E-2</v>
      </c>
      <c r="R7523" s="31">
        <v>0.15939999999999999</v>
      </c>
      <c r="S7523" s="32">
        <v>5.6750000000000002E-2</v>
      </c>
    </row>
    <row r="7524" spans="16:19" x14ac:dyDescent="0.25">
      <c r="P7524" s="27">
        <v>3.2548184716220556E-2</v>
      </c>
      <c r="Q7524" s="28">
        <f t="shared" si="121"/>
        <v>3.5548184716220559E-2</v>
      </c>
      <c r="R7524" s="31">
        <v>0.15939999999999999</v>
      </c>
      <c r="S7524" s="32">
        <v>6.5189999999999998E-2</v>
      </c>
    </row>
    <row r="7525" spans="16:19" x14ac:dyDescent="0.25">
      <c r="P7525" s="27">
        <v>3.2548184716220556E-2</v>
      </c>
      <c r="Q7525" s="28">
        <f t="shared" si="121"/>
        <v>3.5548184716220559E-2</v>
      </c>
      <c r="R7525" s="31">
        <v>0.15939999999999999</v>
      </c>
      <c r="S7525" s="32">
        <v>6.656999999999999E-2</v>
      </c>
    </row>
    <row r="7526" spans="16:19" x14ac:dyDescent="0.25">
      <c r="P7526" s="27">
        <v>3.2548184716220556E-2</v>
      </c>
      <c r="Q7526" s="28">
        <f t="shared" si="121"/>
        <v>3.5548184716220559E-2</v>
      </c>
      <c r="R7526" s="31">
        <v>0.15939999999999999</v>
      </c>
      <c r="S7526" s="32">
        <v>6.166E-2</v>
      </c>
    </row>
    <row r="7527" spans="16:19" x14ac:dyDescent="0.25">
      <c r="P7527" s="27">
        <v>3.2548184716220556E-2</v>
      </c>
      <c r="Q7527" s="28">
        <f t="shared" si="121"/>
        <v>3.5548184716220559E-2</v>
      </c>
      <c r="R7527" s="31">
        <v>0.15939999999999999</v>
      </c>
      <c r="S7527" s="32">
        <v>6.2960000000000002E-2</v>
      </c>
    </row>
    <row r="7528" spans="16:19" x14ac:dyDescent="0.25">
      <c r="P7528" s="27">
        <v>3.2548184716220556E-2</v>
      </c>
      <c r="Q7528" s="28">
        <f t="shared" si="121"/>
        <v>3.5548184716220559E-2</v>
      </c>
      <c r="R7528" s="31">
        <v>0.15939999999999999</v>
      </c>
      <c r="S7528" s="32">
        <v>5.8549999999999998E-2</v>
      </c>
    </row>
    <row r="7529" spans="16:19" x14ac:dyDescent="0.25">
      <c r="P7529" s="27">
        <v>3.2548184716220556E-2</v>
      </c>
      <c r="Q7529" s="28">
        <f t="shared" si="121"/>
        <v>3.5548184716220559E-2</v>
      </c>
      <c r="R7529" s="31">
        <v>0.15939999999999999</v>
      </c>
      <c r="S7529" s="32">
        <v>5.595E-2</v>
      </c>
    </row>
    <row r="7530" spans="16:19" x14ac:dyDescent="0.25">
      <c r="P7530" s="27">
        <v>3.2548184716220556E-2</v>
      </c>
      <c r="Q7530" s="28">
        <f t="shared" si="121"/>
        <v>3.5548184716220559E-2</v>
      </c>
      <c r="R7530" s="31">
        <v>0.15939999999999999</v>
      </c>
      <c r="S7530" s="32">
        <v>6.4989999999999992E-2</v>
      </c>
    </row>
    <row r="7531" spans="16:19" x14ac:dyDescent="0.25">
      <c r="P7531" s="27">
        <v>3.2548184716220556E-2</v>
      </c>
      <c r="Q7531" s="28">
        <f t="shared" si="121"/>
        <v>3.5548184716220559E-2</v>
      </c>
      <c r="R7531" s="31">
        <v>0.15939999999999999</v>
      </c>
      <c r="S7531" s="32">
        <v>7.4990000000000001E-2</v>
      </c>
    </row>
    <row r="7532" spans="16:19" x14ac:dyDescent="0.25">
      <c r="P7532" s="27">
        <v>3.2548184716220556E-2</v>
      </c>
      <c r="Q7532" s="28">
        <f t="shared" si="121"/>
        <v>3.5548184716220559E-2</v>
      </c>
      <c r="R7532" s="31">
        <v>0.15939999999999999</v>
      </c>
      <c r="S7532" s="32">
        <v>8.2299999999999998E-2</v>
      </c>
    </row>
    <row r="7533" spans="16:19" x14ac:dyDescent="0.25">
      <c r="P7533" s="27">
        <v>3.2548184716220556E-2</v>
      </c>
      <c r="Q7533" s="28">
        <f t="shared" si="121"/>
        <v>3.5548184716220559E-2</v>
      </c>
      <c r="R7533" s="31">
        <v>0.15939999999999999</v>
      </c>
      <c r="S7533" s="32">
        <v>0.14502999999999999</v>
      </c>
    </row>
    <row r="7534" spans="16:19" x14ac:dyDescent="0.25">
      <c r="P7534" s="27">
        <v>3.2548184716220556E-2</v>
      </c>
      <c r="Q7534" s="28">
        <f t="shared" si="121"/>
        <v>3.5548184716220559E-2</v>
      </c>
      <c r="R7534" s="31">
        <v>0.15939999999999999</v>
      </c>
      <c r="S7534" s="32">
        <v>0.10942023299999999</v>
      </c>
    </row>
    <row r="7535" spans="16:19" x14ac:dyDescent="0.25">
      <c r="P7535" s="27">
        <v>3.2548184716220556E-2</v>
      </c>
      <c r="Q7535" s="28">
        <f t="shared" si="121"/>
        <v>3.5548184716220559E-2</v>
      </c>
      <c r="R7535" s="31">
        <v>0.15939999999999999</v>
      </c>
      <c r="S7535" s="32">
        <v>8.2000000000000003E-2</v>
      </c>
    </row>
    <row r="7536" spans="16:19" x14ac:dyDescent="0.25">
      <c r="P7536" s="27">
        <v>3.2548184716220556E-2</v>
      </c>
      <c r="Q7536" s="28">
        <f t="shared" si="121"/>
        <v>3.5548184716220559E-2</v>
      </c>
      <c r="R7536" s="31">
        <v>0.15939999999999999</v>
      </c>
      <c r="S7536" s="32">
        <v>6.7989999999999995E-2</v>
      </c>
    </row>
    <row r="7537" spans="16:19" x14ac:dyDescent="0.25">
      <c r="P7537" s="27">
        <v>3.2548184716220556E-2</v>
      </c>
      <c r="Q7537" s="28">
        <f t="shared" si="121"/>
        <v>3.5548184716220559E-2</v>
      </c>
      <c r="R7537" s="31">
        <v>0.15939999999999999</v>
      </c>
      <c r="S7537" s="32">
        <v>5.5990000000000005E-2</v>
      </c>
    </row>
    <row r="7538" spans="16:19" x14ac:dyDescent="0.25">
      <c r="P7538" s="27">
        <v>3.2548184716220556E-2</v>
      </c>
      <c r="Q7538" s="28">
        <f t="shared" si="121"/>
        <v>3.5548184716220559E-2</v>
      </c>
      <c r="R7538" s="31">
        <v>0.15939999999999999</v>
      </c>
      <c r="S7538" s="32">
        <v>5.5020000000000006E-2</v>
      </c>
    </row>
    <row r="7539" spans="16:19" x14ac:dyDescent="0.25">
      <c r="P7539" s="27">
        <v>3.2548184716220556E-2</v>
      </c>
      <c r="Q7539" s="28">
        <f t="shared" si="121"/>
        <v>3.5548184716220559E-2</v>
      </c>
      <c r="R7539" s="29">
        <v>0.15</v>
      </c>
      <c r="S7539" s="30">
        <v>5.0990000000000001E-2</v>
      </c>
    </row>
    <row r="7540" spans="16:19" x14ac:dyDescent="0.25">
      <c r="P7540" s="27">
        <v>3.2548184716220556E-2</v>
      </c>
      <c r="Q7540" s="28">
        <f t="shared" si="121"/>
        <v>3.5548184716220559E-2</v>
      </c>
      <c r="R7540" s="29">
        <v>0.15</v>
      </c>
      <c r="S7540" s="30">
        <v>4.5999999999999999E-2</v>
      </c>
    </row>
    <row r="7541" spans="16:19" x14ac:dyDescent="0.25">
      <c r="P7541" s="27">
        <v>3.2548184716220556E-2</v>
      </c>
      <c r="Q7541" s="28">
        <f t="shared" si="121"/>
        <v>3.5548184716220559E-2</v>
      </c>
      <c r="R7541" s="29">
        <v>0.15</v>
      </c>
      <c r="S7541" s="30">
        <v>3.5869999999999999E-2</v>
      </c>
    </row>
    <row r="7542" spans="16:19" x14ac:dyDescent="0.25">
      <c r="P7542" s="27">
        <v>3.2548184716220556E-2</v>
      </c>
      <c r="Q7542" s="28">
        <f t="shared" si="121"/>
        <v>3.5548184716220559E-2</v>
      </c>
      <c r="R7542" s="29">
        <v>0.15</v>
      </c>
      <c r="S7542" s="30">
        <v>3.3923592999999995E-2</v>
      </c>
    </row>
    <row r="7543" spans="16:19" x14ac:dyDescent="0.25">
      <c r="P7543" s="27">
        <v>3.2548184716220556E-2</v>
      </c>
      <c r="Q7543" s="28">
        <f t="shared" si="121"/>
        <v>3.5548184716220559E-2</v>
      </c>
      <c r="R7543" s="29">
        <v>0.15</v>
      </c>
      <c r="S7543" s="30">
        <v>2.767E-2</v>
      </c>
    </row>
    <row r="7544" spans="16:19" x14ac:dyDescent="0.25">
      <c r="P7544" s="27">
        <v>3.2548184716220556E-2</v>
      </c>
      <c r="Q7544" s="28">
        <f t="shared" si="121"/>
        <v>3.5548184716220559E-2</v>
      </c>
      <c r="R7544" s="29">
        <v>0.15</v>
      </c>
      <c r="S7544" s="30">
        <v>3.1866119999999998E-2</v>
      </c>
    </row>
    <row r="7545" spans="16:19" x14ac:dyDescent="0.25">
      <c r="P7545" s="27">
        <v>3.2548184716220556E-2</v>
      </c>
      <c r="Q7545" s="28">
        <f t="shared" si="121"/>
        <v>3.5548184716220559E-2</v>
      </c>
      <c r="R7545" s="29">
        <v>0.15</v>
      </c>
      <c r="S7545" s="30">
        <v>3.6499999999999998E-2</v>
      </c>
    </row>
    <row r="7546" spans="16:19" x14ac:dyDescent="0.25">
      <c r="P7546" s="27">
        <v>3.2548184716220556E-2</v>
      </c>
      <c r="Q7546" s="28">
        <f t="shared" si="121"/>
        <v>3.5548184716220559E-2</v>
      </c>
      <c r="R7546" s="29">
        <v>0.15</v>
      </c>
      <c r="S7546" s="30">
        <v>5.5641233999999998E-2</v>
      </c>
    </row>
    <row r="7547" spans="16:19" x14ac:dyDescent="0.25">
      <c r="P7547" s="27">
        <v>3.2548184716220556E-2</v>
      </c>
      <c r="Q7547" s="28">
        <f t="shared" si="121"/>
        <v>3.5548184716220559E-2</v>
      </c>
      <c r="R7547" s="29">
        <v>0.15</v>
      </c>
      <c r="S7547" s="30">
        <v>5.9279999999999999E-2</v>
      </c>
    </row>
    <row r="7548" spans="16:19" x14ac:dyDescent="0.25">
      <c r="P7548" s="27">
        <v>3.2548184716220556E-2</v>
      </c>
      <c r="Q7548" s="28">
        <f t="shared" si="121"/>
        <v>3.5548184716220559E-2</v>
      </c>
      <c r="R7548" s="29">
        <v>0.15</v>
      </c>
      <c r="S7548" s="30">
        <v>6.6989999999999994E-2</v>
      </c>
    </row>
    <row r="7549" spans="16:19" x14ac:dyDescent="0.25">
      <c r="P7549" s="27">
        <v>3.2548184716220556E-2</v>
      </c>
      <c r="Q7549" s="28">
        <f t="shared" si="121"/>
        <v>3.5548184716220559E-2</v>
      </c>
      <c r="R7549" s="29">
        <v>0.15</v>
      </c>
      <c r="S7549" s="30">
        <v>6.5200000000000008E-2</v>
      </c>
    </row>
    <row r="7550" spans="16:19" x14ac:dyDescent="0.25">
      <c r="P7550" s="27">
        <v>3.2548184716220556E-2</v>
      </c>
      <c r="Q7550" s="28">
        <f t="shared" si="121"/>
        <v>3.5548184716220559E-2</v>
      </c>
      <c r="R7550" s="29">
        <v>0.15</v>
      </c>
      <c r="S7550" s="30">
        <v>6.166E-2</v>
      </c>
    </row>
    <row r="7551" spans="16:19" x14ac:dyDescent="0.25">
      <c r="P7551" s="27">
        <v>3.2548184716220556E-2</v>
      </c>
      <c r="Q7551" s="28">
        <f t="shared" si="121"/>
        <v>3.5548184716220559E-2</v>
      </c>
      <c r="R7551" s="29">
        <v>0.15</v>
      </c>
      <c r="S7551" s="30">
        <v>6.2460000000000002E-2</v>
      </c>
    </row>
    <row r="7552" spans="16:19" x14ac:dyDescent="0.25">
      <c r="P7552" s="27">
        <v>3.2548184716220556E-2</v>
      </c>
      <c r="Q7552" s="28">
        <f t="shared" si="121"/>
        <v>3.5548184716220559E-2</v>
      </c>
      <c r="R7552" s="29">
        <v>0.15</v>
      </c>
      <c r="S7552" s="30">
        <v>5.6799999999999996E-2</v>
      </c>
    </row>
    <row r="7553" spans="16:19" x14ac:dyDescent="0.25">
      <c r="P7553" s="27">
        <v>3.2548184716220556E-2</v>
      </c>
      <c r="Q7553" s="28">
        <f t="shared" si="121"/>
        <v>3.5548184716220559E-2</v>
      </c>
      <c r="R7553" s="29">
        <v>0.15</v>
      </c>
      <c r="S7553" s="30">
        <v>5.5409999999999994E-2</v>
      </c>
    </row>
    <row r="7554" spans="16:19" x14ac:dyDescent="0.25">
      <c r="P7554" s="27">
        <v>3.2548184716220556E-2</v>
      </c>
      <c r="Q7554" s="28">
        <f t="shared" si="121"/>
        <v>3.5548184716220559E-2</v>
      </c>
      <c r="R7554" s="29">
        <v>0.15</v>
      </c>
      <c r="S7554" s="30">
        <v>6.0999999999999999E-2</v>
      </c>
    </row>
    <row r="7555" spans="16:19" x14ac:dyDescent="0.25">
      <c r="P7555" s="27">
        <v>3.2548184716220556E-2</v>
      </c>
      <c r="Q7555" s="28">
        <f t="shared" si="121"/>
        <v>3.5548184716220559E-2</v>
      </c>
      <c r="R7555" s="29">
        <v>0.15</v>
      </c>
      <c r="S7555" s="30">
        <v>6.7989999999999995E-2</v>
      </c>
    </row>
    <row r="7556" spans="16:19" x14ac:dyDescent="0.25">
      <c r="P7556" s="27">
        <v>3.2548184716220556E-2</v>
      </c>
      <c r="Q7556" s="28">
        <f t="shared" si="121"/>
        <v>3.5548184716220559E-2</v>
      </c>
      <c r="R7556" s="29">
        <v>0.15</v>
      </c>
      <c r="S7556" s="30">
        <v>7.4630000000000002E-2</v>
      </c>
    </row>
    <row r="7557" spans="16:19" x14ac:dyDescent="0.25">
      <c r="P7557" s="27">
        <v>3.2548184716220556E-2</v>
      </c>
      <c r="Q7557" s="28">
        <f t="shared" ref="Q7557:Q7620" si="122">P7557+0.003</f>
        <v>3.5548184716220559E-2</v>
      </c>
      <c r="R7557" s="29">
        <v>0.15</v>
      </c>
      <c r="S7557" s="30">
        <v>0.14502999999999999</v>
      </c>
    </row>
    <row r="7558" spans="16:19" x14ac:dyDescent="0.25">
      <c r="P7558" s="27">
        <v>3.2548184716220556E-2</v>
      </c>
      <c r="Q7558" s="28">
        <f t="shared" si="122"/>
        <v>3.5548184716220559E-2</v>
      </c>
      <c r="R7558" s="29">
        <v>0.15</v>
      </c>
      <c r="S7558" s="30">
        <v>9.398999999999999E-2</v>
      </c>
    </row>
    <row r="7559" spans="16:19" x14ac:dyDescent="0.25">
      <c r="P7559" s="27">
        <v>3.2548184716220556E-2</v>
      </c>
      <c r="Q7559" s="28">
        <f t="shared" si="122"/>
        <v>3.5548184716220559E-2</v>
      </c>
      <c r="R7559" s="29">
        <v>0.15</v>
      </c>
      <c r="S7559" s="30">
        <v>7.1709999999999996E-2</v>
      </c>
    </row>
    <row r="7560" spans="16:19" x14ac:dyDescent="0.25">
      <c r="P7560" s="27">
        <v>3.2548184716220556E-2</v>
      </c>
      <c r="Q7560" s="28">
        <f t="shared" si="122"/>
        <v>3.5548184716220559E-2</v>
      </c>
      <c r="R7560" s="29">
        <v>0.15</v>
      </c>
      <c r="S7560" s="30">
        <v>6.1120000000000001E-2</v>
      </c>
    </row>
    <row r="7561" spans="16:19" x14ac:dyDescent="0.25">
      <c r="P7561" s="27">
        <v>3.2548184716220556E-2</v>
      </c>
      <c r="Q7561" s="28">
        <f t="shared" si="122"/>
        <v>3.5548184716220559E-2</v>
      </c>
      <c r="R7561" s="29">
        <v>0.15</v>
      </c>
      <c r="S7561" s="30">
        <v>5.5149999999999998E-2</v>
      </c>
    </row>
    <row r="7562" spans="16:19" x14ac:dyDescent="0.25">
      <c r="P7562" s="27">
        <v>3.2548184716220556E-2</v>
      </c>
      <c r="Q7562" s="28">
        <f t="shared" si="122"/>
        <v>3.5548184716220559E-2</v>
      </c>
      <c r="R7562" s="29">
        <v>0.15</v>
      </c>
      <c r="S7562" s="30">
        <v>5.2440000000000001E-2</v>
      </c>
    </row>
    <row r="7563" spans="16:19" x14ac:dyDescent="0.25">
      <c r="P7563" s="27">
        <v>3.2548184716220556E-2</v>
      </c>
      <c r="Q7563" s="28">
        <f t="shared" si="122"/>
        <v>3.5548184716220559E-2</v>
      </c>
      <c r="R7563" s="29">
        <v>0.15</v>
      </c>
      <c r="S7563" s="30">
        <v>4.7500000000000001E-2</v>
      </c>
    </row>
    <row r="7564" spans="16:19" x14ac:dyDescent="0.25">
      <c r="P7564" s="27">
        <v>3.2548184716220556E-2</v>
      </c>
      <c r="Q7564" s="28">
        <f t="shared" si="122"/>
        <v>3.5548184716220559E-2</v>
      </c>
      <c r="R7564" s="29">
        <v>0.15</v>
      </c>
      <c r="S7564" s="30">
        <v>4.0329999999999998E-2</v>
      </c>
    </row>
    <row r="7565" spans="16:19" x14ac:dyDescent="0.25">
      <c r="P7565" s="27">
        <v>3.2548184716220556E-2</v>
      </c>
      <c r="Q7565" s="28">
        <f t="shared" si="122"/>
        <v>3.5548184716220559E-2</v>
      </c>
      <c r="R7565" s="29">
        <v>0.15</v>
      </c>
      <c r="S7565" s="30">
        <v>3.5869999999999999E-2</v>
      </c>
    </row>
    <row r="7566" spans="16:19" x14ac:dyDescent="0.25">
      <c r="P7566" s="27">
        <v>3.2548184716220556E-2</v>
      </c>
      <c r="Q7566" s="28">
        <f t="shared" si="122"/>
        <v>3.5548184716220559E-2</v>
      </c>
      <c r="R7566" s="29">
        <v>0.15</v>
      </c>
      <c r="S7566" s="30">
        <v>3.5499999999999997E-2</v>
      </c>
    </row>
    <row r="7567" spans="16:19" x14ac:dyDescent="0.25">
      <c r="P7567" s="27">
        <v>3.2548184716220556E-2</v>
      </c>
      <c r="Q7567" s="28">
        <f t="shared" si="122"/>
        <v>3.5548184716220559E-2</v>
      </c>
      <c r="R7567" s="29">
        <v>0.15</v>
      </c>
      <c r="S7567" s="30">
        <v>2.41E-2</v>
      </c>
    </row>
    <row r="7568" spans="16:19" x14ac:dyDescent="0.25">
      <c r="P7568" s="27">
        <v>3.2548184716220556E-2</v>
      </c>
      <c r="Q7568" s="28">
        <f t="shared" si="122"/>
        <v>3.5548184716220559E-2</v>
      </c>
      <c r="R7568" s="29">
        <v>0.15</v>
      </c>
      <c r="S7568" s="30">
        <v>3.5000000000000003E-2</v>
      </c>
    </row>
    <row r="7569" spans="16:19" x14ac:dyDescent="0.25">
      <c r="P7569" s="27">
        <v>3.2548184716220556E-2</v>
      </c>
      <c r="Q7569" s="28">
        <f t="shared" si="122"/>
        <v>3.5548184716220559E-2</v>
      </c>
      <c r="R7569" s="29">
        <v>0.15</v>
      </c>
      <c r="S7569" s="30">
        <v>3.95E-2</v>
      </c>
    </row>
    <row r="7570" spans="16:19" x14ac:dyDescent="0.25">
      <c r="P7570" s="27">
        <v>3.2548184716220556E-2</v>
      </c>
      <c r="Q7570" s="28">
        <f t="shared" si="122"/>
        <v>3.5548184716220559E-2</v>
      </c>
      <c r="R7570" s="29">
        <v>0.15</v>
      </c>
      <c r="S7570" s="30">
        <v>5.5189999999999996E-2</v>
      </c>
    </row>
    <row r="7571" spans="16:19" x14ac:dyDescent="0.25">
      <c r="P7571" s="27">
        <v>3.2548184716220556E-2</v>
      </c>
      <c r="Q7571" s="28">
        <f t="shared" si="122"/>
        <v>3.5548184716220559E-2</v>
      </c>
      <c r="R7571" s="31">
        <v>0.15939660775771733</v>
      </c>
      <c r="S7571" s="32">
        <v>6.0179999999999997E-2</v>
      </c>
    </row>
    <row r="7572" spans="16:19" x14ac:dyDescent="0.25">
      <c r="P7572" s="27">
        <v>3.2548184716220556E-2</v>
      </c>
      <c r="Q7572" s="28">
        <f t="shared" si="122"/>
        <v>3.5548184716220559E-2</v>
      </c>
      <c r="R7572" s="33">
        <v>0.16282860775771735</v>
      </c>
      <c r="S7572" s="34">
        <v>7.0319999999999994E-2</v>
      </c>
    </row>
    <row r="7573" spans="16:19" x14ac:dyDescent="0.25">
      <c r="P7573" s="27">
        <v>3.2548184716220556E-2</v>
      </c>
      <c r="Q7573" s="28">
        <f t="shared" si="122"/>
        <v>3.5548184716220559E-2</v>
      </c>
      <c r="R7573" s="33">
        <v>0.16282860775771735</v>
      </c>
      <c r="S7573" s="34">
        <v>7.4990000000000001E-2</v>
      </c>
    </row>
    <row r="7574" spans="16:19" x14ac:dyDescent="0.25">
      <c r="P7574" s="27">
        <v>3.2548184716220556E-2</v>
      </c>
      <c r="Q7574" s="28">
        <f t="shared" si="122"/>
        <v>3.5548184716220559E-2</v>
      </c>
      <c r="R7574" s="33">
        <v>0.16282860775771735</v>
      </c>
      <c r="S7574" s="34">
        <v>6.5250000000000002E-2</v>
      </c>
    </row>
    <row r="7575" spans="16:19" x14ac:dyDescent="0.25">
      <c r="P7575" s="27">
        <v>3.2548184716220556E-2</v>
      </c>
      <c r="Q7575" s="28">
        <f t="shared" si="122"/>
        <v>3.5548184716220559E-2</v>
      </c>
      <c r="R7575" s="33">
        <v>0.16282860775771735</v>
      </c>
      <c r="S7575" s="34">
        <v>6.2109999999999999E-2</v>
      </c>
    </row>
    <row r="7576" spans="16:19" x14ac:dyDescent="0.25">
      <c r="P7576" s="27">
        <v>3.2548184716220556E-2</v>
      </c>
      <c r="Q7576" s="28">
        <f t="shared" si="122"/>
        <v>3.5548184716220559E-2</v>
      </c>
      <c r="R7576" s="33">
        <v>0.16282860775771735</v>
      </c>
      <c r="S7576" s="34">
        <v>5.67E-2</v>
      </c>
    </row>
    <row r="7577" spans="16:19" x14ac:dyDescent="0.25">
      <c r="P7577" s="27">
        <v>3.2548184716220556E-2</v>
      </c>
      <c r="Q7577" s="28">
        <f t="shared" si="122"/>
        <v>3.5548184716220559E-2</v>
      </c>
      <c r="R7577" s="33">
        <v>0.16282860775771735</v>
      </c>
      <c r="S7577" s="34">
        <v>5.67E-2</v>
      </c>
    </row>
    <row r="7578" spans="16:19" x14ac:dyDescent="0.25">
      <c r="P7578" s="27">
        <v>3.2548184716220556E-2</v>
      </c>
      <c r="Q7578" s="28">
        <f t="shared" si="122"/>
        <v>3.5548184716220559E-2</v>
      </c>
      <c r="R7578" s="33">
        <v>0.16282860775771735</v>
      </c>
      <c r="S7578" s="34">
        <v>6.3040782000000004E-2</v>
      </c>
    </row>
    <row r="7579" spans="16:19" x14ac:dyDescent="0.25">
      <c r="P7579" s="27">
        <v>3.2548184716220556E-2</v>
      </c>
      <c r="Q7579" s="28">
        <f t="shared" si="122"/>
        <v>3.5548184716220559E-2</v>
      </c>
      <c r="R7579" s="33">
        <v>0.16282860775771735</v>
      </c>
      <c r="S7579" s="34">
        <v>6.6640000000000005E-2</v>
      </c>
    </row>
    <row r="7580" spans="16:19" x14ac:dyDescent="0.25">
      <c r="P7580" s="27">
        <v>3.2548184716220556E-2</v>
      </c>
      <c r="Q7580" s="28">
        <f t="shared" si="122"/>
        <v>3.5548184716220559E-2</v>
      </c>
      <c r="R7580" s="33">
        <v>0.16282860775771735</v>
      </c>
      <c r="S7580" s="34">
        <v>7.0894842E-2</v>
      </c>
    </row>
    <row r="7581" spans="16:19" x14ac:dyDescent="0.25">
      <c r="P7581" s="27">
        <v>3.2548184716220556E-2</v>
      </c>
      <c r="Q7581" s="28">
        <f t="shared" si="122"/>
        <v>3.5548184716220559E-2</v>
      </c>
      <c r="R7581" s="33">
        <v>0.16282860775771735</v>
      </c>
      <c r="S7581" s="34">
        <v>9.2769999999999991E-2</v>
      </c>
    </row>
    <row r="7582" spans="16:19" x14ac:dyDescent="0.25">
      <c r="P7582" s="27">
        <v>3.2548184716220556E-2</v>
      </c>
      <c r="Q7582" s="28">
        <f t="shared" si="122"/>
        <v>3.5548184716220559E-2</v>
      </c>
      <c r="R7582" s="33">
        <v>0.16282860775771735</v>
      </c>
      <c r="S7582" s="34">
        <v>7.8709999999999988E-2</v>
      </c>
    </row>
    <row r="7583" spans="16:19" x14ac:dyDescent="0.25">
      <c r="P7583" s="27">
        <v>3.2548184716220556E-2</v>
      </c>
      <c r="Q7583" s="28">
        <f t="shared" si="122"/>
        <v>3.5548184716220559E-2</v>
      </c>
      <c r="R7583" s="31">
        <v>0.15939660775771733</v>
      </c>
      <c r="S7583" s="32">
        <v>6.5709999999999991E-2</v>
      </c>
    </row>
    <row r="7584" spans="16:19" x14ac:dyDescent="0.25">
      <c r="P7584" s="27">
        <v>3.2548184716220556E-2</v>
      </c>
      <c r="Q7584" s="28">
        <f t="shared" si="122"/>
        <v>3.5548184716220559E-2</v>
      </c>
      <c r="R7584" s="31">
        <v>0.15939660775771733</v>
      </c>
      <c r="S7584" s="32">
        <v>5.9990000000000002E-2</v>
      </c>
    </row>
    <row r="7585" spans="16:19" x14ac:dyDescent="0.25">
      <c r="P7585" s="27">
        <v>3.2548184716220556E-2</v>
      </c>
      <c r="Q7585" s="28">
        <f t="shared" si="122"/>
        <v>3.5548184716220559E-2</v>
      </c>
      <c r="R7585" s="31">
        <v>0.15939660775771733</v>
      </c>
      <c r="S7585" s="32">
        <v>5.3530000000000001E-2</v>
      </c>
    </row>
    <row r="7586" spans="16:19" x14ac:dyDescent="0.25">
      <c r="P7586" s="27">
        <v>3.2548184716220556E-2</v>
      </c>
      <c r="Q7586" s="28">
        <f t="shared" si="122"/>
        <v>3.5548184716220559E-2</v>
      </c>
      <c r="R7586" s="31">
        <v>0.15939660775771733</v>
      </c>
      <c r="S7586" s="32">
        <v>5.1189999999999999E-2</v>
      </c>
    </row>
    <row r="7587" spans="16:19" x14ac:dyDescent="0.25">
      <c r="P7587" s="27">
        <v>3.2548184716220556E-2</v>
      </c>
      <c r="Q7587" s="28">
        <f t="shared" si="122"/>
        <v>3.5548184716220559E-2</v>
      </c>
      <c r="R7587" s="29">
        <v>0.15003660775771735</v>
      </c>
      <c r="S7587" s="30">
        <v>4.5310000000000003E-2</v>
      </c>
    </row>
    <row r="7588" spans="16:19" x14ac:dyDescent="0.25">
      <c r="P7588" s="27">
        <v>3.2548184716220556E-2</v>
      </c>
      <c r="Q7588" s="28">
        <f t="shared" si="122"/>
        <v>3.5548184716220559E-2</v>
      </c>
      <c r="R7588" s="29">
        <v>0.15003660775771735</v>
      </c>
      <c r="S7588" s="30">
        <v>3.9539999999999999E-2</v>
      </c>
    </row>
    <row r="7589" spans="16:19" x14ac:dyDescent="0.25">
      <c r="P7589" s="27">
        <v>3.2548184716220556E-2</v>
      </c>
      <c r="Q7589" s="28">
        <f t="shared" si="122"/>
        <v>3.5548184716220559E-2</v>
      </c>
      <c r="R7589" s="29">
        <v>0.15003660775771735</v>
      </c>
      <c r="S7589" s="30">
        <v>3.5499999999999997E-2</v>
      </c>
    </row>
    <row r="7590" spans="16:19" x14ac:dyDescent="0.25">
      <c r="P7590" s="27">
        <v>3.2548184716220556E-2</v>
      </c>
      <c r="Q7590" s="28">
        <f t="shared" si="122"/>
        <v>3.5548184716220559E-2</v>
      </c>
      <c r="R7590" s="29">
        <v>0.15003660775771735</v>
      </c>
      <c r="S7590" s="30">
        <v>3.058E-2</v>
      </c>
    </row>
    <row r="7591" spans="16:19" x14ac:dyDescent="0.25">
      <c r="P7591" s="27">
        <v>3.2548184716220556E-2</v>
      </c>
      <c r="Q7591" s="28">
        <f t="shared" si="122"/>
        <v>3.5548184716220559E-2</v>
      </c>
      <c r="R7591" s="29">
        <v>0.15003660775771735</v>
      </c>
      <c r="S7591" s="30">
        <v>2.5920000000000002E-2</v>
      </c>
    </row>
    <row r="7592" spans="16:19" x14ac:dyDescent="0.25">
      <c r="P7592" s="27">
        <v>3.2548184716220556E-2</v>
      </c>
      <c r="Q7592" s="28">
        <f t="shared" si="122"/>
        <v>3.5548184716220559E-2</v>
      </c>
      <c r="R7592" s="29">
        <v>0.15003660775771735</v>
      </c>
      <c r="S7592" s="30">
        <v>2.845E-2</v>
      </c>
    </row>
    <row r="7593" spans="16:19" x14ac:dyDescent="0.25">
      <c r="P7593" s="27">
        <v>3.2548184716220556E-2</v>
      </c>
      <c r="Q7593" s="28">
        <f t="shared" si="122"/>
        <v>3.5548184716220559E-2</v>
      </c>
      <c r="R7593" s="29">
        <v>0.15003660775771735</v>
      </c>
      <c r="S7593" s="30">
        <v>3.7870000000000001E-2</v>
      </c>
    </row>
    <row r="7594" spans="16:19" x14ac:dyDescent="0.25">
      <c r="P7594" s="27">
        <v>3.2548184716220556E-2</v>
      </c>
      <c r="Q7594" s="28">
        <f t="shared" si="122"/>
        <v>3.5548184716220559E-2</v>
      </c>
      <c r="R7594" s="29">
        <v>0.15003660775771735</v>
      </c>
      <c r="S7594" s="30">
        <v>5.5E-2</v>
      </c>
    </row>
    <row r="7595" spans="16:19" x14ac:dyDescent="0.25">
      <c r="P7595" s="27">
        <v>3.2548184716220556E-2</v>
      </c>
      <c r="Q7595" s="28">
        <f t="shared" si="122"/>
        <v>3.5548184716220559E-2</v>
      </c>
      <c r="R7595" s="31">
        <v>0.15939660775771733</v>
      </c>
      <c r="S7595" s="32">
        <v>5.7959999999999998E-2</v>
      </c>
    </row>
    <row r="7596" spans="16:19" x14ac:dyDescent="0.25">
      <c r="P7596" s="27">
        <v>3.2548184716220556E-2</v>
      </c>
      <c r="Q7596" s="28">
        <f t="shared" si="122"/>
        <v>3.5548184716220559E-2</v>
      </c>
      <c r="R7596" s="33">
        <v>0.16282860775771735</v>
      </c>
      <c r="S7596" s="34">
        <v>6.4079999999999998E-2</v>
      </c>
    </row>
    <row r="7597" spans="16:19" x14ac:dyDescent="0.25">
      <c r="P7597" s="27">
        <v>3.2548184716220556E-2</v>
      </c>
      <c r="Q7597" s="28">
        <f t="shared" si="122"/>
        <v>3.5548184716220559E-2</v>
      </c>
      <c r="R7597" s="33">
        <v>0.16282860775771735</v>
      </c>
      <c r="S7597" s="34">
        <v>6.6750000000000004E-2</v>
      </c>
    </row>
    <row r="7598" spans="16:19" x14ac:dyDescent="0.25">
      <c r="P7598" s="27">
        <v>3.2548184716220556E-2</v>
      </c>
      <c r="Q7598" s="28">
        <f t="shared" si="122"/>
        <v>3.5548184716220559E-2</v>
      </c>
      <c r="R7598" s="33">
        <v>0.16282860775771735</v>
      </c>
      <c r="S7598" s="34">
        <v>5.9709999999999999E-2</v>
      </c>
    </row>
    <row r="7599" spans="16:19" x14ac:dyDescent="0.25">
      <c r="P7599" s="27">
        <v>3.2548184716220556E-2</v>
      </c>
      <c r="Q7599" s="28">
        <f t="shared" si="122"/>
        <v>3.5548184716220559E-2</v>
      </c>
      <c r="R7599" s="33">
        <v>0.16282860775771735</v>
      </c>
      <c r="S7599" s="34">
        <v>5.876E-2</v>
      </c>
    </row>
    <row r="7600" spans="16:19" x14ac:dyDescent="0.25">
      <c r="P7600" s="27">
        <v>3.2548184716220556E-2</v>
      </c>
      <c r="Q7600" s="28">
        <f t="shared" si="122"/>
        <v>3.5548184716220559E-2</v>
      </c>
      <c r="R7600" s="33">
        <v>0.16282860775771735</v>
      </c>
      <c r="S7600" s="34">
        <v>5.3999999999999999E-2</v>
      </c>
    </row>
    <row r="7601" spans="16:19" x14ac:dyDescent="0.25">
      <c r="P7601" s="27">
        <v>3.2548184716220556E-2</v>
      </c>
      <c r="Q7601" s="28">
        <f t="shared" si="122"/>
        <v>3.5548184716220559E-2</v>
      </c>
      <c r="R7601" s="33">
        <v>0.16282860775771735</v>
      </c>
      <c r="S7601" s="34">
        <v>5.4009999999999996E-2</v>
      </c>
    </row>
    <row r="7602" spans="16:19" x14ac:dyDescent="0.25">
      <c r="P7602" s="27">
        <v>3.2548184716220556E-2</v>
      </c>
      <c r="Q7602" s="28">
        <f t="shared" si="122"/>
        <v>3.5548184716220559E-2</v>
      </c>
      <c r="R7602" s="33">
        <v>0.16282860775771735</v>
      </c>
      <c r="S7602" s="34">
        <v>5.7880000000000001E-2</v>
      </c>
    </row>
    <row r="7603" spans="16:19" x14ac:dyDescent="0.25">
      <c r="P7603" s="27">
        <v>3.2548184716220556E-2</v>
      </c>
      <c r="Q7603" s="28">
        <f t="shared" si="122"/>
        <v>3.5548184716220559E-2</v>
      </c>
      <c r="R7603" s="33">
        <v>0.16282860775771735</v>
      </c>
      <c r="S7603" s="34">
        <v>6.3380000000000006E-2</v>
      </c>
    </row>
    <row r="7604" spans="16:19" x14ac:dyDescent="0.25">
      <c r="P7604" s="27">
        <v>3.2548184716220556E-2</v>
      </c>
      <c r="Q7604" s="28">
        <f t="shared" si="122"/>
        <v>3.5548184716220559E-2</v>
      </c>
      <c r="R7604" s="33">
        <v>0.16282860775771735</v>
      </c>
      <c r="S7604" s="34">
        <v>7.0519999999999999E-2</v>
      </c>
    </row>
    <row r="7605" spans="16:19" x14ac:dyDescent="0.25">
      <c r="P7605" s="27">
        <v>3.2548184716220556E-2</v>
      </c>
      <c r="Q7605" s="28">
        <f t="shared" si="122"/>
        <v>3.5548184716220559E-2</v>
      </c>
      <c r="R7605" s="33">
        <v>0.16282860775771735</v>
      </c>
      <c r="S7605" s="34">
        <v>8.5999999999999993E-2</v>
      </c>
    </row>
    <row r="7606" spans="16:19" x14ac:dyDescent="0.25">
      <c r="P7606" s="27">
        <v>3.2548184716220556E-2</v>
      </c>
      <c r="Q7606" s="28">
        <f t="shared" si="122"/>
        <v>3.5548184716220559E-2</v>
      </c>
      <c r="R7606" s="33">
        <v>0.16282860775771735</v>
      </c>
      <c r="S7606" s="34">
        <v>7.2660000000000002E-2</v>
      </c>
    </row>
    <row r="7607" spans="16:19" x14ac:dyDescent="0.25">
      <c r="P7607" s="27">
        <v>3.2548184716220556E-2</v>
      </c>
      <c r="Q7607" s="28">
        <f t="shared" si="122"/>
        <v>3.5548184716220559E-2</v>
      </c>
      <c r="R7607" s="31">
        <v>0.15939660775771733</v>
      </c>
      <c r="S7607" s="32">
        <v>6.2549999999999994E-2</v>
      </c>
    </row>
    <row r="7608" spans="16:19" x14ac:dyDescent="0.25">
      <c r="P7608" s="27">
        <v>3.2548184716220556E-2</v>
      </c>
      <c r="Q7608" s="28">
        <f t="shared" si="122"/>
        <v>3.5548184716220559E-2</v>
      </c>
      <c r="R7608" s="31">
        <v>0.15939660775771733</v>
      </c>
      <c r="S7608" s="32">
        <v>5.8000000000000003E-2</v>
      </c>
    </row>
    <row r="7609" spans="16:19" x14ac:dyDescent="0.25">
      <c r="P7609" s="27">
        <v>3.2548184716220556E-2</v>
      </c>
      <c r="Q7609" s="28">
        <f t="shared" si="122"/>
        <v>3.5548184716220559E-2</v>
      </c>
      <c r="R7609" s="31">
        <v>0.15939660775771733</v>
      </c>
      <c r="S7609" s="32">
        <v>5.3530000000000001E-2</v>
      </c>
    </row>
    <row r="7610" spans="16:19" x14ac:dyDescent="0.25">
      <c r="P7610" s="27">
        <v>3.2548184716220556E-2</v>
      </c>
      <c r="Q7610" s="28">
        <f t="shared" si="122"/>
        <v>3.5548184716220559E-2</v>
      </c>
      <c r="R7610" s="31">
        <v>0.15939660775771733</v>
      </c>
      <c r="S7610" s="32">
        <v>5.5159999999999994E-2</v>
      </c>
    </row>
    <row r="7611" spans="16:19" x14ac:dyDescent="0.25">
      <c r="P7611" s="27">
        <v>3.2548184716220556E-2</v>
      </c>
      <c r="Q7611" s="28">
        <f t="shared" si="122"/>
        <v>3.5548184716220559E-2</v>
      </c>
      <c r="R7611" s="29">
        <v>0.15003660775771735</v>
      </c>
      <c r="S7611" s="30">
        <v>0.05</v>
      </c>
    </row>
    <row r="7612" spans="16:19" x14ac:dyDescent="0.25">
      <c r="P7612" s="27">
        <v>3.2548184716220556E-2</v>
      </c>
      <c r="Q7612" s="28">
        <f t="shared" si="122"/>
        <v>3.5548184716220559E-2</v>
      </c>
      <c r="R7612" s="29">
        <v>0.15003660775771735</v>
      </c>
      <c r="S7612" s="30">
        <v>4.1090000000000002E-2</v>
      </c>
    </row>
    <row r="7613" spans="16:19" x14ac:dyDescent="0.25">
      <c r="P7613" s="27">
        <v>3.2548184716220556E-2</v>
      </c>
      <c r="Q7613" s="28">
        <f t="shared" si="122"/>
        <v>3.5548184716220559E-2</v>
      </c>
      <c r="R7613" s="29">
        <v>0.15003660775771735</v>
      </c>
      <c r="S7613" s="30">
        <v>3.5869999999999999E-2</v>
      </c>
    </row>
    <row r="7614" spans="16:19" x14ac:dyDescent="0.25">
      <c r="P7614" s="27">
        <v>3.2548184716220556E-2</v>
      </c>
      <c r="Q7614" s="28">
        <f t="shared" si="122"/>
        <v>3.5548184716220559E-2</v>
      </c>
      <c r="R7614" s="29">
        <v>0.15003660775771735</v>
      </c>
      <c r="S7614" s="30">
        <v>3.5499999999999997E-2</v>
      </c>
    </row>
    <row r="7615" spans="16:19" x14ac:dyDescent="0.25">
      <c r="P7615" s="27">
        <v>3.2548184716220556E-2</v>
      </c>
      <c r="Q7615" s="28">
        <f t="shared" si="122"/>
        <v>3.5548184716220559E-2</v>
      </c>
      <c r="R7615" s="29">
        <v>0.15003660775771735</v>
      </c>
      <c r="S7615" s="30">
        <v>2.6082006000000001E-2</v>
      </c>
    </row>
    <row r="7616" spans="16:19" x14ac:dyDescent="0.25">
      <c r="P7616" s="27">
        <v>3.2548184716220556E-2</v>
      </c>
      <c r="Q7616" s="28">
        <f t="shared" si="122"/>
        <v>3.5548184716220559E-2</v>
      </c>
      <c r="R7616" s="29">
        <v>0.15003660775771735</v>
      </c>
      <c r="S7616" s="30">
        <v>2.9747511000000001E-2</v>
      </c>
    </row>
    <row r="7617" spans="16:19" x14ac:dyDescent="0.25">
      <c r="P7617" s="27">
        <v>3.2548184716220556E-2</v>
      </c>
      <c r="Q7617" s="28">
        <f t="shared" si="122"/>
        <v>3.5548184716220559E-2</v>
      </c>
      <c r="R7617" s="29">
        <v>0.15003660775771735</v>
      </c>
      <c r="S7617" s="30">
        <v>3.7899999999999996E-2</v>
      </c>
    </row>
    <row r="7618" spans="16:19" x14ac:dyDescent="0.25">
      <c r="P7618" s="27">
        <v>3.2548184716220556E-2</v>
      </c>
      <c r="Q7618" s="28">
        <f t="shared" si="122"/>
        <v>3.5548184716220559E-2</v>
      </c>
      <c r="R7618" s="29">
        <v>0.15003660775771735</v>
      </c>
      <c r="S7618" s="30">
        <v>5.3530000000000001E-2</v>
      </c>
    </row>
    <row r="7619" spans="16:19" x14ac:dyDescent="0.25">
      <c r="P7619" s="27">
        <v>3.2548184716220556E-2</v>
      </c>
      <c r="Q7619" s="28">
        <f t="shared" si="122"/>
        <v>3.5548184716220559E-2</v>
      </c>
      <c r="R7619" s="31">
        <v>0.15939660775771733</v>
      </c>
      <c r="S7619" s="32">
        <v>5.602E-2</v>
      </c>
    </row>
    <row r="7620" spans="16:19" x14ac:dyDescent="0.25">
      <c r="P7620" s="27">
        <v>3.2548184716220556E-2</v>
      </c>
      <c r="Q7620" s="28">
        <f t="shared" si="122"/>
        <v>3.5548184716220559E-2</v>
      </c>
      <c r="R7620" s="33">
        <v>0.16282860775771735</v>
      </c>
      <c r="S7620" s="34">
        <v>6.2E-2</v>
      </c>
    </row>
    <row r="7621" spans="16:19" x14ac:dyDescent="0.25">
      <c r="P7621" s="27">
        <v>3.2548184716220556E-2</v>
      </c>
      <c r="Q7621" s="28">
        <f t="shared" ref="Q7621:Q7684" si="123">P7621+0.003</f>
        <v>3.5548184716220559E-2</v>
      </c>
      <c r="R7621" s="33">
        <v>0.16282860775771735</v>
      </c>
      <c r="S7621" s="34">
        <v>6.1259999999999995E-2</v>
      </c>
    </row>
    <row r="7622" spans="16:19" x14ac:dyDescent="0.25">
      <c r="P7622" s="27">
        <v>3.2548184716220556E-2</v>
      </c>
      <c r="Q7622" s="28">
        <f t="shared" si="123"/>
        <v>3.5548184716220559E-2</v>
      </c>
      <c r="R7622" s="33">
        <v>0.16282860775771735</v>
      </c>
      <c r="S7622" s="34">
        <v>5.8000000000000003E-2</v>
      </c>
    </row>
    <row r="7623" spans="16:19" x14ac:dyDescent="0.25">
      <c r="P7623" s="27">
        <v>3.2548184716220556E-2</v>
      </c>
      <c r="Q7623" s="28">
        <f t="shared" si="123"/>
        <v>3.5548184716220559E-2</v>
      </c>
      <c r="R7623" s="33">
        <v>0.16282860775771735</v>
      </c>
      <c r="S7623" s="34">
        <v>5.6640000000000003E-2</v>
      </c>
    </row>
    <row r="7624" spans="16:19" x14ac:dyDescent="0.25">
      <c r="P7624" s="27">
        <v>3.2548184716220556E-2</v>
      </c>
      <c r="Q7624" s="28">
        <f t="shared" si="123"/>
        <v>3.5548184716220559E-2</v>
      </c>
      <c r="R7624" s="33">
        <v>0.16282860775771735</v>
      </c>
      <c r="S7624" s="34">
        <v>5.1789999999999996E-2</v>
      </c>
    </row>
    <row r="7625" spans="16:19" x14ac:dyDescent="0.25">
      <c r="P7625" s="27">
        <v>3.2548184716220556E-2</v>
      </c>
      <c r="Q7625" s="28">
        <f t="shared" si="123"/>
        <v>3.5548184716220559E-2</v>
      </c>
      <c r="R7625" s="33">
        <v>0.16282860775771735</v>
      </c>
      <c r="S7625" s="34">
        <v>5.1970000000000002E-2</v>
      </c>
    </row>
    <row r="7626" spans="16:19" x14ac:dyDescent="0.25">
      <c r="P7626" s="27">
        <v>3.2548184716220556E-2</v>
      </c>
      <c r="Q7626" s="28">
        <f t="shared" si="123"/>
        <v>3.5548184716220559E-2</v>
      </c>
      <c r="R7626" s="33">
        <v>0.16282860775771735</v>
      </c>
      <c r="S7626" s="34">
        <v>5.6399999999999999E-2</v>
      </c>
    </row>
    <row r="7627" spans="16:19" x14ac:dyDescent="0.25">
      <c r="P7627" s="27">
        <v>3.2548184716220556E-2</v>
      </c>
      <c r="Q7627" s="28">
        <f t="shared" si="123"/>
        <v>3.5548184716220559E-2</v>
      </c>
      <c r="R7627" s="33">
        <v>0.16282860775771735</v>
      </c>
      <c r="S7627" s="34">
        <v>5.9709999999999999E-2</v>
      </c>
    </row>
    <row r="7628" spans="16:19" x14ac:dyDescent="0.25">
      <c r="P7628" s="27">
        <v>3.2548184716220556E-2</v>
      </c>
      <c r="Q7628" s="28">
        <f t="shared" si="123"/>
        <v>3.5548184716220559E-2</v>
      </c>
      <c r="R7628" s="33">
        <v>0.16282860775771735</v>
      </c>
      <c r="S7628" s="34">
        <v>6.7000000000000004E-2</v>
      </c>
    </row>
    <row r="7629" spans="16:19" x14ac:dyDescent="0.25">
      <c r="P7629" s="27">
        <v>3.2548184716220556E-2</v>
      </c>
      <c r="Q7629" s="28">
        <f t="shared" si="123"/>
        <v>3.5548184716220559E-2</v>
      </c>
      <c r="R7629" s="33">
        <v>0.16282860775771735</v>
      </c>
      <c r="S7629" s="34">
        <v>7.5999999999999998E-2</v>
      </c>
    </row>
    <row r="7630" spans="16:19" x14ac:dyDescent="0.25">
      <c r="P7630" s="27">
        <v>3.2548184716220556E-2</v>
      </c>
      <c r="Q7630" s="28">
        <f t="shared" si="123"/>
        <v>3.5548184716220559E-2</v>
      </c>
      <c r="R7630" s="33">
        <v>0.16282860775771735</v>
      </c>
      <c r="S7630" s="34">
        <v>6.9000000000000006E-2</v>
      </c>
    </row>
    <row r="7631" spans="16:19" x14ac:dyDescent="0.25">
      <c r="P7631" s="27">
        <v>3.2548184716220556E-2</v>
      </c>
      <c r="Q7631" s="28">
        <f t="shared" si="123"/>
        <v>3.5548184716220559E-2</v>
      </c>
      <c r="R7631" s="31">
        <v>0.15939660775771733</v>
      </c>
      <c r="S7631" s="32">
        <v>5.7790000000000001E-2</v>
      </c>
    </row>
    <row r="7632" spans="16:19" x14ac:dyDescent="0.25">
      <c r="P7632" s="27">
        <v>3.2548184716220556E-2</v>
      </c>
      <c r="Q7632" s="28">
        <f t="shared" si="123"/>
        <v>3.5548184716220559E-2</v>
      </c>
      <c r="R7632" s="31">
        <v>0.15939660775771733</v>
      </c>
      <c r="S7632" s="32">
        <v>5.5359999999999999E-2</v>
      </c>
    </row>
    <row r="7633" spans="16:19" x14ac:dyDescent="0.25">
      <c r="P7633" s="27">
        <v>3.2548184716220556E-2</v>
      </c>
      <c r="Q7633" s="28">
        <f t="shared" si="123"/>
        <v>3.5548184716220559E-2</v>
      </c>
      <c r="R7633" s="31">
        <v>0.15939660775771733</v>
      </c>
      <c r="S7633" s="32">
        <v>4.1659999999999996E-2</v>
      </c>
    </row>
    <row r="7634" spans="16:19" x14ac:dyDescent="0.25">
      <c r="P7634" s="27">
        <v>3.2548184716220556E-2</v>
      </c>
      <c r="Q7634" s="28">
        <f t="shared" si="123"/>
        <v>3.5548184716220559E-2</v>
      </c>
      <c r="R7634" s="31">
        <v>0.15939660775771733</v>
      </c>
      <c r="S7634" s="32">
        <v>4.376E-2</v>
      </c>
    </row>
    <row r="7635" spans="16:19" x14ac:dyDescent="0.25">
      <c r="P7635" s="27">
        <v>3.2548184716220556E-2</v>
      </c>
      <c r="Q7635" s="28">
        <f t="shared" si="123"/>
        <v>3.5548184716220559E-2</v>
      </c>
      <c r="R7635" s="29">
        <v>0.15003660775771735</v>
      </c>
      <c r="S7635" s="30">
        <v>4.5539999999999997E-2</v>
      </c>
    </row>
    <row r="7636" spans="16:19" x14ac:dyDescent="0.25">
      <c r="P7636" s="27">
        <v>3.2548184716220556E-2</v>
      </c>
      <c r="Q7636" s="28">
        <f t="shared" si="123"/>
        <v>3.5548184716220559E-2</v>
      </c>
      <c r="R7636" s="29">
        <v>0.15003660775771735</v>
      </c>
      <c r="S7636" s="30">
        <v>3.8950000000000005E-2</v>
      </c>
    </row>
    <row r="7637" spans="16:19" x14ac:dyDescent="0.25">
      <c r="P7637" s="27">
        <v>3.2548184716220556E-2</v>
      </c>
      <c r="Q7637" s="28">
        <f t="shared" si="123"/>
        <v>3.5548184716220559E-2</v>
      </c>
      <c r="R7637" s="29">
        <v>0.15003660775771735</v>
      </c>
      <c r="S7637" s="30">
        <v>3.6569999999999998E-2</v>
      </c>
    </row>
    <row r="7638" spans="16:19" x14ac:dyDescent="0.25">
      <c r="P7638" s="27">
        <v>3.2548184716220556E-2</v>
      </c>
      <c r="Q7638" s="28">
        <f t="shared" si="123"/>
        <v>3.5548184716220559E-2</v>
      </c>
      <c r="R7638" s="29">
        <v>0.15003660775771735</v>
      </c>
      <c r="S7638" s="30">
        <v>2.7699999999999999E-2</v>
      </c>
    </row>
    <row r="7639" spans="16:19" x14ac:dyDescent="0.25">
      <c r="P7639" s="27">
        <v>3.2548184716220556E-2</v>
      </c>
      <c r="Q7639" s="28">
        <f t="shared" si="123"/>
        <v>3.5548184716220559E-2</v>
      </c>
      <c r="R7639" s="29">
        <v>0.15003660775771735</v>
      </c>
      <c r="S7639" s="30">
        <v>2.1553111999999999E-2</v>
      </c>
    </row>
    <row r="7640" spans="16:19" x14ac:dyDescent="0.25">
      <c r="P7640" s="27">
        <v>3.2548184716220556E-2</v>
      </c>
      <c r="Q7640" s="28">
        <f t="shared" si="123"/>
        <v>3.5548184716220559E-2</v>
      </c>
      <c r="R7640" s="29">
        <v>0.15003660775771735</v>
      </c>
      <c r="S7640" s="30">
        <v>2.1239999999999998E-2</v>
      </c>
    </row>
    <row r="7641" spans="16:19" x14ac:dyDescent="0.25">
      <c r="P7641" s="27">
        <v>3.2548184716220556E-2</v>
      </c>
      <c r="Q7641" s="28">
        <f t="shared" si="123"/>
        <v>3.5548184716220559E-2</v>
      </c>
      <c r="R7641" s="29">
        <v>0.15003660775771735</v>
      </c>
      <c r="S7641" s="30">
        <v>2.5670000000000002E-2</v>
      </c>
    </row>
    <row r="7642" spans="16:19" x14ac:dyDescent="0.25">
      <c r="P7642" s="27">
        <v>3.2548184716220556E-2</v>
      </c>
      <c r="Q7642" s="28">
        <f t="shared" si="123"/>
        <v>3.5548184716220559E-2</v>
      </c>
      <c r="R7642" s="29">
        <v>0.15003660775771735</v>
      </c>
      <c r="S7642" s="30">
        <v>4.317E-2</v>
      </c>
    </row>
    <row r="7643" spans="16:19" x14ac:dyDescent="0.25">
      <c r="P7643" s="27">
        <v>3.2548184716220556E-2</v>
      </c>
      <c r="Q7643" s="28">
        <f t="shared" si="123"/>
        <v>3.5548184716220559E-2</v>
      </c>
      <c r="R7643" s="31">
        <v>0.15939660775771733</v>
      </c>
      <c r="S7643" s="32">
        <v>4.7130000000000005E-2</v>
      </c>
    </row>
    <row r="7644" spans="16:19" x14ac:dyDescent="0.25">
      <c r="P7644" s="27">
        <v>3.2548184716220556E-2</v>
      </c>
      <c r="Q7644" s="28">
        <f t="shared" si="123"/>
        <v>3.5548184716220559E-2</v>
      </c>
      <c r="R7644" s="33">
        <v>0.16282860775771735</v>
      </c>
      <c r="S7644" s="34">
        <v>4.8350000000000004E-2</v>
      </c>
    </row>
    <row r="7645" spans="16:19" x14ac:dyDescent="0.25">
      <c r="P7645" s="27">
        <v>3.2548184716220556E-2</v>
      </c>
      <c r="Q7645" s="28">
        <f t="shared" si="123"/>
        <v>3.5548184716220559E-2</v>
      </c>
      <c r="R7645" s="33">
        <v>0.16282860775771735</v>
      </c>
      <c r="S7645" s="34">
        <v>4.999E-2</v>
      </c>
    </row>
    <row r="7646" spans="16:19" x14ac:dyDescent="0.25">
      <c r="P7646" s="27">
        <v>3.2548184716220556E-2</v>
      </c>
      <c r="Q7646" s="28">
        <f t="shared" si="123"/>
        <v>3.5548184716220559E-2</v>
      </c>
      <c r="R7646" s="33">
        <v>0.16282860775771735</v>
      </c>
      <c r="S7646" s="34">
        <v>4.5982235000000003E-2</v>
      </c>
    </row>
    <row r="7647" spans="16:19" x14ac:dyDescent="0.25">
      <c r="P7647" s="27">
        <v>3.2548184716220556E-2</v>
      </c>
      <c r="Q7647" s="28">
        <f t="shared" si="123"/>
        <v>3.5548184716220559E-2</v>
      </c>
      <c r="R7647" s="33">
        <v>0.16282860775771735</v>
      </c>
      <c r="S7647" s="34">
        <v>4.3920000000000001E-2</v>
      </c>
    </row>
    <row r="7648" spans="16:19" x14ac:dyDescent="0.25">
      <c r="P7648" s="27">
        <v>3.2548184716220556E-2</v>
      </c>
      <c r="Q7648" s="28">
        <f t="shared" si="123"/>
        <v>3.5548184716220559E-2</v>
      </c>
      <c r="R7648" s="33">
        <v>0.16282860775771735</v>
      </c>
      <c r="S7648" s="34">
        <v>4.0399999999999998E-2</v>
      </c>
    </row>
    <row r="7649" spans="16:19" x14ac:dyDescent="0.25">
      <c r="P7649" s="27">
        <v>3.2548184716220556E-2</v>
      </c>
      <c r="Q7649" s="28">
        <f t="shared" si="123"/>
        <v>3.5548184716220559E-2</v>
      </c>
      <c r="R7649" s="33">
        <v>0.16282860775771735</v>
      </c>
      <c r="S7649" s="34">
        <v>3.9109999999999999E-2</v>
      </c>
    </row>
    <row r="7650" spans="16:19" x14ac:dyDescent="0.25">
      <c r="P7650" s="27">
        <v>3.2548184716220556E-2</v>
      </c>
      <c r="Q7650" s="28">
        <f t="shared" si="123"/>
        <v>3.5548184716220559E-2</v>
      </c>
      <c r="R7650" s="33">
        <v>0.16282860775771735</v>
      </c>
      <c r="S7650" s="34">
        <v>4.1110000000000001E-2</v>
      </c>
    </row>
    <row r="7651" spans="16:19" x14ac:dyDescent="0.25">
      <c r="P7651" s="27">
        <v>3.2548184716220556E-2</v>
      </c>
      <c r="Q7651" s="28">
        <f t="shared" si="123"/>
        <v>3.5548184716220559E-2</v>
      </c>
      <c r="R7651" s="33">
        <v>0.16282860775771735</v>
      </c>
      <c r="S7651" s="34">
        <v>4.4999999999999998E-2</v>
      </c>
    </row>
    <row r="7652" spans="16:19" x14ac:dyDescent="0.25">
      <c r="P7652" s="27">
        <v>3.2548184716220556E-2</v>
      </c>
      <c r="Q7652" s="28">
        <f t="shared" si="123"/>
        <v>3.5548184716220559E-2</v>
      </c>
      <c r="R7652" s="33">
        <v>0.16282860775771735</v>
      </c>
      <c r="S7652" s="34">
        <v>4.9939999999999998E-2</v>
      </c>
    </row>
    <row r="7653" spans="16:19" x14ac:dyDescent="0.25">
      <c r="P7653" s="27">
        <v>3.2548184716220556E-2</v>
      </c>
      <c r="Q7653" s="28">
        <f t="shared" si="123"/>
        <v>3.5548184716220559E-2</v>
      </c>
      <c r="R7653" s="33">
        <v>0.16282860775771735</v>
      </c>
      <c r="S7653" s="34">
        <v>5.5130000000000005E-2</v>
      </c>
    </row>
    <row r="7654" spans="16:19" x14ac:dyDescent="0.25">
      <c r="P7654" s="27">
        <v>3.2548184716220556E-2</v>
      </c>
      <c r="Q7654" s="28">
        <f t="shared" si="123"/>
        <v>3.5548184716220559E-2</v>
      </c>
      <c r="R7654" s="33">
        <v>0.16282860775771735</v>
      </c>
      <c r="S7654" s="34">
        <v>5.6049999999999996E-2</v>
      </c>
    </row>
    <row r="7655" spans="16:19" x14ac:dyDescent="0.25">
      <c r="P7655" s="27">
        <v>3.2548184716220556E-2</v>
      </c>
      <c r="Q7655" s="28">
        <f t="shared" si="123"/>
        <v>3.5548184716220559E-2</v>
      </c>
      <c r="R7655" s="31">
        <v>0.15939660775771733</v>
      </c>
      <c r="S7655" s="32">
        <v>5.2039999999999996E-2</v>
      </c>
    </row>
    <row r="7656" spans="16:19" x14ac:dyDescent="0.25">
      <c r="P7656" s="27">
        <v>3.2548184716220556E-2</v>
      </c>
      <c r="Q7656" s="28">
        <f t="shared" si="123"/>
        <v>3.5548184716220559E-2</v>
      </c>
      <c r="R7656" s="31">
        <v>0.15939660775771733</v>
      </c>
      <c r="S7656" s="32">
        <v>4.6170000000000003E-2</v>
      </c>
    </row>
    <row r="7657" spans="16:19" x14ac:dyDescent="0.25">
      <c r="P7657" s="27">
        <v>3.2548184716220556E-2</v>
      </c>
      <c r="Q7657" s="28">
        <f t="shared" si="123"/>
        <v>3.5548184716220559E-2</v>
      </c>
      <c r="R7657" s="31">
        <v>0.15939660775771733</v>
      </c>
      <c r="S7657" s="32">
        <v>3.7819999999999999E-2</v>
      </c>
    </row>
    <row r="7658" spans="16:19" x14ac:dyDescent="0.25">
      <c r="P7658" s="27">
        <v>3.2548184716220556E-2</v>
      </c>
      <c r="Q7658" s="28">
        <f t="shared" si="123"/>
        <v>3.5548184716220559E-2</v>
      </c>
      <c r="R7658" s="31">
        <v>0.15939660775771733</v>
      </c>
      <c r="S7658" s="32">
        <v>3.7130000000000003E-2</v>
      </c>
    </row>
    <row r="7659" spans="16:19" x14ac:dyDescent="0.25">
      <c r="P7659" s="27">
        <v>3.2548184716220556E-2</v>
      </c>
      <c r="Q7659" s="28">
        <f t="shared" si="123"/>
        <v>3.5548184716220559E-2</v>
      </c>
      <c r="R7659" s="29">
        <v>0.15003660775771735</v>
      </c>
      <c r="S7659" s="30">
        <v>3.7130000000000003E-2</v>
      </c>
    </row>
    <row r="7660" spans="16:19" x14ac:dyDescent="0.25">
      <c r="P7660" s="27">
        <v>3.2548184716220556E-2</v>
      </c>
      <c r="Q7660" s="28">
        <f t="shared" si="123"/>
        <v>3.5548184716220559E-2</v>
      </c>
      <c r="R7660" s="29">
        <v>0.15003660775771735</v>
      </c>
      <c r="S7660" s="30">
        <v>3.6569999999999998E-2</v>
      </c>
    </row>
    <row r="7661" spans="16:19" x14ac:dyDescent="0.25">
      <c r="P7661" s="27">
        <v>3.2548184716220556E-2</v>
      </c>
      <c r="Q7661" s="28">
        <f t="shared" si="123"/>
        <v>3.5548184716220559E-2</v>
      </c>
      <c r="R7661" s="29">
        <v>0.15003660775771735</v>
      </c>
      <c r="S7661" s="30">
        <v>3.6569999999999998E-2</v>
      </c>
    </row>
    <row r="7662" spans="16:19" x14ac:dyDescent="0.25">
      <c r="P7662" s="27">
        <v>3.2548184716220556E-2</v>
      </c>
      <c r="Q7662" s="28">
        <f t="shared" si="123"/>
        <v>3.5548184716220559E-2</v>
      </c>
      <c r="R7662" s="29">
        <v>0.15003660775771735</v>
      </c>
      <c r="S7662" s="30">
        <v>2.5000000000000001E-2</v>
      </c>
    </row>
    <row r="7663" spans="16:19" x14ac:dyDescent="0.25">
      <c r="P7663" s="27">
        <v>3.2548184716220556E-2</v>
      </c>
      <c r="Q7663" s="28">
        <f t="shared" si="123"/>
        <v>3.5548184716220559E-2</v>
      </c>
      <c r="R7663" s="29">
        <v>0.15003660775771735</v>
      </c>
      <c r="S7663" s="30">
        <v>1.8122500999999999E-2</v>
      </c>
    </row>
    <row r="7664" spans="16:19" x14ac:dyDescent="0.25">
      <c r="P7664" s="27">
        <v>3.2548184716220556E-2</v>
      </c>
      <c r="Q7664" s="28">
        <f t="shared" si="123"/>
        <v>3.5548184716220559E-2</v>
      </c>
      <c r="R7664" s="29">
        <v>0.15003660775771735</v>
      </c>
      <c r="S7664" s="30">
        <v>0.02</v>
      </c>
    </row>
    <row r="7665" spans="16:19" x14ac:dyDescent="0.25">
      <c r="P7665" s="27">
        <v>3.2548184716220556E-2</v>
      </c>
      <c r="Q7665" s="28">
        <f t="shared" si="123"/>
        <v>3.5548184716220559E-2</v>
      </c>
      <c r="R7665" s="29">
        <v>0.15003660775771735</v>
      </c>
      <c r="S7665" s="30">
        <v>2.5000000000000001E-2</v>
      </c>
    </row>
    <row r="7666" spans="16:19" x14ac:dyDescent="0.25">
      <c r="P7666" s="27">
        <v>3.2548184716220556E-2</v>
      </c>
      <c r="Q7666" s="28">
        <f t="shared" si="123"/>
        <v>3.5548184716220559E-2</v>
      </c>
      <c r="R7666" s="29">
        <v>0.15003660775771735</v>
      </c>
      <c r="S7666" s="30">
        <v>2.9000000000000001E-2</v>
      </c>
    </row>
    <row r="7667" spans="16:19" x14ac:dyDescent="0.25">
      <c r="P7667" s="27">
        <v>3.2548184716220556E-2</v>
      </c>
      <c r="Q7667" s="28">
        <f t="shared" si="123"/>
        <v>3.5548184716220559E-2</v>
      </c>
      <c r="R7667" s="31">
        <v>0.15939660775771733</v>
      </c>
      <c r="S7667" s="32">
        <v>2.86E-2</v>
      </c>
    </row>
    <row r="7668" spans="16:19" x14ac:dyDescent="0.25">
      <c r="P7668" s="27">
        <v>3.2548184716220556E-2</v>
      </c>
      <c r="Q7668" s="28">
        <f t="shared" si="123"/>
        <v>3.5548184716220559E-2</v>
      </c>
      <c r="R7668" s="33">
        <v>0.16282860775771735</v>
      </c>
      <c r="S7668" s="34">
        <v>0.03</v>
      </c>
    </row>
    <row r="7669" spans="16:19" x14ac:dyDescent="0.25">
      <c r="P7669" s="27">
        <v>3.2548184716220556E-2</v>
      </c>
      <c r="Q7669" s="28">
        <f t="shared" si="123"/>
        <v>3.5548184716220559E-2</v>
      </c>
      <c r="R7669" s="33">
        <v>0.16282860775771735</v>
      </c>
      <c r="S7669" s="34">
        <v>0.03</v>
      </c>
    </row>
    <row r="7670" spans="16:19" x14ac:dyDescent="0.25">
      <c r="P7670" s="27">
        <v>3.2548184716220556E-2</v>
      </c>
      <c r="Q7670" s="28">
        <f t="shared" si="123"/>
        <v>3.5548184716220559E-2</v>
      </c>
      <c r="R7670" s="33">
        <v>0.16282860775771735</v>
      </c>
      <c r="S7670" s="34">
        <v>3.959E-2</v>
      </c>
    </row>
    <row r="7671" spans="16:19" x14ac:dyDescent="0.25">
      <c r="P7671" s="27">
        <v>3.2548184716220556E-2</v>
      </c>
      <c r="Q7671" s="28">
        <f t="shared" si="123"/>
        <v>3.5548184716220559E-2</v>
      </c>
      <c r="R7671" s="33">
        <v>0.16282860775771735</v>
      </c>
      <c r="S7671" s="34">
        <v>3.4000000000000002E-2</v>
      </c>
    </row>
    <row r="7672" spans="16:19" x14ac:dyDescent="0.25">
      <c r="P7672" s="27">
        <v>3.2548184716220556E-2</v>
      </c>
      <c r="Q7672" s="28">
        <f t="shared" si="123"/>
        <v>3.5548184716220559E-2</v>
      </c>
      <c r="R7672" s="33">
        <v>0.16282860775771735</v>
      </c>
      <c r="S7672" s="34">
        <v>3.7823777999999995E-2</v>
      </c>
    </row>
    <row r="7673" spans="16:19" x14ac:dyDescent="0.25">
      <c r="P7673" s="27">
        <v>3.2548184716220556E-2</v>
      </c>
      <c r="Q7673" s="28">
        <f t="shared" si="123"/>
        <v>3.5548184716220559E-2</v>
      </c>
      <c r="R7673" s="33">
        <v>0.16282860775771735</v>
      </c>
      <c r="S7673" s="34">
        <v>0.03</v>
      </c>
    </row>
    <row r="7674" spans="16:19" x14ac:dyDescent="0.25">
      <c r="P7674" s="27">
        <v>3.2548184716220556E-2</v>
      </c>
      <c r="Q7674" s="28">
        <f t="shared" si="123"/>
        <v>3.5548184716220559E-2</v>
      </c>
      <c r="R7674" s="33">
        <v>0.16282860775771735</v>
      </c>
      <c r="S7674" s="34">
        <v>4.1570000000000003E-2</v>
      </c>
    </row>
    <row r="7675" spans="16:19" x14ac:dyDescent="0.25">
      <c r="P7675" s="27">
        <v>3.2548184716220556E-2</v>
      </c>
      <c r="Q7675" s="28">
        <f t="shared" si="123"/>
        <v>3.5548184716220559E-2</v>
      </c>
      <c r="R7675" s="33">
        <v>0.16282860775771735</v>
      </c>
      <c r="S7675" s="34">
        <v>4.7920000000000004E-2</v>
      </c>
    </row>
    <row r="7676" spans="16:19" x14ac:dyDescent="0.25">
      <c r="P7676" s="27">
        <v>3.2548184716220556E-2</v>
      </c>
      <c r="Q7676" s="28">
        <f t="shared" si="123"/>
        <v>3.5548184716220559E-2</v>
      </c>
      <c r="R7676" s="33">
        <v>0.16282860775771735</v>
      </c>
      <c r="S7676" s="34">
        <v>4.9939999999999998E-2</v>
      </c>
    </row>
    <row r="7677" spans="16:19" x14ac:dyDescent="0.25">
      <c r="P7677" s="27">
        <v>3.2548184716220556E-2</v>
      </c>
      <c r="Q7677" s="28">
        <f t="shared" si="123"/>
        <v>3.5548184716220559E-2</v>
      </c>
      <c r="R7677" s="33">
        <v>0.16282860775771735</v>
      </c>
      <c r="S7677" s="34">
        <v>5.8630000000000002E-2</v>
      </c>
    </row>
    <row r="7678" spans="16:19" x14ac:dyDescent="0.25">
      <c r="P7678" s="27">
        <v>3.2548184716220556E-2</v>
      </c>
      <c r="Q7678" s="28">
        <f t="shared" si="123"/>
        <v>3.5548184716220559E-2</v>
      </c>
      <c r="R7678" s="33">
        <v>0.16282860775771735</v>
      </c>
      <c r="S7678" s="34">
        <v>5.4850000000000003E-2</v>
      </c>
    </row>
    <row r="7679" spans="16:19" x14ac:dyDescent="0.25">
      <c r="P7679" s="27">
        <v>3.2548184716220556E-2</v>
      </c>
      <c r="Q7679" s="28">
        <f t="shared" si="123"/>
        <v>3.5548184716220559E-2</v>
      </c>
      <c r="R7679" s="31">
        <v>0.15939660775771733</v>
      </c>
      <c r="S7679" s="32">
        <v>5.4869999999999995E-2</v>
      </c>
    </row>
    <row r="7680" spans="16:19" x14ac:dyDescent="0.25">
      <c r="P7680" s="27">
        <v>3.2548184716220556E-2</v>
      </c>
      <c r="Q7680" s="28">
        <f t="shared" si="123"/>
        <v>3.5548184716220559E-2</v>
      </c>
      <c r="R7680" s="31">
        <v>0.15939660775771733</v>
      </c>
      <c r="S7680" s="32">
        <v>4.759E-2</v>
      </c>
    </row>
    <row r="7681" spans="16:19" x14ac:dyDescent="0.25">
      <c r="P7681" s="27">
        <v>3.2548184716220556E-2</v>
      </c>
      <c r="Q7681" s="28">
        <f t="shared" si="123"/>
        <v>3.5548184716220559E-2</v>
      </c>
      <c r="R7681" s="31">
        <v>0.15939660775771733</v>
      </c>
      <c r="S7681" s="32">
        <v>4.3709999999999999E-2</v>
      </c>
    </row>
    <row r="7682" spans="16:19" x14ac:dyDescent="0.25">
      <c r="P7682" s="27">
        <v>3.2548184716220556E-2</v>
      </c>
      <c r="Q7682" s="28">
        <f t="shared" si="123"/>
        <v>3.5548184716220559E-2</v>
      </c>
      <c r="R7682" s="31">
        <v>0.15939660775771733</v>
      </c>
      <c r="S7682" s="32">
        <v>4.2000000000000003E-2</v>
      </c>
    </row>
    <row r="7683" spans="16:19" x14ac:dyDescent="0.25">
      <c r="P7683" s="27">
        <v>3.2548184716220556E-2</v>
      </c>
      <c r="Q7683" s="28">
        <f t="shared" si="123"/>
        <v>3.5548184716220559E-2</v>
      </c>
      <c r="R7683" s="29">
        <v>0.15003660775771735</v>
      </c>
      <c r="S7683" s="30">
        <v>4.1189999999999997E-2</v>
      </c>
    </row>
    <row r="7684" spans="16:19" x14ac:dyDescent="0.25">
      <c r="P7684" s="27">
        <v>3.2548184716220556E-2</v>
      </c>
      <c r="Q7684" s="28">
        <f t="shared" si="123"/>
        <v>3.5548184716220559E-2</v>
      </c>
      <c r="R7684" s="29">
        <v>0.15003660775771735</v>
      </c>
      <c r="S7684" s="30">
        <v>4.0920000000000005E-2</v>
      </c>
    </row>
    <row r="7685" spans="16:19" x14ac:dyDescent="0.25">
      <c r="P7685" s="27">
        <v>3.2548184716220556E-2</v>
      </c>
      <c r="Q7685" s="28">
        <f t="shared" ref="Q7685:Q7748" si="124">P7685+0.003</f>
        <v>3.5548184716220559E-2</v>
      </c>
      <c r="R7685" s="29">
        <v>0.15003660775771735</v>
      </c>
      <c r="S7685" s="30">
        <v>3.5569999999999997E-2</v>
      </c>
    </row>
    <row r="7686" spans="16:19" x14ac:dyDescent="0.25">
      <c r="P7686" s="27">
        <v>3.2548184716220556E-2</v>
      </c>
      <c r="Q7686" s="28">
        <f t="shared" si="124"/>
        <v>3.5548184716220559E-2</v>
      </c>
      <c r="R7686" s="29">
        <v>0.15003660775771735</v>
      </c>
      <c r="S7686" s="30">
        <v>2.7629999999999998E-2</v>
      </c>
    </row>
    <row r="7687" spans="16:19" x14ac:dyDescent="0.25">
      <c r="P7687" s="27">
        <v>3.2548184716220556E-2</v>
      </c>
      <c r="Q7687" s="28">
        <f t="shared" si="124"/>
        <v>3.5548184716220559E-2</v>
      </c>
      <c r="R7687" s="29">
        <v>0.15003660775771735</v>
      </c>
      <c r="S7687" s="30">
        <v>2.0399999999999998E-2</v>
      </c>
    </row>
    <row r="7688" spans="16:19" x14ac:dyDescent="0.25">
      <c r="P7688" s="27">
        <v>3.2548184716220556E-2</v>
      </c>
      <c r="Q7688" s="28">
        <f t="shared" si="124"/>
        <v>3.5548184716220559E-2</v>
      </c>
      <c r="R7688" s="29">
        <v>0.15003660775771735</v>
      </c>
      <c r="S7688" s="30">
        <v>0.03</v>
      </c>
    </row>
    <row r="7689" spans="16:19" x14ac:dyDescent="0.25">
      <c r="P7689" s="27">
        <v>3.2548184716220556E-2</v>
      </c>
      <c r="Q7689" s="28">
        <f t="shared" si="124"/>
        <v>3.5548184716220559E-2</v>
      </c>
      <c r="R7689" s="29">
        <v>0.15003660775771735</v>
      </c>
      <c r="S7689" s="30">
        <v>2.7329999999999997E-2</v>
      </c>
    </row>
    <row r="7690" spans="16:19" x14ac:dyDescent="0.25">
      <c r="P7690" s="27">
        <v>3.2548184716220556E-2</v>
      </c>
      <c r="Q7690" s="28">
        <f t="shared" si="124"/>
        <v>3.5548184716220559E-2</v>
      </c>
      <c r="R7690" s="29">
        <v>0.15003660775771735</v>
      </c>
      <c r="S7690" s="30">
        <v>4.2000000000000003E-2</v>
      </c>
    </row>
    <row r="7691" spans="16:19" x14ac:dyDescent="0.25">
      <c r="P7691" s="27">
        <v>3.2548184716220556E-2</v>
      </c>
      <c r="Q7691" s="28">
        <f t="shared" si="124"/>
        <v>3.5548184716220559E-2</v>
      </c>
      <c r="R7691" s="31">
        <v>0.15939999999999999</v>
      </c>
      <c r="S7691" s="32">
        <v>5.5460000000000002E-2</v>
      </c>
    </row>
    <row r="7692" spans="16:19" x14ac:dyDescent="0.25">
      <c r="P7692" s="27">
        <v>3.2548184716220556E-2</v>
      </c>
      <c r="Q7692" s="28">
        <f t="shared" si="124"/>
        <v>3.5548184716220559E-2</v>
      </c>
      <c r="R7692" s="31">
        <v>0.15939999999999999</v>
      </c>
      <c r="S7692" s="32">
        <v>5.8909999999999997E-2</v>
      </c>
    </row>
    <row r="7693" spans="16:19" x14ac:dyDescent="0.25">
      <c r="P7693" s="27">
        <v>3.2548184716220556E-2</v>
      </c>
      <c r="Q7693" s="28">
        <f t="shared" si="124"/>
        <v>3.5548184716220559E-2</v>
      </c>
      <c r="R7693" s="31">
        <v>0.15939999999999999</v>
      </c>
      <c r="S7693" s="32">
        <v>5.7779999999999998E-2</v>
      </c>
    </row>
    <row r="7694" spans="16:19" x14ac:dyDescent="0.25">
      <c r="P7694" s="27">
        <v>3.2548184716220556E-2</v>
      </c>
      <c r="Q7694" s="28">
        <f t="shared" si="124"/>
        <v>3.5548184716220559E-2</v>
      </c>
      <c r="R7694" s="31">
        <v>0.15939999999999999</v>
      </c>
      <c r="S7694" s="32">
        <v>5.5710000000000003E-2</v>
      </c>
    </row>
    <row r="7695" spans="16:19" x14ac:dyDescent="0.25">
      <c r="P7695" s="27">
        <v>3.2548184716220556E-2</v>
      </c>
      <c r="Q7695" s="28">
        <f t="shared" si="124"/>
        <v>3.5548184716220559E-2</v>
      </c>
      <c r="R7695" s="31">
        <v>0.15939999999999999</v>
      </c>
      <c r="S7695" s="32">
        <v>5.5530000000000003E-2</v>
      </c>
    </row>
    <row r="7696" spans="16:19" x14ac:dyDescent="0.25">
      <c r="P7696" s="27">
        <v>3.2548184716220556E-2</v>
      </c>
      <c r="Q7696" s="28">
        <f t="shared" si="124"/>
        <v>3.5548184716220559E-2</v>
      </c>
      <c r="R7696" s="31">
        <v>0.15939999999999999</v>
      </c>
      <c r="S7696" s="32">
        <v>5.2999999999999999E-2</v>
      </c>
    </row>
    <row r="7697" spans="16:19" x14ac:dyDescent="0.25">
      <c r="P7697" s="27">
        <v>3.2548184716220556E-2</v>
      </c>
      <c r="Q7697" s="28">
        <f t="shared" si="124"/>
        <v>3.5548184716220559E-2</v>
      </c>
      <c r="R7697" s="31">
        <v>0.15939999999999999</v>
      </c>
      <c r="S7697" s="32">
        <v>5.3089759E-2</v>
      </c>
    </row>
    <row r="7698" spans="16:19" x14ac:dyDescent="0.25">
      <c r="P7698" s="27">
        <v>3.2548184716220556E-2</v>
      </c>
      <c r="Q7698" s="28">
        <f t="shared" si="124"/>
        <v>3.5548184716220559E-2</v>
      </c>
      <c r="R7698" s="31">
        <v>0.15939999999999999</v>
      </c>
      <c r="S7698" s="32">
        <v>5.5640000000000002E-2</v>
      </c>
    </row>
    <row r="7699" spans="16:19" x14ac:dyDescent="0.25">
      <c r="P7699" s="27">
        <v>3.2548184716220556E-2</v>
      </c>
      <c r="Q7699" s="28">
        <f t="shared" si="124"/>
        <v>3.5548184716220559E-2</v>
      </c>
      <c r="R7699" s="31">
        <v>0.15939999999999999</v>
      </c>
      <c r="S7699" s="32">
        <v>5.8040000000000001E-2</v>
      </c>
    </row>
    <row r="7700" spans="16:19" x14ac:dyDescent="0.25">
      <c r="P7700" s="27">
        <v>3.2548184716220556E-2</v>
      </c>
      <c r="Q7700" s="28">
        <f t="shared" si="124"/>
        <v>3.5548184716220559E-2</v>
      </c>
      <c r="R7700" s="31">
        <v>0.15939999999999999</v>
      </c>
      <c r="S7700" s="32">
        <v>6.520999999999999E-2</v>
      </c>
    </row>
    <row r="7701" spans="16:19" x14ac:dyDescent="0.25">
      <c r="P7701" s="27">
        <v>3.2548184716220556E-2</v>
      </c>
      <c r="Q7701" s="28">
        <f t="shared" si="124"/>
        <v>3.5548184716220559E-2</v>
      </c>
      <c r="R7701" s="31">
        <v>0.15939999999999999</v>
      </c>
      <c r="S7701" s="32">
        <v>7.3569999999999997E-2</v>
      </c>
    </row>
    <row r="7702" spans="16:19" x14ac:dyDescent="0.25">
      <c r="P7702" s="27">
        <v>3.2548184716220556E-2</v>
      </c>
      <c r="Q7702" s="28">
        <f t="shared" si="124"/>
        <v>3.5548184716220559E-2</v>
      </c>
      <c r="R7702" s="31">
        <v>0.15939999999999999</v>
      </c>
      <c r="S7702" s="32">
        <v>7.0000000000000007E-2</v>
      </c>
    </row>
    <row r="7703" spans="16:19" x14ac:dyDescent="0.25">
      <c r="P7703" s="27">
        <v>3.2548184716220556E-2</v>
      </c>
      <c r="Q7703" s="28">
        <f t="shared" si="124"/>
        <v>3.5548184716220559E-2</v>
      </c>
      <c r="R7703" s="31">
        <v>0.15939999999999999</v>
      </c>
      <c r="S7703" s="32">
        <v>6.13E-2</v>
      </c>
    </row>
    <row r="7704" spans="16:19" x14ac:dyDescent="0.25">
      <c r="P7704" s="27">
        <v>3.2548184716220556E-2</v>
      </c>
      <c r="Q7704" s="28">
        <f t="shared" si="124"/>
        <v>3.5548184716220559E-2</v>
      </c>
      <c r="R7704" s="31">
        <v>0.15939999999999999</v>
      </c>
      <c r="S7704" s="32">
        <v>5.4729999999999994E-2</v>
      </c>
    </row>
    <row r="7705" spans="16:19" x14ac:dyDescent="0.25">
      <c r="P7705" s="27">
        <v>3.2548184716220556E-2</v>
      </c>
      <c r="Q7705" s="28">
        <f t="shared" si="124"/>
        <v>3.5548184716220559E-2</v>
      </c>
      <c r="R7705" s="31">
        <v>0.15939999999999999</v>
      </c>
      <c r="S7705" s="32">
        <v>4.7200000000000006E-2</v>
      </c>
    </row>
    <row r="7706" spans="16:19" x14ac:dyDescent="0.25">
      <c r="P7706" s="27">
        <v>3.2548184716220556E-2</v>
      </c>
      <c r="Q7706" s="28">
        <f t="shared" si="124"/>
        <v>3.5548184716220559E-2</v>
      </c>
      <c r="R7706" s="31">
        <v>0.15939999999999999</v>
      </c>
      <c r="S7706" s="32">
        <v>4.863E-2</v>
      </c>
    </row>
    <row r="7707" spans="16:19" x14ac:dyDescent="0.25">
      <c r="P7707" s="27">
        <v>3.2548184716220556E-2</v>
      </c>
      <c r="Q7707" s="28">
        <f t="shared" si="124"/>
        <v>3.5548184716220559E-2</v>
      </c>
      <c r="R7707" s="29">
        <v>0.15</v>
      </c>
      <c r="S7707" s="30">
        <v>4.4450000000000003E-2</v>
      </c>
    </row>
    <row r="7708" spans="16:19" x14ac:dyDescent="0.25">
      <c r="P7708" s="27">
        <v>3.2548184716220556E-2</v>
      </c>
      <c r="Q7708" s="28">
        <f t="shared" si="124"/>
        <v>3.5548184716220559E-2</v>
      </c>
      <c r="R7708" s="29">
        <v>0.15</v>
      </c>
      <c r="S7708" s="30">
        <v>3.6109999999999996E-2</v>
      </c>
    </row>
    <row r="7709" spans="16:19" x14ac:dyDescent="0.25">
      <c r="P7709" s="27">
        <v>3.2548184716220556E-2</v>
      </c>
      <c r="Q7709" s="28">
        <f t="shared" si="124"/>
        <v>3.5548184716220559E-2</v>
      </c>
      <c r="R7709" s="29">
        <v>0.15</v>
      </c>
      <c r="S7709" s="30">
        <v>3.2060000000000005E-2</v>
      </c>
    </row>
    <row r="7710" spans="16:19" x14ac:dyDescent="0.25">
      <c r="P7710" s="27">
        <v>3.2548184716220556E-2</v>
      </c>
      <c r="Q7710" s="28">
        <f t="shared" si="124"/>
        <v>3.5548184716220559E-2</v>
      </c>
      <c r="R7710" s="29">
        <v>0.15</v>
      </c>
      <c r="S7710" s="30">
        <v>2.8059999999999998E-2</v>
      </c>
    </row>
    <row r="7711" spans="16:19" x14ac:dyDescent="0.25">
      <c r="P7711" s="27">
        <v>3.2548184716220556E-2</v>
      </c>
      <c r="Q7711" s="28">
        <f t="shared" si="124"/>
        <v>3.5548184716220559E-2</v>
      </c>
      <c r="R7711" s="29">
        <v>0.15</v>
      </c>
      <c r="S7711" s="30">
        <v>2.4079999999999997E-2</v>
      </c>
    </row>
    <row r="7712" spans="16:19" x14ac:dyDescent="0.25">
      <c r="P7712" s="27">
        <v>3.2548184716220556E-2</v>
      </c>
      <c r="Q7712" s="28">
        <f t="shared" si="124"/>
        <v>3.5548184716220559E-2</v>
      </c>
      <c r="R7712" s="29">
        <v>0.15</v>
      </c>
      <c r="S7712" s="30">
        <v>2.69E-2</v>
      </c>
    </row>
    <row r="7713" spans="16:19" x14ac:dyDescent="0.25">
      <c r="P7713" s="27">
        <v>3.2548184716220556E-2</v>
      </c>
      <c r="Q7713" s="28">
        <f t="shared" si="124"/>
        <v>3.5548184716220559E-2</v>
      </c>
      <c r="R7713" s="29">
        <v>0.15</v>
      </c>
      <c r="S7713" s="30">
        <v>3.2629999999999999E-2</v>
      </c>
    </row>
    <row r="7714" spans="16:19" x14ac:dyDescent="0.25">
      <c r="P7714" s="27">
        <v>3.2548184716220556E-2</v>
      </c>
      <c r="Q7714" s="28">
        <f t="shared" si="124"/>
        <v>3.5548184716220559E-2</v>
      </c>
      <c r="R7714" s="29">
        <v>0.15</v>
      </c>
      <c r="S7714" s="30">
        <v>4.471E-2</v>
      </c>
    </row>
    <row r="7715" spans="16:19" x14ac:dyDescent="0.25">
      <c r="P7715" s="27">
        <v>3.2548184716220556E-2</v>
      </c>
      <c r="Q7715" s="28">
        <f t="shared" si="124"/>
        <v>3.5548184716220559E-2</v>
      </c>
      <c r="R7715" s="29">
        <v>0.15</v>
      </c>
      <c r="S7715" s="30">
        <v>5.4469999999999998E-2</v>
      </c>
    </row>
    <row r="7716" spans="16:19" x14ac:dyDescent="0.25">
      <c r="P7716" s="27">
        <v>3.2548184716220556E-2</v>
      </c>
      <c r="Q7716" s="28">
        <f t="shared" si="124"/>
        <v>3.5548184716220559E-2</v>
      </c>
      <c r="R7716" s="29">
        <v>0.15</v>
      </c>
      <c r="S7716" s="30">
        <v>6.0299999999999999E-2</v>
      </c>
    </row>
    <row r="7717" spans="16:19" x14ac:dyDescent="0.25">
      <c r="P7717" s="27">
        <v>3.2548184716220556E-2</v>
      </c>
      <c r="Q7717" s="28">
        <f t="shared" si="124"/>
        <v>3.5548184716220559E-2</v>
      </c>
      <c r="R7717" s="29">
        <v>0.15</v>
      </c>
      <c r="S7717" s="30">
        <v>5.9499999999999997E-2</v>
      </c>
    </row>
    <row r="7718" spans="16:19" x14ac:dyDescent="0.25">
      <c r="P7718" s="27">
        <v>3.2548184716220556E-2</v>
      </c>
      <c r="Q7718" s="28">
        <f t="shared" si="124"/>
        <v>3.5548184716220559E-2</v>
      </c>
      <c r="R7718" s="29">
        <v>0.15</v>
      </c>
      <c r="S7718" s="30">
        <v>5.7540000000000001E-2</v>
      </c>
    </row>
    <row r="7719" spans="16:19" x14ac:dyDescent="0.25">
      <c r="P7719" s="27">
        <v>3.2548184716220556E-2</v>
      </c>
      <c r="Q7719" s="28">
        <f t="shared" si="124"/>
        <v>3.5548184716220559E-2</v>
      </c>
      <c r="R7719" s="29">
        <v>0.15</v>
      </c>
      <c r="S7719" s="30">
        <v>5.6729999999999996E-2</v>
      </c>
    </row>
    <row r="7720" spans="16:19" x14ac:dyDescent="0.25">
      <c r="P7720" s="27">
        <v>3.2548184716220556E-2</v>
      </c>
      <c r="Q7720" s="28">
        <f t="shared" si="124"/>
        <v>3.5548184716220559E-2</v>
      </c>
      <c r="R7720" s="29">
        <v>0.15</v>
      </c>
      <c r="S7720" s="30">
        <v>5.425E-2</v>
      </c>
    </row>
    <row r="7721" spans="16:19" x14ac:dyDescent="0.25">
      <c r="P7721" s="27">
        <v>3.2548184716220556E-2</v>
      </c>
      <c r="Q7721" s="28">
        <f t="shared" si="124"/>
        <v>3.5548184716220559E-2</v>
      </c>
      <c r="R7721" s="29">
        <v>0.15</v>
      </c>
      <c r="S7721" s="30">
        <v>5.4619999999999995E-2</v>
      </c>
    </row>
    <row r="7722" spans="16:19" x14ac:dyDescent="0.25">
      <c r="P7722" s="27">
        <v>3.2548184716220556E-2</v>
      </c>
      <c r="Q7722" s="28">
        <f t="shared" si="124"/>
        <v>3.5548184716220559E-2</v>
      </c>
      <c r="R7722" s="29">
        <v>0.15</v>
      </c>
      <c r="S7722" s="30">
        <v>5.6600000000000004E-2</v>
      </c>
    </row>
    <row r="7723" spans="16:19" x14ac:dyDescent="0.25">
      <c r="P7723" s="27">
        <v>3.2548184716220556E-2</v>
      </c>
      <c r="Q7723" s="28">
        <f t="shared" si="124"/>
        <v>3.5548184716220559E-2</v>
      </c>
      <c r="R7723" s="29">
        <v>0.15</v>
      </c>
      <c r="S7723" s="30">
        <v>5.9400000000000001E-2</v>
      </c>
    </row>
    <row r="7724" spans="16:19" x14ac:dyDescent="0.25">
      <c r="P7724" s="27">
        <v>3.2548184716220556E-2</v>
      </c>
      <c r="Q7724" s="28">
        <f t="shared" si="124"/>
        <v>3.5548184716220559E-2</v>
      </c>
      <c r="R7724" s="29">
        <v>0.15</v>
      </c>
      <c r="S7724" s="30">
        <v>6.4180000000000001E-2</v>
      </c>
    </row>
    <row r="7725" spans="16:19" x14ac:dyDescent="0.25">
      <c r="P7725" s="27">
        <v>3.2548184716220556E-2</v>
      </c>
      <c r="Q7725" s="28">
        <f t="shared" si="124"/>
        <v>3.5548184716220559E-2</v>
      </c>
      <c r="R7725" s="29">
        <v>0.15</v>
      </c>
      <c r="S7725" s="30">
        <v>7.6499999999999999E-2</v>
      </c>
    </row>
    <row r="7726" spans="16:19" x14ac:dyDescent="0.25">
      <c r="P7726" s="27">
        <v>3.2548184716220556E-2</v>
      </c>
      <c r="Q7726" s="28">
        <f t="shared" si="124"/>
        <v>3.5548184716220559E-2</v>
      </c>
      <c r="R7726" s="29">
        <v>0.15</v>
      </c>
      <c r="S7726" s="30">
        <v>7.0010000000000003E-2</v>
      </c>
    </row>
    <row r="7727" spans="16:19" x14ac:dyDescent="0.25">
      <c r="P7727" s="27">
        <v>3.2548184716220556E-2</v>
      </c>
      <c r="Q7727" s="28">
        <f t="shared" si="124"/>
        <v>3.5548184716220559E-2</v>
      </c>
      <c r="R7727" s="29">
        <v>0.15</v>
      </c>
      <c r="S7727" s="30">
        <v>5.9249999999999997E-2</v>
      </c>
    </row>
    <row r="7728" spans="16:19" x14ac:dyDescent="0.25">
      <c r="P7728" s="27">
        <v>3.2548184716220556E-2</v>
      </c>
      <c r="Q7728" s="28">
        <f t="shared" si="124"/>
        <v>3.5548184716220559E-2</v>
      </c>
      <c r="R7728" s="29">
        <v>0.15</v>
      </c>
      <c r="S7728" s="30">
        <v>5.57E-2</v>
      </c>
    </row>
    <row r="7729" spans="16:19" x14ac:dyDescent="0.25">
      <c r="P7729" s="27">
        <v>3.2548184716220556E-2</v>
      </c>
      <c r="Q7729" s="28">
        <f t="shared" si="124"/>
        <v>3.5548184716220559E-2</v>
      </c>
      <c r="R7729" s="29">
        <v>0.15</v>
      </c>
      <c r="S7729" s="30">
        <v>5.0709999999999998E-2</v>
      </c>
    </row>
    <row r="7730" spans="16:19" x14ac:dyDescent="0.25">
      <c r="P7730" s="27">
        <v>3.2548184716220556E-2</v>
      </c>
      <c r="Q7730" s="28">
        <f t="shared" si="124"/>
        <v>3.5548184716220559E-2</v>
      </c>
      <c r="R7730" s="29">
        <v>0.15</v>
      </c>
      <c r="S7730" s="30">
        <v>4.8710000000000003E-2</v>
      </c>
    </row>
    <row r="7731" spans="16:19" x14ac:dyDescent="0.25">
      <c r="P7731" s="27">
        <v>3.2548184716220556E-2</v>
      </c>
      <c r="Q7731" s="28">
        <f t="shared" si="124"/>
        <v>3.5548184716220559E-2</v>
      </c>
      <c r="R7731" s="29">
        <v>0.15</v>
      </c>
      <c r="S7731" s="30">
        <v>4.4999999999999998E-2</v>
      </c>
    </row>
    <row r="7732" spans="16:19" x14ac:dyDescent="0.25">
      <c r="P7732" s="27">
        <v>3.2548184716220556E-2</v>
      </c>
      <c r="Q7732" s="28">
        <f t="shared" si="124"/>
        <v>3.5548184716220559E-2</v>
      </c>
      <c r="R7732" s="29">
        <v>0.15</v>
      </c>
      <c r="S7732" s="30">
        <v>3.9030000000000002E-2</v>
      </c>
    </row>
    <row r="7733" spans="16:19" x14ac:dyDescent="0.25">
      <c r="P7733" s="27">
        <v>3.2548184716220556E-2</v>
      </c>
      <c r="Q7733" s="28">
        <f t="shared" si="124"/>
        <v>3.5548184716220559E-2</v>
      </c>
      <c r="R7733" s="29">
        <v>0.15</v>
      </c>
      <c r="S7733" s="30">
        <v>3.5869999999999999E-2</v>
      </c>
    </row>
    <row r="7734" spans="16:19" x14ac:dyDescent="0.25">
      <c r="P7734" s="27">
        <v>3.2548184716220556E-2</v>
      </c>
      <c r="Q7734" s="28">
        <f t="shared" si="124"/>
        <v>3.5548184716220559E-2</v>
      </c>
      <c r="R7734" s="29">
        <v>0.15</v>
      </c>
      <c r="S7734" s="30">
        <v>3.209E-2</v>
      </c>
    </row>
    <row r="7735" spans="16:19" x14ac:dyDescent="0.25">
      <c r="P7735" s="27">
        <v>3.2548184716220556E-2</v>
      </c>
      <c r="Q7735" s="28">
        <f t="shared" si="124"/>
        <v>3.5548184716220559E-2</v>
      </c>
      <c r="R7735" s="29">
        <v>0.15</v>
      </c>
      <c r="S7735" s="30">
        <v>3.1E-2</v>
      </c>
    </row>
    <row r="7736" spans="16:19" x14ac:dyDescent="0.25">
      <c r="P7736" s="27">
        <v>3.2548184716220556E-2</v>
      </c>
      <c r="Q7736" s="28">
        <f t="shared" si="124"/>
        <v>3.5548184716220559E-2</v>
      </c>
      <c r="R7736" s="29">
        <v>0.15</v>
      </c>
      <c r="S7736" s="30">
        <v>3.2864088E-2</v>
      </c>
    </row>
    <row r="7737" spans="16:19" x14ac:dyDescent="0.25">
      <c r="P7737" s="27">
        <v>3.2548184716220556E-2</v>
      </c>
      <c r="Q7737" s="28">
        <f t="shared" si="124"/>
        <v>3.5548184716220559E-2</v>
      </c>
      <c r="R7737" s="29">
        <v>0.15</v>
      </c>
      <c r="S7737" s="30">
        <v>3.857E-2</v>
      </c>
    </row>
    <row r="7738" spans="16:19" x14ac:dyDescent="0.25">
      <c r="P7738" s="27">
        <v>3.2548184716220556E-2</v>
      </c>
      <c r="Q7738" s="28">
        <f t="shared" si="124"/>
        <v>3.5548184716220559E-2</v>
      </c>
      <c r="R7738" s="29">
        <v>0.15</v>
      </c>
      <c r="S7738" s="30">
        <v>5.1299999999999998E-2</v>
      </c>
    </row>
    <row r="7739" spans="16:19" x14ac:dyDescent="0.25">
      <c r="P7739" s="27">
        <v>3.2548184716220556E-2</v>
      </c>
      <c r="Q7739" s="28">
        <f t="shared" si="124"/>
        <v>3.5548184716220559E-2</v>
      </c>
      <c r="R7739" s="31">
        <v>0.15939660775771733</v>
      </c>
      <c r="S7739" s="32">
        <v>5.8409999999999997E-2</v>
      </c>
    </row>
    <row r="7740" spans="16:19" x14ac:dyDescent="0.25">
      <c r="P7740" s="27">
        <v>3.2548184716220556E-2</v>
      </c>
      <c r="Q7740" s="28">
        <f t="shared" si="124"/>
        <v>3.5548184716220559E-2</v>
      </c>
      <c r="R7740" s="33">
        <v>0.16282860775771735</v>
      </c>
      <c r="S7740" s="34">
        <v>6.4349999999999991E-2</v>
      </c>
    </row>
    <row r="7741" spans="16:19" x14ac:dyDescent="0.25">
      <c r="P7741" s="27">
        <v>3.2548184716220556E-2</v>
      </c>
      <c r="Q7741" s="28">
        <f t="shared" si="124"/>
        <v>3.5548184716220559E-2</v>
      </c>
      <c r="R7741" s="33">
        <v>0.16282860775771735</v>
      </c>
      <c r="S7741" s="34">
        <v>6.4010000000000011E-2</v>
      </c>
    </row>
    <row r="7742" spans="16:19" x14ac:dyDescent="0.25">
      <c r="P7742" s="27">
        <v>3.2548184716220556E-2</v>
      </c>
      <c r="Q7742" s="28">
        <f t="shared" si="124"/>
        <v>3.5548184716220559E-2</v>
      </c>
      <c r="R7742" s="33">
        <v>0.16282860775771735</v>
      </c>
      <c r="S7742" s="34">
        <v>5.8799999999999998E-2</v>
      </c>
    </row>
    <row r="7743" spans="16:19" x14ac:dyDescent="0.25">
      <c r="P7743" s="27">
        <v>3.2548184716220556E-2</v>
      </c>
      <c r="Q7743" s="28">
        <f t="shared" si="124"/>
        <v>3.5548184716220559E-2</v>
      </c>
      <c r="R7743" s="33">
        <v>0.16282860775771735</v>
      </c>
      <c r="S7743" s="34">
        <v>5.8459999999999998E-2</v>
      </c>
    </row>
    <row r="7744" spans="16:19" x14ac:dyDescent="0.25">
      <c r="P7744" s="27">
        <v>3.2548184716220556E-2</v>
      </c>
      <c r="Q7744" s="28">
        <f t="shared" si="124"/>
        <v>3.5548184716220559E-2</v>
      </c>
      <c r="R7744" s="33">
        <v>0.16282860775771735</v>
      </c>
      <c r="S7744" s="34">
        <v>5.5539999999999999E-2</v>
      </c>
    </row>
    <row r="7745" spans="16:19" x14ac:dyDescent="0.25">
      <c r="P7745" s="27">
        <v>3.2548184716220556E-2</v>
      </c>
      <c r="Q7745" s="28">
        <f t="shared" si="124"/>
        <v>3.5548184716220559E-2</v>
      </c>
      <c r="R7745" s="33">
        <v>0.16282860775771735</v>
      </c>
      <c r="S7745" s="34">
        <v>5.5560000000000005E-2</v>
      </c>
    </row>
    <row r="7746" spans="16:19" x14ac:dyDescent="0.25">
      <c r="P7746" s="27">
        <v>3.2548184716220556E-2</v>
      </c>
      <c r="Q7746" s="28">
        <f t="shared" si="124"/>
        <v>3.5548184716220559E-2</v>
      </c>
      <c r="R7746" s="33">
        <v>0.16282860775771735</v>
      </c>
      <c r="S7746" s="34">
        <v>5.9040000000000002E-2</v>
      </c>
    </row>
    <row r="7747" spans="16:19" x14ac:dyDescent="0.25">
      <c r="P7747" s="27">
        <v>3.2548184716220556E-2</v>
      </c>
      <c r="Q7747" s="28">
        <f t="shared" si="124"/>
        <v>3.5548184716220559E-2</v>
      </c>
      <c r="R7747" s="33">
        <v>0.16282860775771735</v>
      </c>
      <c r="S7747" s="34">
        <v>6.615E-2</v>
      </c>
    </row>
    <row r="7748" spans="16:19" x14ac:dyDescent="0.25">
      <c r="P7748" s="27">
        <v>3.2548184716220556E-2</v>
      </c>
      <c r="Q7748" s="28">
        <f t="shared" si="124"/>
        <v>3.5548184716220559E-2</v>
      </c>
      <c r="R7748" s="33">
        <v>0.16282860775771735</v>
      </c>
      <c r="S7748" s="34">
        <v>7.2700000000000001E-2</v>
      </c>
    </row>
    <row r="7749" spans="16:19" x14ac:dyDescent="0.25">
      <c r="P7749" s="27">
        <v>3.2548184716220556E-2</v>
      </c>
      <c r="Q7749" s="28">
        <f t="shared" ref="Q7749:Q7812" si="125">P7749+0.003</f>
        <v>3.5548184716220559E-2</v>
      </c>
      <c r="R7749" s="33">
        <v>0.16282860775771735</v>
      </c>
      <c r="S7749" s="34">
        <v>9.1938685000000006E-2</v>
      </c>
    </row>
    <row r="7750" spans="16:19" x14ac:dyDescent="0.25">
      <c r="P7750" s="27">
        <v>3.2548184716220556E-2</v>
      </c>
      <c r="Q7750" s="28">
        <f t="shared" si="125"/>
        <v>3.5548184716220559E-2</v>
      </c>
      <c r="R7750" s="33">
        <v>0.16282860775771735</v>
      </c>
      <c r="S7750" s="34">
        <v>7.1470000000000006E-2</v>
      </c>
    </row>
    <row r="7751" spans="16:19" x14ac:dyDescent="0.25">
      <c r="P7751" s="27">
        <v>3.2548184716220556E-2</v>
      </c>
      <c r="Q7751" s="28">
        <f t="shared" si="125"/>
        <v>3.5548184716220559E-2</v>
      </c>
      <c r="R7751" s="31">
        <v>0.15939660775771733</v>
      </c>
      <c r="S7751" s="32">
        <v>6.3049999999999995E-2</v>
      </c>
    </row>
    <row r="7752" spans="16:19" x14ac:dyDescent="0.25">
      <c r="P7752" s="27">
        <v>3.2548184716220556E-2</v>
      </c>
      <c r="Q7752" s="28">
        <f t="shared" si="125"/>
        <v>3.5548184716220559E-2</v>
      </c>
      <c r="R7752" s="31">
        <v>0.15939660775771733</v>
      </c>
      <c r="S7752" s="32">
        <v>5.5549999999999995E-2</v>
      </c>
    </row>
    <row r="7753" spans="16:19" x14ac:dyDescent="0.25">
      <c r="P7753" s="27">
        <v>3.2548184716220556E-2</v>
      </c>
      <c r="Q7753" s="28">
        <f t="shared" si="125"/>
        <v>3.5548184716220559E-2</v>
      </c>
      <c r="R7753" s="31">
        <v>0.15939660775771733</v>
      </c>
      <c r="S7753" s="32">
        <v>5.3800000000000001E-2</v>
      </c>
    </row>
    <row r="7754" spans="16:19" x14ac:dyDescent="0.25">
      <c r="P7754" s="27">
        <v>3.2548184716220556E-2</v>
      </c>
      <c r="Q7754" s="28">
        <f t="shared" si="125"/>
        <v>3.5548184716220559E-2</v>
      </c>
      <c r="R7754" s="31">
        <v>0.15939660775771733</v>
      </c>
      <c r="S7754" s="32">
        <v>5.1150000000000001E-2</v>
      </c>
    </row>
    <row r="7755" spans="16:19" x14ac:dyDescent="0.25">
      <c r="P7755" s="27">
        <v>3.2548184716220556E-2</v>
      </c>
      <c r="Q7755" s="28">
        <f t="shared" si="125"/>
        <v>3.5548184716220559E-2</v>
      </c>
      <c r="R7755" s="29">
        <v>0.15003660775771735</v>
      </c>
      <c r="S7755" s="30">
        <v>4.8579999999999998E-2</v>
      </c>
    </row>
    <row r="7756" spans="16:19" x14ac:dyDescent="0.25">
      <c r="P7756" s="27">
        <v>3.2548184716220556E-2</v>
      </c>
      <c r="Q7756" s="28">
        <f t="shared" si="125"/>
        <v>3.5548184716220559E-2</v>
      </c>
      <c r="R7756" s="29">
        <v>0.15003660775771735</v>
      </c>
      <c r="S7756" s="30">
        <v>4.2000000000000003E-2</v>
      </c>
    </row>
    <row r="7757" spans="16:19" x14ac:dyDescent="0.25">
      <c r="P7757" s="27">
        <v>3.2548184716220556E-2</v>
      </c>
      <c r="Q7757" s="28">
        <f t="shared" si="125"/>
        <v>3.5548184716220559E-2</v>
      </c>
      <c r="R7757" s="29">
        <v>0.15003660775771735</v>
      </c>
      <c r="S7757" s="30">
        <v>3.7999999999999999E-2</v>
      </c>
    </row>
    <row r="7758" spans="16:19" x14ac:dyDescent="0.25">
      <c r="P7758" s="27">
        <v>3.2548184716220556E-2</v>
      </c>
      <c r="Q7758" s="28">
        <f t="shared" si="125"/>
        <v>3.5548184716220559E-2</v>
      </c>
      <c r="R7758" s="29">
        <v>0.15003660775771735</v>
      </c>
      <c r="S7758" s="30">
        <v>3.5590000000000004E-2</v>
      </c>
    </row>
    <row r="7759" spans="16:19" x14ac:dyDescent="0.25">
      <c r="P7759" s="27">
        <v>3.2548184716220556E-2</v>
      </c>
      <c r="Q7759" s="28">
        <f t="shared" si="125"/>
        <v>3.5548184716220559E-2</v>
      </c>
      <c r="R7759" s="29">
        <v>0.15003660775771735</v>
      </c>
      <c r="S7759" s="30">
        <v>3.5590000000000004E-2</v>
      </c>
    </row>
    <row r="7760" spans="16:19" x14ac:dyDescent="0.25">
      <c r="P7760" s="27">
        <v>3.2548184716220556E-2</v>
      </c>
      <c r="Q7760" s="28">
        <f t="shared" si="125"/>
        <v>3.5548184716220559E-2</v>
      </c>
      <c r="R7760" s="29">
        <v>0.15003660775771735</v>
      </c>
      <c r="S7760" s="30">
        <v>3.5590000000000004E-2</v>
      </c>
    </row>
    <row r="7761" spans="16:19" x14ac:dyDescent="0.25">
      <c r="P7761" s="27">
        <v>3.2548184716220556E-2</v>
      </c>
      <c r="Q7761" s="28">
        <f t="shared" si="125"/>
        <v>3.5548184716220559E-2</v>
      </c>
      <c r="R7761" s="29">
        <v>0.15003660775771735</v>
      </c>
      <c r="S7761" s="30">
        <v>4.2130000000000001E-2</v>
      </c>
    </row>
    <row r="7762" spans="16:19" x14ac:dyDescent="0.25">
      <c r="P7762" s="27">
        <v>3.2548184716220556E-2</v>
      </c>
      <c r="Q7762" s="28">
        <f t="shared" si="125"/>
        <v>3.5548184716220559E-2</v>
      </c>
      <c r="R7762" s="29">
        <v>0.15003660775771735</v>
      </c>
      <c r="S7762" s="30">
        <v>5.4149999999999997E-2</v>
      </c>
    </row>
    <row r="7763" spans="16:19" x14ac:dyDescent="0.25">
      <c r="P7763" s="27">
        <v>3.2548184716220556E-2</v>
      </c>
      <c r="Q7763" s="28">
        <f t="shared" si="125"/>
        <v>3.5548184716220559E-2</v>
      </c>
      <c r="R7763" s="31">
        <v>0.15939660775771733</v>
      </c>
      <c r="S7763" s="32">
        <v>5.7110000000000001E-2</v>
      </c>
    </row>
    <row r="7764" spans="16:19" x14ac:dyDescent="0.25">
      <c r="P7764" s="27">
        <v>3.2548184716220556E-2</v>
      </c>
      <c r="Q7764" s="28">
        <f t="shared" si="125"/>
        <v>3.5548184716220559E-2</v>
      </c>
      <c r="R7764" s="33">
        <v>0.16282860775771735</v>
      </c>
      <c r="S7764" s="34">
        <v>6.2285032000000004E-2</v>
      </c>
    </row>
    <row r="7765" spans="16:19" x14ac:dyDescent="0.25">
      <c r="P7765" s="27">
        <v>3.2548184716220556E-2</v>
      </c>
      <c r="Q7765" s="28">
        <f t="shared" si="125"/>
        <v>3.5548184716220559E-2</v>
      </c>
      <c r="R7765" s="33">
        <v>0.16282860775771735</v>
      </c>
      <c r="S7765" s="34">
        <v>5.9799999999999999E-2</v>
      </c>
    </row>
    <row r="7766" spans="16:19" x14ac:dyDescent="0.25">
      <c r="P7766" s="27">
        <v>3.2548184716220556E-2</v>
      </c>
      <c r="Q7766" s="28">
        <f t="shared" si="125"/>
        <v>3.5548184716220559E-2</v>
      </c>
      <c r="R7766" s="33">
        <v>0.16282860775771735</v>
      </c>
      <c r="S7766" s="34">
        <v>5.6570000000000002E-2</v>
      </c>
    </row>
    <row r="7767" spans="16:19" x14ac:dyDescent="0.25">
      <c r="P7767" s="27">
        <v>3.2548184716220556E-2</v>
      </c>
      <c r="Q7767" s="28">
        <f t="shared" si="125"/>
        <v>3.5548184716220559E-2</v>
      </c>
      <c r="R7767" s="33">
        <v>0.16282860775771735</v>
      </c>
      <c r="S7767" s="34">
        <v>5.5820000000000002E-2</v>
      </c>
    </row>
    <row r="7768" spans="16:19" x14ac:dyDescent="0.25">
      <c r="P7768" s="27">
        <v>3.2548184716220556E-2</v>
      </c>
      <c r="Q7768" s="28">
        <f t="shared" si="125"/>
        <v>3.5548184716220559E-2</v>
      </c>
      <c r="R7768" s="33">
        <v>0.16282860775771735</v>
      </c>
      <c r="S7768" s="34">
        <v>5.3880000000000004E-2</v>
      </c>
    </row>
    <row r="7769" spans="16:19" x14ac:dyDescent="0.25">
      <c r="P7769" s="27">
        <v>3.2548184716220556E-2</v>
      </c>
      <c r="Q7769" s="28">
        <f t="shared" si="125"/>
        <v>3.5548184716220559E-2</v>
      </c>
      <c r="R7769" s="33">
        <v>0.16282860775771735</v>
      </c>
      <c r="S7769" s="34">
        <v>5.3770000000000005E-2</v>
      </c>
    </row>
    <row r="7770" spans="16:19" x14ac:dyDescent="0.25">
      <c r="P7770" s="27">
        <v>3.2548184716220556E-2</v>
      </c>
      <c r="Q7770" s="28">
        <f t="shared" si="125"/>
        <v>3.5548184716220559E-2</v>
      </c>
      <c r="R7770" s="33">
        <v>0.16282860775771735</v>
      </c>
      <c r="S7770" s="34">
        <v>5.568E-2</v>
      </c>
    </row>
    <row r="7771" spans="16:19" x14ac:dyDescent="0.25">
      <c r="P7771" s="27">
        <v>3.2548184716220556E-2</v>
      </c>
      <c r="Q7771" s="28">
        <f t="shared" si="125"/>
        <v>3.5548184716220559E-2</v>
      </c>
      <c r="R7771" s="33">
        <v>0.16282860775771735</v>
      </c>
      <c r="S7771" s="34">
        <v>6.0929999999999998E-2</v>
      </c>
    </row>
    <row r="7772" spans="16:19" x14ac:dyDescent="0.25">
      <c r="P7772" s="27">
        <v>3.2548184716220556E-2</v>
      </c>
      <c r="Q7772" s="28">
        <f t="shared" si="125"/>
        <v>3.5548184716220559E-2</v>
      </c>
      <c r="R7772" s="33">
        <v>0.16282860775771735</v>
      </c>
      <c r="S7772" s="34">
        <v>6.7110000000000003E-2</v>
      </c>
    </row>
    <row r="7773" spans="16:19" x14ac:dyDescent="0.25">
      <c r="P7773" s="27">
        <v>3.2548184716220556E-2</v>
      </c>
      <c r="Q7773" s="28">
        <f t="shared" si="125"/>
        <v>3.5548184716220559E-2</v>
      </c>
      <c r="R7773" s="33">
        <v>0.16282860775771735</v>
      </c>
      <c r="S7773" s="34">
        <v>8.4390000000000007E-2</v>
      </c>
    </row>
    <row r="7774" spans="16:19" x14ac:dyDescent="0.25">
      <c r="P7774" s="27">
        <v>3.2548184716220556E-2</v>
      </c>
      <c r="Q7774" s="28">
        <f t="shared" si="125"/>
        <v>3.5548184716220559E-2</v>
      </c>
      <c r="R7774" s="33">
        <v>0.16282860775771735</v>
      </c>
      <c r="S7774" s="34">
        <v>6.7409999999999998E-2</v>
      </c>
    </row>
    <row r="7775" spans="16:19" x14ac:dyDescent="0.25">
      <c r="P7775" s="27">
        <v>3.2548184716220556E-2</v>
      </c>
      <c r="Q7775" s="28">
        <f t="shared" si="125"/>
        <v>3.5548184716220559E-2</v>
      </c>
      <c r="R7775" s="31">
        <v>0.15939660775771733</v>
      </c>
      <c r="S7775" s="32">
        <v>5.9090000000000004E-2</v>
      </c>
    </row>
    <row r="7776" spans="16:19" x14ac:dyDescent="0.25">
      <c r="P7776" s="27">
        <v>3.2548184716220556E-2</v>
      </c>
      <c r="Q7776" s="28">
        <f t="shared" si="125"/>
        <v>3.5548184716220559E-2</v>
      </c>
      <c r="R7776" s="31">
        <v>0.15939660775771733</v>
      </c>
      <c r="S7776" s="32">
        <v>5.3999999999999999E-2</v>
      </c>
    </row>
    <row r="7777" spans="16:19" x14ac:dyDescent="0.25">
      <c r="P7777" s="27">
        <v>3.2548184716220556E-2</v>
      </c>
      <c r="Q7777" s="28">
        <f t="shared" si="125"/>
        <v>3.5548184716220559E-2</v>
      </c>
      <c r="R7777" s="31">
        <v>0.15939660775771733</v>
      </c>
      <c r="S7777" s="32">
        <v>5.0029999999999998E-2</v>
      </c>
    </row>
    <row r="7778" spans="16:19" x14ac:dyDescent="0.25">
      <c r="P7778" s="27">
        <v>3.2548184716220556E-2</v>
      </c>
      <c r="Q7778" s="28">
        <f t="shared" si="125"/>
        <v>3.5548184716220559E-2</v>
      </c>
      <c r="R7778" s="31">
        <v>0.15939660775771733</v>
      </c>
      <c r="S7778" s="32">
        <v>4.9200000000000001E-2</v>
      </c>
    </row>
    <row r="7779" spans="16:19" x14ac:dyDescent="0.25">
      <c r="P7779" s="27">
        <v>3.2548184716220556E-2</v>
      </c>
      <c r="Q7779" s="28">
        <f t="shared" si="125"/>
        <v>3.5548184716220559E-2</v>
      </c>
      <c r="R7779" s="29">
        <v>0.15003660775771735</v>
      </c>
      <c r="S7779" s="30">
        <v>4.7E-2</v>
      </c>
    </row>
    <row r="7780" spans="16:19" x14ac:dyDescent="0.25">
      <c r="P7780" s="27">
        <v>3.2548184716220556E-2</v>
      </c>
      <c r="Q7780" s="28">
        <f t="shared" si="125"/>
        <v>3.5548184716220559E-2</v>
      </c>
      <c r="R7780" s="29">
        <v>0.15003660775771735</v>
      </c>
      <c r="S7780" s="30">
        <v>4.6079999999999996E-2</v>
      </c>
    </row>
    <row r="7781" spans="16:19" x14ac:dyDescent="0.25">
      <c r="P7781" s="27">
        <v>3.2548184716220556E-2</v>
      </c>
      <c r="Q7781" s="28">
        <f t="shared" si="125"/>
        <v>3.5548184716220559E-2</v>
      </c>
      <c r="R7781" s="29">
        <v>0.15003660775771735</v>
      </c>
      <c r="S7781" s="30">
        <v>4.1046152999999995E-2</v>
      </c>
    </row>
    <row r="7782" spans="16:19" x14ac:dyDescent="0.25">
      <c r="P7782" s="27">
        <v>3.2548184716220556E-2</v>
      </c>
      <c r="Q7782" s="28">
        <f t="shared" si="125"/>
        <v>3.5548184716220559E-2</v>
      </c>
      <c r="R7782" s="29">
        <v>0.15003660775771735</v>
      </c>
      <c r="S7782" s="30">
        <v>3.6580000000000001E-2</v>
      </c>
    </row>
    <row r="7783" spans="16:19" x14ac:dyDescent="0.25">
      <c r="P7783" s="27">
        <v>3.2548184716220556E-2</v>
      </c>
      <c r="Q7783" s="28">
        <f t="shared" si="125"/>
        <v>3.5548184716220559E-2</v>
      </c>
      <c r="R7783" s="29">
        <v>0.15003660775771735</v>
      </c>
      <c r="S7783" s="30">
        <v>3.7010000000000001E-2</v>
      </c>
    </row>
    <row r="7784" spans="16:19" x14ac:dyDescent="0.25">
      <c r="P7784" s="27">
        <v>3.2548184716220556E-2</v>
      </c>
      <c r="Q7784" s="28">
        <f t="shared" si="125"/>
        <v>3.5548184716220559E-2</v>
      </c>
      <c r="R7784" s="29">
        <v>0.15003660775771735</v>
      </c>
      <c r="S7784" s="30">
        <v>3.6569999999999998E-2</v>
      </c>
    </row>
    <row r="7785" spans="16:19" x14ac:dyDescent="0.25">
      <c r="P7785" s="27">
        <v>3.2548184716220556E-2</v>
      </c>
      <c r="Q7785" s="28">
        <f t="shared" si="125"/>
        <v>3.5548184716220559E-2</v>
      </c>
      <c r="R7785" s="29">
        <v>0.15003660775771735</v>
      </c>
      <c r="S7785" s="30">
        <v>4.3459999999999999E-2</v>
      </c>
    </row>
    <row r="7786" spans="16:19" x14ac:dyDescent="0.25">
      <c r="P7786" s="27">
        <v>3.2548184716220556E-2</v>
      </c>
      <c r="Q7786" s="28">
        <f t="shared" si="125"/>
        <v>3.5548184716220559E-2</v>
      </c>
      <c r="R7786" s="29">
        <v>0.15003660775771735</v>
      </c>
      <c r="S7786" s="30">
        <v>5.7009999999999998E-2</v>
      </c>
    </row>
    <row r="7787" spans="16:19" x14ac:dyDescent="0.25">
      <c r="P7787" s="27">
        <v>3.2548184716220556E-2</v>
      </c>
      <c r="Q7787" s="28">
        <f t="shared" si="125"/>
        <v>3.5548184716220559E-2</v>
      </c>
      <c r="R7787" s="31">
        <v>0.15939660775771733</v>
      </c>
      <c r="S7787" s="32">
        <v>5.849E-2</v>
      </c>
    </row>
    <row r="7788" spans="16:19" x14ac:dyDescent="0.25">
      <c r="P7788" s="27">
        <v>3.2548184716220556E-2</v>
      </c>
      <c r="Q7788" s="28">
        <f t="shared" si="125"/>
        <v>3.5548184716220559E-2</v>
      </c>
      <c r="R7788" s="33">
        <v>0.16282860775771735</v>
      </c>
      <c r="S7788" s="34">
        <v>6.4010000000000011E-2</v>
      </c>
    </row>
    <row r="7789" spans="16:19" x14ac:dyDescent="0.25">
      <c r="P7789" s="27">
        <v>3.2548184716220556E-2</v>
      </c>
      <c r="Q7789" s="28">
        <f t="shared" si="125"/>
        <v>3.5548184716220559E-2</v>
      </c>
      <c r="R7789" s="33">
        <v>0.16282860775771735</v>
      </c>
      <c r="S7789" s="34">
        <v>6.1149999999999996E-2</v>
      </c>
    </row>
    <row r="7790" spans="16:19" x14ac:dyDescent="0.25">
      <c r="P7790" s="27">
        <v>3.2548184716220556E-2</v>
      </c>
      <c r="Q7790" s="28">
        <f t="shared" si="125"/>
        <v>3.5548184716220559E-2</v>
      </c>
      <c r="R7790" s="33">
        <v>0.16282860775771735</v>
      </c>
      <c r="S7790" s="34">
        <v>5.738E-2</v>
      </c>
    </row>
    <row r="7791" spans="16:19" x14ac:dyDescent="0.25">
      <c r="P7791" s="27">
        <v>3.2548184716220556E-2</v>
      </c>
      <c r="Q7791" s="28">
        <f t="shared" si="125"/>
        <v>3.5548184716220559E-2</v>
      </c>
      <c r="R7791" s="33">
        <v>0.16282860775771735</v>
      </c>
      <c r="S7791" s="34">
        <v>5.5882390000000004E-2</v>
      </c>
    </row>
    <row r="7792" spans="16:19" x14ac:dyDescent="0.25">
      <c r="P7792" s="27">
        <v>3.2548184716220556E-2</v>
      </c>
      <c r="Q7792" s="28">
        <f t="shared" si="125"/>
        <v>3.5548184716220559E-2</v>
      </c>
      <c r="R7792" s="33">
        <v>0.16282860775771735</v>
      </c>
      <c r="S7792" s="34">
        <v>5.1529999999999999E-2</v>
      </c>
    </row>
    <row r="7793" spans="16:19" x14ac:dyDescent="0.25">
      <c r="P7793" s="27">
        <v>3.2548184716220556E-2</v>
      </c>
      <c r="Q7793" s="28">
        <f t="shared" si="125"/>
        <v>3.5548184716220559E-2</v>
      </c>
      <c r="R7793" s="33">
        <v>0.16282860775771735</v>
      </c>
      <c r="S7793" s="34">
        <v>5.0799999999999998E-2</v>
      </c>
    </row>
    <row r="7794" spans="16:19" x14ac:dyDescent="0.25">
      <c r="P7794" s="27">
        <v>3.2548184716220556E-2</v>
      </c>
      <c r="Q7794" s="28">
        <f t="shared" si="125"/>
        <v>3.5548184716220559E-2</v>
      </c>
      <c r="R7794" s="33">
        <v>0.16282860775771735</v>
      </c>
      <c r="S7794" s="34">
        <v>5.5500000000000001E-2</v>
      </c>
    </row>
    <row r="7795" spans="16:19" x14ac:dyDescent="0.25">
      <c r="P7795" s="27">
        <v>3.2548184716220556E-2</v>
      </c>
      <c r="Q7795" s="28">
        <f t="shared" si="125"/>
        <v>3.5548184716220559E-2</v>
      </c>
      <c r="R7795" s="33">
        <v>0.16282860775771735</v>
      </c>
      <c r="S7795" s="34">
        <v>5.9685288000000003E-2</v>
      </c>
    </row>
    <row r="7796" spans="16:19" x14ac:dyDescent="0.25">
      <c r="P7796" s="27">
        <v>3.2548184716220556E-2</v>
      </c>
      <c r="Q7796" s="28">
        <f t="shared" si="125"/>
        <v>3.5548184716220559E-2</v>
      </c>
      <c r="R7796" s="33">
        <v>0.16282860775771735</v>
      </c>
      <c r="S7796" s="34">
        <v>6.6842297999999994E-2</v>
      </c>
    </row>
    <row r="7797" spans="16:19" x14ac:dyDescent="0.25">
      <c r="P7797" s="27">
        <v>3.2548184716220556E-2</v>
      </c>
      <c r="Q7797" s="28">
        <f t="shared" si="125"/>
        <v>3.5548184716220559E-2</v>
      </c>
      <c r="R7797" s="33">
        <v>0.16282860775771735</v>
      </c>
      <c r="S7797" s="34">
        <v>7.6620000000000008E-2</v>
      </c>
    </row>
    <row r="7798" spans="16:19" x14ac:dyDescent="0.25">
      <c r="P7798" s="27">
        <v>3.2548184716220556E-2</v>
      </c>
      <c r="Q7798" s="28">
        <f t="shared" si="125"/>
        <v>3.5548184716220559E-2</v>
      </c>
      <c r="R7798" s="33">
        <v>0.16282860775771735</v>
      </c>
      <c r="S7798" s="34">
        <v>6.0590000000000005E-2</v>
      </c>
    </row>
    <row r="7799" spans="16:19" x14ac:dyDescent="0.25">
      <c r="P7799" s="27">
        <v>3.2548184716220556E-2</v>
      </c>
      <c r="Q7799" s="28">
        <f t="shared" si="125"/>
        <v>3.5548184716220559E-2</v>
      </c>
      <c r="R7799" s="31">
        <v>0.15939660775771733</v>
      </c>
      <c r="S7799" s="32">
        <v>5.7270000000000001E-2</v>
      </c>
    </row>
    <row r="7800" spans="16:19" x14ac:dyDescent="0.25">
      <c r="P7800" s="27">
        <v>3.2548184716220556E-2</v>
      </c>
      <c r="Q7800" s="28">
        <f t="shared" si="125"/>
        <v>3.5548184716220559E-2</v>
      </c>
      <c r="R7800" s="31">
        <v>0.15939660775771733</v>
      </c>
      <c r="S7800" s="32">
        <v>5.0560000000000001E-2</v>
      </c>
    </row>
    <row r="7801" spans="16:19" x14ac:dyDescent="0.25">
      <c r="P7801" s="27">
        <v>3.2548184716220556E-2</v>
      </c>
      <c r="Q7801" s="28">
        <f t="shared" si="125"/>
        <v>3.5548184716220559E-2</v>
      </c>
      <c r="R7801" s="31">
        <v>0.15939660775771733</v>
      </c>
      <c r="S7801" s="32">
        <v>4.3799999999999999E-2</v>
      </c>
    </row>
    <row r="7802" spans="16:19" x14ac:dyDescent="0.25">
      <c r="P7802" s="27">
        <v>3.2548184716220556E-2</v>
      </c>
      <c r="Q7802" s="28">
        <f t="shared" si="125"/>
        <v>3.5548184716220559E-2</v>
      </c>
      <c r="R7802" s="31">
        <v>0.15939660775771733</v>
      </c>
      <c r="S7802" s="32">
        <v>4.8000000000000001E-2</v>
      </c>
    </row>
    <row r="7803" spans="16:19" x14ac:dyDescent="0.25">
      <c r="P7803" s="27">
        <v>3.2548184716220556E-2</v>
      </c>
      <c r="Q7803" s="28">
        <f t="shared" si="125"/>
        <v>3.5548184716220559E-2</v>
      </c>
      <c r="R7803" s="29">
        <v>0.15003660775771735</v>
      </c>
      <c r="S7803" s="30">
        <v>4.9779999999999998E-2</v>
      </c>
    </row>
    <row r="7804" spans="16:19" x14ac:dyDescent="0.25">
      <c r="P7804" s="27">
        <v>3.2548184716220556E-2</v>
      </c>
      <c r="Q7804" s="28">
        <f t="shared" si="125"/>
        <v>3.5548184716220559E-2</v>
      </c>
      <c r="R7804" s="29">
        <v>0.15003660775771735</v>
      </c>
      <c r="S7804" s="30">
        <v>0.05</v>
      </c>
    </row>
    <row r="7805" spans="16:19" x14ac:dyDescent="0.25">
      <c r="P7805" s="27">
        <v>3.2548184716220556E-2</v>
      </c>
      <c r="Q7805" s="28">
        <f t="shared" si="125"/>
        <v>3.5548184716220559E-2</v>
      </c>
      <c r="R7805" s="29">
        <v>0.15003660775771735</v>
      </c>
      <c r="S7805" s="30">
        <v>4.7647254E-2</v>
      </c>
    </row>
    <row r="7806" spans="16:19" x14ac:dyDescent="0.25">
      <c r="P7806" s="27">
        <v>3.2548184716220556E-2</v>
      </c>
      <c r="Q7806" s="28">
        <f t="shared" si="125"/>
        <v>3.5548184716220559E-2</v>
      </c>
      <c r="R7806" s="29">
        <v>0.15003660775771735</v>
      </c>
      <c r="S7806" s="30">
        <v>4.1189999999999997E-2</v>
      </c>
    </row>
    <row r="7807" spans="16:19" x14ac:dyDescent="0.25">
      <c r="P7807" s="27">
        <v>3.2548184716220556E-2</v>
      </c>
      <c r="Q7807" s="28">
        <f t="shared" si="125"/>
        <v>3.5548184716220559E-2</v>
      </c>
      <c r="R7807" s="29">
        <v>0.15003660775771735</v>
      </c>
      <c r="S7807" s="30">
        <v>4.0124870999999999E-2</v>
      </c>
    </row>
    <row r="7808" spans="16:19" x14ac:dyDescent="0.25">
      <c r="P7808" s="27">
        <v>3.2548184716220556E-2</v>
      </c>
      <c r="Q7808" s="28">
        <f t="shared" si="125"/>
        <v>3.5548184716220559E-2</v>
      </c>
      <c r="R7808" s="29">
        <v>0.15003660775771735</v>
      </c>
      <c r="S7808" s="30">
        <v>3.9450000000000006E-2</v>
      </c>
    </row>
    <row r="7809" spans="16:19" x14ac:dyDescent="0.25">
      <c r="P7809" s="27">
        <v>3.2548184716220556E-2</v>
      </c>
      <c r="Q7809" s="28">
        <f t="shared" si="125"/>
        <v>3.5548184716220559E-2</v>
      </c>
      <c r="R7809" s="29">
        <v>0.15003660775771735</v>
      </c>
      <c r="S7809" s="30">
        <v>4.1450000000000001E-2</v>
      </c>
    </row>
    <row r="7810" spans="16:19" x14ac:dyDescent="0.25">
      <c r="P7810" s="27">
        <v>3.2548184716220556E-2</v>
      </c>
      <c r="Q7810" s="28">
        <f t="shared" si="125"/>
        <v>3.5548184716220559E-2</v>
      </c>
      <c r="R7810" s="29">
        <v>0.15003660775771735</v>
      </c>
      <c r="S7810" s="30">
        <v>4.8340000000000001E-2</v>
      </c>
    </row>
    <row r="7811" spans="16:19" x14ac:dyDescent="0.25">
      <c r="P7811" s="27">
        <v>3.2548184716220556E-2</v>
      </c>
      <c r="Q7811" s="28">
        <f t="shared" si="125"/>
        <v>3.5548184716220559E-2</v>
      </c>
      <c r="R7811" s="31">
        <v>0.15939660775771733</v>
      </c>
      <c r="S7811" s="32">
        <v>4.9000000000000002E-2</v>
      </c>
    </row>
    <row r="7812" spans="16:19" x14ac:dyDescent="0.25">
      <c r="P7812" s="27">
        <v>3.2548184716220556E-2</v>
      </c>
      <c r="Q7812" s="28">
        <f t="shared" si="125"/>
        <v>3.5548184716220559E-2</v>
      </c>
      <c r="R7812" s="33">
        <v>0.16282860775771735</v>
      </c>
      <c r="S7812" s="34">
        <v>5.3990000000000003E-2</v>
      </c>
    </row>
    <row r="7813" spans="16:19" x14ac:dyDescent="0.25">
      <c r="P7813" s="27">
        <v>3.2548184716220556E-2</v>
      </c>
      <c r="Q7813" s="28">
        <f t="shared" ref="Q7813:Q7876" si="126">P7813+0.003</f>
        <v>3.5548184716220559E-2</v>
      </c>
      <c r="R7813" s="33">
        <v>0.16282860775771735</v>
      </c>
      <c r="S7813" s="34">
        <v>5.5689999999999996E-2</v>
      </c>
    </row>
    <row r="7814" spans="16:19" x14ac:dyDescent="0.25">
      <c r="P7814" s="27">
        <v>3.2548184716220556E-2</v>
      </c>
      <c r="Q7814" s="28">
        <f t="shared" si="126"/>
        <v>3.5548184716220559E-2</v>
      </c>
      <c r="R7814" s="33">
        <v>0.16282860775771735</v>
      </c>
      <c r="S7814" s="34">
        <v>4.6249999999999999E-2</v>
      </c>
    </row>
    <row r="7815" spans="16:19" x14ac:dyDescent="0.25">
      <c r="P7815" s="27">
        <v>3.2548184716220556E-2</v>
      </c>
      <c r="Q7815" s="28">
        <f t="shared" si="126"/>
        <v>3.5548184716220559E-2</v>
      </c>
      <c r="R7815" s="33">
        <v>0.16282860775771735</v>
      </c>
      <c r="S7815" s="34">
        <v>4.4209999999999999E-2</v>
      </c>
    </row>
    <row r="7816" spans="16:19" x14ac:dyDescent="0.25">
      <c r="P7816" s="27">
        <v>3.2548184716220556E-2</v>
      </c>
      <c r="Q7816" s="28">
        <f t="shared" si="126"/>
        <v>3.5548184716220559E-2</v>
      </c>
      <c r="R7816" s="33">
        <v>0.16282860775771735</v>
      </c>
      <c r="S7816" s="34">
        <v>4.2450000000000002E-2</v>
      </c>
    </row>
    <row r="7817" spans="16:19" x14ac:dyDescent="0.25">
      <c r="P7817" s="27">
        <v>3.2548184716220556E-2</v>
      </c>
      <c r="Q7817" s="28">
        <f t="shared" si="126"/>
        <v>3.5548184716220559E-2</v>
      </c>
      <c r="R7817" s="33">
        <v>0.16282860775771735</v>
      </c>
      <c r="S7817" s="34">
        <v>3.9E-2</v>
      </c>
    </row>
    <row r="7818" spans="16:19" x14ac:dyDescent="0.25">
      <c r="P7818" s="27">
        <v>3.2548184716220556E-2</v>
      </c>
      <c r="Q7818" s="28">
        <f t="shared" si="126"/>
        <v>3.5548184716220559E-2</v>
      </c>
      <c r="R7818" s="33">
        <v>0.16282860775771735</v>
      </c>
      <c r="S7818" s="34">
        <v>0.04</v>
      </c>
    </row>
    <row r="7819" spans="16:19" x14ac:dyDescent="0.25">
      <c r="P7819" s="27">
        <v>3.2548184716220556E-2</v>
      </c>
      <c r="Q7819" s="28">
        <f t="shared" si="126"/>
        <v>3.5548184716220559E-2</v>
      </c>
      <c r="R7819" s="33">
        <v>0.16282860775771735</v>
      </c>
      <c r="S7819" s="34">
        <v>4.1669999999999999E-2</v>
      </c>
    </row>
    <row r="7820" spans="16:19" x14ac:dyDescent="0.25">
      <c r="P7820" s="27">
        <v>3.2548184716220556E-2</v>
      </c>
      <c r="Q7820" s="28">
        <f t="shared" si="126"/>
        <v>3.5548184716220559E-2</v>
      </c>
      <c r="R7820" s="33">
        <v>0.16282860775771735</v>
      </c>
      <c r="S7820" s="34">
        <v>4.7990000000000005E-2</v>
      </c>
    </row>
    <row r="7821" spans="16:19" x14ac:dyDescent="0.25">
      <c r="P7821" s="27">
        <v>3.2548184716220556E-2</v>
      </c>
      <c r="Q7821" s="28">
        <f t="shared" si="126"/>
        <v>3.5548184716220559E-2</v>
      </c>
      <c r="R7821" s="33">
        <v>0.16282860775771735</v>
      </c>
      <c r="S7821" s="34">
        <v>5.509E-2</v>
      </c>
    </row>
    <row r="7822" spans="16:19" x14ac:dyDescent="0.25">
      <c r="P7822" s="27">
        <v>3.2548184716220556E-2</v>
      </c>
      <c r="Q7822" s="28">
        <f t="shared" si="126"/>
        <v>3.5548184716220559E-2</v>
      </c>
      <c r="R7822" s="33">
        <v>0.16282860775771735</v>
      </c>
      <c r="S7822" s="34">
        <v>5.3990000000000003E-2</v>
      </c>
    </row>
    <row r="7823" spans="16:19" x14ac:dyDescent="0.25">
      <c r="P7823" s="27">
        <v>3.2548184716220556E-2</v>
      </c>
      <c r="Q7823" s="28">
        <f t="shared" si="126"/>
        <v>3.5548184716220559E-2</v>
      </c>
      <c r="R7823" s="31">
        <v>0.15939660775771733</v>
      </c>
      <c r="S7823" s="32">
        <v>5.3079999999999995E-2</v>
      </c>
    </row>
    <row r="7824" spans="16:19" x14ac:dyDescent="0.25">
      <c r="P7824" s="27">
        <v>3.2548184716220556E-2</v>
      </c>
      <c r="Q7824" s="28">
        <f t="shared" si="126"/>
        <v>3.5548184716220559E-2</v>
      </c>
      <c r="R7824" s="31">
        <v>0.15939660775771733</v>
      </c>
      <c r="S7824" s="32">
        <v>4.5990000000000003E-2</v>
      </c>
    </row>
    <row r="7825" spans="16:19" x14ac:dyDescent="0.25">
      <c r="P7825" s="27">
        <v>3.2548184716220556E-2</v>
      </c>
      <c r="Q7825" s="28">
        <f t="shared" si="126"/>
        <v>3.5548184716220559E-2</v>
      </c>
      <c r="R7825" s="31">
        <v>0.15939660775771733</v>
      </c>
      <c r="S7825" s="32">
        <v>3.8280000000000002E-2</v>
      </c>
    </row>
    <row r="7826" spans="16:19" x14ac:dyDescent="0.25">
      <c r="P7826" s="27">
        <v>3.2548184716220556E-2</v>
      </c>
      <c r="Q7826" s="28">
        <f t="shared" si="126"/>
        <v>3.5548184716220559E-2</v>
      </c>
      <c r="R7826" s="31">
        <v>0.15939660775771733</v>
      </c>
      <c r="S7826" s="32">
        <v>3.9990000000000005E-2</v>
      </c>
    </row>
    <row r="7827" spans="16:19" x14ac:dyDescent="0.25">
      <c r="P7827" s="27">
        <v>3.2548184716220556E-2</v>
      </c>
      <c r="Q7827" s="28">
        <f t="shared" si="126"/>
        <v>3.5548184716220559E-2</v>
      </c>
      <c r="R7827" s="29">
        <v>0.15003660775771735</v>
      </c>
      <c r="S7827" s="30">
        <v>5.2789999999999997E-2</v>
      </c>
    </row>
    <row r="7828" spans="16:19" x14ac:dyDescent="0.25">
      <c r="P7828" s="27">
        <v>3.2548184716220556E-2</v>
      </c>
      <c r="Q7828" s="28">
        <f t="shared" si="126"/>
        <v>3.5548184716220559E-2</v>
      </c>
      <c r="R7828" s="29">
        <v>0.15003660775771735</v>
      </c>
      <c r="S7828" s="30">
        <v>5.0700000000000002E-2</v>
      </c>
    </row>
    <row r="7829" spans="16:19" x14ac:dyDescent="0.25">
      <c r="P7829" s="27">
        <v>3.2548184716220556E-2</v>
      </c>
      <c r="Q7829" s="28">
        <f t="shared" si="126"/>
        <v>3.5548184716220559E-2</v>
      </c>
      <c r="R7829" s="29">
        <v>0.15003660775771735</v>
      </c>
      <c r="S7829" s="30">
        <v>4.7789999999999999E-2</v>
      </c>
    </row>
    <row r="7830" spans="16:19" x14ac:dyDescent="0.25">
      <c r="P7830" s="27">
        <v>3.2548184716220556E-2</v>
      </c>
      <c r="Q7830" s="28">
        <f t="shared" si="126"/>
        <v>3.5548184716220559E-2</v>
      </c>
      <c r="R7830" s="29">
        <v>0.15003660775771735</v>
      </c>
      <c r="S7830" s="30">
        <v>3.9450000000000006E-2</v>
      </c>
    </row>
    <row r="7831" spans="16:19" x14ac:dyDescent="0.25">
      <c r="P7831" s="27">
        <v>3.2548184716220556E-2</v>
      </c>
      <c r="Q7831" s="28">
        <f t="shared" si="126"/>
        <v>3.5548184716220559E-2</v>
      </c>
      <c r="R7831" s="29">
        <v>0.15003660775771735</v>
      </c>
      <c r="S7831" s="30">
        <v>3.8990000000000004E-2</v>
      </c>
    </row>
    <row r="7832" spans="16:19" x14ac:dyDescent="0.25">
      <c r="P7832" s="27">
        <v>3.2548184716220556E-2</v>
      </c>
      <c r="Q7832" s="28">
        <f t="shared" si="126"/>
        <v>3.5548184716220559E-2</v>
      </c>
      <c r="R7832" s="29">
        <v>0.15003660775771735</v>
      </c>
      <c r="S7832" s="30">
        <v>3.8789999999999998E-2</v>
      </c>
    </row>
    <row r="7833" spans="16:19" x14ac:dyDescent="0.25">
      <c r="P7833" s="27">
        <v>3.2548184716220556E-2</v>
      </c>
      <c r="Q7833" s="28">
        <f t="shared" si="126"/>
        <v>3.5548184716220559E-2</v>
      </c>
      <c r="R7833" s="29">
        <v>0.15003660775771735</v>
      </c>
      <c r="S7833" s="30">
        <v>4.0989999999999999E-2</v>
      </c>
    </row>
    <row r="7834" spans="16:19" x14ac:dyDescent="0.25">
      <c r="P7834" s="27">
        <v>3.2548184716220556E-2</v>
      </c>
      <c r="Q7834" s="28">
        <f t="shared" si="126"/>
        <v>3.5548184716220559E-2</v>
      </c>
      <c r="R7834" s="29">
        <v>0.15003660775771735</v>
      </c>
      <c r="S7834" s="30">
        <v>4.5999999999999999E-2</v>
      </c>
    </row>
    <row r="7835" spans="16:19" x14ac:dyDescent="0.25">
      <c r="P7835" s="27">
        <v>3.2548184716220556E-2</v>
      </c>
      <c r="Q7835" s="28">
        <f t="shared" si="126"/>
        <v>3.5548184716220559E-2</v>
      </c>
      <c r="R7835" s="31">
        <v>0.15939660775771733</v>
      </c>
      <c r="S7835" s="32">
        <v>4.6240000000000003E-2</v>
      </c>
    </row>
    <row r="7836" spans="16:19" x14ac:dyDescent="0.25">
      <c r="P7836" s="27">
        <v>3.2548184716220556E-2</v>
      </c>
      <c r="Q7836" s="28">
        <f t="shared" si="126"/>
        <v>3.5548184716220559E-2</v>
      </c>
      <c r="R7836" s="33">
        <v>0.16282860775771735</v>
      </c>
      <c r="S7836" s="34">
        <v>4.6450000000000005E-2</v>
      </c>
    </row>
    <row r="7837" spans="16:19" x14ac:dyDescent="0.25">
      <c r="P7837" s="27">
        <v>3.2548184716220556E-2</v>
      </c>
      <c r="Q7837" s="28">
        <f t="shared" si="126"/>
        <v>3.5548184716220559E-2</v>
      </c>
      <c r="R7837" s="33">
        <v>0.16282860775771735</v>
      </c>
      <c r="S7837" s="34">
        <v>4.7619999999999996E-2</v>
      </c>
    </row>
    <row r="7838" spans="16:19" x14ac:dyDescent="0.25">
      <c r="P7838" s="27">
        <v>3.2548184716220556E-2</v>
      </c>
      <c r="Q7838" s="28">
        <f t="shared" si="126"/>
        <v>3.5548184716220559E-2</v>
      </c>
      <c r="R7838" s="33">
        <v>0.16282860775771735</v>
      </c>
      <c r="S7838" s="34">
        <v>3.8210000000000001E-2</v>
      </c>
    </row>
    <row r="7839" spans="16:19" x14ac:dyDescent="0.25">
      <c r="P7839" s="27">
        <v>3.2548184716220556E-2</v>
      </c>
      <c r="Q7839" s="28">
        <f t="shared" si="126"/>
        <v>3.5548184716220559E-2</v>
      </c>
      <c r="R7839" s="33">
        <v>0.16282860775771735</v>
      </c>
      <c r="S7839" s="34">
        <v>3.8189999999999995E-2</v>
      </c>
    </row>
    <row r="7840" spans="16:19" x14ac:dyDescent="0.25">
      <c r="P7840" s="27">
        <v>3.2548184716220556E-2</v>
      </c>
      <c r="Q7840" s="28">
        <f t="shared" si="126"/>
        <v>3.5548184716220559E-2</v>
      </c>
      <c r="R7840" s="33">
        <v>0.16282860775771735</v>
      </c>
      <c r="S7840" s="34">
        <v>3.8789999999999998E-2</v>
      </c>
    </row>
    <row r="7841" spans="16:19" x14ac:dyDescent="0.25">
      <c r="P7841" s="27">
        <v>3.2548184716220556E-2</v>
      </c>
      <c r="Q7841" s="28">
        <f t="shared" si="126"/>
        <v>3.5548184716220559E-2</v>
      </c>
      <c r="R7841" s="33">
        <v>0.16282860775771735</v>
      </c>
      <c r="S7841" s="34">
        <v>3.5833385999999995E-2</v>
      </c>
    </row>
    <row r="7842" spans="16:19" x14ac:dyDescent="0.25">
      <c r="P7842" s="27">
        <v>3.2548184716220556E-2</v>
      </c>
      <c r="Q7842" s="28">
        <f t="shared" si="126"/>
        <v>3.5548184716220559E-2</v>
      </c>
      <c r="R7842" s="33">
        <v>0.16282860775771735</v>
      </c>
      <c r="S7842" s="34">
        <v>3.7700000000000004E-2</v>
      </c>
    </row>
    <row r="7843" spans="16:19" x14ac:dyDescent="0.25">
      <c r="P7843" s="27">
        <v>3.2548184716220556E-2</v>
      </c>
      <c r="Q7843" s="28">
        <f t="shared" si="126"/>
        <v>3.5548184716220559E-2</v>
      </c>
      <c r="R7843" s="33">
        <v>0.16282860775771735</v>
      </c>
      <c r="S7843" s="34">
        <v>4.6556792E-2</v>
      </c>
    </row>
    <row r="7844" spans="16:19" x14ac:dyDescent="0.25">
      <c r="P7844" s="27">
        <v>3.2548184716220556E-2</v>
      </c>
      <c r="Q7844" s="28">
        <f t="shared" si="126"/>
        <v>3.5548184716220559E-2</v>
      </c>
      <c r="R7844" s="33">
        <v>0.16282860775771735</v>
      </c>
      <c r="S7844" s="34">
        <v>4.2939999999999999E-2</v>
      </c>
    </row>
    <row r="7845" spans="16:19" x14ac:dyDescent="0.25">
      <c r="P7845" s="27">
        <v>3.2548184716220556E-2</v>
      </c>
      <c r="Q7845" s="28">
        <f t="shared" si="126"/>
        <v>3.5548184716220559E-2</v>
      </c>
      <c r="R7845" s="33">
        <v>0.16282860775771735</v>
      </c>
      <c r="S7845" s="34">
        <v>4.9849999999999998E-2</v>
      </c>
    </row>
    <row r="7846" spans="16:19" x14ac:dyDescent="0.25">
      <c r="P7846" s="27">
        <v>3.2548184716220556E-2</v>
      </c>
      <c r="Q7846" s="28">
        <f t="shared" si="126"/>
        <v>3.5548184716220559E-2</v>
      </c>
      <c r="R7846" s="33">
        <v>0.16282860775771735</v>
      </c>
      <c r="S7846" s="34">
        <v>4.9450000000000001E-2</v>
      </c>
    </row>
    <row r="7847" spans="16:19" x14ac:dyDescent="0.25">
      <c r="P7847" s="27">
        <v>3.2548184716220556E-2</v>
      </c>
      <c r="Q7847" s="28">
        <f t="shared" si="126"/>
        <v>3.5548184716220559E-2</v>
      </c>
      <c r="R7847" s="31">
        <v>0.15939660775771733</v>
      </c>
      <c r="S7847" s="32">
        <v>4.9450000000000001E-2</v>
      </c>
    </row>
    <row r="7848" spans="16:19" x14ac:dyDescent="0.25">
      <c r="P7848" s="27">
        <v>3.2548184716220556E-2</v>
      </c>
      <c r="Q7848" s="28">
        <f t="shared" si="126"/>
        <v>3.5548184716220559E-2</v>
      </c>
      <c r="R7848" s="31">
        <v>0.15939660775771733</v>
      </c>
      <c r="S7848" s="32">
        <v>4.6450000000000005E-2</v>
      </c>
    </row>
    <row r="7849" spans="16:19" x14ac:dyDescent="0.25">
      <c r="P7849" s="27">
        <v>3.2548184716220556E-2</v>
      </c>
      <c r="Q7849" s="28">
        <f t="shared" si="126"/>
        <v>3.5548184716220559E-2</v>
      </c>
      <c r="R7849" s="31">
        <v>0.15939660775771733</v>
      </c>
      <c r="S7849" s="32">
        <v>4.1710000000000004E-2</v>
      </c>
    </row>
    <row r="7850" spans="16:19" x14ac:dyDescent="0.25">
      <c r="P7850" s="27">
        <v>3.2548184716220556E-2</v>
      </c>
      <c r="Q7850" s="28">
        <f t="shared" si="126"/>
        <v>3.5548184716220559E-2</v>
      </c>
      <c r="R7850" s="31">
        <v>0.15939660775771733</v>
      </c>
      <c r="S7850" s="32">
        <v>3.7999999999999999E-2</v>
      </c>
    </row>
    <row r="7851" spans="16:19" x14ac:dyDescent="0.25">
      <c r="P7851" s="27">
        <v>3.2548184716220556E-2</v>
      </c>
      <c r="Q7851" s="28">
        <f t="shared" si="126"/>
        <v>3.5548184716220559E-2</v>
      </c>
      <c r="R7851" s="29">
        <v>0.15003660775771735</v>
      </c>
      <c r="S7851" s="30">
        <v>3.7999999999999999E-2</v>
      </c>
    </row>
    <row r="7852" spans="16:19" x14ac:dyDescent="0.25">
      <c r="P7852" s="27">
        <v>3.2548184716220556E-2</v>
      </c>
      <c r="Q7852" s="28">
        <f t="shared" si="126"/>
        <v>3.5548184716220559E-2</v>
      </c>
      <c r="R7852" s="29">
        <v>0.15003660775771735</v>
      </c>
      <c r="S7852" s="30">
        <v>4.9790000000000001E-2</v>
      </c>
    </row>
    <row r="7853" spans="16:19" x14ac:dyDescent="0.25">
      <c r="P7853" s="27">
        <v>3.2548184716220556E-2</v>
      </c>
      <c r="Q7853" s="28">
        <f t="shared" si="126"/>
        <v>3.5548184716220559E-2</v>
      </c>
      <c r="R7853" s="29">
        <v>0.15003660775771735</v>
      </c>
      <c r="S7853" s="30">
        <v>4.1790000000000001E-2</v>
      </c>
    </row>
    <row r="7854" spans="16:19" x14ac:dyDescent="0.25">
      <c r="P7854" s="27">
        <v>3.2548184716220556E-2</v>
      </c>
      <c r="Q7854" s="28">
        <f t="shared" si="126"/>
        <v>3.5548184716220559E-2</v>
      </c>
      <c r="R7854" s="29">
        <v>0.15003660775771735</v>
      </c>
      <c r="S7854" s="30">
        <v>4.1189999999999997E-2</v>
      </c>
    </row>
    <row r="7855" spans="16:19" x14ac:dyDescent="0.25">
      <c r="P7855" s="27">
        <v>3.2548184716220556E-2</v>
      </c>
      <c r="Q7855" s="28">
        <f t="shared" si="126"/>
        <v>3.5548184716220559E-2</v>
      </c>
      <c r="R7855" s="29">
        <v>0.15003660775771735</v>
      </c>
      <c r="S7855" s="30">
        <v>0.04</v>
      </c>
    </row>
    <row r="7856" spans="16:19" x14ac:dyDescent="0.25">
      <c r="P7856" s="27">
        <v>3.2548184716220556E-2</v>
      </c>
      <c r="Q7856" s="28">
        <f t="shared" si="126"/>
        <v>3.5548184716220559E-2</v>
      </c>
      <c r="R7856" s="29">
        <v>0.15003660775771735</v>
      </c>
      <c r="S7856" s="30">
        <v>4.1790000000000001E-2</v>
      </c>
    </row>
    <row r="7857" spans="16:19" x14ac:dyDescent="0.25">
      <c r="P7857" s="27">
        <v>3.2548184716220556E-2</v>
      </c>
      <c r="Q7857" s="28">
        <f t="shared" si="126"/>
        <v>3.5548184716220559E-2</v>
      </c>
      <c r="R7857" s="29">
        <v>0.15003660775771735</v>
      </c>
      <c r="S7857" s="30">
        <v>4.4010000000000001E-2</v>
      </c>
    </row>
    <row r="7858" spans="16:19" x14ac:dyDescent="0.25">
      <c r="P7858" s="27">
        <v>3.2548184716220556E-2</v>
      </c>
      <c r="Q7858" s="28">
        <f t="shared" si="126"/>
        <v>3.5548184716220559E-2</v>
      </c>
      <c r="R7858" s="29">
        <v>0.15003660775771735</v>
      </c>
      <c r="S7858" s="30">
        <v>5.2999999999999999E-2</v>
      </c>
    </row>
    <row r="7859" spans="16:19" x14ac:dyDescent="0.25">
      <c r="P7859" s="27">
        <v>3.2548184716220556E-2</v>
      </c>
      <c r="Q7859" s="28">
        <f t="shared" si="126"/>
        <v>3.5548184716220559E-2</v>
      </c>
      <c r="R7859" s="31">
        <v>0.15939999999999999</v>
      </c>
      <c r="S7859" s="32">
        <v>5.7479999999999996E-2</v>
      </c>
    </row>
    <row r="7860" spans="16:19" x14ac:dyDescent="0.25">
      <c r="P7860" s="27">
        <v>3.2548184716220556E-2</v>
      </c>
      <c r="Q7860" s="28">
        <f t="shared" si="126"/>
        <v>3.5548184716220559E-2</v>
      </c>
      <c r="R7860" s="31">
        <v>0.15939999999999999</v>
      </c>
      <c r="S7860" s="32">
        <v>6.336E-2</v>
      </c>
    </row>
    <row r="7861" spans="16:19" x14ac:dyDescent="0.25">
      <c r="P7861" s="27">
        <v>3.2548184716220556E-2</v>
      </c>
      <c r="Q7861" s="28">
        <f t="shared" si="126"/>
        <v>3.5548184716220559E-2</v>
      </c>
      <c r="R7861" s="31">
        <v>0.15939999999999999</v>
      </c>
      <c r="S7861" s="32">
        <v>6.3990000000000005E-2</v>
      </c>
    </row>
    <row r="7862" spans="16:19" x14ac:dyDescent="0.25">
      <c r="P7862" s="27">
        <v>3.2548184716220556E-2</v>
      </c>
      <c r="Q7862" s="28">
        <f t="shared" si="126"/>
        <v>3.5548184716220559E-2</v>
      </c>
      <c r="R7862" s="31">
        <v>0.15939999999999999</v>
      </c>
      <c r="S7862" s="32">
        <v>5.8470000000000001E-2</v>
      </c>
    </row>
    <row r="7863" spans="16:19" x14ac:dyDescent="0.25">
      <c r="P7863" s="27">
        <v>3.2548184716220556E-2</v>
      </c>
      <c r="Q7863" s="28">
        <f t="shared" si="126"/>
        <v>3.5548184716220559E-2</v>
      </c>
      <c r="R7863" s="31">
        <v>0.15939999999999999</v>
      </c>
      <c r="S7863" s="32">
        <v>5.7619999999999998E-2</v>
      </c>
    </row>
    <row r="7864" spans="16:19" x14ac:dyDescent="0.25">
      <c r="P7864" s="27">
        <v>3.2548184716220556E-2</v>
      </c>
      <c r="Q7864" s="28">
        <f t="shared" si="126"/>
        <v>3.5548184716220559E-2</v>
      </c>
      <c r="R7864" s="31">
        <v>0.15939999999999999</v>
      </c>
      <c r="S7864" s="32">
        <v>5.0599999999999999E-2</v>
      </c>
    </row>
    <row r="7865" spans="16:19" x14ac:dyDescent="0.25">
      <c r="P7865" s="27">
        <v>3.2548184716220556E-2</v>
      </c>
      <c r="Q7865" s="28">
        <f t="shared" si="126"/>
        <v>3.5548184716220559E-2</v>
      </c>
      <c r="R7865" s="31">
        <v>0.15939999999999999</v>
      </c>
      <c r="S7865" s="32">
        <v>5.246E-2</v>
      </c>
    </row>
    <row r="7866" spans="16:19" x14ac:dyDescent="0.25">
      <c r="P7866" s="27">
        <v>3.2548184716220556E-2</v>
      </c>
      <c r="Q7866" s="28">
        <f t="shared" si="126"/>
        <v>3.5548184716220559E-2</v>
      </c>
      <c r="R7866" s="31">
        <v>0.15939999999999999</v>
      </c>
      <c r="S7866" s="32">
        <v>5.8470000000000001E-2</v>
      </c>
    </row>
    <row r="7867" spans="16:19" x14ac:dyDescent="0.25">
      <c r="P7867" s="27">
        <v>3.2548184716220556E-2</v>
      </c>
      <c r="Q7867" s="28">
        <f t="shared" si="126"/>
        <v>3.5548184716220559E-2</v>
      </c>
      <c r="R7867" s="31">
        <v>0.15939999999999999</v>
      </c>
      <c r="S7867" s="32">
        <v>6.5569999999999989E-2</v>
      </c>
    </row>
    <row r="7868" spans="16:19" x14ac:dyDescent="0.25">
      <c r="P7868" s="27">
        <v>3.2548184716220556E-2</v>
      </c>
      <c r="Q7868" s="28">
        <f t="shared" si="126"/>
        <v>3.5548184716220559E-2</v>
      </c>
      <c r="R7868" s="31">
        <v>0.15939999999999999</v>
      </c>
      <c r="S7868" s="32">
        <v>7.145E-2</v>
      </c>
    </row>
    <row r="7869" spans="16:19" x14ac:dyDescent="0.25">
      <c r="P7869" s="27">
        <v>3.2548184716220556E-2</v>
      </c>
      <c r="Q7869" s="28">
        <f t="shared" si="126"/>
        <v>3.5548184716220559E-2</v>
      </c>
      <c r="R7869" s="31">
        <v>0.15939999999999999</v>
      </c>
      <c r="S7869" s="32">
        <v>7.9200000000000007E-2</v>
      </c>
    </row>
    <row r="7870" spans="16:19" x14ac:dyDescent="0.25">
      <c r="P7870" s="27">
        <v>3.2548184716220556E-2</v>
      </c>
      <c r="Q7870" s="28">
        <f t="shared" si="126"/>
        <v>3.5548184716220559E-2</v>
      </c>
      <c r="R7870" s="31">
        <v>0.15939999999999999</v>
      </c>
      <c r="S7870" s="32">
        <v>6.5680000000000002E-2</v>
      </c>
    </row>
    <row r="7871" spans="16:19" x14ac:dyDescent="0.25">
      <c r="P7871" s="27">
        <v>3.2548184716220556E-2</v>
      </c>
      <c r="Q7871" s="28">
        <f t="shared" si="126"/>
        <v>3.5548184716220559E-2</v>
      </c>
      <c r="R7871" s="31">
        <v>0.15939999999999999</v>
      </c>
      <c r="S7871" s="32">
        <v>5.9650000000000002E-2</v>
      </c>
    </row>
    <row r="7872" spans="16:19" x14ac:dyDescent="0.25">
      <c r="P7872" s="27">
        <v>3.2548184716220556E-2</v>
      </c>
      <c r="Q7872" s="28">
        <f t="shared" si="126"/>
        <v>3.5548184716220559E-2</v>
      </c>
      <c r="R7872" s="31">
        <v>0.15939999999999999</v>
      </c>
      <c r="S7872" s="32">
        <v>5.8470000000000001E-2</v>
      </c>
    </row>
    <row r="7873" spans="16:19" x14ac:dyDescent="0.25">
      <c r="P7873" s="27">
        <v>3.2548184716220556E-2</v>
      </c>
      <c r="Q7873" s="28">
        <f t="shared" si="126"/>
        <v>3.5548184716220559E-2</v>
      </c>
      <c r="R7873" s="31">
        <v>0.15939999999999999</v>
      </c>
      <c r="S7873" s="32">
        <v>5.6989999999999999E-2</v>
      </c>
    </row>
    <row r="7874" spans="16:19" x14ac:dyDescent="0.25">
      <c r="P7874" s="27">
        <v>3.2548184716220556E-2</v>
      </c>
      <c r="Q7874" s="28">
        <f t="shared" si="126"/>
        <v>3.5548184716220559E-2</v>
      </c>
      <c r="R7874" s="31">
        <v>0.15939999999999999</v>
      </c>
      <c r="S7874" s="32">
        <v>5.8400000000000001E-2</v>
      </c>
    </row>
    <row r="7875" spans="16:19" x14ac:dyDescent="0.25">
      <c r="P7875" s="27">
        <v>3.2548184716220556E-2</v>
      </c>
      <c r="Q7875" s="28">
        <f t="shared" si="126"/>
        <v>3.5548184716220559E-2</v>
      </c>
      <c r="R7875" s="29">
        <v>0.15</v>
      </c>
      <c r="S7875" s="30">
        <v>5.5789999999999999E-2</v>
      </c>
    </row>
    <row r="7876" spans="16:19" x14ac:dyDescent="0.25">
      <c r="P7876" s="27">
        <v>3.2548184716220556E-2</v>
      </c>
      <c r="Q7876" s="28">
        <f t="shared" si="126"/>
        <v>3.5548184716220559E-2</v>
      </c>
      <c r="R7876" s="29">
        <v>0.15</v>
      </c>
      <c r="S7876" s="30">
        <v>4.9790000000000001E-2</v>
      </c>
    </row>
    <row r="7877" spans="16:19" x14ac:dyDescent="0.25">
      <c r="P7877" s="27">
        <v>3.2548184716220556E-2</v>
      </c>
      <c r="Q7877" s="28">
        <f t="shared" ref="Q7877:Q7940" si="127">P7877+0.003</f>
        <v>3.5548184716220559E-2</v>
      </c>
      <c r="R7877" s="29">
        <v>0.15</v>
      </c>
      <c r="S7877" s="30">
        <v>4.2012377000000004E-2</v>
      </c>
    </row>
    <row r="7878" spans="16:19" x14ac:dyDescent="0.25">
      <c r="P7878" s="27">
        <v>3.2548184716220556E-2</v>
      </c>
      <c r="Q7878" s="28">
        <f t="shared" si="127"/>
        <v>3.5548184716220559E-2</v>
      </c>
      <c r="R7878" s="29">
        <v>0.15</v>
      </c>
      <c r="S7878" s="30">
        <v>4.1140000000000003E-2</v>
      </c>
    </row>
    <row r="7879" spans="16:19" x14ac:dyDescent="0.25">
      <c r="P7879" s="27">
        <v>3.2548184716220556E-2</v>
      </c>
      <c r="Q7879" s="28">
        <f t="shared" si="127"/>
        <v>3.5548184716220559E-2</v>
      </c>
      <c r="R7879" s="29">
        <v>0.15</v>
      </c>
      <c r="S7879" s="30">
        <v>4.0399999999999998E-2</v>
      </c>
    </row>
    <row r="7880" spans="16:19" x14ac:dyDescent="0.25">
      <c r="P7880" s="27">
        <v>3.2548184716220556E-2</v>
      </c>
      <c r="Q7880" s="28">
        <f t="shared" si="127"/>
        <v>3.5548184716220559E-2</v>
      </c>
      <c r="R7880" s="29">
        <v>0.15</v>
      </c>
      <c r="S7880" s="30">
        <v>4.045E-2</v>
      </c>
    </row>
    <row r="7881" spans="16:19" x14ac:dyDescent="0.25">
      <c r="P7881" s="27">
        <v>3.2548184716220556E-2</v>
      </c>
      <c r="Q7881" s="28">
        <f t="shared" si="127"/>
        <v>3.5548184716220559E-2</v>
      </c>
      <c r="R7881" s="29">
        <v>0.15</v>
      </c>
      <c r="S7881" s="30">
        <v>4.7009999999999996E-2</v>
      </c>
    </row>
    <row r="7882" spans="16:19" x14ac:dyDescent="0.25">
      <c r="P7882" s="27">
        <v>3.2548184716220556E-2</v>
      </c>
      <c r="Q7882" s="28">
        <f t="shared" si="127"/>
        <v>3.5548184716220559E-2</v>
      </c>
      <c r="R7882" s="29">
        <v>0.15</v>
      </c>
      <c r="S7882" s="30">
        <v>5.7369999999999997E-2</v>
      </c>
    </row>
    <row r="7883" spans="16:19" x14ac:dyDescent="0.25">
      <c r="P7883" s="27">
        <v>3.2548184716220556E-2</v>
      </c>
      <c r="Q7883" s="28">
        <f t="shared" si="127"/>
        <v>3.5548184716220559E-2</v>
      </c>
      <c r="R7883" s="29">
        <v>0.15</v>
      </c>
      <c r="S7883" s="30">
        <v>6.3219999999999998E-2</v>
      </c>
    </row>
    <row r="7884" spans="16:19" x14ac:dyDescent="0.25">
      <c r="P7884" s="27">
        <v>3.2548184716220556E-2</v>
      </c>
      <c r="Q7884" s="28">
        <f t="shared" si="127"/>
        <v>3.5548184716220559E-2</v>
      </c>
      <c r="R7884" s="29">
        <v>0.15</v>
      </c>
      <c r="S7884" s="30">
        <v>7.5609999999999997E-2</v>
      </c>
    </row>
    <row r="7885" spans="16:19" x14ac:dyDescent="0.25">
      <c r="P7885" s="27">
        <v>3.2548184716220556E-2</v>
      </c>
      <c r="Q7885" s="28">
        <f t="shared" si="127"/>
        <v>3.5548184716220559E-2</v>
      </c>
      <c r="R7885" s="29">
        <v>0.15</v>
      </c>
      <c r="S7885" s="30">
        <v>6.9760000000000003E-2</v>
      </c>
    </row>
    <row r="7886" spans="16:19" x14ac:dyDescent="0.25">
      <c r="P7886" s="27">
        <v>3.2548184716220556E-2</v>
      </c>
      <c r="Q7886" s="28">
        <f t="shared" si="127"/>
        <v>3.5548184716220559E-2</v>
      </c>
      <c r="R7886" s="29">
        <v>0.15</v>
      </c>
      <c r="S7886" s="30">
        <v>6.1490000000000003E-2</v>
      </c>
    </row>
    <row r="7887" spans="16:19" x14ac:dyDescent="0.25">
      <c r="P7887" s="27">
        <v>3.2548184716220556E-2</v>
      </c>
      <c r="Q7887" s="28">
        <f t="shared" si="127"/>
        <v>3.5548184716220559E-2</v>
      </c>
      <c r="R7887" s="29">
        <v>0.15</v>
      </c>
      <c r="S7887" s="30">
        <v>5.8680000000000003E-2</v>
      </c>
    </row>
    <row r="7888" spans="16:19" x14ac:dyDescent="0.25">
      <c r="P7888" s="27">
        <v>3.2548184716220556E-2</v>
      </c>
      <c r="Q7888" s="28">
        <f t="shared" si="127"/>
        <v>3.5548184716220559E-2</v>
      </c>
      <c r="R7888" s="29">
        <v>0.15</v>
      </c>
      <c r="S7888" s="30">
        <v>5.4329999999999996E-2</v>
      </c>
    </row>
    <row r="7889" spans="16:19" x14ac:dyDescent="0.25">
      <c r="P7889" s="27">
        <v>3.2548184716220556E-2</v>
      </c>
      <c r="Q7889" s="28">
        <f t="shared" si="127"/>
        <v>3.5548184716220559E-2</v>
      </c>
      <c r="R7889" s="29">
        <v>0.15</v>
      </c>
      <c r="S7889" s="30">
        <v>5.5070000000000001E-2</v>
      </c>
    </row>
    <row r="7890" spans="16:19" x14ac:dyDescent="0.25">
      <c r="P7890" s="27">
        <v>3.2548184716220556E-2</v>
      </c>
      <c r="Q7890" s="28">
        <f t="shared" si="127"/>
        <v>3.5548184716220559E-2</v>
      </c>
      <c r="R7890" s="29">
        <v>0.15</v>
      </c>
      <c r="S7890" s="30">
        <v>5.9040000000000002E-2</v>
      </c>
    </row>
    <row r="7891" spans="16:19" x14ac:dyDescent="0.25">
      <c r="P7891" s="27">
        <v>3.2548184716220556E-2</v>
      </c>
      <c r="Q7891" s="28">
        <f t="shared" si="127"/>
        <v>3.5548184716220559E-2</v>
      </c>
      <c r="R7891" s="29">
        <v>0.15</v>
      </c>
      <c r="S7891" s="30">
        <v>6.6009999999999999E-2</v>
      </c>
    </row>
    <row r="7892" spans="16:19" x14ac:dyDescent="0.25">
      <c r="P7892" s="27">
        <v>3.2548184716220556E-2</v>
      </c>
      <c r="Q7892" s="28">
        <f t="shared" si="127"/>
        <v>3.5548184716220559E-2</v>
      </c>
      <c r="R7892" s="29">
        <v>0.15</v>
      </c>
      <c r="S7892" s="30">
        <v>7.5060000000000002E-2</v>
      </c>
    </row>
    <row r="7893" spans="16:19" x14ac:dyDescent="0.25">
      <c r="P7893" s="27">
        <v>3.2548184716220556E-2</v>
      </c>
      <c r="Q7893" s="28">
        <f t="shared" si="127"/>
        <v>3.5548184716220559E-2</v>
      </c>
      <c r="R7893" s="29">
        <v>0.15</v>
      </c>
      <c r="S7893" s="30">
        <v>8.1090000000000009E-2</v>
      </c>
    </row>
    <row r="7894" spans="16:19" x14ac:dyDescent="0.25">
      <c r="P7894" s="27">
        <v>3.2548184716220556E-2</v>
      </c>
      <c r="Q7894" s="28">
        <f t="shared" si="127"/>
        <v>3.5548184716220559E-2</v>
      </c>
      <c r="R7894" s="29">
        <v>0.15</v>
      </c>
      <c r="S7894" s="30">
        <v>6.8000000000000005E-2</v>
      </c>
    </row>
    <row r="7895" spans="16:19" x14ac:dyDescent="0.25">
      <c r="P7895" s="27">
        <v>3.2548184716220556E-2</v>
      </c>
      <c r="Q7895" s="28">
        <f t="shared" si="127"/>
        <v>3.5548184716220559E-2</v>
      </c>
      <c r="R7895" s="29">
        <v>0.15</v>
      </c>
      <c r="S7895" s="30">
        <v>5.9729999999999998E-2</v>
      </c>
    </row>
    <row r="7896" spans="16:19" x14ac:dyDescent="0.25">
      <c r="P7896" s="27">
        <v>3.2548184716220556E-2</v>
      </c>
      <c r="Q7896" s="28">
        <f t="shared" si="127"/>
        <v>3.5548184716220559E-2</v>
      </c>
      <c r="R7896" s="29">
        <v>0.15</v>
      </c>
      <c r="S7896" s="30">
        <v>5.5299999999999995E-2</v>
      </c>
    </row>
    <row r="7897" spans="16:19" x14ac:dyDescent="0.25">
      <c r="P7897" s="27">
        <v>3.2548184716220556E-2</v>
      </c>
      <c r="Q7897" s="28">
        <f t="shared" si="127"/>
        <v>3.5548184716220559E-2</v>
      </c>
      <c r="R7897" s="29">
        <v>0.15</v>
      </c>
      <c r="S7897" s="30">
        <v>5.3800000000000001E-2</v>
      </c>
    </row>
    <row r="7898" spans="16:19" x14ac:dyDescent="0.25">
      <c r="P7898" s="27">
        <v>3.2548184716220556E-2</v>
      </c>
      <c r="Q7898" s="28">
        <f t="shared" si="127"/>
        <v>3.5548184716220559E-2</v>
      </c>
      <c r="R7898" s="29">
        <v>0.15</v>
      </c>
      <c r="S7898" s="30">
        <v>5.5380000000000006E-2</v>
      </c>
    </row>
    <row r="7899" spans="16:19" x14ac:dyDescent="0.25">
      <c r="P7899" s="27">
        <v>3.2548184716220556E-2</v>
      </c>
      <c r="Q7899" s="28">
        <f t="shared" si="127"/>
        <v>3.5548184716220559E-2</v>
      </c>
      <c r="R7899" s="29">
        <v>0.15</v>
      </c>
      <c r="S7899" s="30">
        <v>5.441E-2</v>
      </c>
    </row>
    <row r="7900" spans="16:19" x14ac:dyDescent="0.25">
      <c r="P7900" s="27">
        <v>3.2548184716220556E-2</v>
      </c>
      <c r="Q7900" s="28">
        <f t="shared" si="127"/>
        <v>3.5548184716220559E-2</v>
      </c>
      <c r="R7900" s="29">
        <v>0.15</v>
      </c>
      <c r="S7900" s="30">
        <v>5.1499999999999997E-2</v>
      </c>
    </row>
    <row r="7901" spans="16:19" x14ac:dyDescent="0.25">
      <c r="P7901" s="27">
        <v>3.2548184716220556E-2</v>
      </c>
      <c r="Q7901" s="28">
        <f t="shared" si="127"/>
        <v>3.5548184716220559E-2</v>
      </c>
      <c r="R7901" s="29">
        <v>0.15</v>
      </c>
      <c r="S7901" s="30">
        <v>4.5850000000000002E-2</v>
      </c>
    </row>
    <row r="7902" spans="16:19" x14ac:dyDescent="0.25">
      <c r="P7902" s="27">
        <v>3.2548184716220556E-2</v>
      </c>
      <c r="Q7902" s="28">
        <f t="shared" si="127"/>
        <v>3.5548184716220559E-2</v>
      </c>
      <c r="R7902" s="29">
        <v>0.15</v>
      </c>
      <c r="S7902" s="30">
        <v>4.299E-2</v>
      </c>
    </row>
    <row r="7903" spans="16:19" x14ac:dyDescent="0.25">
      <c r="P7903" s="27">
        <v>3.2548184716220556E-2</v>
      </c>
      <c r="Q7903" s="28">
        <f t="shared" si="127"/>
        <v>3.5548184716220559E-2</v>
      </c>
      <c r="R7903" s="29">
        <v>0.15</v>
      </c>
      <c r="S7903" s="30">
        <v>4.1280000000000004E-2</v>
      </c>
    </row>
    <row r="7904" spans="16:19" x14ac:dyDescent="0.25">
      <c r="P7904" s="27">
        <v>3.2548184716220556E-2</v>
      </c>
      <c r="Q7904" s="28">
        <f t="shared" si="127"/>
        <v>3.5548184716220559E-2</v>
      </c>
      <c r="R7904" s="29">
        <v>0.15</v>
      </c>
      <c r="S7904" s="30">
        <v>4.3119999999999999E-2</v>
      </c>
    </row>
    <row r="7905" spans="16:19" x14ac:dyDescent="0.25">
      <c r="P7905" s="27">
        <v>3.2548184716220556E-2</v>
      </c>
      <c r="Q7905" s="28">
        <f t="shared" si="127"/>
        <v>3.5548184716220559E-2</v>
      </c>
      <c r="R7905" s="29">
        <v>0.15</v>
      </c>
      <c r="S7905" s="30">
        <v>0.05</v>
      </c>
    </row>
    <row r="7906" spans="16:19" x14ac:dyDescent="0.25">
      <c r="P7906" s="27">
        <v>3.2548184716220556E-2</v>
      </c>
      <c r="Q7906" s="28">
        <f t="shared" si="127"/>
        <v>3.5548184716220559E-2</v>
      </c>
      <c r="R7906" s="29">
        <v>0.15</v>
      </c>
      <c r="S7906" s="30">
        <v>6.1149999999999996E-2</v>
      </c>
    </row>
    <row r="7907" spans="16:19" x14ac:dyDescent="0.25">
      <c r="P7907" s="27">
        <v>3.2548184716220556E-2</v>
      </c>
      <c r="Q7907" s="28">
        <f t="shared" si="127"/>
        <v>3.5548184716220559E-2</v>
      </c>
      <c r="R7907" s="31">
        <v>0.15939660775771733</v>
      </c>
      <c r="S7907" s="32">
        <v>6.6700000000000009E-2</v>
      </c>
    </row>
    <row r="7908" spans="16:19" x14ac:dyDescent="0.25">
      <c r="P7908" s="27">
        <v>3.2548184716220556E-2</v>
      </c>
      <c r="Q7908" s="28">
        <f t="shared" si="127"/>
        <v>3.5548184716220559E-2</v>
      </c>
      <c r="R7908" s="33">
        <v>0.16282860775771735</v>
      </c>
      <c r="S7908" s="34">
        <v>7.7049999999999993E-2</v>
      </c>
    </row>
    <row r="7909" spans="16:19" x14ac:dyDescent="0.25">
      <c r="P7909" s="27">
        <v>3.2548184716220556E-2</v>
      </c>
      <c r="Q7909" s="28">
        <f t="shared" si="127"/>
        <v>3.5548184716220559E-2</v>
      </c>
      <c r="R7909" s="33">
        <v>0.16282860775771735</v>
      </c>
      <c r="S7909" s="34">
        <v>7.6299999999999993E-2</v>
      </c>
    </row>
    <row r="7910" spans="16:19" x14ac:dyDescent="0.25">
      <c r="P7910" s="27">
        <v>3.2548184716220556E-2</v>
      </c>
      <c r="Q7910" s="28">
        <f t="shared" si="127"/>
        <v>3.5548184716220559E-2</v>
      </c>
      <c r="R7910" s="33">
        <v>0.16282860775771735</v>
      </c>
      <c r="S7910" s="34">
        <v>6.9489999999999996E-2</v>
      </c>
    </row>
    <row r="7911" spans="16:19" x14ac:dyDescent="0.25">
      <c r="P7911" s="27">
        <v>3.2548184716220556E-2</v>
      </c>
      <c r="Q7911" s="28">
        <f t="shared" si="127"/>
        <v>3.5548184716220559E-2</v>
      </c>
      <c r="R7911" s="33">
        <v>0.16282860775771735</v>
      </c>
      <c r="S7911" s="34">
        <v>6.8699999999999997E-2</v>
      </c>
    </row>
    <row r="7912" spans="16:19" x14ac:dyDescent="0.25">
      <c r="P7912" s="27">
        <v>3.2548184716220556E-2</v>
      </c>
      <c r="Q7912" s="28">
        <f t="shared" si="127"/>
        <v>3.5548184716220559E-2</v>
      </c>
      <c r="R7912" s="33">
        <v>0.16282860775771735</v>
      </c>
      <c r="S7912" s="34">
        <v>6.2060000000000004E-2</v>
      </c>
    </row>
    <row r="7913" spans="16:19" x14ac:dyDescent="0.25">
      <c r="P7913" s="27">
        <v>3.2548184716220556E-2</v>
      </c>
      <c r="Q7913" s="28">
        <f t="shared" si="127"/>
        <v>3.5548184716220559E-2</v>
      </c>
      <c r="R7913" s="33">
        <v>0.16282860775771735</v>
      </c>
      <c r="S7913" s="34">
        <v>6.0569999999999999E-2</v>
      </c>
    </row>
    <row r="7914" spans="16:19" x14ac:dyDescent="0.25">
      <c r="P7914" s="27">
        <v>3.2548184716220556E-2</v>
      </c>
      <c r="Q7914" s="28">
        <f t="shared" si="127"/>
        <v>3.5548184716220559E-2</v>
      </c>
      <c r="R7914" s="33">
        <v>0.16282860775771735</v>
      </c>
      <c r="S7914" s="34">
        <v>6.7849999999999994E-2</v>
      </c>
    </row>
    <row r="7915" spans="16:19" x14ac:dyDescent="0.25">
      <c r="P7915" s="27">
        <v>3.2548184716220556E-2</v>
      </c>
      <c r="Q7915" s="28">
        <f t="shared" si="127"/>
        <v>3.5548184716220559E-2</v>
      </c>
      <c r="R7915" s="33">
        <v>0.16282860775771735</v>
      </c>
      <c r="S7915" s="34">
        <v>6.9949999999999998E-2</v>
      </c>
    </row>
    <row r="7916" spans="16:19" x14ac:dyDescent="0.25">
      <c r="P7916" s="27">
        <v>3.2548184716220556E-2</v>
      </c>
      <c r="Q7916" s="28">
        <f t="shared" si="127"/>
        <v>3.5548184716220559E-2</v>
      </c>
      <c r="R7916" s="33">
        <v>0.16282860775771735</v>
      </c>
      <c r="S7916" s="34">
        <v>7.8E-2</v>
      </c>
    </row>
    <row r="7917" spans="16:19" x14ac:dyDescent="0.25">
      <c r="P7917" s="27">
        <v>3.2548184716220556E-2</v>
      </c>
      <c r="Q7917" s="28">
        <f t="shared" si="127"/>
        <v>3.5548184716220559E-2</v>
      </c>
      <c r="R7917" s="33">
        <v>0.16282860775771735</v>
      </c>
      <c r="S7917" s="34">
        <v>9.9449999999999997E-2</v>
      </c>
    </row>
    <row r="7918" spans="16:19" x14ac:dyDescent="0.25">
      <c r="P7918" s="27">
        <v>3.2548184716220556E-2</v>
      </c>
      <c r="Q7918" s="28">
        <f t="shared" si="127"/>
        <v>3.5548184716220559E-2</v>
      </c>
      <c r="R7918" s="33">
        <v>0.16282860775771735</v>
      </c>
      <c r="S7918" s="34">
        <v>7.2050000000000003E-2</v>
      </c>
    </row>
    <row r="7919" spans="16:19" x14ac:dyDescent="0.25">
      <c r="P7919" s="27">
        <v>3.2548184716220556E-2</v>
      </c>
      <c r="Q7919" s="28">
        <f t="shared" si="127"/>
        <v>3.5548184716220559E-2</v>
      </c>
      <c r="R7919" s="31">
        <v>0.15939660775771733</v>
      </c>
      <c r="S7919" s="32">
        <v>6.0899999999999996E-2</v>
      </c>
    </row>
    <row r="7920" spans="16:19" x14ac:dyDescent="0.25">
      <c r="P7920" s="27">
        <v>3.2548184716220556E-2</v>
      </c>
      <c r="Q7920" s="28">
        <f t="shared" si="127"/>
        <v>3.5548184716220559E-2</v>
      </c>
      <c r="R7920" s="31">
        <v>0.15939660775771733</v>
      </c>
      <c r="S7920" s="32">
        <v>6.0069999999999998E-2</v>
      </c>
    </row>
    <row r="7921" spans="16:19" x14ac:dyDescent="0.25">
      <c r="P7921" s="27">
        <v>3.2548184716220556E-2</v>
      </c>
      <c r="Q7921" s="28">
        <f t="shared" si="127"/>
        <v>3.5548184716220559E-2</v>
      </c>
      <c r="R7921" s="31">
        <v>0.15939660775771733</v>
      </c>
      <c r="S7921" s="32">
        <v>5.7500000000000002E-2</v>
      </c>
    </row>
    <row r="7922" spans="16:19" x14ac:dyDescent="0.25">
      <c r="P7922" s="27">
        <v>3.2548184716220556E-2</v>
      </c>
      <c r="Q7922" s="28">
        <f t="shared" si="127"/>
        <v>3.5548184716220559E-2</v>
      </c>
      <c r="R7922" s="31">
        <v>0.15939660775771733</v>
      </c>
      <c r="S7922" s="32">
        <v>5.7500000000000002E-2</v>
      </c>
    </row>
    <row r="7923" spans="16:19" x14ac:dyDescent="0.25">
      <c r="P7923" s="27">
        <v>3.2548184716220556E-2</v>
      </c>
      <c r="Q7923" s="28">
        <f t="shared" si="127"/>
        <v>3.5548184716220559E-2</v>
      </c>
      <c r="R7923" s="29">
        <v>0.15003660775771735</v>
      </c>
      <c r="S7923" s="30">
        <v>5.5354232000000003E-2</v>
      </c>
    </row>
    <row r="7924" spans="16:19" x14ac:dyDescent="0.25">
      <c r="P7924" s="27">
        <v>3.2548184716220556E-2</v>
      </c>
      <c r="Q7924" s="28">
        <f t="shared" si="127"/>
        <v>3.5548184716220559E-2</v>
      </c>
      <c r="R7924" s="29">
        <v>0.15003660775771735</v>
      </c>
      <c r="S7924" s="30">
        <v>5.3499999999999999E-2</v>
      </c>
    </row>
    <row r="7925" spans="16:19" x14ac:dyDescent="0.25">
      <c r="P7925" s="27">
        <v>3.2548184716220556E-2</v>
      </c>
      <c r="Q7925" s="28">
        <f t="shared" si="127"/>
        <v>3.5548184716220559E-2</v>
      </c>
      <c r="R7925" s="29">
        <v>0.15003660775771735</v>
      </c>
      <c r="S7925" s="30">
        <v>4.5010000000000001E-2</v>
      </c>
    </row>
    <row r="7926" spans="16:19" x14ac:dyDescent="0.25">
      <c r="P7926" s="27">
        <v>3.2548184716220556E-2</v>
      </c>
      <c r="Q7926" s="28">
        <f t="shared" si="127"/>
        <v>3.5548184716220559E-2</v>
      </c>
      <c r="R7926" s="29">
        <v>0.15003660775771735</v>
      </c>
      <c r="S7926" s="30">
        <v>4.1210000000000004E-2</v>
      </c>
    </row>
    <row r="7927" spans="16:19" x14ac:dyDescent="0.25">
      <c r="P7927" s="27">
        <v>3.2548184716220556E-2</v>
      </c>
      <c r="Q7927" s="28">
        <f t="shared" si="127"/>
        <v>3.5548184716220559E-2</v>
      </c>
      <c r="R7927" s="29">
        <v>0.15003660775771735</v>
      </c>
      <c r="S7927" s="30">
        <v>4.1189999999999997E-2</v>
      </c>
    </row>
    <row r="7928" spans="16:19" x14ac:dyDescent="0.25">
      <c r="P7928" s="27">
        <v>3.2548184716220556E-2</v>
      </c>
      <c r="Q7928" s="28">
        <f t="shared" si="127"/>
        <v>3.5548184716220559E-2</v>
      </c>
      <c r="R7928" s="29">
        <v>0.15003660775771735</v>
      </c>
      <c r="S7928" s="30">
        <v>4.301E-2</v>
      </c>
    </row>
    <row r="7929" spans="16:19" x14ac:dyDescent="0.25">
      <c r="P7929" s="27">
        <v>3.2548184716220556E-2</v>
      </c>
      <c r="Q7929" s="28">
        <f t="shared" si="127"/>
        <v>3.5548184716220559E-2</v>
      </c>
      <c r="R7929" s="29">
        <v>0.15003660775771735</v>
      </c>
      <c r="S7929" s="30">
        <v>5.2770000000000004E-2</v>
      </c>
    </row>
    <row r="7930" spans="16:19" x14ac:dyDescent="0.25">
      <c r="P7930" s="27">
        <v>3.2548184716220556E-2</v>
      </c>
      <c r="Q7930" s="28">
        <f t="shared" si="127"/>
        <v>3.5548184716220559E-2</v>
      </c>
      <c r="R7930" s="29">
        <v>0.15003660775771735</v>
      </c>
      <c r="S7930" s="30">
        <v>6.021E-2</v>
      </c>
    </row>
    <row r="7931" spans="16:19" x14ac:dyDescent="0.25">
      <c r="P7931" s="27">
        <v>3.2548184716220556E-2</v>
      </c>
      <c r="Q7931" s="28">
        <f t="shared" si="127"/>
        <v>3.5548184716220559E-2</v>
      </c>
      <c r="R7931" s="31">
        <v>0.15939660775771733</v>
      </c>
      <c r="S7931" s="32">
        <v>6.2619999999999995E-2</v>
      </c>
    </row>
    <row r="7932" spans="16:19" x14ac:dyDescent="0.25">
      <c r="P7932" s="27">
        <v>3.2548184716220556E-2</v>
      </c>
      <c r="Q7932" s="28">
        <f t="shared" si="127"/>
        <v>3.5548184716220559E-2</v>
      </c>
      <c r="R7932" s="33">
        <v>0.16282860775771735</v>
      </c>
      <c r="S7932" s="34">
        <v>7.4999999999999997E-2</v>
      </c>
    </row>
    <row r="7933" spans="16:19" x14ac:dyDescent="0.25">
      <c r="P7933" s="27">
        <v>3.2548184716220556E-2</v>
      </c>
      <c r="Q7933" s="28">
        <f t="shared" si="127"/>
        <v>3.5548184716220559E-2</v>
      </c>
      <c r="R7933" s="33">
        <v>0.16282860775771735</v>
      </c>
      <c r="S7933" s="34">
        <v>7.5909999999999991E-2</v>
      </c>
    </row>
    <row r="7934" spans="16:19" x14ac:dyDescent="0.25">
      <c r="P7934" s="27">
        <v>3.2548184716220556E-2</v>
      </c>
      <c r="Q7934" s="28">
        <f t="shared" si="127"/>
        <v>3.5548184716220559E-2</v>
      </c>
      <c r="R7934" s="33">
        <v>0.16282860775771735</v>
      </c>
      <c r="S7934" s="34">
        <v>6.7000000000000004E-2</v>
      </c>
    </row>
    <row r="7935" spans="16:19" x14ac:dyDescent="0.25">
      <c r="P7935" s="27">
        <v>3.2548184716220556E-2</v>
      </c>
      <c r="Q7935" s="28">
        <f t="shared" si="127"/>
        <v>3.5548184716220559E-2</v>
      </c>
      <c r="R7935" s="33">
        <v>0.16282860775771735</v>
      </c>
      <c r="S7935" s="34">
        <v>6.3229999999999995E-2</v>
      </c>
    </row>
    <row r="7936" spans="16:19" x14ac:dyDescent="0.25">
      <c r="P7936" s="27">
        <v>3.2548184716220556E-2</v>
      </c>
      <c r="Q7936" s="28">
        <f t="shared" si="127"/>
        <v>3.5548184716220559E-2</v>
      </c>
      <c r="R7936" s="33">
        <v>0.16282860775771735</v>
      </c>
      <c r="S7936" s="34">
        <v>6.0069999999999998E-2</v>
      </c>
    </row>
    <row r="7937" spans="16:19" x14ac:dyDescent="0.25">
      <c r="P7937" s="27">
        <v>3.2548184716220556E-2</v>
      </c>
      <c r="Q7937" s="28">
        <f t="shared" si="127"/>
        <v>3.5548184716220559E-2</v>
      </c>
      <c r="R7937" s="33">
        <v>0.16282860775771735</v>
      </c>
      <c r="S7937" s="34">
        <v>5.9139999999999998E-2</v>
      </c>
    </row>
    <row r="7938" spans="16:19" x14ac:dyDescent="0.25">
      <c r="P7938" s="27">
        <v>3.2548184716220556E-2</v>
      </c>
      <c r="Q7938" s="28">
        <f t="shared" si="127"/>
        <v>3.5548184716220559E-2</v>
      </c>
      <c r="R7938" s="33">
        <v>0.16282860775771735</v>
      </c>
      <c r="S7938" s="34">
        <v>6.3229999999999995E-2</v>
      </c>
    </row>
    <row r="7939" spans="16:19" x14ac:dyDescent="0.25">
      <c r="P7939" s="27">
        <v>3.2548184716220556E-2</v>
      </c>
      <c r="Q7939" s="28">
        <f t="shared" si="127"/>
        <v>3.5548184716220559E-2</v>
      </c>
      <c r="R7939" s="33">
        <v>0.16282860775771735</v>
      </c>
      <c r="S7939" s="34">
        <v>6.5599999999999992E-2</v>
      </c>
    </row>
    <row r="7940" spans="16:19" x14ac:dyDescent="0.25">
      <c r="P7940" s="27">
        <v>3.2548184716220556E-2</v>
      </c>
      <c r="Q7940" s="28">
        <f t="shared" si="127"/>
        <v>3.5548184716220559E-2</v>
      </c>
      <c r="R7940" s="33">
        <v>0.16282860775771735</v>
      </c>
      <c r="S7940" s="34">
        <v>7.8689999999999996E-2</v>
      </c>
    </row>
    <row r="7941" spans="16:19" x14ac:dyDescent="0.25">
      <c r="P7941" s="27">
        <v>3.2548184716220556E-2</v>
      </c>
      <c r="Q7941" s="28">
        <f t="shared" ref="Q7941:Q8004" si="128">P7941+0.003</f>
        <v>3.5548184716220559E-2</v>
      </c>
      <c r="R7941" s="33">
        <v>0.16282860775771735</v>
      </c>
      <c r="S7941" s="34">
        <v>8.8999999999999996E-2</v>
      </c>
    </row>
    <row r="7942" spans="16:19" x14ac:dyDescent="0.25">
      <c r="P7942" s="27">
        <v>3.2548184716220556E-2</v>
      </c>
      <c r="Q7942" s="28">
        <f t="shared" si="128"/>
        <v>3.5548184716220559E-2</v>
      </c>
      <c r="R7942" s="33">
        <v>0.16282860775771735</v>
      </c>
      <c r="S7942" s="34">
        <v>7.0000000000000007E-2</v>
      </c>
    </row>
    <row r="7943" spans="16:19" x14ac:dyDescent="0.25">
      <c r="P7943" s="27">
        <v>3.2548184716220556E-2</v>
      </c>
      <c r="Q7943" s="28">
        <f t="shared" si="128"/>
        <v>3.5548184716220559E-2</v>
      </c>
      <c r="R7943" s="31">
        <v>0.15939660775771733</v>
      </c>
      <c r="S7943" s="32">
        <v>6.2E-2</v>
      </c>
    </row>
    <row r="7944" spans="16:19" x14ac:dyDescent="0.25">
      <c r="P7944" s="27">
        <v>3.2548184716220556E-2</v>
      </c>
      <c r="Q7944" s="28">
        <f t="shared" si="128"/>
        <v>3.5548184716220559E-2</v>
      </c>
      <c r="R7944" s="31">
        <v>0.15939660775771733</v>
      </c>
      <c r="S7944" s="32">
        <v>5.9639999999999999E-2</v>
      </c>
    </row>
    <row r="7945" spans="16:19" x14ac:dyDescent="0.25">
      <c r="P7945" s="27">
        <v>3.2548184716220556E-2</v>
      </c>
      <c r="Q7945" s="28">
        <f t="shared" si="128"/>
        <v>3.5548184716220559E-2</v>
      </c>
      <c r="R7945" s="31">
        <v>0.15939660775771733</v>
      </c>
      <c r="S7945" s="32">
        <v>5.7000000000000002E-2</v>
      </c>
    </row>
    <row r="7946" spans="16:19" x14ac:dyDescent="0.25">
      <c r="P7946" s="27">
        <v>3.2548184716220556E-2</v>
      </c>
      <c r="Q7946" s="28">
        <f t="shared" si="128"/>
        <v>3.5548184716220559E-2</v>
      </c>
      <c r="R7946" s="31">
        <v>0.15939660775771733</v>
      </c>
      <c r="S7946" s="32">
        <v>5.6240000000000005E-2</v>
      </c>
    </row>
    <row r="7947" spans="16:19" x14ac:dyDescent="0.25">
      <c r="P7947" s="27">
        <v>3.2548184716220556E-2</v>
      </c>
      <c r="Q7947" s="28">
        <f t="shared" si="128"/>
        <v>3.5548184716220559E-2</v>
      </c>
      <c r="R7947" s="29">
        <v>0.15003660775771735</v>
      </c>
      <c r="S7947" s="30">
        <v>5.2880000000000003E-2</v>
      </c>
    </row>
    <row r="7948" spans="16:19" x14ac:dyDescent="0.25">
      <c r="P7948" s="27">
        <v>3.2548184716220556E-2</v>
      </c>
      <c r="Q7948" s="28">
        <f t="shared" si="128"/>
        <v>3.5548184716220559E-2</v>
      </c>
      <c r="R7948" s="29">
        <v>0.15003660775771735</v>
      </c>
      <c r="S7948" s="30">
        <v>0.05</v>
      </c>
    </row>
    <row r="7949" spans="16:19" x14ac:dyDescent="0.25">
      <c r="P7949" s="27">
        <v>3.2548184716220556E-2</v>
      </c>
      <c r="Q7949" s="28">
        <f t="shared" si="128"/>
        <v>3.5548184716220559E-2</v>
      </c>
      <c r="R7949" s="29">
        <v>0.15003660775771735</v>
      </c>
      <c r="S7949" s="30">
        <v>4.2189999999999998E-2</v>
      </c>
    </row>
    <row r="7950" spans="16:19" x14ac:dyDescent="0.25">
      <c r="P7950" s="27">
        <v>3.2548184716220556E-2</v>
      </c>
      <c r="Q7950" s="28">
        <f t="shared" si="128"/>
        <v>3.5548184716220559E-2</v>
      </c>
      <c r="R7950" s="29">
        <v>0.15003660775771735</v>
      </c>
      <c r="S7950" s="30">
        <v>3.7810000000000003E-2</v>
      </c>
    </row>
    <row r="7951" spans="16:19" x14ac:dyDescent="0.25">
      <c r="P7951" s="27">
        <v>3.2548184716220556E-2</v>
      </c>
      <c r="Q7951" s="28">
        <f t="shared" si="128"/>
        <v>3.5548184716220559E-2</v>
      </c>
      <c r="R7951" s="29">
        <v>0.15003660775771735</v>
      </c>
      <c r="S7951" s="30">
        <v>3.7270000000000005E-2</v>
      </c>
    </row>
    <row r="7952" spans="16:19" x14ac:dyDescent="0.25">
      <c r="P7952" s="27">
        <v>3.2548184716220556E-2</v>
      </c>
      <c r="Q7952" s="28">
        <f t="shared" si="128"/>
        <v>3.5548184716220559E-2</v>
      </c>
      <c r="R7952" s="29">
        <v>0.15003660775771735</v>
      </c>
      <c r="S7952" s="30">
        <v>3.7350000000000001E-2</v>
      </c>
    </row>
    <row r="7953" spans="16:19" x14ac:dyDescent="0.25">
      <c r="P7953" s="27">
        <v>3.2548184716220556E-2</v>
      </c>
      <c r="Q7953" s="28">
        <f t="shared" si="128"/>
        <v>3.5548184716220559E-2</v>
      </c>
      <c r="R7953" s="29">
        <v>0.15003660775771735</v>
      </c>
      <c r="S7953" s="30">
        <v>4.2189999999999998E-2</v>
      </c>
    </row>
    <row r="7954" spans="16:19" x14ac:dyDescent="0.25">
      <c r="P7954" s="27">
        <v>3.2548184716220556E-2</v>
      </c>
      <c r="Q7954" s="28">
        <f t="shared" si="128"/>
        <v>3.5548184716220559E-2</v>
      </c>
      <c r="R7954" s="29">
        <v>0.15003660775771735</v>
      </c>
      <c r="S7954" s="30">
        <v>5.9830000000000001E-2</v>
      </c>
    </row>
    <row r="7955" spans="16:19" x14ac:dyDescent="0.25">
      <c r="P7955" s="27">
        <v>3.2548184716220556E-2</v>
      </c>
      <c r="Q7955" s="28">
        <f t="shared" si="128"/>
        <v>3.5548184716220559E-2</v>
      </c>
      <c r="R7955" s="31">
        <v>0.15939660775771733</v>
      </c>
      <c r="S7955" s="32">
        <v>6.1539999999999997E-2</v>
      </c>
    </row>
    <row r="7956" spans="16:19" x14ac:dyDescent="0.25">
      <c r="P7956" s="27">
        <v>3.2548184716220556E-2</v>
      </c>
      <c r="Q7956" s="28">
        <f t="shared" si="128"/>
        <v>3.5548184716220559E-2</v>
      </c>
      <c r="R7956" s="33">
        <v>0.16282860775771735</v>
      </c>
      <c r="S7956" s="34">
        <v>7.102E-2</v>
      </c>
    </row>
    <row r="7957" spans="16:19" x14ac:dyDescent="0.25">
      <c r="P7957" s="27">
        <v>3.2548184716220556E-2</v>
      </c>
      <c r="Q7957" s="28">
        <f t="shared" si="128"/>
        <v>3.5548184716220559E-2</v>
      </c>
      <c r="R7957" s="33">
        <v>0.16282860775771735</v>
      </c>
      <c r="S7957" s="34">
        <v>7.0989999999999998E-2</v>
      </c>
    </row>
    <row r="7958" spans="16:19" x14ac:dyDescent="0.25">
      <c r="P7958" s="27">
        <v>3.2548184716220556E-2</v>
      </c>
      <c r="Q7958" s="28">
        <f t="shared" si="128"/>
        <v>3.5548184716220559E-2</v>
      </c>
      <c r="R7958" s="33">
        <v>0.16282860775771735</v>
      </c>
      <c r="S7958" s="34">
        <v>6.4989999999999992E-2</v>
      </c>
    </row>
    <row r="7959" spans="16:19" x14ac:dyDescent="0.25">
      <c r="P7959" s="27">
        <v>3.2548184716220556E-2</v>
      </c>
      <c r="Q7959" s="28">
        <f t="shared" si="128"/>
        <v>3.5548184716220559E-2</v>
      </c>
      <c r="R7959" s="33">
        <v>0.16282860775771735</v>
      </c>
      <c r="S7959" s="34">
        <v>6.515E-2</v>
      </c>
    </row>
    <row r="7960" spans="16:19" x14ac:dyDescent="0.25">
      <c r="P7960" s="27">
        <v>3.2548184716220556E-2</v>
      </c>
      <c r="Q7960" s="28">
        <f t="shared" si="128"/>
        <v>3.5548184716220559E-2</v>
      </c>
      <c r="R7960" s="33">
        <v>0.16282860775771735</v>
      </c>
      <c r="S7960" s="34">
        <v>5.8389999999999997E-2</v>
      </c>
    </row>
    <row r="7961" spans="16:19" x14ac:dyDescent="0.25">
      <c r="P7961" s="27">
        <v>3.2548184716220556E-2</v>
      </c>
      <c r="Q7961" s="28">
        <f t="shared" si="128"/>
        <v>3.5548184716220559E-2</v>
      </c>
      <c r="R7961" s="33">
        <v>0.16282860775771735</v>
      </c>
      <c r="S7961" s="34">
        <v>5.7700000000000001E-2</v>
      </c>
    </row>
    <row r="7962" spans="16:19" x14ac:dyDescent="0.25">
      <c r="P7962" s="27">
        <v>3.2548184716220556E-2</v>
      </c>
      <c r="Q7962" s="28">
        <f t="shared" si="128"/>
        <v>3.5548184716220559E-2</v>
      </c>
      <c r="R7962" s="33">
        <v>0.16282860775771735</v>
      </c>
      <c r="S7962" s="34">
        <v>6.3329999999999997E-2</v>
      </c>
    </row>
    <row r="7963" spans="16:19" x14ac:dyDescent="0.25">
      <c r="P7963" s="27">
        <v>3.2548184716220556E-2</v>
      </c>
      <c r="Q7963" s="28">
        <f t="shared" si="128"/>
        <v>3.5548184716220559E-2</v>
      </c>
      <c r="R7963" s="33">
        <v>0.16282860775771735</v>
      </c>
      <c r="S7963" s="34">
        <v>6.8479999999999999E-2</v>
      </c>
    </row>
    <row r="7964" spans="16:19" x14ac:dyDescent="0.25">
      <c r="P7964" s="27">
        <v>3.2548184716220556E-2</v>
      </c>
      <c r="Q7964" s="28">
        <f t="shared" si="128"/>
        <v>3.5548184716220559E-2</v>
      </c>
      <c r="R7964" s="33">
        <v>0.16282860775771735</v>
      </c>
      <c r="S7964" s="34">
        <v>7.7109999999999998E-2</v>
      </c>
    </row>
    <row r="7965" spans="16:19" x14ac:dyDescent="0.25">
      <c r="P7965" s="27">
        <v>3.2548184716220556E-2</v>
      </c>
      <c r="Q7965" s="28">
        <f t="shared" si="128"/>
        <v>3.5548184716220559E-2</v>
      </c>
      <c r="R7965" s="33">
        <v>0.16282860775771735</v>
      </c>
      <c r="S7965" s="34">
        <v>8.3089999999999997E-2</v>
      </c>
    </row>
    <row r="7966" spans="16:19" x14ac:dyDescent="0.25">
      <c r="P7966" s="27">
        <v>3.2548184716220556E-2</v>
      </c>
      <c r="Q7966" s="28">
        <f t="shared" si="128"/>
        <v>3.5548184716220559E-2</v>
      </c>
      <c r="R7966" s="33">
        <v>0.16282860775771735</v>
      </c>
      <c r="S7966" s="34">
        <v>6.9620000000000001E-2</v>
      </c>
    </row>
    <row r="7967" spans="16:19" x14ac:dyDescent="0.25">
      <c r="P7967" s="27">
        <v>3.2548184716220556E-2</v>
      </c>
      <c r="Q7967" s="28">
        <f t="shared" si="128"/>
        <v>3.5548184716220559E-2</v>
      </c>
      <c r="R7967" s="31">
        <v>0.15939660775771733</v>
      </c>
      <c r="S7967" s="32">
        <v>6.2630000000000005E-2</v>
      </c>
    </row>
    <row r="7968" spans="16:19" x14ac:dyDescent="0.25">
      <c r="P7968" s="27">
        <v>3.2548184716220556E-2</v>
      </c>
      <c r="Q7968" s="28">
        <f t="shared" si="128"/>
        <v>3.5548184716220559E-2</v>
      </c>
      <c r="R7968" s="31">
        <v>0.15939660775771733</v>
      </c>
      <c r="S7968" s="32">
        <v>5.9929999999999997E-2</v>
      </c>
    </row>
    <row r="7969" spans="16:19" x14ac:dyDescent="0.25">
      <c r="P7969" s="27">
        <v>3.2548184716220556E-2</v>
      </c>
      <c r="Q7969" s="28">
        <f t="shared" si="128"/>
        <v>3.5548184716220559E-2</v>
      </c>
      <c r="R7969" s="31">
        <v>0.15939660775771733</v>
      </c>
      <c r="S7969" s="32">
        <v>5.6590000000000001E-2</v>
      </c>
    </row>
    <row r="7970" spans="16:19" x14ac:dyDescent="0.25">
      <c r="P7970" s="27">
        <v>3.2548184716220556E-2</v>
      </c>
      <c r="Q7970" s="28">
        <f t="shared" si="128"/>
        <v>3.5548184716220559E-2</v>
      </c>
      <c r="R7970" s="31">
        <v>0.15939660775771733</v>
      </c>
      <c r="S7970" s="32">
        <v>5.2600000000000001E-2</v>
      </c>
    </row>
    <row r="7971" spans="16:19" x14ac:dyDescent="0.25">
      <c r="P7971" s="27">
        <v>3.2548184716220556E-2</v>
      </c>
      <c r="Q7971" s="28">
        <f t="shared" si="128"/>
        <v>3.5548184716220559E-2</v>
      </c>
      <c r="R7971" s="29">
        <v>0.15003660775771735</v>
      </c>
      <c r="S7971" s="30">
        <v>4.2189999999999998E-2</v>
      </c>
    </row>
    <row r="7972" spans="16:19" x14ac:dyDescent="0.25">
      <c r="P7972" s="27">
        <v>3.2548184716220556E-2</v>
      </c>
      <c r="Q7972" s="28">
        <f t="shared" si="128"/>
        <v>3.5548184716220559E-2</v>
      </c>
      <c r="R7972" s="29">
        <v>0.15003660775771735</v>
      </c>
      <c r="S7972" s="30">
        <v>4.2000000000000003E-2</v>
      </c>
    </row>
    <row r="7973" spans="16:19" x14ac:dyDescent="0.25">
      <c r="P7973" s="27">
        <v>3.2548184716220556E-2</v>
      </c>
      <c r="Q7973" s="28">
        <f t="shared" si="128"/>
        <v>3.5548184716220559E-2</v>
      </c>
      <c r="R7973" s="29">
        <v>0.15003660775771735</v>
      </c>
      <c r="S7973" s="30">
        <v>3.9380000000000005E-2</v>
      </c>
    </row>
    <row r="7974" spans="16:19" x14ac:dyDescent="0.25">
      <c r="P7974" s="27">
        <v>3.2548184716220556E-2</v>
      </c>
      <c r="Q7974" s="28">
        <f t="shared" si="128"/>
        <v>3.5548184716220559E-2</v>
      </c>
      <c r="R7974" s="29">
        <v>0.15003660775771735</v>
      </c>
      <c r="S7974" s="30">
        <v>3.6990000000000002E-2</v>
      </c>
    </row>
    <row r="7975" spans="16:19" x14ac:dyDescent="0.25">
      <c r="P7975" s="27">
        <v>3.2548184716220556E-2</v>
      </c>
      <c r="Q7975" s="28">
        <f t="shared" si="128"/>
        <v>3.5548184716220559E-2</v>
      </c>
      <c r="R7975" s="29">
        <v>0.15003660775771735</v>
      </c>
      <c r="S7975" s="30">
        <v>3.5990000000000001E-2</v>
      </c>
    </row>
    <row r="7976" spans="16:19" x14ac:dyDescent="0.25">
      <c r="P7976" s="27">
        <v>3.2548184716220556E-2</v>
      </c>
      <c r="Q7976" s="28">
        <f t="shared" si="128"/>
        <v>3.5548184716220559E-2</v>
      </c>
      <c r="R7976" s="29">
        <v>0.15003660775771735</v>
      </c>
      <c r="S7976" s="30">
        <v>3.601E-2</v>
      </c>
    </row>
    <row r="7977" spans="16:19" x14ac:dyDescent="0.25">
      <c r="P7977" s="27">
        <v>3.2548184716220556E-2</v>
      </c>
      <c r="Q7977" s="28">
        <f t="shared" si="128"/>
        <v>3.5548184716220559E-2</v>
      </c>
      <c r="R7977" s="29">
        <v>0.15003660775771735</v>
      </c>
      <c r="S7977" s="30">
        <v>3.8990000000000004E-2</v>
      </c>
    </row>
    <row r="7978" spans="16:19" x14ac:dyDescent="0.25">
      <c r="P7978" s="27">
        <v>3.2548184716220556E-2</v>
      </c>
      <c r="Q7978" s="28">
        <f t="shared" si="128"/>
        <v>3.5548184716220559E-2</v>
      </c>
      <c r="R7978" s="29">
        <v>0.15003660775771735</v>
      </c>
      <c r="S7978" s="30">
        <v>4.6340000000000006E-2</v>
      </c>
    </row>
    <row r="7979" spans="16:19" x14ac:dyDescent="0.25">
      <c r="P7979" s="27">
        <v>3.2548184716220556E-2</v>
      </c>
      <c r="Q7979" s="28">
        <f t="shared" si="128"/>
        <v>3.5548184716220559E-2</v>
      </c>
      <c r="R7979" s="31">
        <v>0.15939660775771733</v>
      </c>
      <c r="S7979" s="32">
        <v>4.5420000000000002E-2</v>
      </c>
    </row>
    <row r="7980" spans="16:19" x14ac:dyDescent="0.25">
      <c r="P7980" s="27">
        <v>3.2548184716220556E-2</v>
      </c>
      <c r="Q7980" s="28">
        <f t="shared" si="128"/>
        <v>3.5548184716220559E-2</v>
      </c>
      <c r="R7980" s="33">
        <v>0.16282860775771735</v>
      </c>
      <c r="S7980" s="34">
        <v>5.3990000000000003E-2</v>
      </c>
    </row>
    <row r="7981" spans="16:19" x14ac:dyDescent="0.25">
      <c r="P7981" s="27">
        <v>3.2548184716220556E-2</v>
      </c>
      <c r="Q7981" s="28">
        <f t="shared" si="128"/>
        <v>3.5548184716220559E-2</v>
      </c>
      <c r="R7981" s="33">
        <v>0.16282860775771735</v>
      </c>
      <c r="S7981" s="34">
        <v>5.9400000000000001E-2</v>
      </c>
    </row>
    <row r="7982" spans="16:19" x14ac:dyDescent="0.25">
      <c r="P7982" s="27">
        <v>3.2548184716220556E-2</v>
      </c>
      <c r="Q7982" s="28">
        <f t="shared" si="128"/>
        <v>3.5548184716220559E-2</v>
      </c>
      <c r="R7982" s="33">
        <v>0.16282860775771735</v>
      </c>
      <c r="S7982" s="34">
        <v>5.892E-2</v>
      </c>
    </row>
    <row r="7983" spans="16:19" x14ac:dyDescent="0.25">
      <c r="P7983" s="27">
        <v>3.2548184716220556E-2</v>
      </c>
      <c r="Q7983" s="28">
        <f t="shared" si="128"/>
        <v>3.5548184716220559E-2</v>
      </c>
      <c r="R7983" s="33">
        <v>0.16282860775771735</v>
      </c>
      <c r="S7983" s="34">
        <v>5.935E-2</v>
      </c>
    </row>
    <row r="7984" spans="16:19" x14ac:dyDescent="0.25">
      <c r="P7984" s="27">
        <v>3.2548184716220556E-2</v>
      </c>
      <c r="Q7984" s="28">
        <f t="shared" si="128"/>
        <v>3.5548184716220559E-2</v>
      </c>
      <c r="R7984" s="33">
        <v>0.16282860775771735</v>
      </c>
      <c r="S7984" s="34">
        <v>5.5549999999999995E-2</v>
      </c>
    </row>
    <row r="7985" spans="16:19" x14ac:dyDescent="0.25">
      <c r="P7985" s="27">
        <v>3.2548184716220556E-2</v>
      </c>
      <c r="Q7985" s="28">
        <f t="shared" si="128"/>
        <v>3.5548184716220559E-2</v>
      </c>
      <c r="R7985" s="33">
        <v>0.16282860775771735</v>
      </c>
      <c r="S7985" s="34">
        <v>4.7E-2</v>
      </c>
    </row>
    <row r="7986" spans="16:19" x14ac:dyDescent="0.25">
      <c r="P7986" s="27">
        <v>3.2548184716220556E-2</v>
      </c>
      <c r="Q7986" s="28">
        <f t="shared" si="128"/>
        <v>3.5548184716220559E-2</v>
      </c>
      <c r="R7986" s="33">
        <v>0.16282860775771735</v>
      </c>
      <c r="S7986" s="34">
        <v>5.3990000000000003E-2</v>
      </c>
    </row>
    <row r="7987" spans="16:19" x14ac:dyDescent="0.25">
      <c r="P7987" s="27">
        <v>3.2548184716220556E-2</v>
      </c>
      <c r="Q7987" s="28">
        <f t="shared" si="128"/>
        <v>3.5548184716220559E-2</v>
      </c>
      <c r="R7987" s="33">
        <v>0.16282860775771735</v>
      </c>
      <c r="S7987" s="34">
        <v>4.999E-2</v>
      </c>
    </row>
    <row r="7988" spans="16:19" x14ac:dyDescent="0.25">
      <c r="P7988" s="27">
        <v>3.2548184716220556E-2</v>
      </c>
      <c r="Q7988" s="28">
        <f t="shared" si="128"/>
        <v>3.5548184716220559E-2</v>
      </c>
      <c r="R7988" s="33">
        <v>0.16282860775771735</v>
      </c>
      <c r="S7988" s="34">
        <v>5.4990000000000004E-2</v>
      </c>
    </row>
    <row r="7989" spans="16:19" x14ac:dyDescent="0.25">
      <c r="P7989" s="27">
        <v>3.2548184716220556E-2</v>
      </c>
      <c r="Q7989" s="28">
        <f t="shared" si="128"/>
        <v>3.5548184716220559E-2</v>
      </c>
      <c r="R7989" s="33">
        <v>0.16282860775771735</v>
      </c>
      <c r="S7989" s="34">
        <v>6.1130000000000004E-2</v>
      </c>
    </row>
    <row r="7990" spans="16:19" x14ac:dyDescent="0.25">
      <c r="P7990" s="27">
        <v>3.2548184716220556E-2</v>
      </c>
      <c r="Q7990" s="28">
        <f t="shared" si="128"/>
        <v>3.5548184716220559E-2</v>
      </c>
      <c r="R7990" s="33">
        <v>0.16282860775771735</v>
      </c>
      <c r="S7990" s="34">
        <v>5.8189999999999999E-2</v>
      </c>
    </row>
    <row r="7991" spans="16:19" x14ac:dyDescent="0.25">
      <c r="P7991" s="27">
        <v>3.2548184716220556E-2</v>
      </c>
      <c r="Q7991" s="28">
        <f t="shared" si="128"/>
        <v>3.5548184716220559E-2</v>
      </c>
      <c r="R7991" s="31">
        <v>0.15939660775771733</v>
      </c>
      <c r="S7991" s="32">
        <v>5.7979999999999997E-2</v>
      </c>
    </row>
    <row r="7992" spans="16:19" x14ac:dyDescent="0.25">
      <c r="P7992" s="27">
        <v>3.2548184716220556E-2</v>
      </c>
      <c r="Q7992" s="28">
        <f t="shared" si="128"/>
        <v>3.5548184716220559E-2</v>
      </c>
      <c r="R7992" s="31">
        <v>0.15939660775771733</v>
      </c>
      <c r="S7992" s="32">
        <v>5.3990000000000003E-2</v>
      </c>
    </row>
    <row r="7993" spans="16:19" x14ac:dyDescent="0.25">
      <c r="P7993" s="27">
        <v>3.2548184716220556E-2</v>
      </c>
      <c r="Q7993" s="28">
        <f t="shared" si="128"/>
        <v>3.5548184716220559E-2</v>
      </c>
      <c r="R7993" s="31">
        <v>0.15939660775771733</v>
      </c>
      <c r="S7993" s="32">
        <v>4.7289999999999999E-2</v>
      </c>
    </row>
    <row r="7994" spans="16:19" x14ac:dyDescent="0.25">
      <c r="P7994" s="27">
        <v>3.2548184716220556E-2</v>
      </c>
      <c r="Q7994" s="28">
        <f t="shared" si="128"/>
        <v>3.5548184716220559E-2</v>
      </c>
      <c r="R7994" s="31">
        <v>0.15939660775771733</v>
      </c>
      <c r="S7994" s="32">
        <v>3.5729999999999998E-2</v>
      </c>
    </row>
    <row r="7995" spans="16:19" x14ac:dyDescent="0.25">
      <c r="P7995" s="27">
        <v>3.2548184716220556E-2</v>
      </c>
      <c r="Q7995" s="28">
        <f t="shared" si="128"/>
        <v>3.5548184716220559E-2</v>
      </c>
      <c r="R7995" s="29">
        <v>0.15003660775771735</v>
      </c>
      <c r="S7995" s="30">
        <v>3.4200000000000001E-2</v>
      </c>
    </row>
    <row r="7996" spans="16:19" x14ac:dyDescent="0.25">
      <c r="P7996" s="27">
        <v>3.2548184716220556E-2</v>
      </c>
      <c r="Q7996" s="28">
        <f t="shared" si="128"/>
        <v>3.5548184716220559E-2</v>
      </c>
      <c r="R7996" s="29">
        <v>0.15003660775771735</v>
      </c>
      <c r="S7996" s="30">
        <v>3.9149999999999997E-2</v>
      </c>
    </row>
    <row r="7997" spans="16:19" x14ac:dyDescent="0.25">
      <c r="P7997" s="27">
        <v>3.2548184716220556E-2</v>
      </c>
      <c r="Q7997" s="28">
        <f t="shared" si="128"/>
        <v>3.5548184716220559E-2</v>
      </c>
      <c r="R7997" s="29">
        <v>0.15003660775771735</v>
      </c>
      <c r="S7997" s="30">
        <v>0.03</v>
      </c>
    </row>
    <row r="7998" spans="16:19" x14ac:dyDescent="0.25">
      <c r="P7998" s="27">
        <v>3.2548184716220556E-2</v>
      </c>
      <c r="Q7998" s="28">
        <f t="shared" si="128"/>
        <v>3.5548184716220559E-2</v>
      </c>
      <c r="R7998" s="29">
        <v>0.15003660775771735</v>
      </c>
      <c r="S7998" s="30">
        <v>2.75E-2</v>
      </c>
    </row>
    <row r="7999" spans="16:19" x14ac:dyDescent="0.25">
      <c r="P7999" s="27">
        <v>3.2548184716220556E-2</v>
      </c>
      <c r="Q7999" s="28">
        <f t="shared" si="128"/>
        <v>3.5548184716220559E-2</v>
      </c>
      <c r="R7999" s="29">
        <v>0.15003660775771735</v>
      </c>
      <c r="S7999" s="30">
        <v>2.2499999999999999E-2</v>
      </c>
    </row>
    <row r="8000" spans="16:19" x14ac:dyDescent="0.25">
      <c r="P8000" s="27">
        <v>3.2548184716220556E-2</v>
      </c>
      <c r="Q8000" s="28">
        <f t="shared" si="128"/>
        <v>3.5548184716220559E-2</v>
      </c>
      <c r="R8000" s="29">
        <v>0.15003660775771735</v>
      </c>
      <c r="S8000" s="30">
        <v>2.019E-2</v>
      </c>
    </row>
    <row r="8001" spans="16:19" x14ac:dyDescent="0.25">
      <c r="P8001" s="27">
        <v>3.2548184716220556E-2</v>
      </c>
      <c r="Q8001" s="28">
        <f t="shared" si="128"/>
        <v>3.5548184716220559E-2</v>
      </c>
      <c r="R8001" s="29">
        <v>0.15003660775771735</v>
      </c>
      <c r="S8001" s="30">
        <v>2.5999999999999999E-2</v>
      </c>
    </row>
    <row r="8002" spans="16:19" x14ac:dyDescent="0.25">
      <c r="P8002" s="27">
        <v>3.2548184716220556E-2</v>
      </c>
      <c r="Q8002" s="28">
        <f t="shared" si="128"/>
        <v>3.5548184716220559E-2</v>
      </c>
      <c r="R8002" s="29">
        <v>0.15003660775771735</v>
      </c>
      <c r="S8002" s="30">
        <v>2.9734677000000001E-2</v>
      </c>
    </row>
    <row r="8003" spans="16:19" x14ac:dyDescent="0.25">
      <c r="P8003" s="27">
        <v>3.2548184716220556E-2</v>
      </c>
      <c r="Q8003" s="28">
        <f t="shared" si="128"/>
        <v>3.5548184716220559E-2</v>
      </c>
      <c r="R8003" s="31">
        <v>0.15939660775771733</v>
      </c>
      <c r="S8003" s="32">
        <v>2.1430000000000001E-2</v>
      </c>
    </row>
    <row r="8004" spans="16:19" x14ac:dyDescent="0.25">
      <c r="P8004" s="27">
        <v>3.2548184716220556E-2</v>
      </c>
      <c r="Q8004" s="28">
        <f t="shared" si="128"/>
        <v>3.5548184716220559E-2</v>
      </c>
      <c r="R8004" s="33">
        <v>0.16282860775771735</v>
      </c>
      <c r="S8004" s="34">
        <v>2.2940000000000002E-2</v>
      </c>
    </row>
    <row r="8005" spans="16:19" x14ac:dyDescent="0.25">
      <c r="P8005" s="27">
        <v>3.2548184716220556E-2</v>
      </c>
      <c r="Q8005" s="28">
        <f t="shared" ref="Q8005:Q8068" si="129">P8005+0.003</f>
        <v>3.5548184716220559E-2</v>
      </c>
      <c r="R8005" s="33">
        <v>0.16282860775771735</v>
      </c>
      <c r="S8005" s="34">
        <v>4.2070000000000003E-2</v>
      </c>
    </row>
    <row r="8006" spans="16:19" x14ac:dyDescent="0.25">
      <c r="P8006" s="27">
        <v>3.2548184716220556E-2</v>
      </c>
      <c r="Q8006" s="28">
        <f t="shared" si="129"/>
        <v>3.5548184716220559E-2</v>
      </c>
      <c r="R8006" s="33">
        <v>0.16282860775771735</v>
      </c>
      <c r="S8006" s="34">
        <v>4.4299999999999999E-2</v>
      </c>
    </row>
    <row r="8007" spans="16:19" x14ac:dyDescent="0.25">
      <c r="P8007" s="27">
        <v>3.2548184716220556E-2</v>
      </c>
      <c r="Q8007" s="28">
        <f t="shared" si="129"/>
        <v>3.5548184716220559E-2</v>
      </c>
      <c r="R8007" s="33">
        <v>0.16282860775771735</v>
      </c>
      <c r="S8007" s="34">
        <v>4.7600000000000003E-2</v>
      </c>
    </row>
    <row r="8008" spans="16:19" x14ac:dyDescent="0.25">
      <c r="P8008" s="27">
        <v>3.2548184716220556E-2</v>
      </c>
      <c r="Q8008" s="28">
        <f t="shared" si="129"/>
        <v>3.5548184716220559E-2</v>
      </c>
      <c r="R8008" s="33">
        <v>0.16282860775771735</v>
      </c>
      <c r="S8008" s="34">
        <v>4.3240000000000001E-2</v>
      </c>
    </row>
    <row r="8009" spans="16:19" x14ac:dyDescent="0.25">
      <c r="P8009" s="27">
        <v>3.2548184716220556E-2</v>
      </c>
      <c r="Q8009" s="28">
        <f t="shared" si="129"/>
        <v>3.5548184716220559E-2</v>
      </c>
      <c r="R8009" s="33">
        <v>0.16282860775771735</v>
      </c>
      <c r="S8009" s="34">
        <v>4.086E-2</v>
      </c>
    </row>
    <row r="8010" spans="16:19" x14ac:dyDescent="0.25">
      <c r="P8010" s="27">
        <v>3.2548184716220556E-2</v>
      </c>
      <c r="Q8010" s="28">
        <f t="shared" si="129"/>
        <v>3.5548184716220559E-2</v>
      </c>
      <c r="R8010" s="33">
        <v>0.16282860775771735</v>
      </c>
      <c r="S8010" s="34">
        <v>4.4950000000000004E-2</v>
      </c>
    </row>
    <row r="8011" spans="16:19" x14ac:dyDescent="0.25">
      <c r="P8011" s="27">
        <v>3.2548184716220556E-2</v>
      </c>
      <c r="Q8011" s="28">
        <f t="shared" si="129"/>
        <v>3.5548184716220559E-2</v>
      </c>
      <c r="R8011" s="33">
        <v>0.16282860775771735</v>
      </c>
      <c r="S8011" s="34">
        <v>4.6950000000000006E-2</v>
      </c>
    </row>
    <row r="8012" spans="16:19" x14ac:dyDescent="0.25">
      <c r="P8012" s="27">
        <v>3.2548184716220556E-2</v>
      </c>
      <c r="Q8012" s="28">
        <f t="shared" si="129"/>
        <v>3.5548184716220559E-2</v>
      </c>
      <c r="R8012" s="33">
        <v>0.16282860775771735</v>
      </c>
      <c r="S8012" s="34">
        <v>4.795E-2</v>
      </c>
    </row>
    <row r="8013" spans="16:19" x14ac:dyDescent="0.25">
      <c r="P8013" s="27">
        <v>3.2548184716220556E-2</v>
      </c>
      <c r="Q8013" s="28">
        <f t="shared" si="129"/>
        <v>3.5548184716220559E-2</v>
      </c>
      <c r="R8013" s="33">
        <v>0.16282860775771735</v>
      </c>
      <c r="S8013" s="34">
        <v>6.0109999999999997E-2</v>
      </c>
    </row>
    <row r="8014" spans="16:19" x14ac:dyDescent="0.25">
      <c r="P8014" s="27">
        <v>3.2548184716220556E-2</v>
      </c>
      <c r="Q8014" s="28">
        <f t="shared" si="129"/>
        <v>3.5548184716220559E-2</v>
      </c>
      <c r="R8014" s="33">
        <v>0.16282860775771735</v>
      </c>
      <c r="S8014" s="34">
        <v>6.0080000000000001E-2</v>
      </c>
    </row>
    <row r="8015" spans="16:19" x14ac:dyDescent="0.25">
      <c r="P8015" s="27">
        <v>3.2548184716220556E-2</v>
      </c>
      <c r="Q8015" s="28">
        <f t="shared" si="129"/>
        <v>3.5548184716220559E-2</v>
      </c>
      <c r="R8015" s="31">
        <v>0.15939660775771733</v>
      </c>
      <c r="S8015" s="32">
        <v>6.0479999999999999E-2</v>
      </c>
    </row>
    <row r="8016" spans="16:19" x14ac:dyDescent="0.25">
      <c r="P8016" s="27">
        <v>3.2548184716220556E-2</v>
      </c>
      <c r="Q8016" s="28">
        <f t="shared" si="129"/>
        <v>3.5548184716220559E-2</v>
      </c>
      <c r="R8016" s="31">
        <v>0.15939660775771733</v>
      </c>
      <c r="S8016" s="32">
        <v>6.0240000000000002E-2</v>
      </c>
    </row>
    <row r="8017" spans="16:19" x14ac:dyDescent="0.25">
      <c r="P8017" s="27">
        <v>3.2548184716220556E-2</v>
      </c>
      <c r="Q8017" s="28">
        <f t="shared" si="129"/>
        <v>3.5548184716220559E-2</v>
      </c>
      <c r="R8017" s="31">
        <v>0.15939660775771733</v>
      </c>
      <c r="S8017" s="32">
        <v>5.4848011000000002E-2</v>
      </c>
    </row>
    <row r="8018" spans="16:19" x14ac:dyDescent="0.25">
      <c r="P8018" s="27">
        <v>3.2548184716220556E-2</v>
      </c>
      <c r="Q8018" s="28">
        <f t="shared" si="129"/>
        <v>3.5548184716220559E-2</v>
      </c>
      <c r="R8018" s="31">
        <v>0.15939660775771733</v>
      </c>
      <c r="S8018" s="32">
        <v>4.5571917999999996E-2</v>
      </c>
    </row>
    <row r="8019" spans="16:19" x14ac:dyDescent="0.25">
      <c r="P8019" s="27">
        <v>3.2548184716220556E-2</v>
      </c>
      <c r="Q8019" s="28">
        <f t="shared" si="129"/>
        <v>3.5548184716220559E-2</v>
      </c>
      <c r="R8019" s="29">
        <v>0.15003660775771735</v>
      </c>
      <c r="S8019" s="30">
        <v>4.086E-2</v>
      </c>
    </row>
    <row r="8020" spans="16:19" x14ac:dyDescent="0.25">
      <c r="P8020" s="27">
        <v>3.2548184716220556E-2</v>
      </c>
      <c r="Q8020" s="28">
        <f t="shared" si="129"/>
        <v>3.5548184716220559E-2</v>
      </c>
      <c r="R8020" s="29">
        <v>0.15003660775771735</v>
      </c>
      <c r="S8020" s="30">
        <v>4.5909999999999999E-2</v>
      </c>
    </row>
    <row r="8021" spans="16:19" x14ac:dyDescent="0.25">
      <c r="P8021" s="27">
        <v>3.2548184716220556E-2</v>
      </c>
      <c r="Q8021" s="28">
        <f t="shared" si="129"/>
        <v>3.5548184716220559E-2</v>
      </c>
      <c r="R8021" s="29">
        <v>0.15003660775771735</v>
      </c>
      <c r="S8021" s="30">
        <v>3.5679999999999996E-2</v>
      </c>
    </row>
    <row r="8022" spans="16:19" x14ac:dyDescent="0.25">
      <c r="P8022" s="27">
        <v>3.2548184716220556E-2</v>
      </c>
      <c r="Q8022" s="28">
        <f t="shared" si="129"/>
        <v>3.5548184716220559E-2</v>
      </c>
      <c r="R8022" s="29">
        <v>0.15003660775771735</v>
      </c>
      <c r="S8022" s="30">
        <v>2.145E-2</v>
      </c>
    </row>
    <row r="8023" spans="16:19" x14ac:dyDescent="0.25">
      <c r="P8023" s="27">
        <v>3.2548184716220556E-2</v>
      </c>
      <c r="Q8023" s="28">
        <f t="shared" si="129"/>
        <v>3.5548184716220559E-2</v>
      </c>
      <c r="R8023" s="29">
        <v>0.15003660775771735</v>
      </c>
      <c r="S8023" s="30">
        <v>1.9640000000000001E-2</v>
      </c>
    </row>
    <row r="8024" spans="16:19" x14ac:dyDescent="0.25">
      <c r="P8024" s="27">
        <v>3.2548184716220556E-2</v>
      </c>
      <c r="Q8024" s="28">
        <f t="shared" si="129"/>
        <v>3.5548184716220559E-2</v>
      </c>
      <c r="R8024" s="29">
        <v>0.15003660775771735</v>
      </c>
      <c r="S8024" s="30">
        <v>0.02</v>
      </c>
    </row>
    <row r="8025" spans="16:19" x14ac:dyDescent="0.25">
      <c r="P8025" s="27">
        <v>3.2548184716220556E-2</v>
      </c>
      <c r="Q8025" s="28">
        <f t="shared" si="129"/>
        <v>3.5548184716220559E-2</v>
      </c>
      <c r="R8025" s="29">
        <v>0.15003660775771735</v>
      </c>
      <c r="S8025" s="30">
        <v>2.8500000000000001E-2</v>
      </c>
    </row>
    <row r="8026" spans="16:19" x14ac:dyDescent="0.25">
      <c r="P8026" s="27">
        <v>3.2548184716220556E-2</v>
      </c>
      <c r="Q8026" s="28">
        <f t="shared" si="129"/>
        <v>3.5548184716220559E-2</v>
      </c>
      <c r="R8026" s="29">
        <v>0.15003660775771735</v>
      </c>
      <c r="S8026" s="30">
        <v>4.9450000000000001E-2</v>
      </c>
    </row>
    <row r="8027" spans="16:19" x14ac:dyDescent="0.25">
      <c r="P8027" s="27">
        <v>3.2548184716220556E-2</v>
      </c>
      <c r="Q8027" s="28">
        <f t="shared" si="129"/>
        <v>3.5548184716220559E-2</v>
      </c>
      <c r="R8027" s="31">
        <v>0.15939999999999999</v>
      </c>
      <c r="S8027" s="32">
        <v>5.951E-2</v>
      </c>
    </row>
    <row r="8028" spans="16:19" x14ac:dyDescent="0.25">
      <c r="P8028" s="27">
        <v>3.2548184716220556E-2</v>
      </c>
      <c r="Q8028" s="28">
        <f t="shared" si="129"/>
        <v>3.5548184716220559E-2</v>
      </c>
      <c r="R8028" s="31">
        <v>0.15939999999999999</v>
      </c>
      <c r="S8028" s="32">
        <v>6.5680000000000002E-2</v>
      </c>
    </row>
    <row r="8029" spans="16:19" x14ac:dyDescent="0.25">
      <c r="P8029" s="27">
        <v>3.2548184716220556E-2</v>
      </c>
      <c r="Q8029" s="28">
        <f t="shared" si="129"/>
        <v>3.5548184716220559E-2</v>
      </c>
      <c r="R8029" s="31">
        <v>0.15939999999999999</v>
      </c>
      <c r="S8029" s="32">
        <v>6.9970000000000004E-2</v>
      </c>
    </row>
    <row r="8030" spans="16:19" x14ac:dyDescent="0.25">
      <c r="P8030" s="27">
        <v>3.2548184716220556E-2</v>
      </c>
      <c r="Q8030" s="28">
        <f t="shared" si="129"/>
        <v>3.5548184716220559E-2</v>
      </c>
      <c r="R8030" s="31">
        <v>0.15939999999999999</v>
      </c>
      <c r="S8030" s="32">
        <v>6.4000000000000001E-2</v>
      </c>
    </row>
    <row r="8031" spans="16:19" x14ac:dyDescent="0.25">
      <c r="P8031" s="27">
        <v>3.2548184716220556E-2</v>
      </c>
      <c r="Q8031" s="28">
        <f t="shared" si="129"/>
        <v>3.5548184716220559E-2</v>
      </c>
      <c r="R8031" s="31">
        <v>0.15939999999999999</v>
      </c>
      <c r="S8031" s="32">
        <v>6.1609999999999998E-2</v>
      </c>
    </row>
    <row r="8032" spans="16:19" x14ac:dyDescent="0.25">
      <c r="P8032" s="27">
        <v>3.2548184716220556E-2</v>
      </c>
      <c r="Q8032" s="28">
        <f t="shared" si="129"/>
        <v>3.5548184716220559E-2</v>
      </c>
      <c r="R8032" s="31">
        <v>0.15939999999999999</v>
      </c>
      <c r="S8032" s="32">
        <v>5.5960000000000003E-2</v>
      </c>
    </row>
    <row r="8033" spans="16:19" x14ac:dyDescent="0.25">
      <c r="P8033" s="27">
        <v>3.2548184716220556E-2</v>
      </c>
      <c r="Q8033" s="28">
        <f t="shared" si="129"/>
        <v>3.5548184716220559E-2</v>
      </c>
      <c r="R8033" s="31">
        <v>0.15939999999999999</v>
      </c>
      <c r="S8033" s="32">
        <v>5.722E-2</v>
      </c>
    </row>
    <row r="8034" spans="16:19" x14ac:dyDescent="0.25">
      <c r="P8034" s="27">
        <v>3.2548184716220556E-2</v>
      </c>
      <c r="Q8034" s="28">
        <f t="shared" si="129"/>
        <v>3.5548184716220559E-2</v>
      </c>
      <c r="R8034" s="31">
        <v>0.15939999999999999</v>
      </c>
      <c r="S8034" s="32">
        <v>6.207E-2</v>
      </c>
    </row>
    <row r="8035" spans="16:19" x14ac:dyDescent="0.25">
      <c r="P8035" s="27">
        <v>3.2548184716220556E-2</v>
      </c>
      <c r="Q8035" s="28">
        <f t="shared" si="129"/>
        <v>3.5548184716220559E-2</v>
      </c>
      <c r="R8035" s="31">
        <v>0.15939999999999999</v>
      </c>
      <c r="S8035" s="32">
        <v>6.701E-2</v>
      </c>
    </row>
    <row r="8036" spans="16:19" x14ac:dyDescent="0.25">
      <c r="P8036" s="27">
        <v>3.2548184716220556E-2</v>
      </c>
      <c r="Q8036" s="28">
        <f t="shared" si="129"/>
        <v>3.5548184716220559E-2</v>
      </c>
      <c r="R8036" s="31">
        <v>0.15939999999999999</v>
      </c>
      <c r="S8036" s="32">
        <v>7.7310000000000004E-2</v>
      </c>
    </row>
    <row r="8037" spans="16:19" x14ac:dyDescent="0.25">
      <c r="P8037" s="27">
        <v>3.2548184716220556E-2</v>
      </c>
      <c r="Q8037" s="28">
        <f t="shared" si="129"/>
        <v>3.5548184716220559E-2</v>
      </c>
      <c r="R8037" s="31">
        <v>0.15939999999999999</v>
      </c>
      <c r="S8037" s="32">
        <v>8.8999999999999996E-2</v>
      </c>
    </row>
    <row r="8038" spans="16:19" x14ac:dyDescent="0.25">
      <c r="P8038" s="27">
        <v>3.2548184716220556E-2</v>
      </c>
      <c r="Q8038" s="28">
        <f t="shared" si="129"/>
        <v>3.5548184716220559E-2</v>
      </c>
      <c r="R8038" s="31">
        <v>0.15939999999999999</v>
      </c>
      <c r="S8038" s="32">
        <v>7.8432402999999998E-2</v>
      </c>
    </row>
    <row r="8039" spans="16:19" x14ac:dyDescent="0.25">
      <c r="P8039" s="27">
        <v>3.2548184716220556E-2</v>
      </c>
      <c r="Q8039" s="28">
        <f t="shared" si="129"/>
        <v>3.5548184716220559E-2</v>
      </c>
      <c r="R8039" s="31">
        <v>0.15939999999999999</v>
      </c>
      <c r="S8039" s="32">
        <v>6.6000000000000003E-2</v>
      </c>
    </row>
    <row r="8040" spans="16:19" x14ac:dyDescent="0.25">
      <c r="P8040" s="27">
        <v>3.2548184716220556E-2</v>
      </c>
      <c r="Q8040" s="28">
        <f t="shared" si="129"/>
        <v>3.5548184716220559E-2</v>
      </c>
      <c r="R8040" s="31">
        <v>0.15939999999999999</v>
      </c>
      <c r="S8040" s="32">
        <v>6.0840000000000005E-2</v>
      </c>
    </row>
    <row r="8041" spans="16:19" x14ac:dyDescent="0.25">
      <c r="P8041" s="27">
        <v>3.2548184716220556E-2</v>
      </c>
      <c r="Q8041" s="28">
        <f t="shared" si="129"/>
        <v>3.5548184716220559E-2</v>
      </c>
      <c r="R8041" s="31">
        <v>0.15939999999999999</v>
      </c>
      <c r="S8041" s="32">
        <v>5.885E-2</v>
      </c>
    </row>
    <row r="8042" spans="16:19" x14ac:dyDescent="0.25">
      <c r="P8042" s="27">
        <v>3.2548184716220556E-2</v>
      </c>
      <c r="Q8042" s="28">
        <f t="shared" si="129"/>
        <v>3.5548184716220559E-2</v>
      </c>
      <c r="R8042" s="31">
        <v>0.15939999999999999</v>
      </c>
      <c r="S8042" s="32">
        <v>5.6430000000000001E-2</v>
      </c>
    </row>
    <row r="8043" spans="16:19" x14ac:dyDescent="0.25">
      <c r="P8043" s="27">
        <v>3.2548184716220556E-2</v>
      </c>
      <c r="Q8043" s="28">
        <f t="shared" si="129"/>
        <v>3.5548184716220559E-2</v>
      </c>
      <c r="R8043" s="29">
        <v>0.15</v>
      </c>
      <c r="S8043" s="30">
        <v>5.2899999999999996E-2</v>
      </c>
    </row>
    <row r="8044" spans="16:19" x14ac:dyDescent="0.25">
      <c r="P8044" s="27">
        <v>3.2548184716220556E-2</v>
      </c>
      <c r="Q8044" s="28">
        <f t="shared" si="129"/>
        <v>3.5548184716220559E-2</v>
      </c>
      <c r="R8044" s="29">
        <v>0.15</v>
      </c>
      <c r="S8044" s="30">
        <v>5.2899999999999996E-2</v>
      </c>
    </row>
    <row r="8045" spans="16:19" x14ac:dyDescent="0.25">
      <c r="P8045" s="27">
        <v>3.2548184716220556E-2</v>
      </c>
      <c r="Q8045" s="28">
        <f t="shared" si="129"/>
        <v>3.5548184716220559E-2</v>
      </c>
      <c r="R8045" s="29">
        <v>0.15</v>
      </c>
      <c r="S8045" s="30">
        <v>4.4200000000000003E-2</v>
      </c>
    </row>
    <row r="8046" spans="16:19" x14ac:dyDescent="0.25">
      <c r="P8046" s="27">
        <v>3.2548184716220556E-2</v>
      </c>
      <c r="Q8046" s="28">
        <f t="shared" si="129"/>
        <v>3.5548184716220559E-2</v>
      </c>
      <c r="R8046" s="29">
        <v>0.15</v>
      </c>
      <c r="S8046" s="30">
        <v>4.2450000000000002E-2</v>
      </c>
    </row>
    <row r="8047" spans="16:19" x14ac:dyDescent="0.25">
      <c r="P8047" s="27">
        <v>3.2548184716220556E-2</v>
      </c>
      <c r="Q8047" s="28">
        <f t="shared" si="129"/>
        <v>3.5548184716220559E-2</v>
      </c>
      <c r="R8047" s="29">
        <v>0.15</v>
      </c>
      <c r="S8047" s="30">
        <v>4.0969999999999999E-2</v>
      </c>
    </row>
    <row r="8048" spans="16:19" x14ac:dyDescent="0.25">
      <c r="P8048" s="27">
        <v>3.2548184716220556E-2</v>
      </c>
      <c r="Q8048" s="28">
        <f t="shared" si="129"/>
        <v>3.5548184716220559E-2</v>
      </c>
      <c r="R8048" s="29">
        <v>0.15</v>
      </c>
      <c r="S8048" s="30">
        <v>4.0960000000000003E-2</v>
      </c>
    </row>
    <row r="8049" spans="16:19" x14ac:dyDescent="0.25">
      <c r="P8049" s="27">
        <v>3.2548184716220556E-2</v>
      </c>
      <c r="Q8049" s="28">
        <f t="shared" si="129"/>
        <v>3.5548184716220559E-2</v>
      </c>
      <c r="R8049" s="29">
        <v>0.15</v>
      </c>
      <c r="S8049" s="30">
        <v>4.7390000000000002E-2</v>
      </c>
    </row>
    <row r="8050" spans="16:19" x14ac:dyDescent="0.25">
      <c r="P8050" s="27">
        <v>3.2548184716220556E-2</v>
      </c>
      <c r="Q8050" s="28">
        <f t="shared" si="129"/>
        <v>3.5548184716220559E-2</v>
      </c>
      <c r="R8050" s="29">
        <v>0.15</v>
      </c>
      <c r="S8050" s="30">
        <v>5.9499999999999997E-2</v>
      </c>
    </row>
    <row r="8051" spans="16:19" x14ac:dyDescent="0.25">
      <c r="P8051" s="27">
        <v>3.2548184716220556E-2</v>
      </c>
      <c r="Q8051" s="28">
        <f t="shared" si="129"/>
        <v>3.5548184716220559E-2</v>
      </c>
      <c r="R8051" s="29">
        <v>0.15</v>
      </c>
      <c r="S8051" s="30">
        <v>6.6379999999999995E-2</v>
      </c>
    </row>
    <row r="8052" spans="16:19" x14ac:dyDescent="0.25">
      <c r="P8052" s="27">
        <v>3.2548184716220556E-2</v>
      </c>
      <c r="Q8052" s="28">
        <f t="shared" si="129"/>
        <v>3.5548184716220559E-2</v>
      </c>
      <c r="R8052" s="29">
        <v>0.15</v>
      </c>
      <c r="S8052" s="30">
        <v>7.9000000000000001E-2</v>
      </c>
    </row>
    <row r="8053" spans="16:19" x14ac:dyDescent="0.25">
      <c r="P8053" s="27">
        <v>3.2548184716220556E-2</v>
      </c>
      <c r="Q8053" s="28">
        <f t="shared" si="129"/>
        <v>3.5548184716220559E-2</v>
      </c>
      <c r="R8053" s="29">
        <v>0.15</v>
      </c>
      <c r="S8053" s="30">
        <v>7.6760000000000009E-2</v>
      </c>
    </row>
    <row r="8054" spans="16:19" x14ac:dyDescent="0.25">
      <c r="P8054" s="27">
        <v>3.2548184716220556E-2</v>
      </c>
      <c r="Q8054" s="28">
        <f t="shared" si="129"/>
        <v>3.5548184716220559E-2</v>
      </c>
      <c r="R8054" s="29">
        <v>0.15</v>
      </c>
      <c r="S8054" s="30">
        <v>6.9000000000000006E-2</v>
      </c>
    </row>
    <row r="8055" spans="16:19" x14ac:dyDescent="0.25">
      <c r="P8055" s="27">
        <v>3.2548184716220556E-2</v>
      </c>
      <c r="Q8055" s="28">
        <f t="shared" si="129"/>
        <v>3.5548184716220559E-2</v>
      </c>
      <c r="R8055" s="29">
        <v>0.15</v>
      </c>
      <c r="S8055" s="30">
        <v>6.6259999999999999E-2</v>
      </c>
    </row>
    <row r="8056" spans="16:19" x14ac:dyDescent="0.25">
      <c r="P8056" s="27">
        <v>3.2548184716220556E-2</v>
      </c>
      <c r="Q8056" s="28">
        <f t="shared" si="129"/>
        <v>3.5548184716220559E-2</v>
      </c>
      <c r="R8056" s="29">
        <v>0.15</v>
      </c>
      <c r="S8056" s="30">
        <v>6.3E-2</v>
      </c>
    </row>
    <row r="8057" spans="16:19" x14ac:dyDescent="0.25">
      <c r="P8057" s="27">
        <v>3.2548184716220556E-2</v>
      </c>
      <c r="Q8057" s="28">
        <f t="shared" si="129"/>
        <v>3.5548184716220559E-2</v>
      </c>
      <c r="R8057" s="29">
        <v>0.15</v>
      </c>
      <c r="S8057" s="30">
        <v>6.5140000000000003E-2</v>
      </c>
    </row>
    <row r="8058" spans="16:19" x14ac:dyDescent="0.25">
      <c r="P8058" s="27">
        <v>3.2548184716220556E-2</v>
      </c>
      <c r="Q8058" s="28">
        <f t="shared" si="129"/>
        <v>3.5548184716220559E-2</v>
      </c>
      <c r="R8058" s="29">
        <v>0.15</v>
      </c>
      <c r="S8058" s="30">
        <v>6.9949999999999998E-2</v>
      </c>
    </row>
    <row r="8059" spans="16:19" x14ac:dyDescent="0.25">
      <c r="P8059" s="27">
        <v>3.2548184716220556E-2</v>
      </c>
      <c r="Q8059" s="28">
        <f t="shared" si="129"/>
        <v>3.5548184716220559E-2</v>
      </c>
      <c r="R8059" s="29">
        <v>0.15</v>
      </c>
      <c r="S8059" s="30">
        <v>7.0010000000000003E-2</v>
      </c>
    </row>
    <row r="8060" spans="16:19" x14ac:dyDescent="0.25">
      <c r="P8060" s="27">
        <v>3.2548184716220556E-2</v>
      </c>
      <c r="Q8060" s="28">
        <f t="shared" si="129"/>
        <v>3.5548184716220559E-2</v>
      </c>
      <c r="R8060" s="29">
        <v>0.15</v>
      </c>
      <c r="S8060" s="30">
        <v>8.294E-2</v>
      </c>
    </row>
    <row r="8061" spans="16:19" x14ac:dyDescent="0.25">
      <c r="P8061" s="27">
        <v>3.2548184716220556E-2</v>
      </c>
      <c r="Q8061" s="28">
        <f t="shared" si="129"/>
        <v>3.5548184716220559E-2</v>
      </c>
      <c r="R8061" s="29">
        <v>0.15</v>
      </c>
      <c r="S8061" s="30">
        <v>9.398999999999999E-2</v>
      </c>
    </row>
    <row r="8062" spans="16:19" x14ac:dyDescent="0.25">
      <c r="P8062" s="27">
        <v>3.2548184716220556E-2</v>
      </c>
      <c r="Q8062" s="28">
        <f t="shared" si="129"/>
        <v>3.5548184716220559E-2</v>
      </c>
      <c r="R8062" s="29">
        <v>0.15</v>
      </c>
      <c r="S8062" s="30">
        <v>8.8999999999999996E-2</v>
      </c>
    </row>
    <row r="8063" spans="16:19" x14ac:dyDescent="0.25">
      <c r="P8063" s="27">
        <v>3.2548184716220556E-2</v>
      </c>
      <c r="Q8063" s="28">
        <f t="shared" si="129"/>
        <v>3.5548184716220559E-2</v>
      </c>
      <c r="R8063" s="29">
        <v>0.15</v>
      </c>
      <c r="S8063" s="30">
        <v>6.9949999999999998E-2</v>
      </c>
    </row>
    <row r="8064" spans="16:19" x14ac:dyDescent="0.25">
      <c r="P8064" s="27">
        <v>3.2548184716220556E-2</v>
      </c>
      <c r="Q8064" s="28">
        <f t="shared" si="129"/>
        <v>3.5548184716220559E-2</v>
      </c>
      <c r="R8064" s="29">
        <v>0.15</v>
      </c>
      <c r="S8064" s="30">
        <v>6.225E-2</v>
      </c>
    </row>
    <row r="8065" spans="16:19" x14ac:dyDescent="0.25">
      <c r="P8065" s="27">
        <v>3.2548184716220556E-2</v>
      </c>
      <c r="Q8065" s="28">
        <f t="shared" si="129"/>
        <v>3.5548184716220559E-2</v>
      </c>
      <c r="R8065" s="29">
        <v>0.15</v>
      </c>
      <c r="S8065" s="30">
        <v>6.089E-2</v>
      </c>
    </row>
    <row r="8066" spans="16:19" x14ac:dyDescent="0.25">
      <c r="P8066" s="27">
        <v>3.2548184716220556E-2</v>
      </c>
      <c r="Q8066" s="28">
        <f t="shared" si="129"/>
        <v>3.5548184716220559E-2</v>
      </c>
      <c r="R8066" s="29">
        <v>0.15</v>
      </c>
      <c r="S8066" s="30">
        <v>6.1429999999999998E-2</v>
      </c>
    </row>
    <row r="8067" spans="16:19" x14ac:dyDescent="0.25">
      <c r="P8067" s="27">
        <v>3.2548184716220556E-2</v>
      </c>
      <c r="Q8067" s="28">
        <f t="shared" si="129"/>
        <v>3.5548184716220559E-2</v>
      </c>
      <c r="R8067" s="29">
        <v>0.15</v>
      </c>
      <c r="S8067" s="30">
        <v>5.8299999999999998E-2</v>
      </c>
    </row>
    <row r="8068" spans="16:19" x14ac:dyDescent="0.25">
      <c r="P8068" s="27">
        <v>3.2548184716220556E-2</v>
      </c>
      <c r="Q8068" s="28">
        <f t="shared" si="129"/>
        <v>3.5548184716220559E-2</v>
      </c>
      <c r="R8068" s="29">
        <v>0.15</v>
      </c>
      <c r="S8068" s="30">
        <v>5.2399999999999995E-2</v>
      </c>
    </row>
    <row r="8069" spans="16:19" x14ac:dyDescent="0.25">
      <c r="P8069" s="27">
        <v>3.2548184716220556E-2</v>
      </c>
      <c r="Q8069" s="28">
        <f t="shared" ref="Q8069:Q8132" si="130">P8069+0.003</f>
        <v>3.5548184716220559E-2</v>
      </c>
      <c r="R8069" s="29">
        <v>0.15</v>
      </c>
      <c r="S8069" s="30">
        <v>4.2999999999999997E-2</v>
      </c>
    </row>
    <row r="8070" spans="16:19" x14ac:dyDescent="0.25">
      <c r="P8070" s="27">
        <v>3.2548184716220556E-2</v>
      </c>
      <c r="Q8070" s="28">
        <f t="shared" si="130"/>
        <v>3.5548184716220559E-2</v>
      </c>
      <c r="R8070" s="29">
        <v>0.15</v>
      </c>
      <c r="S8070" s="30">
        <v>4.0969999999999999E-2</v>
      </c>
    </row>
    <row r="8071" spans="16:19" x14ac:dyDescent="0.25">
      <c r="P8071" s="27">
        <v>3.2548184716220556E-2</v>
      </c>
      <c r="Q8071" s="28">
        <f t="shared" si="130"/>
        <v>3.5548184716220559E-2</v>
      </c>
      <c r="R8071" s="29">
        <v>0.15</v>
      </c>
      <c r="S8071" s="30">
        <v>3.8859999999999999E-2</v>
      </c>
    </row>
    <row r="8072" spans="16:19" x14ac:dyDescent="0.25">
      <c r="P8072" s="27">
        <v>3.2548184716220556E-2</v>
      </c>
      <c r="Q8072" s="28">
        <f t="shared" si="130"/>
        <v>3.5548184716220559E-2</v>
      </c>
      <c r="R8072" s="29">
        <v>0.15</v>
      </c>
      <c r="S8072" s="30">
        <v>3.9229999999999994E-2</v>
      </c>
    </row>
    <row r="8073" spans="16:19" x14ac:dyDescent="0.25">
      <c r="P8073" s="27">
        <v>3.2548184716220556E-2</v>
      </c>
      <c r="Q8073" s="28">
        <f t="shared" si="130"/>
        <v>3.5548184716220559E-2</v>
      </c>
      <c r="R8073" s="29">
        <v>0.15</v>
      </c>
      <c r="S8073" s="30">
        <v>4.3970000000000002E-2</v>
      </c>
    </row>
    <row r="8074" spans="16:19" x14ac:dyDescent="0.25">
      <c r="P8074" s="27">
        <v>3.2548184716220556E-2</v>
      </c>
      <c r="Q8074" s="28">
        <f t="shared" si="130"/>
        <v>3.5548184716220559E-2</v>
      </c>
      <c r="R8074" s="29">
        <v>0.15</v>
      </c>
      <c r="S8074" s="30">
        <v>6.0770000000000005E-2</v>
      </c>
    </row>
    <row r="8075" spans="16:19" x14ac:dyDescent="0.25">
      <c r="P8075" s="27">
        <v>3.2548184716220556E-2</v>
      </c>
      <c r="Q8075" s="28">
        <f t="shared" si="130"/>
        <v>3.5548184716220559E-2</v>
      </c>
      <c r="R8075" s="31">
        <v>0.15939660775771733</v>
      </c>
      <c r="S8075" s="32">
        <v>6.4870000000000011E-2</v>
      </c>
    </row>
    <row r="8076" spans="16:19" x14ac:dyDescent="0.25">
      <c r="P8076" s="27">
        <v>3.2548184716220556E-2</v>
      </c>
      <c r="Q8076" s="28">
        <f t="shared" si="130"/>
        <v>3.5548184716220559E-2</v>
      </c>
      <c r="R8076" s="33">
        <v>0.16282860775771735</v>
      </c>
      <c r="S8076" s="34">
        <v>7.1340000000000001E-2</v>
      </c>
    </row>
    <row r="8077" spans="16:19" x14ac:dyDescent="0.25">
      <c r="P8077" s="27">
        <v>3.2548184716220556E-2</v>
      </c>
      <c r="Q8077" s="28">
        <f t="shared" si="130"/>
        <v>3.5548184716220559E-2</v>
      </c>
      <c r="R8077" s="33">
        <v>0.16282860775771735</v>
      </c>
      <c r="S8077" s="34">
        <v>7.6079999999999995E-2</v>
      </c>
    </row>
    <row r="8078" spans="16:19" x14ac:dyDescent="0.25">
      <c r="P8078" s="27">
        <v>3.2548184716220556E-2</v>
      </c>
      <c r="Q8078" s="28">
        <f t="shared" si="130"/>
        <v>3.5548184716220559E-2</v>
      </c>
      <c r="R8078" s="33">
        <v>0.16282860775771735</v>
      </c>
      <c r="S8078" s="34">
        <v>6.9580000000000003E-2</v>
      </c>
    </row>
    <row r="8079" spans="16:19" x14ac:dyDescent="0.25">
      <c r="P8079" s="27">
        <v>3.2548184716220556E-2</v>
      </c>
      <c r="Q8079" s="28">
        <f t="shared" si="130"/>
        <v>3.5548184716220559E-2</v>
      </c>
      <c r="R8079" s="33">
        <v>0.16282860775771735</v>
      </c>
      <c r="S8079" s="34">
        <v>6.8650000000000003E-2</v>
      </c>
    </row>
    <row r="8080" spans="16:19" x14ac:dyDescent="0.25">
      <c r="P8080" s="27">
        <v>3.2548184716220556E-2</v>
      </c>
      <c r="Q8080" s="28">
        <f t="shared" si="130"/>
        <v>3.5548184716220559E-2</v>
      </c>
      <c r="R8080" s="33">
        <v>0.16282860775771735</v>
      </c>
      <c r="S8080" s="34">
        <v>6.523000000000001E-2</v>
      </c>
    </row>
    <row r="8081" spans="16:19" x14ac:dyDescent="0.25">
      <c r="P8081" s="27">
        <v>3.2548184716220556E-2</v>
      </c>
      <c r="Q8081" s="28">
        <f t="shared" si="130"/>
        <v>3.5548184716220559E-2</v>
      </c>
      <c r="R8081" s="33">
        <v>0.16282860775771735</v>
      </c>
      <c r="S8081" s="34">
        <v>6.5040000000000001E-2</v>
      </c>
    </row>
    <row r="8082" spans="16:19" x14ac:dyDescent="0.25">
      <c r="P8082" s="27">
        <v>3.2548184716220556E-2</v>
      </c>
      <c r="Q8082" s="28">
        <f t="shared" si="130"/>
        <v>3.5548184716220559E-2</v>
      </c>
      <c r="R8082" s="33">
        <v>0.16282860775771735</v>
      </c>
      <c r="S8082" s="34">
        <v>6.6009999999999999E-2</v>
      </c>
    </row>
    <row r="8083" spans="16:19" x14ac:dyDescent="0.25">
      <c r="P8083" s="27">
        <v>3.2548184716220556E-2</v>
      </c>
      <c r="Q8083" s="28">
        <f t="shared" si="130"/>
        <v>3.5548184716220559E-2</v>
      </c>
      <c r="R8083" s="33">
        <v>0.16282860775771735</v>
      </c>
      <c r="S8083" s="34">
        <v>6.8000000000000005E-2</v>
      </c>
    </row>
    <row r="8084" spans="16:19" x14ac:dyDescent="0.25">
      <c r="P8084" s="27">
        <v>3.2548184716220556E-2</v>
      </c>
      <c r="Q8084" s="28">
        <f t="shared" si="130"/>
        <v>3.5548184716220559E-2</v>
      </c>
      <c r="R8084" s="33">
        <v>0.16282860775771735</v>
      </c>
      <c r="S8084" s="34">
        <v>7.8750000000000001E-2</v>
      </c>
    </row>
    <row r="8085" spans="16:19" x14ac:dyDescent="0.25">
      <c r="P8085" s="27">
        <v>3.2548184716220556E-2</v>
      </c>
      <c r="Q8085" s="28">
        <f t="shared" si="130"/>
        <v>3.5548184716220559E-2</v>
      </c>
      <c r="R8085" s="33">
        <v>0.16282860775771735</v>
      </c>
      <c r="S8085" s="34">
        <v>0.09</v>
      </c>
    </row>
    <row r="8086" spans="16:19" x14ac:dyDescent="0.25">
      <c r="P8086" s="27">
        <v>3.2548184716220556E-2</v>
      </c>
      <c r="Q8086" s="28">
        <f t="shared" si="130"/>
        <v>3.5548184716220559E-2</v>
      </c>
      <c r="R8086" s="33">
        <v>0.16282860775771735</v>
      </c>
      <c r="S8086" s="34">
        <v>7.7499999999999999E-2</v>
      </c>
    </row>
    <row r="8087" spans="16:19" x14ac:dyDescent="0.25">
      <c r="P8087" s="27">
        <v>3.2548184716220556E-2</v>
      </c>
      <c r="Q8087" s="28">
        <f t="shared" si="130"/>
        <v>3.5548184716220559E-2</v>
      </c>
      <c r="R8087" s="31">
        <v>0.15939660775771733</v>
      </c>
      <c r="S8087" s="32">
        <v>6.6560000000000008E-2</v>
      </c>
    </row>
    <row r="8088" spans="16:19" x14ac:dyDescent="0.25">
      <c r="P8088" s="27">
        <v>3.2548184716220556E-2</v>
      </c>
      <c r="Q8088" s="28">
        <f t="shared" si="130"/>
        <v>3.5548184716220559E-2</v>
      </c>
      <c r="R8088" s="31">
        <v>0.15939660775771733</v>
      </c>
      <c r="S8088" s="32">
        <v>6.0399999999999995E-2</v>
      </c>
    </row>
    <row r="8089" spans="16:19" x14ac:dyDescent="0.25">
      <c r="P8089" s="27">
        <v>3.2548184716220556E-2</v>
      </c>
      <c r="Q8089" s="28">
        <f t="shared" si="130"/>
        <v>3.5548184716220559E-2</v>
      </c>
      <c r="R8089" s="31">
        <v>0.15939660775771733</v>
      </c>
      <c r="S8089" s="32">
        <v>5.5789999999999999E-2</v>
      </c>
    </row>
    <row r="8090" spans="16:19" x14ac:dyDescent="0.25">
      <c r="P8090" s="27">
        <v>3.2548184716220556E-2</v>
      </c>
      <c r="Q8090" s="28">
        <f t="shared" si="130"/>
        <v>3.5548184716220559E-2</v>
      </c>
      <c r="R8090" s="31">
        <v>0.15939660775771733</v>
      </c>
      <c r="S8090" s="32">
        <v>5.4490000000000004E-2</v>
      </c>
    </row>
    <row r="8091" spans="16:19" x14ac:dyDescent="0.25">
      <c r="P8091" s="27">
        <v>3.2548184716220556E-2</v>
      </c>
      <c r="Q8091" s="28">
        <f t="shared" si="130"/>
        <v>3.5548184716220559E-2</v>
      </c>
      <c r="R8091" s="29">
        <v>0.15003660775771735</v>
      </c>
      <c r="S8091" s="30">
        <v>5.2899999999999996E-2</v>
      </c>
    </row>
    <row r="8092" spans="16:19" x14ac:dyDescent="0.25">
      <c r="P8092" s="27">
        <v>3.2548184716220556E-2</v>
      </c>
      <c r="Q8092" s="28">
        <f t="shared" si="130"/>
        <v>3.5548184716220559E-2</v>
      </c>
      <c r="R8092" s="29">
        <v>0.15003660775771735</v>
      </c>
      <c r="S8092" s="30">
        <v>5.5E-2</v>
      </c>
    </row>
    <row r="8093" spans="16:19" x14ac:dyDescent="0.25">
      <c r="P8093" s="27">
        <v>3.2548184716220556E-2</v>
      </c>
      <c r="Q8093" s="28">
        <f t="shared" si="130"/>
        <v>3.5548184716220559E-2</v>
      </c>
      <c r="R8093" s="29">
        <v>0.15003660775771735</v>
      </c>
      <c r="S8093" s="30">
        <v>5.2060000000000002E-2</v>
      </c>
    </row>
    <row r="8094" spans="16:19" x14ac:dyDescent="0.25">
      <c r="P8094" s="27">
        <v>3.2548184716220556E-2</v>
      </c>
      <c r="Q8094" s="28">
        <f t="shared" si="130"/>
        <v>3.5548184716220559E-2</v>
      </c>
      <c r="R8094" s="29">
        <v>0.15003660775771735</v>
      </c>
      <c r="S8094" s="30">
        <v>4.9000000000000002E-2</v>
      </c>
    </row>
    <row r="8095" spans="16:19" x14ac:dyDescent="0.25">
      <c r="P8095" s="27">
        <v>3.2548184716220556E-2</v>
      </c>
      <c r="Q8095" s="28">
        <f t="shared" si="130"/>
        <v>3.5548184716220559E-2</v>
      </c>
      <c r="R8095" s="29">
        <v>0.15003660775771735</v>
      </c>
      <c r="S8095" s="30">
        <v>4.3990000000000001E-2</v>
      </c>
    </row>
    <row r="8096" spans="16:19" x14ac:dyDescent="0.25">
      <c r="P8096" s="27">
        <v>3.2548184716220556E-2</v>
      </c>
      <c r="Q8096" s="28">
        <f t="shared" si="130"/>
        <v>3.5548184716220559E-2</v>
      </c>
      <c r="R8096" s="29">
        <v>0.15003660775771735</v>
      </c>
      <c r="S8096" s="30">
        <v>4.3999999999999997E-2</v>
      </c>
    </row>
    <row r="8097" spans="16:19" x14ac:dyDescent="0.25">
      <c r="P8097" s="27">
        <v>3.2548184716220556E-2</v>
      </c>
      <c r="Q8097" s="28">
        <f t="shared" si="130"/>
        <v>3.5548184716220559E-2</v>
      </c>
      <c r="R8097" s="29">
        <v>0.15003660775771735</v>
      </c>
      <c r="S8097" s="30">
        <v>5.0750000000000003E-2</v>
      </c>
    </row>
    <row r="8098" spans="16:19" x14ac:dyDescent="0.25">
      <c r="P8098" s="27">
        <v>3.2548184716220556E-2</v>
      </c>
      <c r="Q8098" s="28">
        <f t="shared" si="130"/>
        <v>3.5548184716220559E-2</v>
      </c>
      <c r="R8098" s="29">
        <v>0.15003660775771735</v>
      </c>
      <c r="S8098" s="30">
        <v>6.0770000000000005E-2</v>
      </c>
    </row>
    <row r="8099" spans="16:19" x14ac:dyDescent="0.25">
      <c r="P8099" s="27">
        <v>3.2548184716220556E-2</v>
      </c>
      <c r="Q8099" s="28">
        <f t="shared" si="130"/>
        <v>3.5548184716220559E-2</v>
      </c>
      <c r="R8099" s="31">
        <v>0.15939660775771733</v>
      </c>
      <c r="S8099" s="32">
        <v>6.9169999999999995E-2</v>
      </c>
    </row>
    <row r="8100" spans="16:19" x14ac:dyDescent="0.25">
      <c r="P8100" s="27">
        <v>3.2548184716220556E-2</v>
      </c>
      <c r="Q8100" s="28">
        <f t="shared" si="130"/>
        <v>3.5548184716220559E-2</v>
      </c>
      <c r="R8100" s="33">
        <v>0.16282860775771735</v>
      </c>
      <c r="S8100" s="34">
        <v>7.0389999999999994E-2</v>
      </c>
    </row>
    <row r="8101" spans="16:19" x14ac:dyDescent="0.25">
      <c r="P8101" s="27">
        <v>3.2548184716220556E-2</v>
      </c>
      <c r="Q8101" s="28">
        <f t="shared" si="130"/>
        <v>3.5548184716220559E-2</v>
      </c>
      <c r="R8101" s="33">
        <v>0.16282860775771735</v>
      </c>
      <c r="S8101" s="34">
        <v>7.399E-2</v>
      </c>
    </row>
    <row r="8102" spans="16:19" x14ac:dyDescent="0.25">
      <c r="P8102" s="27">
        <v>3.2548184716220556E-2</v>
      </c>
      <c r="Q8102" s="28">
        <f t="shared" si="130"/>
        <v>3.5548184716220559E-2</v>
      </c>
      <c r="R8102" s="33">
        <v>0.16282860775771735</v>
      </c>
      <c r="S8102" s="34">
        <v>7.0999999999999994E-2</v>
      </c>
    </row>
    <row r="8103" spans="16:19" x14ac:dyDescent="0.25">
      <c r="P8103" s="27">
        <v>3.2548184716220556E-2</v>
      </c>
      <c r="Q8103" s="28">
        <f t="shared" si="130"/>
        <v>3.5548184716220559E-2</v>
      </c>
      <c r="R8103" s="33">
        <v>0.16282860775771735</v>
      </c>
      <c r="S8103" s="34">
        <v>7.1199999999999999E-2</v>
      </c>
    </row>
    <row r="8104" spans="16:19" x14ac:dyDescent="0.25">
      <c r="P8104" s="27">
        <v>3.2548184716220556E-2</v>
      </c>
      <c r="Q8104" s="28">
        <f t="shared" si="130"/>
        <v>3.5548184716220559E-2</v>
      </c>
      <c r="R8104" s="33">
        <v>0.16282860775771735</v>
      </c>
      <c r="S8104" s="34">
        <v>6.6500000000000004E-2</v>
      </c>
    </row>
    <row r="8105" spans="16:19" x14ac:dyDescent="0.25">
      <c r="P8105" s="27">
        <v>3.2548184716220556E-2</v>
      </c>
      <c r="Q8105" s="28">
        <f t="shared" si="130"/>
        <v>3.5548184716220559E-2</v>
      </c>
      <c r="R8105" s="33">
        <v>0.16282860775771735</v>
      </c>
      <c r="S8105" s="34">
        <v>6.744E-2</v>
      </c>
    </row>
    <row r="8106" spans="16:19" x14ac:dyDescent="0.25">
      <c r="P8106" s="27">
        <v>3.2548184716220556E-2</v>
      </c>
      <c r="Q8106" s="28">
        <f t="shared" si="130"/>
        <v>3.5548184716220559E-2</v>
      </c>
      <c r="R8106" s="33">
        <v>0.16282860775771735</v>
      </c>
      <c r="S8106" s="34">
        <v>7.084E-2</v>
      </c>
    </row>
    <row r="8107" spans="16:19" x14ac:dyDescent="0.25">
      <c r="P8107" s="27">
        <v>3.2548184716220556E-2</v>
      </c>
      <c r="Q8107" s="28">
        <f t="shared" si="130"/>
        <v>3.5548184716220559E-2</v>
      </c>
      <c r="R8107" s="33">
        <v>0.16282860775771735</v>
      </c>
      <c r="S8107" s="34">
        <v>6.8500000000000005E-2</v>
      </c>
    </row>
    <row r="8108" spans="16:19" x14ac:dyDescent="0.25">
      <c r="P8108" s="27">
        <v>3.2548184716220556E-2</v>
      </c>
      <c r="Q8108" s="28">
        <f t="shared" si="130"/>
        <v>3.5548184716220559E-2</v>
      </c>
      <c r="R8108" s="33">
        <v>0.16282860775771735</v>
      </c>
      <c r="S8108" s="34">
        <v>7.4010000000000006E-2</v>
      </c>
    </row>
    <row r="8109" spans="16:19" x14ac:dyDescent="0.25">
      <c r="P8109" s="27">
        <v>3.2548184716220556E-2</v>
      </c>
      <c r="Q8109" s="28">
        <f t="shared" si="130"/>
        <v>3.5548184716220559E-2</v>
      </c>
      <c r="R8109" s="33">
        <v>0.16282860775771735</v>
      </c>
      <c r="S8109" s="34">
        <v>8.6999999999999994E-2</v>
      </c>
    </row>
    <row r="8110" spans="16:19" x14ac:dyDescent="0.25">
      <c r="P8110" s="27">
        <v>3.2548184716220556E-2</v>
      </c>
      <c r="Q8110" s="28">
        <f t="shared" si="130"/>
        <v>3.5548184716220559E-2</v>
      </c>
      <c r="R8110" s="33">
        <v>0.16282860775771735</v>
      </c>
      <c r="S8110" s="34">
        <v>7.912000000000001E-2</v>
      </c>
    </row>
    <row r="8111" spans="16:19" x14ac:dyDescent="0.25">
      <c r="P8111" s="27">
        <v>3.2548184716220556E-2</v>
      </c>
      <c r="Q8111" s="28">
        <f t="shared" si="130"/>
        <v>3.5548184716220559E-2</v>
      </c>
      <c r="R8111" s="31">
        <v>0.15939660775771733</v>
      </c>
      <c r="S8111" s="32">
        <v>7.1999999999999995E-2</v>
      </c>
    </row>
    <row r="8112" spans="16:19" x14ac:dyDescent="0.25">
      <c r="P8112" s="27">
        <v>3.2548184716220556E-2</v>
      </c>
      <c r="Q8112" s="28">
        <f t="shared" si="130"/>
        <v>3.5548184716220559E-2</v>
      </c>
      <c r="R8112" s="31">
        <v>0.15939660775771733</v>
      </c>
      <c r="S8112" s="32">
        <v>6.3270000000000007E-2</v>
      </c>
    </row>
    <row r="8113" spans="16:19" x14ac:dyDescent="0.25">
      <c r="P8113" s="27">
        <v>3.2548184716220556E-2</v>
      </c>
      <c r="Q8113" s="28">
        <f t="shared" si="130"/>
        <v>3.5548184716220559E-2</v>
      </c>
      <c r="R8113" s="31">
        <v>0.15939660775771733</v>
      </c>
      <c r="S8113" s="32">
        <v>5.7939999999999998E-2</v>
      </c>
    </row>
    <row r="8114" spans="16:19" x14ac:dyDescent="0.25">
      <c r="P8114" s="27">
        <v>3.2548184716220556E-2</v>
      </c>
      <c r="Q8114" s="28">
        <f t="shared" si="130"/>
        <v>3.5548184716220559E-2</v>
      </c>
      <c r="R8114" s="31">
        <v>0.15939660775771733</v>
      </c>
      <c r="S8114" s="32">
        <v>6.0999999999999999E-2</v>
      </c>
    </row>
    <row r="8115" spans="16:19" x14ac:dyDescent="0.25">
      <c r="P8115" s="27">
        <v>3.2548184716220556E-2</v>
      </c>
      <c r="Q8115" s="28">
        <f t="shared" si="130"/>
        <v>3.5548184716220559E-2</v>
      </c>
      <c r="R8115" s="29">
        <v>0.15003660775771735</v>
      </c>
      <c r="S8115" s="30">
        <v>5.8029999999999998E-2</v>
      </c>
    </row>
    <row r="8116" spans="16:19" x14ac:dyDescent="0.25">
      <c r="P8116" s="27">
        <v>3.2548184716220556E-2</v>
      </c>
      <c r="Q8116" s="28">
        <f t="shared" si="130"/>
        <v>3.5548184716220559E-2</v>
      </c>
      <c r="R8116" s="29">
        <v>0.15003660775771735</v>
      </c>
      <c r="S8116" s="30">
        <v>5.0999999999999997E-2</v>
      </c>
    </row>
    <row r="8117" spans="16:19" x14ac:dyDescent="0.25">
      <c r="P8117" s="27">
        <v>3.2548184716220556E-2</v>
      </c>
      <c r="Q8117" s="28">
        <f t="shared" si="130"/>
        <v>3.5548184716220559E-2</v>
      </c>
      <c r="R8117" s="29">
        <v>0.15003660775771735</v>
      </c>
      <c r="S8117" s="30">
        <v>4.7299999999999995E-2</v>
      </c>
    </row>
    <row r="8118" spans="16:19" x14ac:dyDescent="0.25">
      <c r="P8118" s="27">
        <v>3.2548184716220556E-2</v>
      </c>
      <c r="Q8118" s="28">
        <f t="shared" si="130"/>
        <v>3.5548184716220559E-2</v>
      </c>
      <c r="R8118" s="29">
        <v>0.15003660775771735</v>
      </c>
      <c r="S8118" s="30">
        <v>4.5069999999999999E-2</v>
      </c>
    </row>
    <row r="8119" spans="16:19" x14ac:dyDescent="0.25">
      <c r="P8119" s="27">
        <v>3.2548184716220556E-2</v>
      </c>
      <c r="Q8119" s="28">
        <f t="shared" si="130"/>
        <v>3.5548184716220559E-2</v>
      </c>
      <c r="R8119" s="29">
        <v>0.15003660775771735</v>
      </c>
      <c r="S8119" s="30">
        <v>4.3450000000000003E-2</v>
      </c>
    </row>
    <row r="8120" spans="16:19" x14ac:dyDescent="0.25">
      <c r="P8120" s="27">
        <v>3.2548184716220556E-2</v>
      </c>
      <c r="Q8120" s="28">
        <f t="shared" si="130"/>
        <v>3.5548184716220559E-2</v>
      </c>
      <c r="R8120" s="29">
        <v>0.15003660775771735</v>
      </c>
      <c r="S8120" s="30">
        <v>4.3450000000000003E-2</v>
      </c>
    </row>
    <row r="8121" spans="16:19" x14ac:dyDescent="0.25">
      <c r="P8121" s="27">
        <v>3.2548184716220556E-2</v>
      </c>
      <c r="Q8121" s="28">
        <f t="shared" si="130"/>
        <v>3.5548184716220559E-2</v>
      </c>
      <c r="R8121" s="29">
        <v>0.15003660775771735</v>
      </c>
      <c r="S8121" s="30">
        <v>4.8000000000000001E-2</v>
      </c>
    </row>
    <row r="8122" spans="16:19" x14ac:dyDescent="0.25">
      <c r="P8122" s="27">
        <v>3.2548184716220556E-2</v>
      </c>
      <c r="Q8122" s="28">
        <f t="shared" si="130"/>
        <v>3.5548184716220559E-2</v>
      </c>
      <c r="R8122" s="29">
        <v>0.15003660775771735</v>
      </c>
      <c r="S8122" s="30">
        <v>5.6600000000000004E-2</v>
      </c>
    </row>
    <row r="8123" spans="16:19" x14ac:dyDescent="0.25">
      <c r="P8123" s="27">
        <v>3.2548184716220556E-2</v>
      </c>
      <c r="Q8123" s="28">
        <f t="shared" si="130"/>
        <v>3.5548184716220559E-2</v>
      </c>
      <c r="R8123" s="31">
        <v>0.15939660775771733</v>
      </c>
      <c r="S8123" s="32">
        <v>6.4549999999999996E-2</v>
      </c>
    </row>
    <row r="8124" spans="16:19" x14ac:dyDescent="0.25">
      <c r="P8124" s="27">
        <v>3.2548184716220556E-2</v>
      </c>
      <c r="Q8124" s="28">
        <f t="shared" si="130"/>
        <v>3.5548184716220559E-2</v>
      </c>
      <c r="R8124" s="33">
        <v>0.16282860775771735</v>
      </c>
      <c r="S8124" s="34">
        <v>6.9239999999999996E-2</v>
      </c>
    </row>
    <row r="8125" spans="16:19" x14ac:dyDescent="0.25">
      <c r="P8125" s="27">
        <v>3.2548184716220556E-2</v>
      </c>
      <c r="Q8125" s="28">
        <f t="shared" si="130"/>
        <v>3.5548184716220559E-2</v>
      </c>
      <c r="R8125" s="33">
        <v>0.16282860775771735</v>
      </c>
      <c r="S8125" s="34">
        <v>7.4810000000000001E-2</v>
      </c>
    </row>
    <row r="8126" spans="16:19" x14ac:dyDescent="0.25">
      <c r="P8126" s="27">
        <v>3.2548184716220556E-2</v>
      </c>
      <c r="Q8126" s="28">
        <f t="shared" si="130"/>
        <v>3.5548184716220559E-2</v>
      </c>
      <c r="R8126" s="33">
        <v>0.16282860775771735</v>
      </c>
      <c r="S8126" s="34">
        <v>7.0900000000000005E-2</v>
      </c>
    </row>
    <row r="8127" spans="16:19" x14ac:dyDescent="0.25">
      <c r="P8127" s="27">
        <v>3.2548184716220556E-2</v>
      </c>
      <c r="Q8127" s="28">
        <f t="shared" si="130"/>
        <v>3.5548184716220559E-2</v>
      </c>
      <c r="R8127" s="33">
        <v>0.16282860775771735</v>
      </c>
      <c r="S8127" s="34">
        <v>7.0989999999999998E-2</v>
      </c>
    </row>
    <row r="8128" spans="16:19" x14ac:dyDescent="0.25">
      <c r="P8128" s="27">
        <v>3.2548184716220556E-2</v>
      </c>
      <c r="Q8128" s="28">
        <f t="shared" si="130"/>
        <v>3.5548184716220559E-2</v>
      </c>
      <c r="R8128" s="33">
        <v>0.16282860775771735</v>
      </c>
      <c r="S8128" s="34">
        <v>6.5670000000000006E-2</v>
      </c>
    </row>
    <row r="8129" spans="16:19" x14ac:dyDescent="0.25">
      <c r="P8129" s="27">
        <v>3.2548184716220556E-2</v>
      </c>
      <c r="Q8129" s="28">
        <f t="shared" si="130"/>
        <v>3.5548184716220559E-2</v>
      </c>
      <c r="R8129" s="33">
        <v>0.16282860775771735</v>
      </c>
      <c r="S8129" s="34">
        <v>6.5500000000000003E-2</v>
      </c>
    </row>
    <row r="8130" spans="16:19" x14ac:dyDescent="0.25">
      <c r="P8130" s="27">
        <v>3.2548184716220556E-2</v>
      </c>
      <c r="Q8130" s="28">
        <f t="shared" si="130"/>
        <v>3.5548184716220559E-2</v>
      </c>
      <c r="R8130" s="33">
        <v>0.16282860775771735</v>
      </c>
      <c r="S8130" s="34">
        <v>6.9970000000000004E-2</v>
      </c>
    </row>
    <row r="8131" spans="16:19" x14ac:dyDescent="0.25">
      <c r="P8131" s="27">
        <v>3.2548184716220556E-2</v>
      </c>
      <c r="Q8131" s="28">
        <f t="shared" si="130"/>
        <v>3.5548184716220559E-2</v>
      </c>
      <c r="R8131" s="33">
        <v>0.16282860775771735</v>
      </c>
      <c r="S8131" s="34">
        <v>6.8400000000000002E-2</v>
      </c>
    </row>
    <row r="8132" spans="16:19" x14ac:dyDescent="0.25">
      <c r="P8132" s="27">
        <v>3.2548184716220556E-2</v>
      </c>
      <c r="Q8132" s="28">
        <f t="shared" si="130"/>
        <v>3.5548184716220559E-2</v>
      </c>
      <c r="R8132" s="33">
        <v>0.16282860775771735</v>
      </c>
      <c r="S8132" s="34">
        <v>7.0519999999999999E-2</v>
      </c>
    </row>
    <row r="8133" spans="16:19" x14ac:dyDescent="0.25">
      <c r="P8133" s="27">
        <v>3.2548184716220556E-2</v>
      </c>
      <c r="Q8133" s="28">
        <f t="shared" ref="Q8133:Q8196" si="131">P8133+0.003</f>
        <v>3.5548184716220559E-2</v>
      </c>
      <c r="R8133" s="33">
        <v>0.16282860775771735</v>
      </c>
      <c r="S8133" s="34">
        <v>8.0799999999999997E-2</v>
      </c>
    </row>
    <row r="8134" spans="16:19" x14ac:dyDescent="0.25">
      <c r="P8134" s="27">
        <v>3.2548184716220556E-2</v>
      </c>
      <c r="Q8134" s="28">
        <f t="shared" si="131"/>
        <v>3.5548184716220559E-2</v>
      </c>
      <c r="R8134" s="33">
        <v>0.16282860775771735</v>
      </c>
      <c r="S8134" s="34">
        <v>6.8989999999999996E-2</v>
      </c>
    </row>
    <row r="8135" spans="16:19" x14ac:dyDescent="0.25">
      <c r="P8135" s="27">
        <v>3.2548184716220556E-2</v>
      </c>
      <c r="Q8135" s="28">
        <f t="shared" si="131"/>
        <v>3.5548184716220559E-2</v>
      </c>
      <c r="R8135" s="31">
        <v>0.15939660775771733</v>
      </c>
      <c r="S8135" s="32">
        <v>6.1550000000000001E-2</v>
      </c>
    </row>
    <row r="8136" spans="16:19" x14ac:dyDescent="0.25">
      <c r="P8136" s="27">
        <v>3.2548184716220556E-2</v>
      </c>
      <c r="Q8136" s="28">
        <f t="shared" si="131"/>
        <v>3.5548184716220559E-2</v>
      </c>
      <c r="R8136" s="31">
        <v>0.15939660775771733</v>
      </c>
      <c r="S8136" s="32">
        <v>5.7669999999999999E-2</v>
      </c>
    </row>
    <row r="8137" spans="16:19" x14ac:dyDescent="0.25">
      <c r="P8137" s="27">
        <v>3.2548184716220556E-2</v>
      </c>
      <c r="Q8137" s="28">
        <f t="shared" si="131"/>
        <v>3.5548184716220559E-2</v>
      </c>
      <c r="R8137" s="31">
        <v>0.15939660775771733</v>
      </c>
      <c r="S8137" s="32">
        <v>5.5939999999999997E-2</v>
      </c>
    </row>
    <row r="8138" spans="16:19" x14ac:dyDescent="0.25">
      <c r="P8138" s="27">
        <v>3.2548184716220556E-2</v>
      </c>
      <c r="Q8138" s="28">
        <f t="shared" si="131"/>
        <v>3.5548184716220559E-2</v>
      </c>
      <c r="R8138" s="31">
        <v>0.15939660775771733</v>
      </c>
      <c r="S8138" s="32">
        <v>5.4799999999999995E-2</v>
      </c>
    </row>
    <row r="8139" spans="16:19" x14ac:dyDescent="0.25">
      <c r="P8139" s="27">
        <v>3.2548184716220556E-2</v>
      </c>
      <c r="Q8139" s="28">
        <f t="shared" si="131"/>
        <v>3.5548184716220559E-2</v>
      </c>
      <c r="R8139" s="29">
        <v>0.15003660775771735</v>
      </c>
      <c r="S8139" s="30">
        <v>5.1200000000000002E-2</v>
      </c>
    </row>
    <row r="8140" spans="16:19" x14ac:dyDescent="0.25">
      <c r="P8140" s="27">
        <v>3.2548184716220556E-2</v>
      </c>
      <c r="Q8140" s="28">
        <f t="shared" si="131"/>
        <v>3.5548184716220559E-2</v>
      </c>
      <c r="R8140" s="29">
        <v>0.15003660775771735</v>
      </c>
      <c r="S8140" s="30">
        <v>5.3539999999999997E-2</v>
      </c>
    </row>
    <row r="8141" spans="16:19" x14ac:dyDescent="0.25">
      <c r="P8141" s="27">
        <v>3.2548184716220556E-2</v>
      </c>
      <c r="Q8141" s="28">
        <f t="shared" si="131"/>
        <v>3.5548184716220559E-2</v>
      </c>
      <c r="R8141" s="29">
        <v>0.15003660775771735</v>
      </c>
      <c r="S8141" s="30">
        <v>4.7299999999999995E-2</v>
      </c>
    </row>
    <row r="8142" spans="16:19" x14ac:dyDescent="0.25">
      <c r="P8142" s="27">
        <v>3.2548184716220556E-2</v>
      </c>
      <c r="Q8142" s="28">
        <f t="shared" si="131"/>
        <v>3.5548184716220559E-2</v>
      </c>
      <c r="R8142" s="29">
        <v>0.15003660775771735</v>
      </c>
      <c r="S8142" s="30">
        <v>4.3770000000000003E-2</v>
      </c>
    </row>
    <row r="8143" spans="16:19" x14ac:dyDescent="0.25">
      <c r="P8143" s="27">
        <v>3.2548184716220556E-2</v>
      </c>
      <c r="Q8143" s="28">
        <f t="shared" si="131"/>
        <v>3.5548184716220559E-2</v>
      </c>
      <c r="R8143" s="29">
        <v>0.15003660775771735</v>
      </c>
      <c r="S8143" s="30">
        <v>4.1210000000000004E-2</v>
      </c>
    </row>
    <row r="8144" spans="16:19" x14ac:dyDescent="0.25">
      <c r="P8144" s="27">
        <v>3.2548184716220556E-2</v>
      </c>
      <c r="Q8144" s="28">
        <f t="shared" si="131"/>
        <v>3.5548184716220559E-2</v>
      </c>
      <c r="R8144" s="29">
        <v>0.15003660775771735</v>
      </c>
      <c r="S8144" s="30">
        <v>4.1950000000000001E-2</v>
      </c>
    </row>
    <row r="8145" spans="16:19" x14ac:dyDescent="0.25">
      <c r="P8145" s="27">
        <v>3.2548184716220556E-2</v>
      </c>
      <c r="Q8145" s="28">
        <f t="shared" si="131"/>
        <v>3.5548184716220559E-2</v>
      </c>
      <c r="R8145" s="29">
        <v>0.15003660775771735</v>
      </c>
      <c r="S8145" s="30">
        <v>4.2999999999999997E-2</v>
      </c>
    </row>
    <row r="8146" spans="16:19" x14ac:dyDescent="0.25">
      <c r="P8146" s="27">
        <v>3.2548184716220556E-2</v>
      </c>
      <c r="Q8146" s="28">
        <f t="shared" si="131"/>
        <v>3.5548184716220559E-2</v>
      </c>
      <c r="R8146" s="29">
        <v>0.15003660775771735</v>
      </c>
      <c r="S8146" s="30">
        <v>4.8930000000000001E-2</v>
      </c>
    </row>
    <row r="8147" spans="16:19" x14ac:dyDescent="0.25">
      <c r="P8147" s="27">
        <v>3.2548184716220556E-2</v>
      </c>
      <c r="Q8147" s="28">
        <f t="shared" si="131"/>
        <v>3.5548184716220559E-2</v>
      </c>
      <c r="R8147" s="31">
        <v>0.15939660775771733</v>
      </c>
      <c r="S8147" s="32">
        <v>5.6100000000000004E-2</v>
      </c>
    </row>
    <row r="8148" spans="16:19" x14ac:dyDescent="0.25">
      <c r="P8148" s="27">
        <v>3.2548184716220556E-2</v>
      </c>
      <c r="Q8148" s="28">
        <f t="shared" si="131"/>
        <v>3.5548184716220559E-2</v>
      </c>
      <c r="R8148" s="33">
        <v>0.16282860775771735</v>
      </c>
      <c r="S8148" s="34">
        <v>5.7000000000000002E-2</v>
      </c>
    </row>
    <row r="8149" spans="16:19" x14ac:dyDescent="0.25">
      <c r="P8149" s="27">
        <v>3.2548184716220556E-2</v>
      </c>
      <c r="Q8149" s="28">
        <f t="shared" si="131"/>
        <v>3.5548184716220559E-2</v>
      </c>
      <c r="R8149" s="33">
        <v>0.16282860775771735</v>
      </c>
      <c r="S8149" s="34">
        <v>5.679E-2</v>
      </c>
    </row>
    <row r="8150" spans="16:19" x14ac:dyDescent="0.25">
      <c r="P8150" s="27">
        <v>3.2548184716220556E-2</v>
      </c>
      <c r="Q8150" s="28">
        <f t="shared" si="131"/>
        <v>3.5548184716220559E-2</v>
      </c>
      <c r="R8150" s="33">
        <v>0.16282860775771735</v>
      </c>
      <c r="S8150" s="34">
        <v>5.7799999999999997E-2</v>
      </c>
    </row>
    <row r="8151" spans="16:19" x14ac:dyDescent="0.25">
      <c r="P8151" s="27">
        <v>3.2548184716220556E-2</v>
      </c>
      <c r="Q8151" s="28">
        <f t="shared" si="131"/>
        <v>3.5548184716220559E-2</v>
      </c>
      <c r="R8151" s="33">
        <v>0.16282860775771735</v>
      </c>
      <c r="S8151" s="34">
        <v>5.6259999999999998E-2</v>
      </c>
    </row>
    <row r="8152" spans="16:19" x14ac:dyDescent="0.25">
      <c r="P8152" s="27">
        <v>3.2548184716220556E-2</v>
      </c>
      <c r="Q8152" s="28">
        <f t="shared" si="131"/>
        <v>3.5548184716220559E-2</v>
      </c>
      <c r="R8152" s="33">
        <v>0.16282860775771735</v>
      </c>
      <c r="S8152" s="34">
        <v>5.4359999999999999E-2</v>
      </c>
    </row>
    <row r="8153" spans="16:19" x14ac:dyDescent="0.25">
      <c r="P8153" s="27">
        <v>3.2548184716220556E-2</v>
      </c>
      <c r="Q8153" s="28">
        <f t="shared" si="131"/>
        <v>3.5548184716220559E-2</v>
      </c>
      <c r="R8153" s="33">
        <v>0.16282860775771735</v>
      </c>
      <c r="S8153" s="34">
        <v>5.3530000000000001E-2</v>
      </c>
    </row>
    <row r="8154" spans="16:19" x14ac:dyDescent="0.25">
      <c r="P8154" s="27">
        <v>3.2548184716220556E-2</v>
      </c>
      <c r="Q8154" s="28">
        <f t="shared" si="131"/>
        <v>3.5548184716220559E-2</v>
      </c>
      <c r="R8154" s="33">
        <v>0.16282860775771735</v>
      </c>
      <c r="S8154" s="34">
        <v>5.3109999999999997E-2</v>
      </c>
    </row>
    <row r="8155" spans="16:19" x14ac:dyDescent="0.25">
      <c r="P8155" s="27">
        <v>3.2548184716220556E-2</v>
      </c>
      <c r="Q8155" s="28">
        <f t="shared" si="131"/>
        <v>3.5548184716220559E-2</v>
      </c>
      <c r="R8155" s="33">
        <v>0.16282860775771735</v>
      </c>
      <c r="S8155" s="34">
        <v>5.3289999999999997E-2</v>
      </c>
    </row>
    <row r="8156" spans="16:19" x14ac:dyDescent="0.25">
      <c r="P8156" s="27">
        <v>3.2548184716220556E-2</v>
      </c>
      <c r="Q8156" s="28">
        <f t="shared" si="131"/>
        <v>3.5548184716220559E-2</v>
      </c>
      <c r="R8156" s="33">
        <v>0.16282860775771735</v>
      </c>
      <c r="S8156" s="34">
        <v>5.8000000000000003E-2</v>
      </c>
    </row>
    <row r="8157" spans="16:19" x14ac:dyDescent="0.25">
      <c r="P8157" s="27">
        <v>3.2548184716220556E-2</v>
      </c>
      <c r="Q8157" s="28">
        <f t="shared" si="131"/>
        <v>3.5548184716220559E-2</v>
      </c>
      <c r="R8157" s="33">
        <v>0.16282860775771735</v>
      </c>
      <c r="S8157" s="34">
        <v>6.7000000000000004E-2</v>
      </c>
    </row>
    <row r="8158" spans="16:19" x14ac:dyDescent="0.25">
      <c r="P8158" s="27">
        <v>3.2548184716220556E-2</v>
      </c>
      <c r="Q8158" s="28">
        <f t="shared" si="131"/>
        <v>3.5548184716220559E-2</v>
      </c>
      <c r="R8158" s="33">
        <v>0.16282860775771735</v>
      </c>
      <c r="S8158" s="34">
        <v>6.8080000000000002E-2</v>
      </c>
    </row>
    <row r="8159" spans="16:19" x14ac:dyDescent="0.25">
      <c r="P8159" s="27">
        <v>3.2548184716220556E-2</v>
      </c>
      <c r="Q8159" s="28">
        <f t="shared" si="131"/>
        <v>3.5548184716220559E-2</v>
      </c>
      <c r="R8159" s="31">
        <v>0.15939660775771733</v>
      </c>
      <c r="S8159" s="32">
        <v>6.4340000000000008E-2</v>
      </c>
    </row>
    <row r="8160" spans="16:19" x14ac:dyDescent="0.25">
      <c r="P8160" s="27">
        <v>3.2548184716220556E-2</v>
      </c>
      <c r="Q8160" s="28">
        <f t="shared" si="131"/>
        <v>3.5548184716220559E-2</v>
      </c>
      <c r="R8160" s="31">
        <v>0.15939660775771733</v>
      </c>
      <c r="S8160" s="32">
        <v>5.8040000000000001E-2</v>
      </c>
    </row>
    <row r="8161" spans="16:19" x14ac:dyDescent="0.25">
      <c r="P8161" s="27">
        <v>3.2548184716220556E-2</v>
      </c>
      <c r="Q8161" s="28">
        <f t="shared" si="131"/>
        <v>3.5548184716220559E-2</v>
      </c>
      <c r="R8161" s="31">
        <v>0.15939660775771733</v>
      </c>
      <c r="S8161" s="32">
        <v>5.6670000000000005E-2</v>
      </c>
    </row>
    <row r="8162" spans="16:19" x14ac:dyDescent="0.25">
      <c r="P8162" s="27">
        <v>3.2548184716220556E-2</v>
      </c>
      <c r="Q8162" s="28">
        <f t="shared" si="131"/>
        <v>3.5548184716220559E-2</v>
      </c>
      <c r="R8162" s="31">
        <v>0.15939660775771733</v>
      </c>
      <c r="S8162" s="32">
        <v>5.5E-2</v>
      </c>
    </row>
    <row r="8163" spans="16:19" x14ac:dyDescent="0.25">
      <c r="P8163" s="27">
        <v>3.2548184716220556E-2</v>
      </c>
      <c r="Q8163" s="28">
        <f t="shared" si="131"/>
        <v>3.5548184716220559E-2</v>
      </c>
      <c r="R8163" s="29">
        <v>0.15003660775771735</v>
      </c>
      <c r="S8163" s="30">
        <v>5.1299999999999998E-2</v>
      </c>
    </row>
    <row r="8164" spans="16:19" x14ac:dyDescent="0.25">
      <c r="P8164" s="27">
        <v>3.2548184716220556E-2</v>
      </c>
      <c r="Q8164" s="28">
        <f t="shared" si="131"/>
        <v>3.5548184716220559E-2</v>
      </c>
      <c r="R8164" s="29">
        <v>0.15003660775771735</v>
      </c>
      <c r="S8164" s="30">
        <v>5.2060000000000002E-2</v>
      </c>
    </row>
    <row r="8165" spans="16:19" x14ac:dyDescent="0.25">
      <c r="P8165" s="27">
        <v>3.2548184716220556E-2</v>
      </c>
      <c r="Q8165" s="28">
        <f t="shared" si="131"/>
        <v>3.5548184716220559E-2</v>
      </c>
      <c r="R8165" s="29">
        <v>0.15003660775771735</v>
      </c>
      <c r="S8165" s="30">
        <v>4.65E-2</v>
      </c>
    </row>
    <row r="8166" spans="16:19" x14ac:dyDescent="0.25">
      <c r="P8166" s="27">
        <v>3.2548184716220556E-2</v>
      </c>
      <c r="Q8166" s="28">
        <f t="shared" si="131"/>
        <v>3.5548184716220559E-2</v>
      </c>
      <c r="R8166" s="29">
        <v>0.15003660775771735</v>
      </c>
      <c r="S8166" s="30">
        <v>4.3279999999999999E-2</v>
      </c>
    </row>
    <row r="8167" spans="16:19" x14ac:dyDescent="0.25">
      <c r="P8167" s="27">
        <v>3.2548184716220556E-2</v>
      </c>
      <c r="Q8167" s="28">
        <f t="shared" si="131"/>
        <v>3.5548184716220559E-2</v>
      </c>
      <c r="R8167" s="29">
        <v>0.15003660775771735</v>
      </c>
      <c r="S8167" s="30">
        <v>4.1950000000000001E-2</v>
      </c>
    </row>
    <row r="8168" spans="16:19" x14ac:dyDescent="0.25">
      <c r="P8168" s="27">
        <v>3.2548184716220556E-2</v>
      </c>
      <c r="Q8168" s="28">
        <f t="shared" si="131"/>
        <v>3.5548184716220559E-2</v>
      </c>
      <c r="R8168" s="29">
        <v>0.15003660775771735</v>
      </c>
      <c r="S8168" s="30">
        <v>4.1950000000000001E-2</v>
      </c>
    </row>
    <row r="8169" spans="16:19" x14ac:dyDescent="0.25">
      <c r="P8169" s="27">
        <v>3.2548184716220556E-2</v>
      </c>
      <c r="Q8169" s="28">
        <f t="shared" si="131"/>
        <v>3.5548184716220559E-2</v>
      </c>
      <c r="R8169" s="29">
        <v>0.15003660775771735</v>
      </c>
      <c r="S8169" s="30">
        <v>4.0960000000000003E-2</v>
      </c>
    </row>
    <row r="8170" spans="16:19" x14ac:dyDescent="0.25">
      <c r="P8170" s="27">
        <v>3.2548184716220556E-2</v>
      </c>
      <c r="Q8170" s="28">
        <f t="shared" si="131"/>
        <v>3.5548184716220559E-2</v>
      </c>
      <c r="R8170" s="29">
        <v>0.15003660775771735</v>
      </c>
      <c r="S8170" s="30">
        <v>4.5280000000000001E-2</v>
      </c>
    </row>
    <row r="8171" spans="16:19" x14ac:dyDescent="0.25">
      <c r="P8171" s="27">
        <v>3.2548184716220556E-2</v>
      </c>
      <c r="Q8171" s="28">
        <f t="shared" si="131"/>
        <v>3.5548184716220559E-2</v>
      </c>
      <c r="R8171" s="31">
        <v>0.15939660775771733</v>
      </c>
      <c r="S8171" s="32">
        <v>4.5429999999999998E-2</v>
      </c>
    </row>
    <row r="8172" spans="16:19" x14ac:dyDescent="0.25">
      <c r="P8172" s="27">
        <v>3.2548184716220556E-2</v>
      </c>
      <c r="Q8172" s="28">
        <f t="shared" si="131"/>
        <v>3.5548184716220559E-2</v>
      </c>
      <c r="R8172" s="33">
        <v>0.16282860775771735</v>
      </c>
      <c r="S8172" s="34">
        <v>5.6960000000000004E-2</v>
      </c>
    </row>
    <row r="8173" spans="16:19" x14ac:dyDescent="0.25">
      <c r="P8173" s="27">
        <v>3.2548184716220556E-2</v>
      </c>
      <c r="Q8173" s="28">
        <f t="shared" si="131"/>
        <v>3.5548184716220559E-2</v>
      </c>
      <c r="R8173" s="33">
        <v>0.16282860775771735</v>
      </c>
      <c r="S8173" s="34">
        <v>6.1369999999999994E-2</v>
      </c>
    </row>
    <row r="8174" spans="16:19" x14ac:dyDescent="0.25">
      <c r="P8174" s="27">
        <v>3.2548184716220556E-2</v>
      </c>
      <c r="Q8174" s="28">
        <f t="shared" si="131"/>
        <v>3.5548184716220559E-2</v>
      </c>
      <c r="R8174" s="33">
        <v>0.16282860775771735</v>
      </c>
      <c r="S8174" s="34">
        <v>6.0450000000000004E-2</v>
      </c>
    </row>
    <row r="8175" spans="16:19" x14ac:dyDescent="0.25">
      <c r="P8175" s="27">
        <v>3.2548184716220556E-2</v>
      </c>
      <c r="Q8175" s="28">
        <f t="shared" si="131"/>
        <v>3.5548184716220559E-2</v>
      </c>
      <c r="R8175" s="33">
        <v>0.16282860775771735</v>
      </c>
      <c r="S8175" s="34">
        <v>6.2310000000000004E-2</v>
      </c>
    </row>
    <row r="8176" spans="16:19" x14ac:dyDescent="0.25">
      <c r="P8176" s="27">
        <v>3.2548184716220556E-2</v>
      </c>
      <c r="Q8176" s="28">
        <f t="shared" si="131"/>
        <v>3.5548184716220559E-2</v>
      </c>
      <c r="R8176" s="33">
        <v>0.16282860775771735</v>
      </c>
      <c r="S8176" s="34">
        <v>5.8279999999999998E-2</v>
      </c>
    </row>
    <row r="8177" spans="16:19" x14ac:dyDescent="0.25">
      <c r="P8177" s="27">
        <v>3.2548184716220556E-2</v>
      </c>
      <c r="Q8177" s="28">
        <f t="shared" si="131"/>
        <v>3.5548184716220559E-2</v>
      </c>
      <c r="R8177" s="33">
        <v>0.16282860775771735</v>
      </c>
      <c r="S8177" s="34">
        <v>5.7640000000000004E-2</v>
      </c>
    </row>
    <row r="8178" spans="16:19" x14ac:dyDescent="0.25">
      <c r="P8178" s="27">
        <v>3.2548184716220556E-2</v>
      </c>
      <c r="Q8178" s="28">
        <f t="shared" si="131"/>
        <v>3.5548184716220559E-2</v>
      </c>
      <c r="R8178" s="33">
        <v>0.16282860775771735</v>
      </c>
      <c r="S8178" s="34">
        <v>5.9021496E-2</v>
      </c>
    </row>
    <row r="8179" spans="16:19" x14ac:dyDescent="0.25">
      <c r="P8179" s="27">
        <v>3.2548184716220556E-2</v>
      </c>
      <c r="Q8179" s="28">
        <f t="shared" si="131"/>
        <v>3.5548184716220559E-2</v>
      </c>
      <c r="R8179" s="33">
        <v>0.16282860775771735</v>
      </c>
      <c r="S8179" s="34">
        <v>6.5000000000000002E-2</v>
      </c>
    </row>
    <row r="8180" spans="16:19" x14ac:dyDescent="0.25">
      <c r="P8180" s="27">
        <v>3.2548184716220556E-2</v>
      </c>
      <c r="Q8180" s="28">
        <f t="shared" si="131"/>
        <v>3.5548184716220559E-2</v>
      </c>
      <c r="R8180" s="33">
        <v>0.16282860775771735</v>
      </c>
      <c r="S8180" s="34">
        <v>7.238E-2</v>
      </c>
    </row>
    <row r="8181" spans="16:19" x14ac:dyDescent="0.25">
      <c r="P8181" s="27">
        <v>3.2548184716220556E-2</v>
      </c>
      <c r="Q8181" s="28">
        <f t="shared" si="131"/>
        <v>3.5548184716220559E-2</v>
      </c>
      <c r="R8181" s="33">
        <v>0.16282860775771735</v>
      </c>
      <c r="S8181" s="34">
        <v>7.5989999999999988E-2</v>
      </c>
    </row>
    <row r="8182" spans="16:19" x14ac:dyDescent="0.25">
      <c r="P8182" s="27">
        <v>3.2548184716220556E-2</v>
      </c>
      <c r="Q8182" s="28">
        <f t="shared" si="131"/>
        <v>3.5548184716220559E-2</v>
      </c>
      <c r="R8182" s="33">
        <v>0.16282860775771735</v>
      </c>
      <c r="S8182" s="34">
        <v>7.5989999999999988E-2</v>
      </c>
    </row>
    <row r="8183" spans="16:19" x14ac:dyDescent="0.25">
      <c r="P8183" s="27">
        <v>3.2548184716220556E-2</v>
      </c>
      <c r="Q8183" s="28">
        <f t="shared" si="131"/>
        <v>3.5548184716220559E-2</v>
      </c>
      <c r="R8183" s="31">
        <v>0.15939660775771733</v>
      </c>
      <c r="S8183" s="32">
        <v>7.5200000000000003E-2</v>
      </c>
    </row>
    <row r="8184" spans="16:19" x14ac:dyDescent="0.25">
      <c r="P8184" s="27">
        <v>3.2548184716220556E-2</v>
      </c>
      <c r="Q8184" s="28">
        <f t="shared" si="131"/>
        <v>3.5548184716220559E-2</v>
      </c>
      <c r="R8184" s="31">
        <v>0.15939660775771733</v>
      </c>
      <c r="S8184" s="32">
        <v>6.5799999999999997E-2</v>
      </c>
    </row>
    <row r="8185" spans="16:19" x14ac:dyDescent="0.25">
      <c r="P8185" s="27">
        <v>3.2548184716220556E-2</v>
      </c>
      <c r="Q8185" s="28">
        <f t="shared" si="131"/>
        <v>3.5548184716220559E-2</v>
      </c>
      <c r="R8185" s="31">
        <v>0.15939660775771733</v>
      </c>
      <c r="S8185" s="32">
        <v>6.8900000000000003E-2</v>
      </c>
    </row>
    <row r="8186" spans="16:19" x14ac:dyDescent="0.25">
      <c r="P8186" s="27">
        <v>3.2548184716220556E-2</v>
      </c>
      <c r="Q8186" s="28">
        <f t="shared" si="131"/>
        <v>3.5548184716220559E-2</v>
      </c>
      <c r="R8186" s="31">
        <v>0.15939660775771733</v>
      </c>
      <c r="S8186" s="32">
        <v>5.8119999999999998E-2</v>
      </c>
    </row>
    <row r="8187" spans="16:19" x14ac:dyDescent="0.25">
      <c r="P8187" s="27">
        <v>3.2548184716220556E-2</v>
      </c>
      <c r="Q8187" s="28">
        <f t="shared" si="131"/>
        <v>3.5548184716220559E-2</v>
      </c>
      <c r="R8187" s="29">
        <v>0.15003660775771735</v>
      </c>
      <c r="S8187" s="30">
        <v>5.33E-2</v>
      </c>
    </row>
    <row r="8188" spans="16:19" x14ac:dyDescent="0.25">
      <c r="P8188" s="27">
        <v>3.2548184716220556E-2</v>
      </c>
      <c r="Q8188" s="28">
        <f t="shared" si="131"/>
        <v>3.5548184716220559E-2</v>
      </c>
      <c r="R8188" s="29">
        <v>0.15003660775771735</v>
      </c>
      <c r="S8188" s="30">
        <v>5.1299999999999998E-2</v>
      </c>
    </row>
    <row r="8189" spans="16:19" x14ac:dyDescent="0.25">
      <c r="P8189" s="27">
        <v>3.2548184716220556E-2</v>
      </c>
      <c r="Q8189" s="28">
        <f t="shared" si="131"/>
        <v>3.5548184716220559E-2</v>
      </c>
      <c r="R8189" s="29">
        <v>0.15003660775771735</v>
      </c>
      <c r="S8189" s="30">
        <v>4.453E-2</v>
      </c>
    </row>
    <row r="8190" spans="16:19" x14ac:dyDescent="0.25">
      <c r="P8190" s="27">
        <v>3.2548184716220556E-2</v>
      </c>
      <c r="Q8190" s="28">
        <f t="shared" si="131"/>
        <v>3.5548184716220559E-2</v>
      </c>
      <c r="R8190" s="29">
        <v>0.15003660775771735</v>
      </c>
      <c r="S8190" s="30">
        <v>4.1950000000000001E-2</v>
      </c>
    </row>
    <row r="8191" spans="16:19" x14ac:dyDescent="0.25">
      <c r="P8191" s="27">
        <v>3.2548184716220556E-2</v>
      </c>
      <c r="Q8191" s="28">
        <f t="shared" si="131"/>
        <v>3.5548184716220559E-2</v>
      </c>
      <c r="R8191" s="29">
        <v>0.15003660775771735</v>
      </c>
      <c r="S8191" s="30">
        <v>3.8649999999999997E-2</v>
      </c>
    </row>
    <row r="8192" spans="16:19" x14ac:dyDescent="0.25">
      <c r="P8192" s="27">
        <v>3.2548184716220556E-2</v>
      </c>
      <c r="Q8192" s="28">
        <f t="shared" si="131"/>
        <v>3.5548184716220559E-2</v>
      </c>
      <c r="R8192" s="29">
        <v>0.15003660775771735</v>
      </c>
      <c r="S8192" s="30">
        <v>3.7560000000000003E-2</v>
      </c>
    </row>
    <row r="8193" spans="16:19" x14ac:dyDescent="0.25">
      <c r="P8193" s="27">
        <v>3.2548184716220556E-2</v>
      </c>
      <c r="Q8193" s="28">
        <f t="shared" si="131"/>
        <v>3.5548184716220559E-2</v>
      </c>
      <c r="R8193" s="29">
        <v>0.15003660775771735</v>
      </c>
      <c r="S8193" s="30">
        <v>3.9020000000000006E-2</v>
      </c>
    </row>
    <row r="8194" spans="16:19" x14ac:dyDescent="0.25">
      <c r="P8194" s="27">
        <v>3.2548184716220556E-2</v>
      </c>
      <c r="Q8194" s="28">
        <f t="shared" si="131"/>
        <v>3.5548184716220559E-2</v>
      </c>
      <c r="R8194" s="29">
        <v>0.15003660775771735</v>
      </c>
      <c r="S8194" s="30">
        <v>4.53E-2</v>
      </c>
    </row>
    <row r="8195" spans="16:19" x14ac:dyDescent="0.25">
      <c r="P8195" s="27">
        <v>3.2548184716220556E-2</v>
      </c>
      <c r="Q8195" s="28">
        <f t="shared" si="131"/>
        <v>3.5548184716220559E-2</v>
      </c>
      <c r="R8195" s="29">
        <v>0.15003660775771735</v>
      </c>
      <c r="S8195" s="30">
        <v>5.6000000000000001E-2</v>
      </c>
    </row>
    <row r="8196" spans="16:19" x14ac:dyDescent="0.25">
      <c r="P8196" s="27">
        <v>3.2548184716220556E-2</v>
      </c>
      <c r="Q8196" s="28">
        <f t="shared" si="131"/>
        <v>3.5548184716220559E-2</v>
      </c>
      <c r="R8196" s="29">
        <v>0.15003660775771735</v>
      </c>
      <c r="S8196" s="30">
        <v>0.06</v>
      </c>
    </row>
    <row r="8197" spans="16:19" x14ac:dyDescent="0.25">
      <c r="P8197" s="27">
        <v>3.2548184716220556E-2</v>
      </c>
      <c r="Q8197" s="28">
        <f t="shared" ref="Q8197:Q8260" si="132">P8197+0.003</f>
        <v>3.5548184716220559E-2</v>
      </c>
      <c r="R8197" s="29">
        <v>0.15003660775771735</v>
      </c>
      <c r="S8197" s="30">
        <v>0.06</v>
      </c>
    </row>
    <row r="8198" spans="16:19" x14ac:dyDescent="0.25">
      <c r="P8198" s="27">
        <v>3.2548184716220556E-2</v>
      </c>
      <c r="Q8198" s="28">
        <f t="shared" si="132"/>
        <v>3.5548184716220559E-2</v>
      </c>
      <c r="R8198" s="29">
        <v>0.15003660775771735</v>
      </c>
      <c r="S8198" s="30">
        <v>5.8400000000000001E-2</v>
      </c>
    </row>
    <row r="8199" spans="16:19" x14ac:dyDescent="0.25">
      <c r="P8199" s="27">
        <v>3.2548184716220556E-2</v>
      </c>
      <c r="Q8199" s="28">
        <f t="shared" si="132"/>
        <v>3.5548184716220559E-2</v>
      </c>
      <c r="R8199" s="29">
        <v>0.15003660775771735</v>
      </c>
      <c r="S8199" s="30">
        <v>5.756E-2</v>
      </c>
    </row>
    <row r="8200" spans="16:19" x14ac:dyDescent="0.25">
      <c r="P8200" s="27">
        <v>3.2548184716220556E-2</v>
      </c>
      <c r="Q8200" s="28">
        <f t="shared" si="132"/>
        <v>3.5548184716220559E-2</v>
      </c>
      <c r="R8200" s="29">
        <v>0.15003660775771735</v>
      </c>
      <c r="S8200" s="30">
        <v>5.7180000000000002E-2</v>
      </c>
    </row>
    <row r="8201" spans="16:19" x14ac:dyDescent="0.25">
      <c r="P8201" s="27">
        <v>3.2548184716220556E-2</v>
      </c>
      <c r="Q8201" s="28">
        <f t="shared" si="132"/>
        <v>3.5548184716220559E-2</v>
      </c>
      <c r="R8201" s="29">
        <v>0.15003660775771735</v>
      </c>
      <c r="S8201" s="30">
        <v>5.604E-2</v>
      </c>
    </row>
    <row r="8202" spans="16:19" x14ac:dyDescent="0.25">
      <c r="P8202" s="27">
        <v>3.2548184716220556E-2</v>
      </c>
      <c r="Q8202" s="28">
        <f t="shared" si="132"/>
        <v>3.5548184716220559E-2</v>
      </c>
      <c r="R8202" s="29">
        <v>0.15003660775771735</v>
      </c>
      <c r="S8202" s="30">
        <v>5.5710000000000003E-2</v>
      </c>
    </row>
    <row r="8203" spans="16:19" x14ac:dyDescent="0.25">
      <c r="P8203" s="27">
        <v>3.2548184716220556E-2</v>
      </c>
      <c r="Q8203" s="28">
        <f t="shared" si="132"/>
        <v>3.5548184716220559E-2</v>
      </c>
      <c r="R8203" s="29">
        <v>0.15003660775771735</v>
      </c>
      <c r="S8203" s="30">
        <v>5.6100000000000004E-2</v>
      </c>
    </row>
    <row r="8204" spans="16:19" x14ac:dyDescent="0.25">
      <c r="P8204" s="27">
        <v>3.2548184716220556E-2</v>
      </c>
      <c r="Q8204" s="28">
        <f t="shared" si="132"/>
        <v>3.5548184716220559E-2</v>
      </c>
      <c r="R8204" s="29">
        <v>0.15003660775771735</v>
      </c>
      <c r="S8204" s="30">
        <v>6.1048917000000001E-2</v>
      </c>
    </row>
    <row r="8205" spans="16:19" x14ac:dyDescent="0.25">
      <c r="P8205" s="27">
        <v>3.2548184716220556E-2</v>
      </c>
      <c r="Q8205" s="28">
        <f t="shared" si="132"/>
        <v>3.5548184716220559E-2</v>
      </c>
      <c r="R8205" s="29">
        <v>0.15003660775771735</v>
      </c>
      <c r="S8205" s="30">
        <v>7.3999999999999996E-2</v>
      </c>
    </row>
    <row r="8206" spans="16:19" x14ac:dyDescent="0.25">
      <c r="P8206" s="27">
        <v>3.2548184716220556E-2</v>
      </c>
      <c r="Q8206" s="28">
        <f t="shared" si="132"/>
        <v>3.5548184716220559E-2</v>
      </c>
      <c r="R8206" s="29">
        <v>0.15003660775771735</v>
      </c>
      <c r="S8206" s="30">
        <v>7.1709999999999996E-2</v>
      </c>
    </row>
    <row r="8207" spans="16:19" x14ac:dyDescent="0.25">
      <c r="P8207" s="27">
        <v>3.2548184716220556E-2</v>
      </c>
      <c r="Q8207" s="28">
        <f t="shared" si="132"/>
        <v>3.5548184716220559E-2</v>
      </c>
      <c r="R8207" s="29">
        <v>0.15003660775771735</v>
      </c>
      <c r="S8207" s="30">
        <v>6.9949999999999998E-2</v>
      </c>
    </row>
    <row r="8208" spans="16:19" x14ac:dyDescent="0.25">
      <c r="P8208" s="27">
        <v>3.2548184716220556E-2</v>
      </c>
      <c r="Q8208" s="28">
        <f t="shared" si="132"/>
        <v>3.5548184716220559E-2</v>
      </c>
      <c r="R8208" s="29">
        <v>0.15003660775771735</v>
      </c>
      <c r="S8208" s="30">
        <v>6.5700000000000008E-2</v>
      </c>
    </row>
    <row r="8209" spans="16:19" x14ac:dyDescent="0.25">
      <c r="P8209" s="27">
        <v>3.2548184716220556E-2</v>
      </c>
      <c r="Q8209" s="28">
        <f t="shared" si="132"/>
        <v>3.5548184716220559E-2</v>
      </c>
      <c r="R8209" s="29">
        <v>0.15003660775771735</v>
      </c>
      <c r="S8209" s="30">
        <v>6.1499999999999999E-2</v>
      </c>
    </row>
    <row r="8210" spans="16:19" x14ac:dyDescent="0.25">
      <c r="P8210" s="27">
        <v>3.2548184716220556E-2</v>
      </c>
      <c r="Q8210" s="28">
        <f t="shared" si="132"/>
        <v>3.5548184716220559E-2</v>
      </c>
      <c r="R8210" s="29">
        <v>0.15003660775771735</v>
      </c>
      <c r="S8210" s="30">
        <v>5.7250000000000002E-2</v>
      </c>
    </row>
    <row r="8211" spans="16:19" x14ac:dyDescent="0.25">
      <c r="P8211" s="27">
        <v>3.2548184716220556E-2</v>
      </c>
      <c r="Q8211" s="28">
        <f t="shared" si="132"/>
        <v>3.5548184716220559E-2</v>
      </c>
      <c r="R8211" s="29">
        <v>0.15003660775771735</v>
      </c>
      <c r="S8211" s="30">
        <v>5.2260000000000001E-2</v>
      </c>
    </row>
    <row r="8212" spans="16:19" x14ac:dyDescent="0.25">
      <c r="P8212" s="27">
        <v>3.2548184716220556E-2</v>
      </c>
      <c r="Q8212" s="28">
        <f t="shared" si="132"/>
        <v>3.5548184716220559E-2</v>
      </c>
      <c r="R8212" s="29">
        <v>0.15003660775771735</v>
      </c>
      <c r="S8212" s="30">
        <v>4.999E-2</v>
      </c>
    </row>
    <row r="8213" spans="16:19" x14ac:dyDescent="0.25">
      <c r="P8213" s="27">
        <v>3.2548184716220556E-2</v>
      </c>
      <c r="Q8213" s="28">
        <f t="shared" si="132"/>
        <v>3.5548184716220559E-2</v>
      </c>
      <c r="R8213" s="29">
        <v>0.15003660775771735</v>
      </c>
      <c r="S8213" s="30">
        <v>4.7E-2</v>
      </c>
    </row>
    <row r="8214" spans="16:19" x14ac:dyDescent="0.25">
      <c r="P8214" s="27">
        <v>3.2548184716220556E-2</v>
      </c>
      <c r="Q8214" s="28">
        <f t="shared" si="132"/>
        <v>3.5548184716220559E-2</v>
      </c>
      <c r="R8214" s="29">
        <v>0.15003660775771735</v>
      </c>
      <c r="S8214" s="30">
        <v>4.3779999999999999E-2</v>
      </c>
    </row>
    <row r="8215" spans="16:19" x14ac:dyDescent="0.25">
      <c r="P8215" s="27">
        <v>3.2548184716220556E-2</v>
      </c>
      <c r="Q8215" s="28">
        <f t="shared" si="132"/>
        <v>3.5548184716220559E-2</v>
      </c>
      <c r="R8215" s="29">
        <v>0.15003660775771735</v>
      </c>
      <c r="S8215" s="30">
        <v>4.2500000000000003E-2</v>
      </c>
    </row>
    <row r="8216" spans="16:19" x14ac:dyDescent="0.25">
      <c r="P8216" s="27">
        <v>3.2548184716220556E-2</v>
      </c>
      <c r="Q8216" s="28">
        <f t="shared" si="132"/>
        <v>3.5548184716220559E-2</v>
      </c>
      <c r="R8216" s="29">
        <v>0.15003660775771735</v>
      </c>
      <c r="S8216" s="30">
        <v>4.3529999999999999E-2</v>
      </c>
    </row>
    <row r="8217" spans="16:19" x14ac:dyDescent="0.25">
      <c r="P8217" s="27">
        <v>3.2548184716220556E-2</v>
      </c>
      <c r="Q8217" s="28">
        <f t="shared" si="132"/>
        <v>3.5548184716220559E-2</v>
      </c>
      <c r="R8217" s="29">
        <v>0.15003660775771735</v>
      </c>
      <c r="S8217" s="30">
        <v>4.5929999999999999E-2</v>
      </c>
    </row>
    <row r="8218" spans="16:19" x14ac:dyDescent="0.25">
      <c r="P8218" s="27">
        <v>3.2548184716220556E-2</v>
      </c>
      <c r="Q8218" s="28">
        <f t="shared" si="132"/>
        <v>3.5548184716220559E-2</v>
      </c>
      <c r="R8218" s="29">
        <v>0.15003660775771735</v>
      </c>
      <c r="S8218" s="30">
        <v>5.951E-2</v>
      </c>
    </row>
    <row r="8219" spans="16:19" x14ac:dyDescent="0.25">
      <c r="P8219" s="27">
        <v>3.2548184716220556E-2</v>
      </c>
      <c r="Q8219" s="28">
        <f t="shared" si="132"/>
        <v>3.5548184716220559E-2</v>
      </c>
      <c r="R8219" s="29">
        <v>0.15003660775771735</v>
      </c>
      <c r="S8219" s="30">
        <v>8.0620000000000011E-2</v>
      </c>
    </row>
    <row r="8220" spans="16:19" x14ac:dyDescent="0.25">
      <c r="P8220" s="27">
        <v>3.2548184716220556E-2</v>
      </c>
      <c r="Q8220" s="28">
        <f t="shared" si="132"/>
        <v>3.5548184716220559E-2</v>
      </c>
      <c r="R8220" s="29">
        <v>0.15003660775771735</v>
      </c>
      <c r="S8220" s="30">
        <v>8.4500000000000006E-2</v>
      </c>
    </row>
    <row r="8221" spans="16:19" x14ac:dyDescent="0.25">
      <c r="P8221" s="27">
        <v>3.2548184716220556E-2</v>
      </c>
      <c r="Q8221" s="28">
        <f t="shared" si="132"/>
        <v>3.5548184716220559E-2</v>
      </c>
      <c r="R8221" s="29">
        <v>0.15003660775771735</v>
      </c>
      <c r="S8221" s="30">
        <v>7.7439999999999995E-2</v>
      </c>
    </row>
    <row r="8222" spans="16:19" x14ac:dyDescent="0.25">
      <c r="P8222" s="27">
        <v>3.2548184716220556E-2</v>
      </c>
      <c r="Q8222" s="28">
        <f t="shared" si="132"/>
        <v>3.5548184716220559E-2</v>
      </c>
      <c r="R8222" s="29">
        <v>0.15003660775771735</v>
      </c>
      <c r="S8222" s="30">
        <v>6.93E-2</v>
      </c>
    </row>
    <row r="8223" spans="16:19" x14ac:dyDescent="0.25">
      <c r="P8223" s="27">
        <v>3.2548184716220556E-2</v>
      </c>
      <c r="Q8223" s="28">
        <f t="shared" si="132"/>
        <v>3.5548184716220559E-2</v>
      </c>
      <c r="R8223" s="29">
        <v>0.15003660775771735</v>
      </c>
      <c r="S8223" s="30">
        <v>6.7729999999999999E-2</v>
      </c>
    </row>
    <row r="8224" spans="16:19" x14ac:dyDescent="0.25">
      <c r="P8224" s="27">
        <v>3.2548184716220556E-2</v>
      </c>
      <c r="Q8224" s="28">
        <f t="shared" si="132"/>
        <v>3.5548184716220559E-2</v>
      </c>
      <c r="R8224" s="29">
        <v>0.15003660775771735</v>
      </c>
      <c r="S8224" s="30">
        <v>6.2619999999999995E-2</v>
      </c>
    </row>
    <row r="8225" spans="16:19" x14ac:dyDescent="0.25">
      <c r="P8225" s="27">
        <v>3.2548184716220556E-2</v>
      </c>
      <c r="Q8225" s="28">
        <f t="shared" si="132"/>
        <v>3.5548184716220559E-2</v>
      </c>
      <c r="R8225" s="29">
        <v>0.15003660775771735</v>
      </c>
      <c r="S8225" s="30">
        <v>6.2700000000000006E-2</v>
      </c>
    </row>
    <row r="8226" spans="16:19" x14ac:dyDescent="0.25">
      <c r="P8226" s="27">
        <v>3.2548184716220556E-2</v>
      </c>
      <c r="Q8226" s="28">
        <f t="shared" si="132"/>
        <v>3.5548184716220559E-2</v>
      </c>
      <c r="R8226" s="29">
        <v>0.15003660775771735</v>
      </c>
      <c r="S8226" s="30">
        <v>6.3840000000000008E-2</v>
      </c>
    </row>
    <row r="8227" spans="16:19" x14ac:dyDescent="0.25">
      <c r="P8227" s="27">
        <v>3.2548184716220556E-2</v>
      </c>
      <c r="Q8227" s="28">
        <f t="shared" si="132"/>
        <v>3.5548184716220559E-2</v>
      </c>
      <c r="R8227" s="29">
        <v>0.15003660775771735</v>
      </c>
      <c r="S8227" s="30">
        <v>6.3539999999999999E-2</v>
      </c>
    </row>
    <row r="8228" spans="16:19" x14ac:dyDescent="0.25">
      <c r="P8228" s="27">
        <v>3.2548184716220556E-2</v>
      </c>
      <c r="Q8228" s="28">
        <f t="shared" si="132"/>
        <v>3.5548184716220559E-2</v>
      </c>
      <c r="R8228" s="29">
        <v>0.15003660775771735</v>
      </c>
      <c r="S8228" s="30">
        <v>7.1999999999999995E-2</v>
      </c>
    </row>
    <row r="8229" spans="16:19" x14ac:dyDescent="0.25">
      <c r="P8229" s="27">
        <v>3.2548184716220556E-2</v>
      </c>
      <c r="Q8229" s="28">
        <f t="shared" si="132"/>
        <v>3.5548184716220559E-2</v>
      </c>
      <c r="R8229" s="29">
        <v>0.15003660775771735</v>
      </c>
      <c r="S8229" s="30">
        <v>8.1090000000000009E-2</v>
      </c>
    </row>
    <row r="8230" spans="16:19" x14ac:dyDescent="0.25">
      <c r="P8230" s="27">
        <v>3.2548184716220556E-2</v>
      </c>
      <c r="Q8230" s="28">
        <f t="shared" si="132"/>
        <v>3.5548184716220559E-2</v>
      </c>
      <c r="R8230" s="29">
        <v>0.15003660775771735</v>
      </c>
      <c r="S8230" s="30">
        <v>7.4999999999999997E-2</v>
      </c>
    </row>
    <row r="8231" spans="16:19" x14ac:dyDescent="0.25">
      <c r="P8231" s="27">
        <v>3.2548184716220556E-2</v>
      </c>
      <c r="Q8231" s="28">
        <f t="shared" si="132"/>
        <v>3.5548184716220559E-2</v>
      </c>
      <c r="R8231" s="29">
        <v>0.15003660775771735</v>
      </c>
      <c r="S8231" s="30">
        <v>6.8129999999999996E-2</v>
      </c>
    </row>
    <row r="8232" spans="16:19" x14ac:dyDescent="0.25">
      <c r="P8232" s="27">
        <v>3.2548184716220556E-2</v>
      </c>
      <c r="Q8232" s="28">
        <f t="shared" si="132"/>
        <v>3.5548184716220559E-2</v>
      </c>
      <c r="R8232" s="29">
        <v>0.15003660775771735</v>
      </c>
      <c r="S8232" s="30">
        <v>6.3340000000000007E-2</v>
      </c>
    </row>
    <row r="8233" spans="16:19" x14ac:dyDescent="0.25">
      <c r="P8233" s="27">
        <v>3.2548184716220556E-2</v>
      </c>
      <c r="Q8233" s="28">
        <f t="shared" si="132"/>
        <v>3.5548184716220559E-2</v>
      </c>
      <c r="R8233" s="29">
        <v>0.15003660775771735</v>
      </c>
      <c r="S8233" s="30">
        <v>5.8040000000000001E-2</v>
      </c>
    </row>
    <row r="8234" spans="16:19" x14ac:dyDescent="0.25">
      <c r="P8234" s="27">
        <v>3.2548184716220556E-2</v>
      </c>
      <c r="Q8234" s="28">
        <f t="shared" si="132"/>
        <v>3.5548184716220559E-2</v>
      </c>
      <c r="R8234" s="29">
        <v>0.15003660775771735</v>
      </c>
      <c r="S8234" s="30">
        <v>5.6500000000000002E-2</v>
      </c>
    </row>
    <row r="8235" spans="16:19" x14ac:dyDescent="0.25">
      <c r="P8235" s="27">
        <v>3.2548184716220556E-2</v>
      </c>
      <c r="Q8235" s="28">
        <f t="shared" si="132"/>
        <v>3.5548184716220559E-2</v>
      </c>
      <c r="R8235" s="29">
        <v>0.15003660775771735</v>
      </c>
      <c r="S8235" s="30">
        <v>5.305E-2</v>
      </c>
    </row>
    <row r="8236" spans="16:19" x14ac:dyDescent="0.25">
      <c r="P8236" s="27">
        <v>3.2548184716220556E-2</v>
      </c>
      <c r="Q8236" s="28">
        <f t="shared" si="132"/>
        <v>3.5548184716220559E-2</v>
      </c>
      <c r="R8236" s="29">
        <v>0.15003660775771735</v>
      </c>
      <c r="S8236" s="30">
        <v>4.6200000000000005E-2</v>
      </c>
    </row>
    <row r="8237" spans="16:19" x14ac:dyDescent="0.25">
      <c r="P8237" s="27">
        <v>3.2548184716220556E-2</v>
      </c>
      <c r="Q8237" s="28">
        <f t="shared" si="132"/>
        <v>3.5548184716220559E-2</v>
      </c>
      <c r="R8237" s="29">
        <v>0.15003660775771735</v>
      </c>
      <c r="S8237" s="30">
        <v>4.0649999999999999E-2</v>
      </c>
    </row>
    <row r="8238" spans="16:19" x14ac:dyDescent="0.25">
      <c r="P8238" s="27">
        <v>3.2548184716220556E-2</v>
      </c>
      <c r="Q8238" s="28">
        <f t="shared" si="132"/>
        <v>3.5548184716220559E-2</v>
      </c>
      <c r="R8238" s="29">
        <v>0.15003660775771735</v>
      </c>
      <c r="S8238" s="30">
        <v>3.6830000000000002E-2</v>
      </c>
    </row>
    <row r="8239" spans="16:19" x14ac:dyDescent="0.25">
      <c r="P8239" s="27">
        <v>3.2548184716220556E-2</v>
      </c>
      <c r="Q8239" s="28">
        <f t="shared" si="132"/>
        <v>3.5548184716220559E-2</v>
      </c>
      <c r="R8239" s="29">
        <v>0.15003660775771735</v>
      </c>
      <c r="S8239" s="30">
        <v>3.1910000000000001E-2</v>
      </c>
    </row>
    <row r="8240" spans="16:19" x14ac:dyDescent="0.25">
      <c r="P8240" s="27">
        <v>3.2548184716220556E-2</v>
      </c>
      <c r="Q8240" s="28">
        <f t="shared" si="132"/>
        <v>3.5548184716220559E-2</v>
      </c>
      <c r="R8240" s="29">
        <v>0.15003660775771735</v>
      </c>
      <c r="S8240" s="30">
        <v>3.1989999999999998E-2</v>
      </c>
    </row>
    <row r="8241" spans="16:19" x14ac:dyDescent="0.25">
      <c r="P8241" s="27">
        <v>3.2548184716220556E-2</v>
      </c>
      <c r="Q8241" s="28">
        <f t="shared" si="132"/>
        <v>3.5548184716220559E-2</v>
      </c>
      <c r="R8241" s="29">
        <v>0.15003660775771735</v>
      </c>
      <c r="S8241" s="30">
        <v>3.7399999999999996E-2</v>
      </c>
    </row>
    <row r="8242" spans="16:19" x14ac:dyDescent="0.25">
      <c r="P8242" s="27">
        <v>3.2548184716220556E-2</v>
      </c>
      <c r="Q8242" s="28">
        <f t="shared" si="132"/>
        <v>3.5548184716220559E-2</v>
      </c>
      <c r="R8242" s="29">
        <v>0.15003660775771735</v>
      </c>
      <c r="S8242" s="30">
        <v>4.725E-2</v>
      </c>
    </row>
    <row r="8243" spans="16:19" x14ac:dyDescent="0.25">
      <c r="P8243" s="27">
        <v>3.2548184716220556E-2</v>
      </c>
      <c r="Q8243" s="28">
        <f t="shared" si="132"/>
        <v>3.5548184716220559E-2</v>
      </c>
      <c r="R8243" s="31">
        <v>0.15939660775771733</v>
      </c>
      <c r="S8243" s="32">
        <v>5.951E-2</v>
      </c>
    </row>
    <row r="8244" spans="16:19" x14ac:dyDescent="0.25">
      <c r="P8244" s="27">
        <v>3.2548184716220556E-2</v>
      </c>
      <c r="Q8244" s="28">
        <f t="shared" si="132"/>
        <v>3.5548184716220559E-2</v>
      </c>
      <c r="R8244" s="33">
        <v>0.16282860775771735</v>
      </c>
      <c r="S8244" s="34">
        <v>6.4299999999999996E-2</v>
      </c>
    </row>
    <row r="8245" spans="16:19" x14ac:dyDescent="0.25">
      <c r="P8245" s="27">
        <v>3.2548184716220556E-2</v>
      </c>
      <c r="Q8245" s="28">
        <f t="shared" si="132"/>
        <v>3.5548184716220559E-2</v>
      </c>
      <c r="R8245" s="33">
        <v>0.16282860775771735</v>
      </c>
      <c r="S8245" s="34">
        <v>6.545999999999999E-2</v>
      </c>
    </row>
    <row r="8246" spans="16:19" x14ac:dyDescent="0.25">
      <c r="P8246" s="27">
        <v>3.2548184716220556E-2</v>
      </c>
      <c r="Q8246" s="28">
        <f t="shared" si="132"/>
        <v>3.5548184716220559E-2</v>
      </c>
      <c r="R8246" s="33">
        <v>0.16282860775771735</v>
      </c>
      <c r="S8246" s="34">
        <v>6.1509999999999995E-2</v>
      </c>
    </row>
    <row r="8247" spans="16:19" x14ac:dyDescent="0.25">
      <c r="P8247" s="27">
        <v>3.2548184716220556E-2</v>
      </c>
      <c r="Q8247" s="28">
        <f t="shared" si="132"/>
        <v>3.5548184716220559E-2</v>
      </c>
      <c r="R8247" s="33">
        <v>0.16282860775771735</v>
      </c>
      <c r="S8247" s="34">
        <v>5.9150000000000001E-2</v>
      </c>
    </row>
    <row r="8248" spans="16:19" x14ac:dyDescent="0.25">
      <c r="P8248" s="27">
        <v>3.2548184716220556E-2</v>
      </c>
      <c r="Q8248" s="28">
        <f t="shared" si="132"/>
        <v>3.5548184716220559E-2</v>
      </c>
      <c r="R8248" s="33">
        <v>0.16282860775771735</v>
      </c>
      <c r="S8248" s="34">
        <v>5.5E-2</v>
      </c>
    </row>
    <row r="8249" spans="16:19" x14ac:dyDescent="0.25">
      <c r="P8249" s="27">
        <v>3.2548184716220556E-2</v>
      </c>
      <c r="Q8249" s="28">
        <f t="shared" si="132"/>
        <v>3.5548184716220559E-2</v>
      </c>
      <c r="R8249" s="33">
        <v>0.16282860775771735</v>
      </c>
      <c r="S8249" s="34">
        <v>5.5715829999999994E-2</v>
      </c>
    </row>
    <row r="8250" spans="16:19" x14ac:dyDescent="0.25">
      <c r="P8250" s="27">
        <v>3.2548184716220556E-2</v>
      </c>
      <c r="Q8250" s="28">
        <f t="shared" si="132"/>
        <v>3.5548184716220559E-2</v>
      </c>
      <c r="R8250" s="33">
        <v>0.16282860775771735</v>
      </c>
      <c r="S8250" s="34">
        <v>5.9789999999999996E-2</v>
      </c>
    </row>
    <row r="8251" spans="16:19" x14ac:dyDescent="0.25">
      <c r="P8251" s="27">
        <v>3.2548184716220556E-2</v>
      </c>
      <c r="Q8251" s="28">
        <f t="shared" si="132"/>
        <v>3.5548184716220559E-2</v>
      </c>
      <c r="R8251" s="33">
        <v>0.16282860775771735</v>
      </c>
      <c r="S8251" s="34">
        <v>6.2509999999999996E-2</v>
      </c>
    </row>
    <row r="8252" spans="16:19" x14ac:dyDescent="0.25">
      <c r="P8252" s="27">
        <v>3.2548184716220556E-2</v>
      </c>
      <c r="Q8252" s="28">
        <f t="shared" si="132"/>
        <v>3.5548184716220559E-2</v>
      </c>
      <c r="R8252" s="33">
        <v>0.16282860775771735</v>
      </c>
      <c r="S8252" s="34">
        <v>7.1875635000000007E-2</v>
      </c>
    </row>
    <row r="8253" spans="16:19" x14ac:dyDescent="0.25">
      <c r="P8253" s="27">
        <v>3.2548184716220556E-2</v>
      </c>
      <c r="Q8253" s="28">
        <f t="shared" si="132"/>
        <v>3.5548184716220559E-2</v>
      </c>
      <c r="R8253" s="33">
        <v>0.16282860775771735</v>
      </c>
      <c r="S8253" s="34">
        <v>7.7010000000000009E-2</v>
      </c>
    </row>
    <row r="8254" spans="16:19" x14ac:dyDescent="0.25">
      <c r="P8254" s="27">
        <v>3.2548184716220556E-2</v>
      </c>
      <c r="Q8254" s="28">
        <f t="shared" si="132"/>
        <v>3.5548184716220559E-2</v>
      </c>
      <c r="R8254" s="33">
        <v>0.16282860775771735</v>
      </c>
      <c r="S8254" s="34">
        <v>6.6500000000000004E-2</v>
      </c>
    </row>
    <row r="8255" spans="16:19" x14ac:dyDescent="0.25">
      <c r="P8255" s="27">
        <v>3.2548184716220556E-2</v>
      </c>
      <c r="Q8255" s="28">
        <f t="shared" si="132"/>
        <v>3.5548184716220559E-2</v>
      </c>
      <c r="R8255" s="31">
        <v>0.15939660775771733</v>
      </c>
      <c r="S8255" s="32">
        <v>6.089E-2</v>
      </c>
    </row>
    <row r="8256" spans="16:19" x14ac:dyDescent="0.25">
      <c r="P8256" s="27">
        <v>3.2548184716220556E-2</v>
      </c>
      <c r="Q8256" s="28">
        <f t="shared" si="132"/>
        <v>3.5548184716220559E-2</v>
      </c>
      <c r="R8256" s="31">
        <v>0.15939660775771733</v>
      </c>
      <c r="S8256" s="32">
        <v>5.74E-2</v>
      </c>
    </row>
    <row r="8257" spans="16:19" x14ac:dyDescent="0.25">
      <c r="P8257" s="27">
        <v>3.2548184716220556E-2</v>
      </c>
      <c r="Q8257" s="28">
        <f t="shared" si="132"/>
        <v>3.5548184716220559E-2</v>
      </c>
      <c r="R8257" s="31">
        <v>0.15939660775771733</v>
      </c>
      <c r="S8257" s="32">
        <v>5.3780000000000001E-2</v>
      </c>
    </row>
    <row r="8258" spans="16:19" x14ac:dyDescent="0.25">
      <c r="P8258" s="27">
        <v>3.2548184716220556E-2</v>
      </c>
      <c r="Q8258" s="28">
        <f t="shared" si="132"/>
        <v>3.5548184716220559E-2</v>
      </c>
      <c r="R8258" s="31">
        <v>0.15939660775771733</v>
      </c>
      <c r="S8258" s="32">
        <v>5.0999999999999997E-2</v>
      </c>
    </row>
    <row r="8259" spans="16:19" x14ac:dyDescent="0.25">
      <c r="P8259" s="27">
        <v>3.2548184716220556E-2</v>
      </c>
      <c r="Q8259" s="28">
        <f t="shared" si="132"/>
        <v>3.5548184716220559E-2</v>
      </c>
      <c r="R8259" s="29">
        <v>0.15003660775771735</v>
      </c>
      <c r="S8259" s="30">
        <v>4.999E-2</v>
      </c>
    </row>
    <row r="8260" spans="16:19" x14ac:dyDescent="0.25">
      <c r="P8260" s="27">
        <v>3.2548184716220556E-2</v>
      </c>
      <c r="Q8260" s="28">
        <f t="shared" si="132"/>
        <v>3.5548184716220559E-2</v>
      </c>
      <c r="R8260" s="29">
        <v>0.15003660775771735</v>
      </c>
      <c r="S8260" s="30">
        <v>4.6990000000000004E-2</v>
      </c>
    </row>
    <row r="8261" spans="16:19" x14ac:dyDescent="0.25">
      <c r="P8261" s="27">
        <v>3.2548184716220556E-2</v>
      </c>
      <c r="Q8261" s="28">
        <f t="shared" ref="Q8261:Q8324" si="133">P8261+0.003</f>
        <v>3.5548184716220559E-2</v>
      </c>
      <c r="R8261" s="29">
        <v>0.15003660775771735</v>
      </c>
      <c r="S8261" s="30">
        <v>4.3529999999999999E-2</v>
      </c>
    </row>
    <row r="8262" spans="16:19" x14ac:dyDescent="0.25">
      <c r="P8262" s="27">
        <v>3.2548184716220556E-2</v>
      </c>
      <c r="Q8262" s="28">
        <f t="shared" si="133"/>
        <v>3.5548184716220559E-2</v>
      </c>
      <c r="R8262" s="29">
        <v>0.15003660775771735</v>
      </c>
      <c r="S8262" s="30">
        <v>4.0039999999999999E-2</v>
      </c>
    </row>
    <row r="8263" spans="16:19" x14ac:dyDescent="0.25">
      <c r="P8263" s="27">
        <v>3.2548184716220556E-2</v>
      </c>
      <c r="Q8263" s="28">
        <f t="shared" si="133"/>
        <v>3.5548184716220559E-2</v>
      </c>
      <c r="R8263" s="29">
        <v>0.15003660775771735</v>
      </c>
      <c r="S8263" s="30">
        <v>3.6969999999999996E-2</v>
      </c>
    </row>
    <row r="8264" spans="16:19" x14ac:dyDescent="0.25">
      <c r="P8264" s="27">
        <v>3.2548184716220556E-2</v>
      </c>
      <c r="Q8264" s="28">
        <f t="shared" si="133"/>
        <v>3.5548184716220559E-2</v>
      </c>
      <c r="R8264" s="29">
        <v>0.15003660775771735</v>
      </c>
      <c r="S8264" s="30">
        <v>3.6969999999999996E-2</v>
      </c>
    </row>
    <row r="8265" spans="16:19" x14ac:dyDescent="0.25">
      <c r="P8265" s="27">
        <v>3.2548184716220556E-2</v>
      </c>
      <c r="Q8265" s="28">
        <f t="shared" si="133"/>
        <v>3.5548184716220559E-2</v>
      </c>
      <c r="R8265" s="29">
        <v>0.15003660775771735</v>
      </c>
      <c r="S8265" s="30">
        <v>4.1950000000000001E-2</v>
      </c>
    </row>
    <row r="8266" spans="16:19" x14ac:dyDescent="0.25">
      <c r="P8266" s="27">
        <v>3.2548184716220556E-2</v>
      </c>
      <c r="Q8266" s="28">
        <f t="shared" si="133"/>
        <v>3.5548184716220559E-2</v>
      </c>
      <c r="R8266" s="29">
        <v>0.15003660775771735</v>
      </c>
      <c r="S8266" s="30">
        <v>5.5299999999999995E-2</v>
      </c>
    </row>
    <row r="8267" spans="16:19" x14ac:dyDescent="0.25">
      <c r="P8267" s="27">
        <v>3.2548184716220556E-2</v>
      </c>
      <c r="Q8267" s="28">
        <f t="shared" si="133"/>
        <v>3.5548184716220559E-2</v>
      </c>
      <c r="R8267" s="31">
        <v>0.15939660775771733</v>
      </c>
      <c r="S8267" s="32">
        <v>6.2490000000000004E-2</v>
      </c>
    </row>
    <row r="8268" spans="16:19" x14ac:dyDescent="0.25">
      <c r="P8268" s="27">
        <v>3.2548184716220556E-2</v>
      </c>
      <c r="Q8268" s="28">
        <f t="shared" si="133"/>
        <v>3.5548184716220559E-2</v>
      </c>
      <c r="R8268" s="33">
        <v>0.16282860775771735</v>
      </c>
      <c r="S8268" s="34">
        <v>6.9949999999999998E-2</v>
      </c>
    </row>
    <row r="8269" spans="16:19" x14ac:dyDescent="0.25">
      <c r="P8269" s="27">
        <v>3.2548184716220556E-2</v>
      </c>
      <c r="Q8269" s="28">
        <f t="shared" si="133"/>
        <v>3.5548184716220559E-2</v>
      </c>
      <c r="R8269" s="33">
        <v>0.16282860775771735</v>
      </c>
      <c r="S8269" s="34">
        <v>7.399E-2</v>
      </c>
    </row>
    <row r="8270" spans="16:19" x14ac:dyDescent="0.25">
      <c r="P8270" s="27">
        <v>3.2548184716220556E-2</v>
      </c>
      <c r="Q8270" s="28">
        <f t="shared" si="133"/>
        <v>3.5548184716220559E-2</v>
      </c>
      <c r="R8270" s="33">
        <v>0.16282860775771735</v>
      </c>
      <c r="S8270" s="34">
        <v>6.5843988999999992E-2</v>
      </c>
    </row>
    <row r="8271" spans="16:19" x14ac:dyDescent="0.25">
      <c r="P8271" s="27">
        <v>3.2548184716220556E-2</v>
      </c>
      <c r="Q8271" s="28">
        <f t="shared" si="133"/>
        <v>3.5548184716220559E-2</v>
      </c>
      <c r="R8271" s="33">
        <v>0.16282860775771735</v>
      </c>
      <c r="S8271" s="34">
        <v>6.2710000000000002E-2</v>
      </c>
    </row>
    <row r="8272" spans="16:19" x14ac:dyDescent="0.25">
      <c r="P8272" s="27">
        <v>3.2548184716220556E-2</v>
      </c>
      <c r="Q8272" s="28">
        <f t="shared" si="133"/>
        <v>3.5548184716220559E-2</v>
      </c>
      <c r="R8272" s="33">
        <v>0.16282860775771735</v>
      </c>
      <c r="S8272" s="34">
        <v>5.6250000000000001E-2</v>
      </c>
    </row>
    <row r="8273" spans="16:19" x14ac:dyDescent="0.25">
      <c r="P8273" s="27">
        <v>3.2548184716220556E-2</v>
      </c>
      <c r="Q8273" s="28">
        <f t="shared" si="133"/>
        <v>3.5548184716220559E-2</v>
      </c>
      <c r="R8273" s="33">
        <v>0.16282860775771735</v>
      </c>
      <c r="S8273" s="34">
        <v>5.6960000000000004E-2</v>
      </c>
    </row>
    <row r="8274" spans="16:19" x14ac:dyDescent="0.25">
      <c r="P8274" s="27">
        <v>3.2548184716220556E-2</v>
      </c>
      <c r="Q8274" s="28">
        <f t="shared" si="133"/>
        <v>3.5548184716220559E-2</v>
      </c>
      <c r="R8274" s="33">
        <v>0.16282860775771735</v>
      </c>
      <c r="S8274" s="34">
        <v>6.3840000000000008E-2</v>
      </c>
    </row>
    <row r="8275" spans="16:19" x14ac:dyDescent="0.25">
      <c r="P8275" s="27">
        <v>3.2548184716220556E-2</v>
      </c>
      <c r="Q8275" s="28">
        <f t="shared" si="133"/>
        <v>3.5548184716220559E-2</v>
      </c>
      <c r="R8275" s="33">
        <v>0.16282860775771735</v>
      </c>
      <c r="S8275" s="34">
        <v>6.6000000000000003E-2</v>
      </c>
    </row>
    <row r="8276" spans="16:19" x14ac:dyDescent="0.25">
      <c r="P8276" s="27">
        <v>3.2548184716220556E-2</v>
      </c>
      <c r="Q8276" s="28">
        <f t="shared" si="133"/>
        <v>3.5548184716220559E-2</v>
      </c>
      <c r="R8276" s="33">
        <v>0.16282860775771735</v>
      </c>
      <c r="S8276" s="34">
        <v>7.6319999999999999E-2</v>
      </c>
    </row>
    <row r="8277" spans="16:19" x14ac:dyDescent="0.25">
      <c r="P8277" s="27">
        <v>3.2548184716220556E-2</v>
      </c>
      <c r="Q8277" s="28">
        <f t="shared" si="133"/>
        <v>3.5548184716220559E-2</v>
      </c>
      <c r="R8277" s="33">
        <v>0.16282860775771735</v>
      </c>
      <c r="S8277" s="34">
        <v>8.9639999999999997E-2</v>
      </c>
    </row>
    <row r="8278" spans="16:19" x14ac:dyDescent="0.25">
      <c r="P8278" s="27">
        <v>3.2548184716220556E-2</v>
      </c>
      <c r="Q8278" s="28">
        <f t="shared" si="133"/>
        <v>3.5548184716220559E-2</v>
      </c>
      <c r="R8278" s="33">
        <v>0.16282860775771735</v>
      </c>
      <c r="S8278" s="34">
        <v>7.4999999999999997E-2</v>
      </c>
    </row>
    <row r="8279" spans="16:19" x14ac:dyDescent="0.25">
      <c r="P8279" s="27">
        <v>3.2548184716220556E-2</v>
      </c>
      <c r="Q8279" s="28">
        <f t="shared" si="133"/>
        <v>3.5548184716220559E-2</v>
      </c>
      <c r="R8279" s="31">
        <v>0.15939660775771733</v>
      </c>
      <c r="S8279" s="32">
        <v>6.5189999999999998E-2</v>
      </c>
    </row>
    <row r="8280" spans="16:19" x14ac:dyDescent="0.25">
      <c r="P8280" s="27">
        <v>3.2548184716220556E-2</v>
      </c>
      <c r="Q8280" s="28">
        <f t="shared" si="133"/>
        <v>3.5548184716220559E-2</v>
      </c>
      <c r="R8280" s="31">
        <v>0.15939660775771733</v>
      </c>
      <c r="S8280" s="32">
        <v>6.1710000000000001E-2</v>
      </c>
    </row>
    <row r="8281" spans="16:19" x14ac:dyDescent="0.25">
      <c r="P8281" s="27">
        <v>3.2548184716220556E-2</v>
      </c>
      <c r="Q8281" s="28">
        <f t="shared" si="133"/>
        <v>3.5548184716220559E-2</v>
      </c>
      <c r="R8281" s="31">
        <v>0.15939660775771733</v>
      </c>
      <c r="S8281" s="32">
        <v>5.6500000000000002E-2</v>
      </c>
    </row>
    <row r="8282" spans="16:19" x14ac:dyDescent="0.25">
      <c r="P8282" s="27">
        <v>3.2548184716220556E-2</v>
      </c>
      <c r="Q8282" s="28">
        <f t="shared" si="133"/>
        <v>3.5548184716220559E-2</v>
      </c>
      <c r="R8282" s="31">
        <v>0.15939660775771733</v>
      </c>
      <c r="S8282" s="32">
        <v>5.1999999999999998E-2</v>
      </c>
    </row>
    <row r="8283" spans="16:19" x14ac:dyDescent="0.25">
      <c r="P8283" s="27">
        <v>3.2548184716220556E-2</v>
      </c>
      <c r="Q8283" s="28">
        <f t="shared" si="133"/>
        <v>3.5548184716220559E-2</v>
      </c>
      <c r="R8283" s="29">
        <v>0.15003660775771735</v>
      </c>
      <c r="S8283" s="30">
        <v>4.999E-2</v>
      </c>
    </row>
    <row r="8284" spans="16:19" x14ac:dyDescent="0.25">
      <c r="P8284" s="27">
        <v>3.2548184716220556E-2</v>
      </c>
      <c r="Q8284" s="28">
        <f t="shared" si="133"/>
        <v>3.5548184716220559E-2</v>
      </c>
      <c r="R8284" s="29">
        <v>0.15003660775771735</v>
      </c>
      <c r="S8284" s="30">
        <v>5.0990000000000001E-2</v>
      </c>
    </row>
    <row r="8285" spans="16:19" x14ac:dyDescent="0.25">
      <c r="P8285" s="27">
        <v>3.2548184716220556E-2</v>
      </c>
      <c r="Q8285" s="28">
        <f t="shared" si="133"/>
        <v>3.5548184716220559E-2</v>
      </c>
      <c r="R8285" s="29">
        <v>0.15003660775771735</v>
      </c>
      <c r="S8285" s="30">
        <v>4.4999999999999998E-2</v>
      </c>
    </row>
    <row r="8286" spans="16:19" x14ac:dyDescent="0.25">
      <c r="P8286" s="27">
        <v>3.2548184716220556E-2</v>
      </c>
      <c r="Q8286" s="28">
        <f t="shared" si="133"/>
        <v>3.5548184716220559E-2</v>
      </c>
      <c r="R8286" s="29">
        <v>0.15003660775771735</v>
      </c>
      <c r="S8286" s="30">
        <v>4.1000000000000002E-2</v>
      </c>
    </row>
    <row r="8287" spans="16:19" x14ac:dyDescent="0.25">
      <c r="P8287" s="27">
        <v>3.2548184716220556E-2</v>
      </c>
      <c r="Q8287" s="28">
        <f t="shared" si="133"/>
        <v>3.5548184716220559E-2</v>
      </c>
      <c r="R8287" s="29">
        <v>0.15003660775771735</v>
      </c>
      <c r="S8287" s="30">
        <v>3.8060000000000004E-2</v>
      </c>
    </row>
    <row r="8288" spans="16:19" x14ac:dyDescent="0.25">
      <c r="P8288" s="27">
        <v>3.2548184716220556E-2</v>
      </c>
      <c r="Q8288" s="28">
        <f t="shared" si="133"/>
        <v>3.5548184716220559E-2</v>
      </c>
      <c r="R8288" s="29">
        <v>0.15003660775771735</v>
      </c>
      <c r="S8288" s="30">
        <v>3.7929999999999998E-2</v>
      </c>
    </row>
    <row r="8289" spans="16:19" x14ac:dyDescent="0.25">
      <c r="P8289" s="27">
        <v>3.2548184716220556E-2</v>
      </c>
      <c r="Q8289" s="28">
        <f t="shared" si="133"/>
        <v>3.5548184716220559E-2</v>
      </c>
      <c r="R8289" s="29">
        <v>0.15003660775771735</v>
      </c>
      <c r="S8289" s="30">
        <v>4.3529999999999999E-2</v>
      </c>
    </row>
    <row r="8290" spans="16:19" x14ac:dyDescent="0.25">
      <c r="P8290" s="27">
        <v>3.2548184716220556E-2</v>
      </c>
      <c r="Q8290" s="28">
        <f t="shared" si="133"/>
        <v>3.5548184716220559E-2</v>
      </c>
      <c r="R8290" s="29">
        <v>0.15003660775771735</v>
      </c>
      <c r="S8290" s="30">
        <v>5.3766187E-2</v>
      </c>
    </row>
    <row r="8291" spans="16:19" x14ac:dyDescent="0.25">
      <c r="P8291" s="27">
        <v>3.2548184716220556E-2</v>
      </c>
      <c r="Q8291" s="28">
        <f t="shared" si="133"/>
        <v>3.5548184716220559E-2</v>
      </c>
      <c r="R8291" s="31">
        <v>0.15939660775771733</v>
      </c>
      <c r="S8291" s="32">
        <v>6.3E-2</v>
      </c>
    </row>
    <row r="8292" spans="16:19" x14ac:dyDescent="0.25">
      <c r="P8292" s="27">
        <v>3.2548184716220556E-2</v>
      </c>
      <c r="Q8292" s="28">
        <f t="shared" si="133"/>
        <v>3.5548184716220559E-2</v>
      </c>
      <c r="R8292" s="33">
        <v>0.16282860775771735</v>
      </c>
      <c r="S8292" s="34">
        <v>7.1849999999999997E-2</v>
      </c>
    </row>
    <row r="8293" spans="16:19" x14ac:dyDescent="0.25">
      <c r="P8293" s="27">
        <v>3.2548184716220556E-2</v>
      </c>
      <c r="Q8293" s="28">
        <f t="shared" si="133"/>
        <v>3.5548184716220559E-2</v>
      </c>
      <c r="R8293" s="33">
        <v>0.16282860775771735</v>
      </c>
      <c r="S8293" s="34">
        <v>7.1144181000000001E-2</v>
      </c>
    </row>
    <row r="8294" spans="16:19" x14ac:dyDescent="0.25">
      <c r="P8294" s="27">
        <v>3.2548184716220556E-2</v>
      </c>
      <c r="Q8294" s="28">
        <f t="shared" si="133"/>
        <v>3.5548184716220559E-2</v>
      </c>
      <c r="R8294" s="33">
        <v>0.16282860775771735</v>
      </c>
      <c r="S8294" s="34">
        <v>6.2700000000000006E-2</v>
      </c>
    </row>
    <row r="8295" spans="16:19" x14ac:dyDescent="0.25">
      <c r="P8295" s="27">
        <v>3.2548184716220556E-2</v>
      </c>
      <c r="Q8295" s="28">
        <f t="shared" si="133"/>
        <v>3.5548184716220559E-2</v>
      </c>
      <c r="R8295" s="33">
        <v>0.16282860775771735</v>
      </c>
      <c r="S8295" s="34">
        <v>6.0440000000000001E-2</v>
      </c>
    </row>
    <row r="8296" spans="16:19" x14ac:dyDescent="0.25">
      <c r="P8296" s="27">
        <v>3.2548184716220556E-2</v>
      </c>
      <c r="Q8296" s="28">
        <f t="shared" si="133"/>
        <v>3.5548184716220559E-2</v>
      </c>
      <c r="R8296" s="33">
        <v>0.16282860775771735</v>
      </c>
      <c r="S8296" s="34">
        <v>5.5740000000000005E-2</v>
      </c>
    </row>
    <row r="8297" spans="16:19" x14ac:dyDescent="0.25">
      <c r="P8297" s="27">
        <v>3.2548184716220556E-2</v>
      </c>
      <c r="Q8297" s="28">
        <f t="shared" si="133"/>
        <v>3.5548184716220559E-2</v>
      </c>
      <c r="R8297" s="33">
        <v>0.16282860775771735</v>
      </c>
      <c r="S8297" s="34">
        <v>5.6509999999999998E-2</v>
      </c>
    </row>
    <row r="8298" spans="16:19" x14ac:dyDescent="0.25">
      <c r="P8298" s="27">
        <v>3.2548184716220556E-2</v>
      </c>
      <c r="Q8298" s="28">
        <f t="shared" si="133"/>
        <v>3.5548184716220559E-2</v>
      </c>
      <c r="R8298" s="33">
        <v>0.16282860775771735</v>
      </c>
      <c r="S8298" s="34">
        <v>6.3229999999999995E-2</v>
      </c>
    </row>
    <row r="8299" spans="16:19" x14ac:dyDescent="0.25">
      <c r="P8299" s="27">
        <v>3.2548184716220556E-2</v>
      </c>
      <c r="Q8299" s="28">
        <f t="shared" si="133"/>
        <v>3.5548184716220559E-2</v>
      </c>
      <c r="R8299" s="33">
        <v>0.16282860775771735</v>
      </c>
      <c r="S8299" s="34">
        <v>6.93E-2</v>
      </c>
    </row>
    <row r="8300" spans="16:19" x14ac:dyDescent="0.25">
      <c r="P8300" s="27">
        <v>3.2548184716220556E-2</v>
      </c>
      <c r="Q8300" s="28">
        <f t="shared" si="133"/>
        <v>3.5548184716220559E-2</v>
      </c>
      <c r="R8300" s="33">
        <v>0.16282860775771735</v>
      </c>
      <c r="S8300" s="34">
        <v>7.7793840000000003E-2</v>
      </c>
    </row>
    <row r="8301" spans="16:19" x14ac:dyDescent="0.25">
      <c r="P8301" s="27">
        <v>3.2548184716220556E-2</v>
      </c>
      <c r="Q8301" s="28">
        <f t="shared" si="133"/>
        <v>3.5548184716220559E-2</v>
      </c>
      <c r="R8301" s="33">
        <v>0.16282860775771735</v>
      </c>
      <c r="S8301" s="34">
        <v>9.1299999999999992E-2</v>
      </c>
    </row>
    <row r="8302" spans="16:19" x14ac:dyDescent="0.25">
      <c r="P8302" s="27">
        <v>3.2548184716220556E-2</v>
      </c>
      <c r="Q8302" s="28">
        <f t="shared" si="133"/>
        <v>3.5548184716220559E-2</v>
      </c>
      <c r="R8302" s="33">
        <v>0.16282860775771735</v>
      </c>
      <c r="S8302" s="34">
        <v>7.51E-2</v>
      </c>
    </row>
    <row r="8303" spans="16:19" x14ac:dyDescent="0.25">
      <c r="P8303" s="27">
        <v>3.2548184716220556E-2</v>
      </c>
      <c r="Q8303" s="28">
        <f t="shared" si="133"/>
        <v>3.5548184716220559E-2</v>
      </c>
      <c r="R8303" s="31">
        <v>0.15939660775771733</v>
      </c>
      <c r="S8303" s="32">
        <v>6.5290000000000001E-2</v>
      </c>
    </row>
    <row r="8304" spans="16:19" x14ac:dyDescent="0.25">
      <c r="P8304" s="27">
        <v>3.2548184716220556E-2</v>
      </c>
      <c r="Q8304" s="28">
        <f t="shared" si="133"/>
        <v>3.5548184716220559E-2</v>
      </c>
      <c r="R8304" s="31">
        <v>0.15939660775771733</v>
      </c>
      <c r="S8304" s="32">
        <v>6.0770000000000005E-2</v>
      </c>
    </row>
    <row r="8305" spans="16:19" x14ac:dyDescent="0.25">
      <c r="P8305" s="27">
        <v>3.2548184716220556E-2</v>
      </c>
      <c r="Q8305" s="28">
        <f t="shared" si="133"/>
        <v>3.5548184716220559E-2</v>
      </c>
      <c r="R8305" s="31">
        <v>0.15939660775771733</v>
      </c>
      <c r="S8305" s="32">
        <v>5.7070000000000003E-2</v>
      </c>
    </row>
    <row r="8306" spans="16:19" x14ac:dyDescent="0.25">
      <c r="P8306" s="27">
        <v>3.2548184716220556E-2</v>
      </c>
      <c r="Q8306" s="28">
        <f t="shared" si="133"/>
        <v>3.5548184716220559E-2</v>
      </c>
      <c r="R8306" s="31">
        <v>0.15939660775771733</v>
      </c>
      <c r="S8306" s="32">
        <v>5.6500000000000002E-2</v>
      </c>
    </row>
    <row r="8307" spans="16:19" x14ac:dyDescent="0.25">
      <c r="P8307" s="27">
        <v>3.2548184716220556E-2</v>
      </c>
      <c r="Q8307" s="28">
        <f t="shared" si="133"/>
        <v>3.5548184716220559E-2</v>
      </c>
      <c r="R8307" s="29">
        <v>0.15003660775771735</v>
      </c>
      <c r="S8307" s="30">
        <v>5.1959999999999999E-2</v>
      </c>
    </row>
    <row r="8308" spans="16:19" x14ac:dyDescent="0.25">
      <c r="P8308" s="27">
        <v>3.2548184716220556E-2</v>
      </c>
      <c r="Q8308" s="28">
        <f t="shared" si="133"/>
        <v>3.5548184716220559E-2</v>
      </c>
      <c r="R8308" s="29">
        <v>0.15003660775771735</v>
      </c>
      <c r="S8308" s="30">
        <v>4.999E-2</v>
      </c>
    </row>
    <row r="8309" spans="16:19" x14ac:dyDescent="0.25">
      <c r="P8309" s="27">
        <v>3.2548184716220556E-2</v>
      </c>
      <c r="Q8309" s="28">
        <f t="shared" si="133"/>
        <v>3.5548184716220559E-2</v>
      </c>
      <c r="R8309" s="29">
        <v>0.15003660775771735</v>
      </c>
      <c r="S8309" s="30">
        <v>4.3490000000000001E-2</v>
      </c>
    </row>
    <row r="8310" spans="16:19" x14ac:dyDescent="0.25">
      <c r="P8310" s="27">
        <v>3.2548184716220556E-2</v>
      </c>
      <c r="Q8310" s="28">
        <f t="shared" si="133"/>
        <v>3.5548184716220559E-2</v>
      </c>
      <c r="R8310" s="29">
        <v>0.15003660775771735</v>
      </c>
      <c r="S8310" s="30">
        <v>3.9949999999999999E-2</v>
      </c>
    </row>
    <row r="8311" spans="16:19" x14ac:dyDescent="0.25">
      <c r="P8311" s="27">
        <v>3.2548184716220556E-2</v>
      </c>
      <c r="Q8311" s="28">
        <f t="shared" si="133"/>
        <v>3.5548184716220559E-2</v>
      </c>
      <c r="R8311" s="29">
        <v>0.15003660775771735</v>
      </c>
      <c r="S8311" s="30">
        <v>3.567E-2</v>
      </c>
    </row>
    <row r="8312" spans="16:19" x14ac:dyDescent="0.25">
      <c r="P8312" s="27">
        <v>3.2548184716220556E-2</v>
      </c>
      <c r="Q8312" s="28">
        <f t="shared" si="133"/>
        <v>3.5548184716220559E-2</v>
      </c>
      <c r="R8312" s="29">
        <v>0.15003660775771735</v>
      </c>
      <c r="S8312" s="30">
        <v>3.4000000000000002E-2</v>
      </c>
    </row>
    <row r="8313" spans="16:19" x14ac:dyDescent="0.25">
      <c r="P8313" s="27">
        <v>3.2548184716220556E-2</v>
      </c>
      <c r="Q8313" s="28">
        <f t="shared" si="133"/>
        <v>3.5548184716220559E-2</v>
      </c>
      <c r="R8313" s="29">
        <v>0.15003660775771735</v>
      </c>
      <c r="S8313" s="30">
        <v>3.8359999999999998E-2</v>
      </c>
    </row>
    <row r="8314" spans="16:19" x14ac:dyDescent="0.25">
      <c r="P8314" s="27">
        <v>3.2548184716220556E-2</v>
      </c>
      <c r="Q8314" s="28">
        <f t="shared" si="133"/>
        <v>3.5548184716220559E-2</v>
      </c>
      <c r="R8314" s="29">
        <v>0.15003660775771735</v>
      </c>
      <c r="S8314" s="30">
        <v>4.8000000000000001E-2</v>
      </c>
    </row>
    <row r="8315" spans="16:19" x14ac:dyDescent="0.25">
      <c r="P8315" s="27">
        <v>3.2548184716220556E-2</v>
      </c>
      <c r="Q8315" s="28">
        <f t="shared" si="133"/>
        <v>3.5548184716220559E-2</v>
      </c>
      <c r="R8315" s="31">
        <v>0.15939660775771733</v>
      </c>
      <c r="S8315" s="32">
        <v>5.8610000000000002E-2</v>
      </c>
    </row>
    <row r="8316" spans="16:19" x14ac:dyDescent="0.25">
      <c r="P8316" s="27">
        <v>3.2548184716220556E-2</v>
      </c>
      <c r="Q8316" s="28">
        <f t="shared" si="133"/>
        <v>3.5548184716220559E-2</v>
      </c>
      <c r="R8316" s="33">
        <v>0.16282860775771735</v>
      </c>
      <c r="S8316" s="34">
        <v>0.06</v>
      </c>
    </row>
    <row r="8317" spans="16:19" x14ac:dyDescent="0.25">
      <c r="P8317" s="27">
        <v>3.2548184716220556E-2</v>
      </c>
      <c r="Q8317" s="28">
        <f t="shared" si="133"/>
        <v>3.5548184716220559E-2</v>
      </c>
      <c r="R8317" s="33">
        <v>0.16282860775771735</v>
      </c>
      <c r="S8317" s="34">
        <v>6.6099999999999992E-2</v>
      </c>
    </row>
    <row r="8318" spans="16:19" x14ac:dyDescent="0.25">
      <c r="P8318" s="27">
        <v>3.2548184716220556E-2</v>
      </c>
      <c r="Q8318" s="28">
        <f t="shared" si="133"/>
        <v>3.5548184716220559E-2</v>
      </c>
      <c r="R8318" s="33">
        <v>0.16282860775771735</v>
      </c>
      <c r="S8318" s="34">
        <v>5.8700000000000002E-2</v>
      </c>
    </row>
    <row r="8319" spans="16:19" x14ac:dyDescent="0.25">
      <c r="P8319" s="27">
        <v>3.2548184716220556E-2</v>
      </c>
      <c r="Q8319" s="28">
        <f t="shared" si="133"/>
        <v>3.5548184716220559E-2</v>
      </c>
      <c r="R8319" s="33">
        <v>0.16282860775771735</v>
      </c>
      <c r="S8319" s="34">
        <v>5.5740000000000005E-2</v>
      </c>
    </row>
    <row r="8320" spans="16:19" x14ac:dyDescent="0.25">
      <c r="P8320" s="27">
        <v>3.2548184716220556E-2</v>
      </c>
      <c r="Q8320" s="28">
        <f t="shared" si="133"/>
        <v>3.5548184716220559E-2</v>
      </c>
      <c r="R8320" s="33">
        <v>0.16282860775771735</v>
      </c>
      <c r="S8320" s="34">
        <v>5.2819999999999999E-2</v>
      </c>
    </row>
    <row r="8321" spans="16:19" x14ac:dyDescent="0.25">
      <c r="P8321" s="27">
        <v>3.2548184716220556E-2</v>
      </c>
      <c r="Q8321" s="28">
        <f t="shared" si="133"/>
        <v>3.5548184716220559E-2</v>
      </c>
      <c r="R8321" s="33">
        <v>0.16282860775771735</v>
      </c>
      <c r="S8321" s="34">
        <v>5.0990000000000001E-2</v>
      </c>
    </row>
    <row r="8322" spans="16:19" x14ac:dyDescent="0.25">
      <c r="P8322" s="27">
        <v>3.2548184716220556E-2</v>
      </c>
      <c r="Q8322" s="28">
        <f t="shared" si="133"/>
        <v>3.5548184716220559E-2</v>
      </c>
      <c r="R8322" s="33">
        <v>0.16282860775771735</v>
      </c>
      <c r="S8322" s="34">
        <v>5.3939999999999995E-2</v>
      </c>
    </row>
    <row r="8323" spans="16:19" x14ac:dyDescent="0.25">
      <c r="P8323" s="27">
        <v>3.2548184716220556E-2</v>
      </c>
      <c r="Q8323" s="28">
        <f t="shared" si="133"/>
        <v>3.5548184716220559E-2</v>
      </c>
      <c r="R8323" s="33">
        <v>0.16282860775771735</v>
      </c>
      <c r="S8323" s="34">
        <v>5.953E-2</v>
      </c>
    </row>
    <row r="8324" spans="16:19" x14ac:dyDescent="0.25">
      <c r="P8324" s="27">
        <v>3.2548184716220556E-2</v>
      </c>
      <c r="Q8324" s="28">
        <f t="shared" si="133"/>
        <v>3.5548184716220559E-2</v>
      </c>
      <c r="R8324" s="33">
        <v>0.16282860775771735</v>
      </c>
      <c r="S8324" s="34">
        <v>6.3E-2</v>
      </c>
    </row>
    <row r="8325" spans="16:19" x14ac:dyDescent="0.25">
      <c r="P8325" s="27">
        <v>3.2548184716220556E-2</v>
      </c>
      <c r="Q8325" s="28">
        <f t="shared" ref="Q8325:Q8388" si="134">P8325+0.003</f>
        <v>3.5548184716220559E-2</v>
      </c>
      <c r="R8325" s="33">
        <v>0.16282860775771735</v>
      </c>
      <c r="S8325" s="34">
        <v>8.1599999999999992E-2</v>
      </c>
    </row>
    <row r="8326" spans="16:19" x14ac:dyDescent="0.25">
      <c r="P8326" s="27">
        <v>3.2548184716220556E-2</v>
      </c>
      <c r="Q8326" s="28">
        <f t="shared" si="134"/>
        <v>3.5548184716220559E-2</v>
      </c>
      <c r="R8326" s="33">
        <v>0.16282860775771735</v>
      </c>
      <c r="S8326" s="34">
        <v>7.4230000000000004E-2</v>
      </c>
    </row>
    <row r="8327" spans="16:19" x14ac:dyDescent="0.25">
      <c r="P8327" s="27">
        <v>3.2548184716220556E-2</v>
      </c>
      <c r="Q8327" s="28">
        <f t="shared" si="134"/>
        <v>3.5548184716220559E-2</v>
      </c>
      <c r="R8327" s="31">
        <v>0.15939660775771733</v>
      </c>
      <c r="S8327" s="32">
        <v>6.8000000000000005E-2</v>
      </c>
    </row>
    <row r="8328" spans="16:19" x14ac:dyDescent="0.25">
      <c r="P8328" s="27">
        <v>3.2548184716220556E-2</v>
      </c>
      <c r="Q8328" s="28">
        <f t="shared" si="134"/>
        <v>3.5548184716220559E-2</v>
      </c>
      <c r="R8328" s="31">
        <v>0.15939660775771733</v>
      </c>
      <c r="S8328" s="32">
        <v>5.8200000000000002E-2</v>
      </c>
    </row>
    <row r="8329" spans="16:19" x14ac:dyDescent="0.25">
      <c r="P8329" s="27">
        <v>3.2548184716220556E-2</v>
      </c>
      <c r="Q8329" s="28">
        <f t="shared" si="134"/>
        <v>3.5548184716220559E-2</v>
      </c>
      <c r="R8329" s="31">
        <v>0.15939660775771733</v>
      </c>
      <c r="S8329" s="32">
        <v>5.5990000000000005E-2</v>
      </c>
    </row>
    <row r="8330" spans="16:19" x14ac:dyDescent="0.25">
      <c r="P8330" s="27">
        <v>3.2548184716220556E-2</v>
      </c>
      <c r="Q8330" s="28">
        <f t="shared" si="134"/>
        <v>3.5548184716220559E-2</v>
      </c>
      <c r="R8330" s="31">
        <v>0.15939660775771733</v>
      </c>
      <c r="S8330" s="32">
        <v>5.5990000000000005E-2</v>
      </c>
    </row>
    <row r="8331" spans="16:19" x14ac:dyDescent="0.25">
      <c r="P8331" s="27">
        <v>3.2548184716220556E-2</v>
      </c>
      <c r="Q8331" s="28">
        <f t="shared" si="134"/>
        <v>3.5548184716220559E-2</v>
      </c>
      <c r="R8331" s="29">
        <v>0.15003660775771735</v>
      </c>
      <c r="S8331" s="30">
        <v>5.2659999999999998E-2</v>
      </c>
    </row>
    <row r="8332" spans="16:19" x14ac:dyDescent="0.25">
      <c r="P8332" s="27">
        <v>3.2548184716220556E-2</v>
      </c>
      <c r="Q8332" s="28">
        <f t="shared" si="134"/>
        <v>3.5548184716220559E-2</v>
      </c>
      <c r="R8332" s="29">
        <v>0.15003660775771735</v>
      </c>
      <c r="S8332" s="30">
        <v>4.999E-2</v>
      </c>
    </row>
    <row r="8333" spans="16:19" x14ac:dyDescent="0.25">
      <c r="P8333" s="27">
        <v>3.2548184716220556E-2</v>
      </c>
      <c r="Q8333" s="28">
        <f t="shared" si="134"/>
        <v>3.5548184716220559E-2</v>
      </c>
      <c r="R8333" s="29">
        <v>0.15003660775771735</v>
      </c>
      <c r="S8333" s="30">
        <v>4.3340000000000004E-2</v>
      </c>
    </row>
    <row r="8334" spans="16:19" x14ac:dyDescent="0.25">
      <c r="P8334" s="27">
        <v>3.2548184716220556E-2</v>
      </c>
      <c r="Q8334" s="28">
        <f t="shared" si="134"/>
        <v>3.5548184716220559E-2</v>
      </c>
      <c r="R8334" s="29">
        <v>0.15003660775771735</v>
      </c>
      <c r="S8334" s="30">
        <v>4.0430000000000001E-2</v>
      </c>
    </row>
    <row r="8335" spans="16:19" x14ac:dyDescent="0.25">
      <c r="P8335" s="27">
        <v>3.2548184716220556E-2</v>
      </c>
      <c r="Q8335" s="28">
        <f t="shared" si="134"/>
        <v>3.5548184716220559E-2</v>
      </c>
      <c r="R8335" s="29">
        <v>0.15003660775771735</v>
      </c>
      <c r="S8335" s="30">
        <v>3.5000000000000003E-2</v>
      </c>
    </row>
    <row r="8336" spans="16:19" x14ac:dyDescent="0.25">
      <c r="P8336" s="27">
        <v>3.2548184716220556E-2</v>
      </c>
      <c r="Q8336" s="28">
        <f t="shared" si="134"/>
        <v>3.5548184716220559E-2</v>
      </c>
      <c r="R8336" s="29">
        <v>0.15003660775771735</v>
      </c>
      <c r="S8336" s="30">
        <v>3.1640000000000001E-2</v>
      </c>
    </row>
    <row r="8337" spans="16:19" x14ac:dyDescent="0.25">
      <c r="P8337" s="27">
        <v>3.2548184716220556E-2</v>
      </c>
      <c r="Q8337" s="28">
        <f t="shared" si="134"/>
        <v>3.5548184716220559E-2</v>
      </c>
      <c r="R8337" s="29">
        <v>0.15003660775771735</v>
      </c>
      <c r="S8337" s="30">
        <v>3.4000000000000002E-2</v>
      </c>
    </row>
    <row r="8338" spans="16:19" x14ac:dyDescent="0.25">
      <c r="P8338" s="27">
        <v>3.2548184716220556E-2</v>
      </c>
      <c r="Q8338" s="28">
        <f t="shared" si="134"/>
        <v>3.5548184716220559E-2</v>
      </c>
      <c r="R8338" s="29">
        <v>0.15003660775771735</v>
      </c>
      <c r="S8338" s="30">
        <v>4.2299999999999997E-2</v>
      </c>
    </row>
    <row r="8339" spans="16:19" x14ac:dyDescent="0.25">
      <c r="P8339" s="27">
        <v>3.2548184716220556E-2</v>
      </c>
      <c r="Q8339" s="28">
        <f t="shared" si="134"/>
        <v>3.5548184716220559E-2</v>
      </c>
      <c r="R8339" s="31">
        <v>0.15939660775771733</v>
      </c>
      <c r="S8339" s="32">
        <v>4.4209999999999999E-2</v>
      </c>
    </row>
    <row r="8340" spans="16:19" x14ac:dyDescent="0.25">
      <c r="P8340" s="27">
        <v>3.2548184716220556E-2</v>
      </c>
      <c r="Q8340" s="28">
        <f t="shared" si="134"/>
        <v>3.5548184716220559E-2</v>
      </c>
      <c r="R8340" s="33">
        <v>0.16282860775771735</v>
      </c>
      <c r="S8340" s="34">
        <v>4.4999999999999998E-2</v>
      </c>
    </row>
    <row r="8341" spans="16:19" x14ac:dyDescent="0.25">
      <c r="P8341" s="27">
        <v>3.2548184716220556E-2</v>
      </c>
      <c r="Q8341" s="28">
        <f t="shared" si="134"/>
        <v>3.5548184716220559E-2</v>
      </c>
      <c r="R8341" s="33">
        <v>0.16282860775771735</v>
      </c>
      <c r="S8341" s="34">
        <v>5.3359999999999998E-2</v>
      </c>
    </row>
    <row r="8342" spans="16:19" x14ac:dyDescent="0.25">
      <c r="P8342" s="27">
        <v>3.2548184716220556E-2</v>
      </c>
      <c r="Q8342" s="28">
        <f t="shared" si="134"/>
        <v>3.5548184716220559E-2</v>
      </c>
      <c r="R8342" s="33">
        <v>0.16282860775771735</v>
      </c>
      <c r="S8342" s="34">
        <v>4.999E-2</v>
      </c>
    </row>
    <row r="8343" spans="16:19" x14ac:dyDescent="0.25">
      <c r="P8343" s="27">
        <v>3.2548184716220556E-2</v>
      </c>
      <c r="Q8343" s="28">
        <f t="shared" si="134"/>
        <v>3.5548184716220559E-2</v>
      </c>
      <c r="R8343" s="33">
        <v>0.16282860775771735</v>
      </c>
      <c r="S8343" s="34">
        <v>4.9700000000000001E-2</v>
      </c>
    </row>
    <row r="8344" spans="16:19" x14ac:dyDescent="0.25">
      <c r="P8344" s="27">
        <v>3.2548184716220556E-2</v>
      </c>
      <c r="Q8344" s="28">
        <f t="shared" si="134"/>
        <v>3.5548184716220559E-2</v>
      </c>
      <c r="R8344" s="33">
        <v>0.16282860775771735</v>
      </c>
      <c r="S8344" s="34">
        <v>4.8340000000000001E-2</v>
      </c>
    </row>
    <row r="8345" spans="16:19" x14ac:dyDescent="0.25">
      <c r="P8345" s="27">
        <v>3.2548184716220556E-2</v>
      </c>
      <c r="Q8345" s="28">
        <f t="shared" si="134"/>
        <v>3.5548184716220559E-2</v>
      </c>
      <c r="R8345" s="33">
        <v>0.16282860775771735</v>
      </c>
      <c r="S8345" s="34">
        <v>4.6509999999999996E-2</v>
      </c>
    </row>
    <row r="8346" spans="16:19" x14ac:dyDescent="0.25">
      <c r="P8346" s="27">
        <v>3.2548184716220556E-2</v>
      </c>
      <c r="Q8346" s="28">
        <f t="shared" si="134"/>
        <v>3.5548184716220559E-2</v>
      </c>
      <c r="R8346" s="33">
        <v>0.16282860775771735</v>
      </c>
      <c r="S8346" s="34">
        <v>4.9030000000000004E-2</v>
      </c>
    </row>
    <row r="8347" spans="16:19" x14ac:dyDescent="0.25">
      <c r="P8347" s="27">
        <v>3.2548184716220556E-2</v>
      </c>
      <c r="Q8347" s="28">
        <f t="shared" si="134"/>
        <v>3.5548184716220559E-2</v>
      </c>
      <c r="R8347" s="33">
        <v>0.16282860775771735</v>
      </c>
      <c r="S8347" s="34">
        <v>5.5369999999999996E-2</v>
      </c>
    </row>
    <row r="8348" spans="16:19" x14ac:dyDescent="0.25">
      <c r="P8348" s="27">
        <v>3.2548184716220556E-2</v>
      </c>
      <c r="Q8348" s="28">
        <f t="shared" si="134"/>
        <v>3.5548184716220559E-2</v>
      </c>
      <c r="R8348" s="33">
        <v>0.16282860775771735</v>
      </c>
      <c r="S8348" s="34">
        <v>5.3609999999999998E-2</v>
      </c>
    </row>
    <row r="8349" spans="16:19" x14ac:dyDescent="0.25">
      <c r="P8349" s="27">
        <v>3.2548184716220556E-2</v>
      </c>
      <c r="Q8349" s="28">
        <f t="shared" si="134"/>
        <v>3.5548184716220559E-2</v>
      </c>
      <c r="R8349" s="33">
        <v>0.16282860775771735</v>
      </c>
      <c r="S8349" s="34">
        <v>6.5939999999999999E-2</v>
      </c>
    </row>
    <row r="8350" spans="16:19" x14ac:dyDescent="0.25">
      <c r="P8350" s="27">
        <v>3.2548184716220556E-2</v>
      </c>
      <c r="Q8350" s="28">
        <f t="shared" si="134"/>
        <v>3.5548184716220559E-2</v>
      </c>
      <c r="R8350" s="33">
        <v>0.16282860775771735</v>
      </c>
      <c r="S8350" s="34">
        <v>6.3750000000000001E-2</v>
      </c>
    </row>
    <row r="8351" spans="16:19" x14ac:dyDescent="0.25">
      <c r="P8351" s="27">
        <v>3.2548184716220556E-2</v>
      </c>
      <c r="Q8351" s="28">
        <f t="shared" si="134"/>
        <v>3.5548184716220559E-2</v>
      </c>
      <c r="R8351" s="31">
        <v>0.15939660775771733</v>
      </c>
      <c r="S8351" s="32">
        <v>5.935E-2</v>
      </c>
    </row>
    <row r="8352" spans="16:19" x14ac:dyDescent="0.25">
      <c r="P8352" s="27">
        <v>3.2548184716220556E-2</v>
      </c>
      <c r="Q8352" s="28">
        <f t="shared" si="134"/>
        <v>3.5548184716220559E-2</v>
      </c>
      <c r="R8352" s="31">
        <v>0.15939660775771733</v>
      </c>
      <c r="S8352" s="32">
        <v>5.8400000000000001E-2</v>
      </c>
    </row>
    <row r="8353" spans="16:19" x14ac:dyDescent="0.25">
      <c r="P8353" s="27">
        <v>3.2548184716220556E-2</v>
      </c>
      <c r="Q8353" s="28">
        <f t="shared" si="134"/>
        <v>3.5548184716220559E-2</v>
      </c>
      <c r="R8353" s="31">
        <v>0.15939660775771733</v>
      </c>
      <c r="S8353" s="32">
        <v>5.7439999999999998E-2</v>
      </c>
    </row>
    <row r="8354" spans="16:19" x14ac:dyDescent="0.25">
      <c r="P8354" s="27">
        <v>3.2548184716220556E-2</v>
      </c>
      <c r="Q8354" s="28">
        <f t="shared" si="134"/>
        <v>3.5548184716220559E-2</v>
      </c>
      <c r="R8354" s="31">
        <v>0.15939660775771733</v>
      </c>
      <c r="S8354" s="32">
        <v>5.357E-2</v>
      </c>
    </row>
    <row r="8355" spans="16:19" x14ac:dyDescent="0.25">
      <c r="P8355" s="27">
        <v>3.2548184716220556E-2</v>
      </c>
      <c r="Q8355" s="28">
        <f t="shared" si="134"/>
        <v>3.5548184716220559E-2</v>
      </c>
      <c r="R8355" s="29">
        <v>0.15003660775771735</v>
      </c>
      <c r="S8355" s="30">
        <v>4.9930000000000002E-2</v>
      </c>
    </row>
    <row r="8356" spans="16:19" x14ac:dyDescent="0.25">
      <c r="P8356" s="27">
        <v>3.2548184716220556E-2</v>
      </c>
      <c r="Q8356" s="28">
        <f t="shared" si="134"/>
        <v>3.5548184716220559E-2</v>
      </c>
      <c r="R8356" s="29">
        <v>0.15003660775771735</v>
      </c>
      <c r="S8356" s="30">
        <v>4.9000000000000002E-2</v>
      </c>
    </row>
    <row r="8357" spans="16:19" x14ac:dyDescent="0.25">
      <c r="P8357" s="27">
        <v>3.2548184716220556E-2</v>
      </c>
      <c r="Q8357" s="28">
        <f t="shared" si="134"/>
        <v>3.5548184716220559E-2</v>
      </c>
      <c r="R8357" s="29">
        <v>0.15003660775771735</v>
      </c>
      <c r="S8357" s="30">
        <v>4.2889999999999998E-2</v>
      </c>
    </row>
    <row r="8358" spans="16:19" x14ac:dyDescent="0.25">
      <c r="P8358" s="27">
        <v>3.2548184716220556E-2</v>
      </c>
      <c r="Q8358" s="28">
        <f t="shared" si="134"/>
        <v>3.5548184716220559E-2</v>
      </c>
      <c r="R8358" s="29">
        <v>0.15003660775771735</v>
      </c>
      <c r="S8358" s="30">
        <v>4.0799999999999996E-2</v>
      </c>
    </row>
    <row r="8359" spans="16:19" x14ac:dyDescent="0.25">
      <c r="P8359" s="27">
        <v>3.2548184716220556E-2</v>
      </c>
      <c r="Q8359" s="28">
        <f t="shared" si="134"/>
        <v>3.5548184716220559E-2</v>
      </c>
      <c r="R8359" s="29">
        <v>0.15003660775771735</v>
      </c>
      <c r="S8359" s="30">
        <v>3.6999999999999998E-2</v>
      </c>
    </row>
    <row r="8360" spans="16:19" x14ac:dyDescent="0.25">
      <c r="P8360" s="27">
        <v>3.2548184716220556E-2</v>
      </c>
      <c r="Q8360" s="28">
        <f t="shared" si="134"/>
        <v>3.5548184716220559E-2</v>
      </c>
      <c r="R8360" s="29">
        <v>0.15003660775771735</v>
      </c>
      <c r="S8360" s="30">
        <v>3.4320000000000003E-2</v>
      </c>
    </row>
    <row r="8361" spans="16:19" x14ac:dyDescent="0.25">
      <c r="P8361" s="27">
        <v>3.2548184716220556E-2</v>
      </c>
      <c r="Q8361" s="28">
        <f t="shared" si="134"/>
        <v>3.5548184716220559E-2</v>
      </c>
      <c r="R8361" s="29">
        <v>0.15003660775771735</v>
      </c>
      <c r="S8361" s="30">
        <v>4.3999999999999997E-2</v>
      </c>
    </row>
    <row r="8362" spans="16:19" x14ac:dyDescent="0.25">
      <c r="P8362" s="27">
        <v>3.2548184716220556E-2</v>
      </c>
      <c r="Q8362" s="28">
        <f t="shared" si="134"/>
        <v>3.5548184716220559E-2</v>
      </c>
      <c r="R8362" s="29">
        <v>0.15003660775771735</v>
      </c>
      <c r="S8362" s="30">
        <v>5.6219999999999999E-2</v>
      </c>
    </row>
    <row r="8363" spans="16:19" x14ac:dyDescent="0.25">
      <c r="P8363" s="27">
        <v>3.2548184716220556E-2</v>
      </c>
      <c r="Q8363" s="28">
        <f t="shared" si="134"/>
        <v>3.5548184716220559E-2</v>
      </c>
      <c r="R8363" s="31">
        <v>0.15939999999999999</v>
      </c>
      <c r="S8363" s="32">
        <v>6.3E-2</v>
      </c>
    </row>
    <row r="8364" spans="16:19" x14ac:dyDescent="0.25">
      <c r="P8364" s="27">
        <v>3.2548184716220556E-2</v>
      </c>
      <c r="Q8364" s="28">
        <f t="shared" si="134"/>
        <v>3.5548184716220559E-2</v>
      </c>
      <c r="R8364" s="31">
        <v>0.15939999999999999</v>
      </c>
      <c r="S8364" s="32">
        <v>7.5120000000000006E-2</v>
      </c>
    </row>
    <row r="8365" spans="16:19" x14ac:dyDescent="0.25">
      <c r="P8365" s="27">
        <v>3.2548184716220556E-2</v>
      </c>
      <c r="Q8365" s="28">
        <f t="shared" si="134"/>
        <v>3.5548184716220559E-2</v>
      </c>
      <c r="R8365" s="31">
        <v>0.15939999999999999</v>
      </c>
      <c r="S8365" s="32">
        <v>7.0000000000000007E-2</v>
      </c>
    </row>
    <row r="8366" spans="16:19" x14ac:dyDescent="0.25">
      <c r="P8366" s="27">
        <v>3.2548184716220556E-2</v>
      </c>
      <c r="Q8366" s="28">
        <f t="shared" si="134"/>
        <v>3.5548184716220559E-2</v>
      </c>
      <c r="R8366" s="31">
        <v>0.15939999999999999</v>
      </c>
      <c r="S8366" s="32">
        <v>6.4890000000000003E-2</v>
      </c>
    </row>
    <row r="8367" spans="16:19" x14ac:dyDescent="0.25">
      <c r="P8367" s="27">
        <v>3.2548184716220556E-2</v>
      </c>
      <c r="Q8367" s="28">
        <f t="shared" si="134"/>
        <v>3.5548184716220559E-2</v>
      </c>
      <c r="R8367" s="31">
        <v>0.15939999999999999</v>
      </c>
      <c r="S8367" s="32">
        <v>6.4000000000000001E-2</v>
      </c>
    </row>
    <row r="8368" spans="16:19" x14ac:dyDescent="0.25">
      <c r="P8368" s="27">
        <v>3.2548184716220556E-2</v>
      </c>
      <c r="Q8368" s="28">
        <f t="shared" si="134"/>
        <v>3.5548184716220559E-2</v>
      </c>
      <c r="R8368" s="31">
        <v>0.15939999999999999</v>
      </c>
      <c r="S8368" s="32">
        <v>5.8369999999999998E-2</v>
      </c>
    </row>
    <row r="8369" spans="16:19" x14ac:dyDescent="0.25">
      <c r="P8369" s="27">
        <v>3.2548184716220556E-2</v>
      </c>
      <c r="Q8369" s="28">
        <f t="shared" si="134"/>
        <v>3.5548184716220559E-2</v>
      </c>
      <c r="R8369" s="31">
        <v>0.15939999999999999</v>
      </c>
      <c r="S8369" s="32">
        <v>5.8349999999999999E-2</v>
      </c>
    </row>
    <row r="8370" spans="16:19" x14ac:dyDescent="0.25">
      <c r="P8370" s="27">
        <v>3.2548184716220556E-2</v>
      </c>
      <c r="Q8370" s="28">
        <f t="shared" si="134"/>
        <v>3.5548184716220559E-2</v>
      </c>
      <c r="R8370" s="31">
        <v>0.15939999999999999</v>
      </c>
      <c r="S8370" s="32">
        <v>6.4150000000000013E-2</v>
      </c>
    </row>
    <row r="8371" spans="16:19" x14ac:dyDescent="0.25">
      <c r="P8371" s="27">
        <v>3.2548184716220556E-2</v>
      </c>
      <c r="Q8371" s="28">
        <f t="shared" si="134"/>
        <v>3.5548184716220559E-2</v>
      </c>
      <c r="R8371" s="31">
        <v>0.15939999999999999</v>
      </c>
      <c r="S8371" s="32">
        <v>6.9949999999999998E-2</v>
      </c>
    </row>
    <row r="8372" spans="16:19" x14ac:dyDescent="0.25">
      <c r="P8372" s="27">
        <v>3.2548184716220556E-2</v>
      </c>
      <c r="Q8372" s="28">
        <f t="shared" si="134"/>
        <v>3.5548184716220559E-2</v>
      </c>
      <c r="R8372" s="31">
        <v>0.15939999999999999</v>
      </c>
      <c r="S8372" s="32">
        <v>0.08</v>
      </c>
    </row>
    <row r="8373" spans="16:19" x14ac:dyDescent="0.25">
      <c r="P8373" s="27">
        <v>3.2548184716220556E-2</v>
      </c>
      <c r="Q8373" s="28">
        <f t="shared" si="134"/>
        <v>3.5548184716220559E-2</v>
      </c>
      <c r="R8373" s="31">
        <v>0.15939999999999999</v>
      </c>
      <c r="S8373" s="32">
        <v>7.8540000000000013E-2</v>
      </c>
    </row>
    <row r="8374" spans="16:19" x14ac:dyDescent="0.25">
      <c r="P8374" s="27">
        <v>3.2548184716220556E-2</v>
      </c>
      <c r="Q8374" s="28">
        <f t="shared" si="134"/>
        <v>3.5548184716220559E-2</v>
      </c>
      <c r="R8374" s="31">
        <v>0.15939999999999999</v>
      </c>
      <c r="S8374" s="32">
        <v>6.7976652999999998E-2</v>
      </c>
    </row>
    <row r="8375" spans="16:19" x14ac:dyDescent="0.25">
      <c r="P8375" s="27">
        <v>3.2548184716220556E-2</v>
      </c>
      <c r="Q8375" s="28">
        <f t="shared" si="134"/>
        <v>3.5548184716220559E-2</v>
      </c>
      <c r="R8375" s="31">
        <v>0.15939999999999999</v>
      </c>
      <c r="S8375" s="32">
        <v>6.0499999999999998E-2</v>
      </c>
    </row>
    <row r="8376" spans="16:19" x14ac:dyDescent="0.25">
      <c r="P8376" s="27">
        <v>3.2548184716220556E-2</v>
      </c>
      <c r="Q8376" s="28">
        <f t="shared" si="134"/>
        <v>3.5548184716220559E-2</v>
      </c>
      <c r="R8376" s="31">
        <v>0.15939999999999999</v>
      </c>
      <c r="S8376" s="32">
        <v>5.8319999999999997E-2</v>
      </c>
    </row>
    <row r="8377" spans="16:19" x14ac:dyDescent="0.25">
      <c r="P8377" s="27">
        <v>3.2548184716220556E-2</v>
      </c>
      <c r="Q8377" s="28">
        <f t="shared" si="134"/>
        <v>3.5548184716220559E-2</v>
      </c>
      <c r="R8377" s="31">
        <v>0.15939999999999999</v>
      </c>
      <c r="S8377" s="32">
        <v>5.7000000000000002E-2</v>
      </c>
    </row>
    <row r="8378" spans="16:19" x14ac:dyDescent="0.25">
      <c r="P8378" s="27">
        <v>3.2548184716220556E-2</v>
      </c>
      <c r="Q8378" s="28">
        <f t="shared" si="134"/>
        <v>3.5548184716220559E-2</v>
      </c>
      <c r="R8378" s="31">
        <v>0.15939999999999999</v>
      </c>
      <c r="S8378" s="32">
        <v>5.5789999999999999E-2</v>
      </c>
    </row>
    <row r="8379" spans="16:19" x14ac:dyDescent="0.25">
      <c r="P8379" s="27">
        <v>3.2548184716220556E-2</v>
      </c>
      <c r="Q8379" s="28">
        <f t="shared" si="134"/>
        <v>3.5548184716220559E-2</v>
      </c>
      <c r="R8379" s="29">
        <v>0.15</v>
      </c>
      <c r="S8379" s="30">
        <v>5.1110000000000003E-2</v>
      </c>
    </row>
    <row r="8380" spans="16:19" x14ac:dyDescent="0.25">
      <c r="P8380" s="27">
        <v>3.2548184716220556E-2</v>
      </c>
      <c r="Q8380" s="28">
        <f t="shared" si="134"/>
        <v>3.5548184716220559E-2</v>
      </c>
      <c r="R8380" s="29">
        <v>0.15</v>
      </c>
      <c r="S8380" s="30">
        <v>5.1490000000000001E-2</v>
      </c>
    </row>
    <row r="8381" spans="16:19" x14ac:dyDescent="0.25">
      <c r="P8381" s="27">
        <v>3.2548184716220556E-2</v>
      </c>
      <c r="Q8381" s="28">
        <f t="shared" si="134"/>
        <v>3.5548184716220559E-2</v>
      </c>
      <c r="R8381" s="29">
        <v>0.15</v>
      </c>
      <c r="S8381" s="30">
        <v>4.4999999999999998E-2</v>
      </c>
    </row>
    <row r="8382" spans="16:19" x14ac:dyDescent="0.25">
      <c r="P8382" s="27">
        <v>3.2548184716220556E-2</v>
      </c>
      <c r="Q8382" s="28">
        <f t="shared" si="134"/>
        <v>3.5548184716220559E-2</v>
      </c>
      <c r="R8382" s="29">
        <v>0.15</v>
      </c>
      <c r="S8382" s="30">
        <v>4.2860000000000002E-2</v>
      </c>
    </row>
    <row r="8383" spans="16:19" x14ac:dyDescent="0.25">
      <c r="P8383" s="27">
        <v>3.2548184716220556E-2</v>
      </c>
      <c r="Q8383" s="28">
        <f t="shared" si="134"/>
        <v>3.5548184716220559E-2</v>
      </c>
      <c r="R8383" s="29">
        <v>0.15</v>
      </c>
      <c r="S8383" s="30">
        <v>4.104E-2</v>
      </c>
    </row>
    <row r="8384" spans="16:19" x14ac:dyDescent="0.25">
      <c r="P8384" s="27">
        <v>3.2548184716220556E-2</v>
      </c>
      <c r="Q8384" s="28">
        <f t="shared" si="134"/>
        <v>3.5548184716220559E-2</v>
      </c>
      <c r="R8384" s="29">
        <v>0.15</v>
      </c>
      <c r="S8384" s="30">
        <v>3.8170000000000003E-2</v>
      </c>
    </row>
    <row r="8385" spans="16:19" x14ac:dyDescent="0.25">
      <c r="P8385" s="27">
        <v>3.2548184716220556E-2</v>
      </c>
      <c r="Q8385" s="28">
        <f t="shared" si="134"/>
        <v>3.5548184716220559E-2</v>
      </c>
      <c r="R8385" s="29">
        <v>0.15</v>
      </c>
      <c r="S8385" s="30">
        <v>4.4409999999999998E-2</v>
      </c>
    </row>
    <row r="8386" spans="16:19" x14ac:dyDescent="0.25">
      <c r="P8386" s="27">
        <v>3.2548184716220556E-2</v>
      </c>
      <c r="Q8386" s="28">
        <f t="shared" si="134"/>
        <v>3.5548184716220559E-2</v>
      </c>
      <c r="R8386" s="29">
        <v>0.15</v>
      </c>
      <c r="S8386" s="30">
        <v>5.9229515999999996E-2</v>
      </c>
    </row>
    <row r="8387" spans="16:19" x14ac:dyDescent="0.25">
      <c r="P8387" s="27">
        <v>3.2548184716220556E-2</v>
      </c>
      <c r="Q8387" s="28">
        <f t="shared" si="134"/>
        <v>3.5548184716220559E-2</v>
      </c>
      <c r="R8387" s="29">
        <v>0.15</v>
      </c>
      <c r="S8387" s="30">
        <v>7.1999999999999995E-2</v>
      </c>
    </row>
    <row r="8388" spans="16:19" x14ac:dyDescent="0.25">
      <c r="P8388" s="27">
        <v>3.2548184716220556E-2</v>
      </c>
      <c r="Q8388" s="28">
        <f t="shared" si="134"/>
        <v>3.5548184716220559E-2</v>
      </c>
      <c r="R8388" s="29">
        <v>0.15</v>
      </c>
      <c r="S8388" s="30">
        <v>8.0299999999999996E-2</v>
      </c>
    </row>
    <row r="8389" spans="16:19" x14ac:dyDescent="0.25">
      <c r="P8389" s="27">
        <v>3.2548184716220556E-2</v>
      </c>
      <c r="Q8389" s="28">
        <f t="shared" ref="Q8389:Q8452" si="135">P8389+0.003</f>
        <v>3.5548184716220559E-2</v>
      </c>
      <c r="R8389" s="29">
        <v>0.15</v>
      </c>
      <c r="S8389" s="30">
        <v>8.4510000000000002E-2</v>
      </c>
    </row>
    <row r="8390" spans="16:19" x14ac:dyDescent="0.25">
      <c r="P8390" s="27">
        <v>3.2548184716220556E-2</v>
      </c>
      <c r="Q8390" s="28">
        <f t="shared" si="135"/>
        <v>3.5548184716220559E-2</v>
      </c>
      <c r="R8390" s="29">
        <v>0.15</v>
      </c>
      <c r="S8390" s="30">
        <v>7.4999999999999997E-2</v>
      </c>
    </row>
    <row r="8391" spans="16:19" x14ac:dyDescent="0.25">
      <c r="P8391" s="27">
        <v>3.2548184716220556E-2</v>
      </c>
      <c r="Q8391" s="28">
        <f t="shared" si="135"/>
        <v>3.5548184716220559E-2</v>
      </c>
      <c r="R8391" s="29">
        <v>0.15</v>
      </c>
      <c r="S8391" s="30">
        <v>6.9010000000000002E-2</v>
      </c>
    </row>
    <row r="8392" spans="16:19" x14ac:dyDescent="0.25">
      <c r="P8392" s="27">
        <v>3.2548184716220556E-2</v>
      </c>
      <c r="Q8392" s="28">
        <f t="shared" si="135"/>
        <v>3.5548184716220559E-2</v>
      </c>
      <c r="R8392" s="29">
        <v>0.15</v>
      </c>
      <c r="S8392" s="30">
        <v>6.0999999999999999E-2</v>
      </c>
    </row>
    <row r="8393" spans="16:19" x14ac:dyDescent="0.25">
      <c r="P8393" s="27">
        <v>3.2548184716220556E-2</v>
      </c>
      <c r="Q8393" s="28">
        <f t="shared" si="135"/>
        <v>3.5548184716220559E-2</v>
      </c>
      <c r="R8393" s="29">
        <v>0.15</v>
      </c>
      <c r="S8393" s="30">
        <v>6.1130000000000004E-2</v>
      </c>
    </row>
    <row r="8394" spans="16:19" x14ac:dyDescent="0.25">
      <c r="P8394" s="27">
        <v>3.2548184716220556E-2</v>
      </c>
      <c r="Q8394" s="28">
        <f t="shared" si="135"/>
        <v>3.5548184716220559E-2</v>
      </c>
      <c r="R8394" s="29">
        <v>0.15</v>
      </c>
      <c r="S8394" s="30">
        <v>6.8069999999999992E-2</v>
      </c>
    </row>
    <row r="8395" spans="16:19" x14ac:dyDescent="0.25">
      <c r="P8395" s="27">
        <v>3.2548184716220556E-2</v>
      </c>
      <c r="Q8395" s="28">
        <f t="shared" si="135"/>
        <v>3.5548184716220559E-2</v>
      </c>
      <c r="R8395" s="29">
        <v>0.15</v>
      </c>
      <c r="S8395" s="30">
        <v>7.0000000000000007E-2</v>
      </c>
    </row>
    <row r="8396" spans="16:19" x14ac:dyDescent="0.25">
      <c r="P8396" s="27">
        <v>3.2548184716220556E-2</v>
      </c>
      <c r="Q8396" s="28">
        <f t="shared" si="135"/>
        <v>3.5548184716220559E-2</v>
      </c>
      <c r="R8396" s="29">
        <v>0.15</v>
      </c>
      <c r="S8396" s="30">
        <v>7.9920000000000005E-2</v>
      </c>
    </row>
    <row r="8397" spans="16:19" x14ac:dyDescent="0.25">
      <c r="P8397" s="27">
        <v>3.2548184716220556E-2</v>
      </c>
      <c r="Q8397" s="28">
        <f t="shared" si="135"/>
        <v>3.5548184716220559E-2</v>
      </c>
      <c r="R8397" s="29">
        <v>0.15</v>
      </c>
      <c r="S8397" s="30">
        <v>8.1147574E-2</v>
      </c>
    </row>
    <row r="8398" spans="16:19" x14ac:dyDescent="0.25">
      <c r="P8398" s="27">
        <v>3.2548184716220556E-2</v>
      </c>
      <c r="Q8398" s="28">
        <f t="shared" si="135"/>
        <v>3.5548184716220559E-2</v>
      </c>
      <c r="R8398" s="29">
        <v>0.15</v>
      </c>
      <c r="S8398" s="30">
        <v>7.1099999999999997E-2</v>
      </c>
    </row>
    <row r="8399" spans="16:19" x14ac:dyDescent="0.25">
      <c r="P8399" s="27">
        <v>3.2548184716220556E-2</v>
      </c>
      <c r="Q8399" s="28">
        <f t="shared" si="135"/>
        <v>3.5548184716220559E-2</v>
      </c>
      <c r="R8399" s="29">
        <v>0.15</v>
      </c>
      <c r="S8399" s="30">
        <v>6.5619999999999998E-2</v>
      </c>
    </row>
    <row r="8400" spans="16:19" x14ac:dyDescent="0.25">
      <c r="P8400" s="27">
        <v>3.2548184716220556E-2</v>
      </c>
      <c r="Q8400" s="28">
        <f t="shared" si="135"/>
        <v>3.5548184716220559E-2</v>
      </c>
      <c r="R8400" s="29">
        <v>0.15</v>
      </c>
      <c r="S8400" s="30">
        <v>6.0609999999999997E-2</v>
      </c>
    </row>
    <row r="8401" spans="16:19" x14ac:dyDescent="0.25">
      <c r="P8401" s="27">
        <v>3.2548184716220556E-2</v>
      </c>
      <c r="Q8401" s="28">
        <f t="shared" si="135"/>
        <v>3.5548184716220559E-2</v>
      </c>
      <c r="R8401" s="29">
        <v>0.15</v>
      </c>
      <c r="S8401" s="30">
        <v>5.7000000000000002E-2</v>
      </c>
    </row>
    <row r="8402" spans="16:19" x14ac:dyDescent="0.25">
      <c r="P8402" s="27">
        <v>3.2548184716220556E-2</v>
      </c>
      <c r="Q8402" s="28">
        <f t="shared" si="135"/>
        <v>3.5548184716220559E-2</v>
      </c>
      <c r="R8402" s="29">
        <v>0.15</v>
      </c>
      <c r="S8402" s="30">
        <v>5.6559999999999999E-2</v>
      </c>
    </row>
    <row r="8403" spans="16:19" x14ac:dyDescent="0.25">
      <c r="P8403" s="27">
        <v>3.2548184716220556E-2</v>
      </c>
      <c r="Q8403" s="28">
        <f t="shared" si="135"/>
        <v>3.5548184716220559E-2</v>
      </c>
      <c r="R8403" s="29">
        <v>0.15</v>
      </c>
      <c r="S8403" s="30">
        <v>5.11E-2</v>
      </c>
    </row>
    <row r="8404" spans="16:19" x14ac:dyDescent="0.25">
      <c r="P8404" s="27">
        <v>3.2548184716220556E-2</v>
      </c>
      <c r="Q8404" s="28">
        <f t="shared" si="135"/>
        <v>3.5548184716220559E-2</v>
      </c>
      <c r="R8404" s="29">
        <v>0.15</v>
      </c>
      <c r="S8404" s="30">
        <v>4.999E-2</v>
      </c>
    </row>
    <row r="8405" spans="16:19" x14ac:dyDescent="0.25">
      <c r="P8405" s="27">
        <v>3.2548184716220556E-2</v>
      </c>
      <c r="Q8405" s="28">
        <f t="shared" si="135"/>
        <v>3.5548184716220559E-2</v>
      </c>
      <c r="R8405" s="29">
        <v>0.15</v>
      </c>
      <c r="S8405" s="30">
        <v>4.4400000000000002E-2</v>
      </c>
    </row>
    <row r="8406" spans="16:19" x14ac:dyDescent="0.25">
      <c r="P8406" s="27">
        <v>3.2548184716220556E-2</v>
      </c>
      <c r="Q8406" s="28">
        <f t="shared" si="135"/>
        <v>3.5548184716220559E-2</v>
      </c>
      <c r="R8406" s="29">
        <v>0.15</v>
      </c>
      <c r="S8406" s="30">
        <v>4.2369999999999998E-2</v>
      </c>
    </row>
    <row r="8407" spans="16:19" x14ac:dyDescent="0.25">
      <c r="P8407" s="27">
        <v>3.2548184716220556E-2</v>
      </c>
      <c r="Q8407" s="28">
        <f t="shared" si="135"/>
        <v>3.5548184716220559E-2</v>
      </c>
      <c r="R8407" s="29">
        <v>0.15</v>
      </c>
      <c r="S8407" s="30">
        <v>4.2189999999999998E-2</v>
      </c>
    </row>
    <row r="8408" spans="16:19" x14ac:dyDescent="0.25">
      <c r="P8408" s="27">
        <v>3.2548184716220556E-2</v>
      </c>
      <c r="Q8408" s="28">
        <f t="shared" si="135"/>
        <v>3.5548184716220559E-2</v>
      </c>
      <c r="R8408" s="29">
        <v>0.15</v>
      </c>
      <c r="S8408" s="30">
        <v>4.2299999999999997E-2</v>
      </c>
    </row>
    <row r="8409" spans="16:19" x14ac:dyDescent="0.25">
      <c r="P8409" s="27">
        <v>3.2548184716220556E-2</v>
      </c>
      <c r="Q8409" s="28">
        <f t="shared" si="135"/>
        <v>3.5548184716220559E-2</v>
      </c>
      <c r="R8409" s="29">
        <v>0.15</v>
      </c>
      <c r="S8409" s="30">
        <v>4.8090000000000001E-2</v>
      </c>
    </row>
    <row r="8410" spans="16:19" x14ac:dyDescent="0.25">
      <c r="P8410" s="27">
        <v>3.2548184716220556E-2</v>
      </c>
      <c r="Q8410" s="28">
        <f t="shared" si="135"/>
        <v>3.5548184716220559E-2</v>
      </c>
      <c r="R8410" s="29">
        <v>0.15</v>
      </c>
      <c r="S8410" s="30">
        <v>6.1130000000000004E-2</v>
      </c>
    </row>
    <row r="8411" spans="16:19" x14ac:dyDescent="0.25">
      <c r="P8411" s="27">
        <v>3.2548184716220556E-2</v>
      </c>
      <c r="Q8411" s="28">
        <f t="shared" si="135"/>
        <v>3.5548184716220559E-2</v>
      </c>
      <c r="R8411" s="31">
        <v>0.15939660775771733</v>
      </c>
      <c r="S8411" s="32">
        <v>7.4999999999999997E-2</v>
      </c>
    </row>
    <row r="8412" spans="16:19" x14ac:dyDescent="0.25">
      <c r="P8412" s="27">
        <v>3.2548184716220556E-2</v>
      </c>
      <c r="Q8412" s="28">
        <f t="shared" si="135"/>
        <v>3.5548184716220559E-2</v>
      </c>
      <c r="R8412" s="33">
        <v>0.16282860775771735</v>
      </c>
      <c r="S8412" s="34">
        <v>7.5600000000000001E-2</v>
      </c>
    </row>
    <row r="8413" spans="16:19" x14ac:dyDescent="0.25">
      <c r="P8413" s="27">
        <v>3.2548184716220556E-2</v>
      </c>
      <c r="Q8413" s="28">
        <f t="shared" si="135"/>
        <v>3.5548184716220559E-2</v>
      </c>
      <c r="R8413" s="33">
        <v>0.16282860775771735</v>
      </c>
      <c r="S8413" s="34">
        <v>7.4969999999999995E-2</v>
      </c>
    </row>
    <row r="8414" spans="16:19" x14ac:dyDescent="0.25">
      <c r="P8414" s="27">
        <v>3.2548184716220556E-2</v>
      </c>
      <c r="Q8414" s="28">
        <f t="shared" si="135"/>
        <v>3.5548184716220559E-2</v>
      </c>
      <c r="R8414" s="33">
        <v>0.16282860775771735</v>
      </c>
      <c r="S8414" s="34">
        <v>6.9800000000000001E-2</v>
      </c>
    </row>
    <row r="8415" spans="16:19" x14ac:dyDescent="0.25">
      <c r="P8415" s="27">
        <v>3.2548184716220556E-2</v>
      </c>
      <c r="Q8415" s="28">
        <f t="shared" si="135"/>
        <v>3.5548184716220559E-2</v>
      </c>
      <c r="R8415" s="33">
        <v>0.16282860775771735</v>
      </c>
      <c r="S8415" s="34">
        <v>6.4150000000000013E-2</v>
      </c>
    </row>
    <row r="8416" spans="16:19" x14ac:dyDescent="0.25">
      <c r="P8416" s="27">
        <v>3.2548184716220556E-2</v>
      </c>
      <c r="Q8416" s="28">
        <f t="shared" si="135"/>
        <v>3.5548184716220559E-2</v>
      </c>
      <c r="R8416" s="33">
        <v>0.16282860775771735</v>
      </c>
      <c r="S8416" s="34">
        <v>5.9740000000000001E-2</v>
      </c>
    </row>
    <row r="8417" spans="16:19" x14ac:dyDescent="0.25">
      <c r="P8417" s="27">
        <v>3.2548184716220556E-2</v>
      </c>
      <c r="Q8417" s="28">
        <f t="shared" si="135"/>
        <v>3.5548184716220559E-2</v>
      </c>
      <c r="R8417" s="33">
        <v>0.16282860775771735</v>
      </c>
      <c r="S8417" s="34">
        <v>5.8999999999999997E-2</v>
      </c>
    </row>
    <row r="8418" spans="16:19" x14ac:dyDescent="0.25">
      <c r="P8418" s="27">
        <v>3.2548184716220556E-2</v>
      </c>
      <c r="Q8418" s="28">
        <f t="shared" si="135"/>
        <v>3.5548184716220559E-2</v>
      </c>
      <c r="R8418" s="33">
        <v>0.16282860775771735</v>
      </c>
      <c r="S8418" s="34">
        <v>6.9866555999999996E-2</v>
      </c>
    </row>
    <row r="8419" spans="16:19" x14ac:dyDescent="0.25">
      <c r="P8419" s="27">
        <v>3.2548184716220556E-2</v>
      </c>
      <c r="Q8419" s="28">
        <f t="shared" si="135"/>
        <v>3.5548184716220559E-2</v>
      </c>
      <c r="R8419" s="33">
        <v>0.16282860775771735</v>
      </c>
      <c r="S8419" s="34">
        <v>7.2252089999999991E-2</v>
      </c>
    </row>
    <row r="8420" spans="16:19" x14ac:dyDescent="0.25">
      <c r="P8420" s="27">
        <v>3.2548184716220556E-2</v>
      </c>
      <c r="Q8420" s="28">
        <f t="shared" si="135"/>
        <v>3.5548184716220559E-2</v>
      </c>
      <c r="R8420" s="33">
        <v>0.16282860775771735</v>
      </c>
      <c r="S8420" s="34">
        <v>7.936298600000001E-2</v>
      </c>
    </row>
    <row r="8421" spans="16:19" x14ac:dyDescent="0.25">
      <c r="P8421" s="27">
        <v>3.2548184716220556E-2</v>
      </c>
      <c r="Q8421" s="28">
        <f t="shared" si="135"/>
        <v>3.5548184716220559E-2</v>
      </c>
      <c r="R8421" s="33">
        <v>0.16282860775771735</v>
      </c>
      <c r="S8421" s="34">
        <v>7.596E-2</v>
      </c>
    </row>
    <row r="8422" spans="16:19" x14ac:dyDescent="0.25">
      <c r="P8422" s="27">
        <v>3.2548184716220556E-2</v>
      </c>
      <c r="Q8422" s="28">
        <f t="shared" si="135"/>
        <v>3.5548184716220559E-2</v>
      </c>
      <c r="R8422" s="33">
        <v>0.16282860775771735</v>
      </c>
      <c r="S8422" s="34">
        <v>6.8580000000000002E-2</v>
      </c>
    </row>
    <row r="8423" spans="16:19" x14ac:dyDescent="0.25">
      <c r="P8423" s="27">
        <v>3.2548184716220556E-2</v>
      </c>
      <c r="Q8423" s="28">
        <f t="shared" si="135"/>
        <v>3.5548184716220559E-2</v>
      </c>
      <c r="R8423" s="31">
        <v>0.15939660775771733</v>
      </c>
      <c r="S8423" s="32">
        <v>6.1189999999999994E-2</v>
      </c>
    </row>
    <row r="8424" spans="16:19" x14ac:dyDescent="0.25">
      <c r="P8424" s="27">
        <v>3.2548184716220556E-2</v>
      </c>
      <c r="Q8424" s="28">
        <f t="shared" si="135"/>
        <v>3.5548184716220559E-2</v>
      </c>
      <c r="R8424" s="31">
        <v>0.15939660775771733</v>
      </c>
      <c r="S8424" s="32">
        <v>5.7820000000000003E-2</v>
      </c>
    </row>
    <row r="8425" spans="16:19" x14ac:dyDescent="0.25">
      <c r="P8425" s="27">
        <v>3.2548184716220556E-2</v>
      </c>
      <c r="Q8425" s="28">
        <f t="shared" si="135"/>
        <v>3.5548184716220559E-2</v>
      </c>
      <c r="R8425" s="31">
        <v>0.15939660775771733</v>
      </c>
      <c r="S8425" s="32">
        <v>5.6119999999999996E-2</v>
      </c>
    </row>
    <row r="8426" spans="16:19" x14ac:dyDescent="0.25">
      <c r="P8426" s="27">
        <v>3.2548184716220556E-2</v>
      </c>
      <c r="Q8426" s="28">
        <f t="shared" si="135"/>
        <v>3.5548184716220559E-2</v>
      </c>
      <c r="R8426" s="31">
        <v>0.15939660775771733</v>
      </c>
      <c r="S8426" s="32">
        <v>5.3100000000000001E-2</v>
      </c>
    </row>
    <row r="8427" spans="16:19" x14ac:dyDescent="0.25">
      <c r="P8427" s="27">
        <v>3.2548184716220556E-2</v>
      </c>
      <c r="Q8427" s="28">
        <f t="shared" si="135"/>
        <v>3.5548184716220559E-2</v>
      </c>
      <c r="R8427" s="29">
        <v>0.15003660775771735</v>
      </c>
      <c r="S8427" s="30">
        <v>5.3109999999999997E-2</v>
      </c>
    </row>
    <row r="8428" spans="16:19" x14ac:dyDescent="0.25">
      <c r="P8428" s="27">
        <v>3.2548184716220556E-2</v>
      </c>
      <c r="Q8428" s="28">
        <f t="shared" si="135"/>
        <v>3.5548184716220559E-2</v>
      </c>
      <c r="R8428" s="29">
        <v>0.15003660775771735</v>
      </c>
      <c r="S8428" s="30">
        <v>4.999E-2</v>
      </c>
    </row>
    <row r="8429" spans="16:19" x14ac:dyDescent="0.25">
      <c r="P8429" s="27">
        <v>3.2548184716220556E-2</v>
      </c>
      <c r="Q8429" s="28">
        <f t="shared" si="135"/>
        <v>3.5548184716220559E-2</v>
      </c>
      <c r="R8429" s="29">
        <v>0.15003660775771735</v>
      </c>
      <c r="S8429" s="30">
        <v>4.2860000000000002E-2</v>
      </c>
    </row>
    <row r="8430" spans="16:19" x14ac:dyDescent="0.25">
      <c r="P8430" s="27">
        <v>3.2548184716220556E-2</v>
      </c>
      <c r="Q8430" s="28">
        <f t="shared" si="135"/>
        <v>3.5548184716220559E-2</v>
      </c>
      <c r="R8430" s="29">
        <v>0.15003660775771735</v>
      </c>
      <c r="S8430" s="30">
        <v>4.2009999999999999E-2</v>
      </c>
    </row>
    <row r="8431" spans="16:19" x14ac:dyDescent="0.25">
      <c r="P8431" s="27">
        <v>3.2548184716220556E-2</v>
      </c>
      <c r="Q8431" s="28">
        <f t="shared" si="135"/>
        <v>3.5548184716220559E-2</v>
      </c>
      <c r="R8431" s="29">
        <v>0.15003660775771735</v>
      </c>
      <c r="S8431" s="30">
        <v>4.1739999999999999E-2</v>
      </c>
    </row>
    <row r="8432" spans="16:19" x14ac:dyDescent="0.25">
      <c r="P8432" s="27">
        <v>3.2548184716220556E-2</v>
      </c>
      <c r="Q8432" s="28">
        <f t="shared" si="135"/>
        <v>3.5548184716220559E-2</v>
      </c>
      <c r="R8432" s="29">
        <v>0.15003660775771735</v>
      </c>
      <c r="S8432" s="30">
        <v>4.2860000000000002E-2</v>
      </c>
    </row>
    <row r="8433" spans="16:19" x14ac:dyDescent="0.25">
      <c r="P8433" s="27">
        <v>3.2548184716220556E-2</v>
      </c>
      <c r="Q8433" s="28">
        <f t="shared" si="135"/>
        <v>3.5548184716220559E-2</v>
      </c>
      <c r="R8433" s="29">
        <v>0.15003660775771735</v>
      </c>
      <c r="S8433" s="30">
        <v>4.7829999999999998E-2</v>
      </c>
    </row>
    <row r="8434" spans="16:19" x14ac:dyDescent="0.25">
      <c r="P8434" s="27">
        <v>3.2548184716220556E-2</v>
      </c>
      <c r="Q8434" s="28">
        <f t="shared" si="135"/>
        <v>3.5548184716220559E-2</v>
      </c>
      <c r="R8434" s="29">
        <v>0.15003660775771735</v>
      </c>
      <c r="S8434" s="30">
        <v>5.8000000000000003E-2</v>
      </c>
    </row>
    <row r="8435" spans="16:19" x14ac:dyDescent="0.25">
      <c r="P8435" s="27">
        <v>3.2548184716220556E-2</v>
      </c>
      <c r="Q8435" s="28">
        <f t="shared" si="135"/>
        <v>3.5548184716220559E-2</v>
      </c>
      <c r="R8435" s="31">
        <v>0.15939660775771733</v>
      </c>
      <c r="S8435" s="32">
        <v>6.9000000000000006E-2</v>
      </c>
    </row>
    <row r="8436" spans="16:19" x14ac:dyDescent="0.25">
      <c r="P8436" s="27">
        <v>3.2548184716220556E-2</v>
      </c>
      <c r="Q8436" s="28">
        <f t="shared" si="135"/>
        <v>3.5548184716220559E-2</v>
      </c>
      <c r="R8436" s="33">
        <v>0.16282860775771735</v>
      </c>
      <c r="S8436" s="34">
        <v>7.2016080999999996E-2</v>
      </c>
    </row>
    <row r="8437" spans="16:19" x14ac:dyDescent="0.25">
      <c r="P8437" s="27">
        <v>3.2548184716220556E-2</v>
      </c>
      <c r="Q8437" s="28">
        <f t="shared" si="135"/>
        <v>3.5548184716220559E-2</v>
      </c>
      <c r="R8437" s="33">
        <v>0.16282860775771735</v>
      </c>
      <c r="S8437" s="34">
        <v>7.0169999999999996E-2</v>
      </c>
    </row>
    <row r="8438" spans="16:19" x14ac:dyDescent="0.25">
      <c r="P8438" s="27">
        <v>3.2548184716220556E-2</v>
      </c>
      <c r="Q8438" s="28">
        <f t="shared" si="135"/>
        <v>3.5548184716220559E-2</v>
      </c>
      <c r="R8438" s="33">
        <v>0.16282860775771735</v>
      </c>
      <c r="S8438" s="34">
        <v>6.4930000000000002E-2</v>
      </c>
    </row>
    <row r="8439" spans="16:19" x14ac:dyDescent="0.25">
      <c r="P8439" s="27">
        <v>3.2548184716220556E-2</v>
      </c>
      <c r="Q8439" s="28">
        <f t="shared" si="135"/>
        <v>3.5548184716220559E-2</v>
      </c>
      <c r="R8439" s="33">
        <v>0.16282860775771735</v>
      </c>
      <c r="S8439" s="34">
        <v>6.0139999999999999E-2</v>
      </c>
    </row>
    <row r="8440" spans="16:19" x14ac:dyDescent="0.25">
      <c r="P8440" s="27">
        <v>3.2548184716220556E-2</v>
      </c>
      <c r="Q8440" s="28">
        <f t="shared" si="135"/>
        <v>3.5548184716220559E-2</v>
      </c>
      <c r="R8440" s="33">
        <v>0.16282860775771735</v>
      </c>
      <c r="S8440" s="34">
        <v>5.6500000000000002E-2</v>
      </c>
    </row>
    <row r="8441" spans="16:19" x14ac:dyDescent="0.25">
      <c r="P8441" s="27">
        <v>3.2548184716220556E-2</v>
      </c>
      <c r="Q8441" s="28">
        <f t="shared" si="135"/>
        <v>3.5548184716220559E-2</v>
      </c>
      <c r="R8441" s="33">
        <v>0.16282860775771735</v>
      </c>
      <c r="S8441" s="34">
        <v>5.5600000000000004E-2</v>
      </c>
    </row>
    <row r="8442" spans="16:19" x14ac:dyDescent="0.25">
      <c r="P8442" s="27">
        <v>3.2548184716220556E-2</v>
      </c>
      <c r="Q8442" s="28">
        <f t="shared" si="135"/>
        <v>3.5548184716220559E-2</v>
      </c>
      <c r="R8442" s="33">
        <v>0.16282860775771735</v>
      </c>
      <c r="S8442" s="34">
        <v>6.1979999999999993E-2</v>
      </c>
    </row>
    <row r="8443" spans="16:19" x14ac:dyDescent="0.25">
      <c r="P8443" s="27">
        <v>3.2548184716220556E-2</v>
      </c>
      <c r="Q8443" s="28">
        <f t="shared" si="135"/>
        <v>3.5548184716220559E-2</v>
      </c>
      <c r="R8443" s="33">
        <v>0.16282860775771735</v>
      </c>
      <c r="S8443" s="34">
        <v>6.6030000000000005E-2</v>
      </c>
    </row>
    <row r="8444" spans="16:19" x14ac:dyDescent="0.25">
      <c r="P8444" s="27">
        <v>3.2548184716220556E-2</v>
      </c>
      <c r="Q8444" s="28">
        <f t="shared" si="135"/>
        <v>3.5548184716220559E-2</v>
      </c>
      <c r="R8444" s="33">
        <v>0.16282860775771735</v>
      </c>
      <c r="S8444" s="34">
        <v>7.1279999999999996E-2</v>
      </c>
    </row>
    <row r="8445" spans="16:19" x14ac:dyDescent="0.25">
      <c r="P8445" s="27">
        <v>3.2548184716220556E-2</v>
      </c>
      <c r="Q8445" s="28">
        <f t="shared" si="135"/>
        <v>3.5548184716220559E-2</v>
      </c>
      <c r="R8445" s="33">
        <v>0.16282860775771735</v>
      </c>
      <c r="S8445" s="34">
        <v>7.3079999999999992E-2</v>
      </c>
    </row>
    <row r="8446" spans="16:19" x14ac:dyDescent="0.25">
      <c r="P8446" s="27">
        <v>3.2548184716220556E-2</v>
      </c>
      <c r="Q8446" s="28">
        <f t="shared" si="135"/>
        <v>3.5548184716220559E-2</v>
      </c>
      <c r="R8446" s="33">
        <v>0.16282860775771735</v>
      </c>
      <c r="S8446" s="34">
        <v>6.4939999999999998E-2</v>
      </c>
    </row>
    <row r="8447" spans="16:19" x14ac:dyDescent="0.25">
      <c r="P8447" s="27">
        <v>3.2548184716220556E-2</v>
      </c>
      <c r="Q8447" s="28">
        <f t="shared" si="135"/>
        <v>3.5548184716220559E-2</v>
      </c>
      <c r="R8447" s="31">
        <v>0.15939660775771733</v>
      </c>
      <c r="S8447" s="32">
        <v>5.8869999999999999E-2</v>
      </c>
    </row>
    <row r="8448" spans="16:19" x14ac:dyDescent="0.25">
      <c r="P8448" s="27">
        <v>3.2548184716220556E-2</v>
      </c>
      <c r="Q8448" s="28">
        <f t="shared" si="135"/>
        <v>3.5548184716220559E-2</v>
      </c>
      <c r="R8448" s="31">
        <v>0.15939660775771733</v>
      </c>
      <c r="S8448" s="32">
        <v>5.561E-2</v>
      </c>
    </row>
    <row r="8449" spans="16:19" x14ac:dyDescent="0.25">
      <c r="P8449" s="27">
        <v>3.2548184716220556E-2</v>
      </c>
      <c r="Q8449" s="28">
        <f t="shared" si="135"/>
        <v>3.5548184716220559E-2</v>
      </c>
      <c r="R8449" s="31">
        <v>0.15939660775771733</v>
      </c>
      <c r="S8449" s="32">
        <v>5.3999999999999999E-2</v>
      </c>
    </row>
    <row r="8450" spans="16:19" x14ac:dyDescent="0.25">
      <c r="P8450" s="27">
        <v>3.2548184716220556E-2</v>
      </c>
      <c r="Q8450" s="28">
        <f t="shared" si="135"/>
        <v>3.5548184716220559E-2</v>
      </c>
      <c r="R8450" s="31">
        <v>0.15939660775771733</v>
      </c>
      <c r="S8450" s="32">
        <v>4.999E-2</v>
      </c>
    </row>
    <row r="8451" spans="16:19" x14ac:dyDescent="0.25">
      <c r="P8451" s="27">
        <v>3.2548184716220556E-2</v>
      </c>
      <c r="Q8451" s="28">
        <f t="shared" si="135"/>
        <v>3.5548184716220559E-2</v>
      </c>
      <c r="R8451" s="29">
        <v>0.15003660775771735</v>
      </c>
      <c r="S8451" s="30">
        <v>4.9799999999999997E-2</v>
      </c>
    </row>
    <row r="8452" spans="16:19" x14ac:dyDescent="0.25">
      <c r="P8452" s="27">
        <v>3.2548184716220556E-2</v>
      </c>
      <c r="Q8452" s="28">
        <f t="shared" si="135"/>
        <v>3.5548184716220559E-2</v>
      </c>
      <c r="R8452" s="29">
        <v>0.15003660775771735</v>
      </c>
      <c r="S8452" s="30">
        <v>4.6369999999999995E-2</v>
      </c>
    </row>
    <row r="8453" spans="16:19" x14ac:dyDescent="0.25">
      <c r="P8453" s="27">
        <v>3.2548184716220556E-2</v>
      </c>
      <c r="Q8453" s="28">
        <f t="shared" ref="Q8453:Q8516" si="136">P8453+0.003</f>
        <v>3.5548184716220559E-2</v>
      </c>
      <c r="R8453" s="29">
        <v>0.15003660775771735</v>
      </c>
      <c r="S8453" s="30">
        <v>0.04</v>
      </c>
    </row>
    <row r="8454" spans="16:19" x14ac:dyDescent="0.25">
      <c r="P8454" s="27">
        <v>3.2548184716220556E-2</v>
      </c>
      <c r="Q8454" s="28">
        <f t="shared" si="136"/>
        <v>3.5548184716220559E-2</v>
      </c>
      <c r="R8454" s="29">
        <v>0.15003660775771735</v>
      </c>
      <c r="S8454" s="30">
        <v>4.0799999999999996E-2</v>
      </c>
    </row>
    <row r="8455" spans="16:19" x14ac:dyDescent="0.25">
      <c r="P8455" s="27">
        <v>3.2548184716220556E-2</v>
      </c>
      <c r="Q8455" s="28">
        <f t="shared" si="136"/>
        <v>3.5548184716220559E-2</v>
      </c>
      <c r="R8455" s="29">
        <v>0.15003660775771735</v>
      </c>
      <c r="S8455" s="30">
        <v>3.8170000000000003E-2</v>
      </c>
    </row>
    <row r="8456" spans="16:19" x14ac:dyDescent="0.25">
      <c r="P8456" s="27">
        <v>3.2548184716220556E-2</v>
      </c>
      <c r="Q8456" s="28">
        <f t="shared" si="136"/>
        <v>3.5548184716220559E-2</v>
      </c>
      <c r="R8456" s="29">
        <v>0.15003660775771735</v>
      </c>
      <c r="S8456" s="30">
        <v>4.1409999999999995E-2</v>
      </c>
    </row>
    <row r="8457" spans="16:19" x14ac:dyDescent="0.25">
      <c r="P8457" s="27">
        <v>3.2548184716220556E-2</v>
      </c>
      <c r="Q8457" s="28">
        <f t="shared" si="136"/>
        <v>3.5548184716220559E-2</v>
      </c>
      <c r="R8457" s="29">
        <v>0.15003660775771735</v>
      </c>
      <c r="S8457" s="30">
        <v>4.4409999999999998E-2</v>
      </c>
    </row>
    <row r="8458" spans="16:19" x14ac:dyDescent="0.25">
      <c r="P8458" s="27">
        <v>3.2548184716220556E-2</v>
      </c>
      <c r="Q8458" s="28">
        <f t="shared" si="136"/>
        <v>3.5548184716220559E-2</v>
      </c>
      <c r="R8458" s="29">
        <v>0.15003660775771735</v>
      </c>
      <c r="S8458" s="30">
        <v>5.5380000000000006E-2</v>
      </c>
    </row>
    <row r="8459" spans="16:19" x14ac:dyDescent="0.25">
      <c r="P8459" s="27">
        <v>3.2548184716220556E-2</v>
      </c>
      <c r="Q8459" s="28">
        <f t="shared" si="136"/>
        <v>3.5548184716220559E-2</v>
      </c>
      <c r="R8459" s="31">
        <v>0.15939660775771733</v>
      </c>
      <c r="S8459" s="32">
        <v>6.2E-2</v>
      </c>
    </row>
    <row r="8460" spans="16:19" x14ac:dyDescent="0.25">
      <c r="P8460" s="27">
        <v>3.2548184716220556E-2</v>
      </c>
      <c r="Q8460" s="28">
        <f t="shared" si="136"/>
        <v>3.5548184716220559E-2</v>
      </c>
      <c r="R8460" s="33">
        <v>0.16282860775771735</v>
      </c>
      <c r="S8460" s="34">
        <v>6.5009999999999998E-2</v>
      </c>
    </row>
    <row r="8461" spans="16:19" x14ac:dyDescent="0.25">
      <c r="P8461" s="27">
        <v>3.2548184716220556E-2</v>
      </c>
      <c r="Q8461" s="28">
        <f t="shared" si="136"/>
        <v>3.5548184716220559E-2</v>
      </c>
      <c r="R8461" s="33">
        <v>0.16282860775771735</v>
      </c>
      <c r="S8461" s="34">
        <v>6.7000000000000004E-2</v>
      </c>
    </row>
    <row r="8462" spans="16:19" x14ac:dyDescent="0.25">
      <c r="P8462" s="27">
        <v>3.2548184716220556E-2</v>
      </c>
      <c r="Q8462" s="28">
        <f t="shared" si="136"/>
        <v>3.5548184716220559E-2</v>
      </c>
      <c r="R8462" s="33">
        <v>0.16282860775771735</v>
      </c>
      <c r="S8462" s="34">
        <v>6.1120000000000001E-2</v>
      </c>
    </row>
    <row r="8463" spans="16:19" x14ac:dyDescent="0.25">
      <c r="P8463" s="27">
        <v>3.2548184716220556E-2</v>
      </c>
      <c r="Q8463" s="28">
        <f t="shared" si="136"/>
        <v>3.5548184716220559E-2</v>
      </c>
      <c r="R8463" s="33">
        <v>0.16282860775771735</v>
      </c>
      <c r="S8463" s="34">
        <v>5.7119999999999997E-2</v>
      </c>
    </row>
    <row r="8464" spans="16:19" x14ac:dyDescent="0.25">
      <c r="P8464" s="27">
        <v>3.2548184716220556E-2</v>
      </c>
      <c r="Q8464" s="28">
        <f t="shared" si="136"/>
        <v>3.5548184716220559E-2</v>
      </c>
      <c r="R8464" s="33">
        <v>0.16282860775771735</v>
      </c>
      <c r="S8464" s="34">
        <v>5.0714011999999996E-2</v>
      </c>
    </row>
    <row r="8465" spans="16:19" x14ac:dyDescent="0.25">
      <c r="P8465" s="27">
        <v>3.2548184716220556E-2</v>
      </c>
      <c r="Q8465" s="28">
        <f t="shared" si="136"/>
        <v>3.5548184716220559E-2</v>
      </c>
      <c r="R8465" s="33">
        <v>0.16282860775771735</v>
      </c>
      <c r="S8465" s="34">
        <v>4.9489999999999999E-2</v>
      </c>
    </row>
    <row r="8466" spans="16:19" x14ac:dyDescent="0.25">
      <c r="P8466" s="27">
        <v>3.2548184716220556E-2</v>
      </c>
      <c r="Q8466" s="28">
        <f t="shared" si="136"/>
        <v>3.5548184716220559E-2</v>
      </c>
      <c r="R8466" s="33">
        <v>0.16282860775771735</v>
      </c>
      <c r="S8466" s="34">
        <v>5.8200000000000002E-2</v>
      </c>
    </row>
    <row r="8467" spans="16:19" x14ac:dyDescent="0.25">
      <c r="P8467" s="27">
        <v>3.2548184716220556E-2</v>
      </c>
      <c r="Q8467" s="28">
        <f t="shared" si="136"/>
        <v>3.5548184716220559E-2</v>
      </c>
      <c r="R8467" s="33">
        <v>0.16282860775771735</v>
      </c>
      <c r="S8467" s="34">
        <v>6.0738380999999994E-2</v>
      </c>
    </row>
    <row r="8468" spans="16:19" x14ac:dyDescent="0.25">
      <c r="P8468" s="27">
        <v>3.2548184716220556E-2</v>
      </c>
      <c r="Q8468" s="28">
        <f t="shared" si="136"/>
        <v>3.5548184716220559E-2</v>
      </c>
      <c r="R8468" s="33">
        <v>0.16282860775771735</v>
      </c>
      <c r="S8468" s="34">
        <v>6.2574075000000007E-2</v>
      </c>
    </row>
    <row r="8469" spans="16:19" x14ac:dyDescent="0.25">
      <c r="P8469" s="27">
        <v>3.2548184716220556E-2</v>
      </c>
      <c r="Q8469" s="28">
        <f t="shared" si="136"/>
        <v>3.5548184716220559E-2</v>
      </c>
      <c r="R8469" s="33">
        <v>0.16282860775771735</v>
      </c>
      <c r="S8469" s="34">
        <v>6.7680000000000004E-2</v>
      </c>
    </row>
    <row r="8470" spans="16:19" x14ac:dyDescent="0.25">
      <c r="P8470" s="27">
        <v>3.2548184716220556E-2</v>
      </c>
      <c r="Q8470" s="28">
        <f t="shared" si="136"/>
        <v>3.5548184716220559E-2</v>
      </c>
      <c r="R8470" s="33">
        <v>0.16282860775771735</v>
      </c>
      <c r="S8470" s="34">
        <v>5.8343417000000002E-2</v>
      </c>
    </row>
    <row r="8471" spans="16:19" x14ac:dyDescent="0.25">
      <c r="P8471" s="27">
        <v>3.2548184716220556E-2</v>
      </c>
      <c r="Q8471" s="28">
        <f t="shared" si="136"/>
        <v>3.5548184716220559E-2</v>
      </c>
      <c r="R8471" s="31">
        <v>0.15939660775771733</v>
      </c>
      <c r="S8471" s="32">
        <v>5.6407322999999995E-2</v>
      </c>
    </row>
    <row r="8472" spans="16:19" x14ac:dyDescent="0.25">
      <c r="P8472" s="27">
        <v>3.2548184716220556E-2</v>
      </c>
      <c r="Q8472" s="28">
        <f t="shared" si="136"/>
        <v>3.5548184716220559E-2</v>
      </c>
      <c r="R8472" s="31">
        <v>0.15939660775771733</v>
      </c>
      <c r="S8472" s="32">
        <v>5.2240000000000002E-2</v>
      </c>
    </row>
    <row r="8473" spans="16:19" x14ac:dyDescent="0.25">
      <c r="P8473" s="27">
        <v>3.2548184716220556E-2</v>
      </c>
      <c r="Q8473" s="28">
        <f t="shared" si="136"/>
        <v>3.5548184716220559E-2</v>
      </c>
      <c r="R8473" s="31">
        <v>0.15939660775771733</v>
      </c>
      <c r="S8473" s="32">
        <v>5.3990000000000003E-2</v>
      </c>
    </row>
    <row r="8474" spans="16:19" x14ac:dyDescent="0.25">
      <c r="P8474" s="27">
        <v>3.2548184716220556E-2</v>
      </c>
      <c r="Q8474" s="28">
        <f t="shared" si="136"/>
        <v>3.5548184716220559E-2</v>
      </c>
      <c r="R8474" s="31">
        <v>0.15939660775771733</v>
      </c>
      <c r="S8474" s="32">
        <v>5.5850000000000004E-2</v>
      </c>
    </row>
    <row r="8475" spans="16:19" x14ac:dyDescent="0.25">
      <c r="P8475" s="27">
        <v>3.2548184716220556E-2</v>
      </c>
      <c r="Q8475" s="28">
        <f t="shared" si="136"/>
        <v>3.5548184716220559E-2</v>
      </c>
      <c r="R8475" s="29">
        <v>0.15003660775771735</v>
      </c>
      <c r="S8475" s="30">
        <v>5.3990000000000003E-2</v>
      </c>
    </row>
    <row r="8476" spans="16:19" x14ac:dyDescent="0.25">
      <c r="P8476" s="27">
        <v>3.2548184716220556E-2</v>
      </c>
      <c r="Q8476" s="28">
        <f t="shared" si="136"/>
        <v>3.5548184716220559E-2</v>
      </c>
      <c r="R8476" s="29">
        <v>0.15003660775771735</v>
      </c>
      <c r="S8476" s="30">
        <v>5.3999999999999999E-2</v>
      </c>
    </row>
    <row r="8477" spans="16:19" x14ac:dyDescent="0.25">
      <c r="P8477" s="27">
        <v>3.2548184716220556E-2</v>
      </c>
      <c r="Q8477" s="28">
        <f t="shared" si="136"/>
        <v>3.5548184716220559E-2</v>
      </c>
      <c r="R8477" s="29">
        <v>0.15003660775771735</v>
      </c>
      <c r="S8477" s="30">
        <v>4.9000000000000002E-2</v>
      </c>
    </row>
    <row r="8478" spans="16:19" x14ac:dyDescent="0.25">
      <c r="P8478" s="27">
        <v>3.2548184716220556E-2</v>
      </c>
      <c r="Q8478" s="28">
        <f t="shared" si="136"/>
        <v>3.5548184716220559E-2</v>
      </c>
      <c r="R8478" s="29">
        <v>0.15003660775771735</v>
      </c>
      <c r="S8478" s="30">
        <v>4.8170000000000004E-2</v>
      </c>
    </row>
    <row r="8479" spans="16:19" x14ac:dyDescent="0.25">
      <c r="P8479" s="27">
        <v>3.2548184716220556E-2</v>
      </c>
      <c r="Q8479" s="28">
        <f t="shared" si="136"/>
        <v>3.5548184716220559E-2</v>
      </c>
      <c r="R8479" s="29">
        <v>0.15003660775771735</v>
      </c>
      <c r="S8479" s="30">
        <v>4.2529999999999998E-2</v>
      </c>
    </row>
    <row r="8480" spans="16:19" x14ac:dyDescent="0.25">
      <c r="P8480" s="27">
        <v>3.2548184716220556E-2</v>
      </c>
      <c r="Q8480" s="28">
        <f t="shared" si="136"/>
        <v>3.5548184716220559E-2</v>
      </c>
      <c r="R8480" s="29">
        <v>0.15003660775771735</v>
      </c>
      <c r="S8480" s="30">
        <v>4.4676029999999999E-2</v>
      </c>
    </row>
    <row r="8481" spans="16:19" x14ac:dyDescent="0.25">
      <c r="P8481" s="27">
        <v>3.2548184716220556E-2</v>
      </c>
      <c r="Q8481" s="28">
        <f t="shared" si="136"/>
        <v>3.5548184716220559E-2</v>
      </c>
      <c r="R8481" s="29">
        <v>0.15003660775771735</v>
      </c>
      <c r="S8481" s="30">
        <v>4.8170000000000004E-2</v>
      </c>
    </row>
    <row r="8482" spans="16:19" x14ac:dyDescent="0.25">
      <c r="P8482" s="27">
        <v>3.2548184716220556E-2</v>
      </c>
      <c r="Q8482" s="28">
        <f t="shared" si="136"/>
        <v>3.5548184716220559E-2</v>
      </c>
      <c r="R8482" s="29">
        <v>0.15003660775771735</v>
      </c>
      <c r="S8482" s="30">
        <v>5.6989999999999999E-2</v>
      </c>
    </row>
    <row r="8483" spans="16:19" x14ac:dyDescent="0.25">
      <c r="P8483" s="27">
        <v>3.2548184716220556E-2</v>
      </c>
      <c r="Q8483" s="28">
        <f t="shared" si="136"/>
        <v>3.5548184716220559E-2</v>
      </c>
      <c r="R8483" s="31">
        <v>0.15939660775771733</v>
      </c>
      <c r="S8483" s="32">
        <v>6.5461950000000005E-2</v>
      </c>
    </row>
    <row r="8484" spans="16:19" x14ac:dyDescent="0.25">
      <c r="P8484" s="27">
        <v>3.2548184716220556E-2</v>
      </c>
      <c r="Q8484" s="28">
        <f t="shared" si="136"/>
        <v>3.5548184716220559E-2</v>
      </c>
      <c r="R8484" s="33">
        <v>0.16282860775771735</v>
      </c>
      <c r="S8484" s="34">
        <v>6.6030000000000005E-2</v>
      </c>
    </row>
    <row r="8485" spans="16:19" x14ac:dyDescent="0.25">
      <c r="P8485" s="27">
        <v>3.2548184716220556E-2</v>
      </c>
      <c r="Q8485" s="28">
        <f t="shared" si="136"/>
        <v>3.5548184716220559E-2</v>
      </c>
      <c r="R8485" s="33">
        <v>0.16282860775771735</v>
      </c>
      <c r="S8485" s="34">
        <v>6.9889999999999994E-2</v>
      </c>
    </row>
    <row r="8486" spans="16:19" x14ac:dyDescent="0.25">
      <c r="P8486" s="27">
        <v>3.2548184716220556E-2</v>
      </c>
      <c r="Q8486" s="28">
        <f t="shared" si="136"/>
        <v>3.5548184716220559E-2</v>
      </c>
      <c r="R8486" s="33">
        <v>0.16282860775771735</v>
      </c>
      <c r="S8486" s="34">
        <v>5.9889999999999999E-2</v>
      </c>
    </row>
    <row r="8487" spans="16:19" x14ac:dyDescent="0.25">
      <c r="P8487" s="27">
        <v>3.2548184716220556E-2</v>
      </c>
      <c r="Q8487" s="28">
        <f t="shared" si="136"/>
        <v>3.5548184716220559E-2</v>
      </c>
      <c r="R8487" s="33">
        <v>0.16282860775771735</v>
      </c>
      <c r="S8487" s="34">
        <v>5.5920000000000004E-2</v>
      </c>
    </row>
    <row r="8488" spans="16:19" x14ac:dyDescent="0.25">
      <c r="P8488" s="27">
        <v>3.2548184716220556E-2</v>
      </c>
      <c r="Q8488" s="28">
        <f t="shared" si="136"/>
        <v>3.5548184716220559E-2</v>
      </c>
      <c r="R8488" s="33">
        <v>0.16282860775771735</v>
      </c>
      <c r="S8488" s="34">
        <v>5.3450000000000004E-2</v>
      </c>
    </row>
    <row r="8489" spans="16:19" x14ac:dyDescent="0.25">
      <c r="P8489" s="27">
        <v>3.2548184716220556E-2</v>
      </c>
      <c r="Q8489" s="28">
        <f t="shared" si="136"/>
        <v>3.5548184716220559E-2</v>
      </c>
      <c r="R8489" s="33">
        <v>0.16282860775771735</v>
      </c>
      <c r="S8489" s="34">
        <v>5.1799999999999999E-2</v>
      </c>
    </row>
    <row r="8490" spans="16:19" x14ac:dyDescent="0.25">
      <c r="P8490" s="27">
        <v>3.2548184716220556E-2</v>
      </c>
      <c r="Q8490" s="28">
        <f t="shared" si="136"/>
        <v>3.5548184716220559E-2</v>
      </c>
      <c r="R8490" s="33">
        <v>0.16282860775771735</v>
      </c>
      <c r="S8490" s="34">
        <v>5.6329999999999998E-2</v>
      </c>
    </row>
    <row r="8491" spans="16:19" x14ac:dyDescent="0.25">
      <c r="P8491" s="27">
        <v>3.2548184716220556E-2</v>
      </c>
      <c r="Q8491" s="28">
        <f t="shared" si="136"/>
        <v>3.5548184716220559E-2</v>
      </c>
      <c r="R8491" s="33">
        <v>0.16282860775771735</v>
      </c>
      <c r="S8491" s="34">
        <v>5.9209999999999999E-2</v>
      </c>
    </row>
    <row r="8492" spans="16:19" x14ac:dyDescent="0.25">
      <c r="P8492" s="27">
        <v>3.2548184716220556E-2</v>
      </c>
      <c r="Q8492" s="28">
        <f t="shared" si="136"/>
        <v>3.5548184716220559E-2</v>
      </c>
      <c r="R8492" s="33">
        <v>0.16282860775771735</v>
      </c>
      <c r="S8492" s="34">
        <v>6.7099999999999993E-2</v>
      </c>
    </row>
    <row r="8493" spans="16:19" x14ac:dyDescent="0.25">
      <c r="P8493" s="27">
        <v>3.2548184716220556E-2</v>
      </c>
      <c r="Q8493" s="28">
        <f t="shared" si="136"/>
        <v>3.5548184716220559E-2</v>
      </c>
      <c r="R8493" s="33">
        <v>0.16282860775771735</v>
      </c>
      <c r="S8493" s="34">
        <v>8.6900000000000005E-2</v>
      </c>
    </row>
    <row r="8494" spans="16:19" x14ac:dyDescent="0.25">
      <c r="P8494" s="27">
        <v>3.2548184716220556E-2</v>
      </c>
      <c r="Q8494" s="28">
        <f t="shared" si="136"/>
        <v>3.5548184716220559E-2</v>
      </c>
      <c r="R8494" s="33">
        <v>0.16282860775771735</v>
      </c>
      <c r="S8494" s="34">
        <v>7.2749999999999995E-2</v>
      </c>
    </row>
    <row r="8495" spans="16:19" x14ac:dyDescent="0.25">
      <c r="P8495" s="27">
        <v>3.2548184716220556E-2</v>
      </c>
      <c r="Q8495" s="28">
        <f t="shared" si="136"/>
        <v>3.5548184716220559E-2</v>
      </c>
      <c r="R8495" s="31">
        <v>0.15939660775771733</v>
      </c>
      <c r="S8495" s="32">
        <v>7.0250000000000007E-2</v>
      </c>
    </row>
    <row r="8496" spans="16:19" x14ac:dyDescent="0.25">
      <c r="P8496" s="27">
        <v>3.2548184716220556E-2</v>
      </c>
      <c r="Q8496" s="28">
        <f t="shared" si="136"/>
        <v>3.5548184716220559E-2</v>
      </c>
      <c r="R8496" s="31">
        <v>0.15939660775771733</v>
      </c>
      <c r="S8496" s="32">
        <v>6.4989999999999992E-2</v>
      </c>
    </row>
    <row r="8497" spans="16:19" x14ac:dyDescent="0.25">
      <c r="P8497" s="27">
        <v>3.2548184716220556E-2</v>
      </c>
      <c r="Q8497" s="28">
        <f t="shared" si="136"/>
        <v>3.5548184716220559E-2</v>
      </c>
      <c r="R8497" s="31">
        <v>0.15939660775771733</v>
      </c>
      <c r="S8497" s="32">
        <v>5.8700000000000002E-2</v>
      </c>
    </row>
    <row r="8498" spans="16:19" x14ac:dyDescent="0.25">
      <c r="P8498" s="27">
        <v>3.2548184716220556E-2</v>
      </c>
      <c r="Q8498" s="28">
        <f t="shared" si="136"/>
        <v>3.5548184716220559E-2</v>
      </c>
      <c r="R8498" s="31">
        <v>0.15939660775771733</v>
      </c>
      <c r="S8498" s="32">
        <v>5.9889999999999999E-2</v>
      </c>
    </row>
    <row r="8499" spans="16:19" x14ac:dyDescent="0.25">
      <c r="P8499" s="27">
        <v>3.2548184716220556E-2</v>
      </c>
      <c r="Q8499" s="28">
        <f t="shared" si="136"/>
        <v>3.5548184716220559E-2</v>
      </c>
      <c r="R8499" s="29">
        <v>0.15003660775771735</v>
      </c>
      <c r="S8499" s="30">
        <v>5.364E-2</v>
      </c>
    </row>
    <row r="8500" spans="16:19" x14ac:dyDescent="0.25">
      <c r="P8500" s="27">
        <v>3.2548184716220556E-2</v>
      </c>
      <c r="Q8500" s="28">
        <f t="shared" si="136"/>
        <v>3.5548184716220559E-2</v>
      </c>
      <c r="R8500" s="29">
        <v>0.15003660775771735</v>
      </c>
      <c r="S8500" s="30">
        <v>5.3999999999999999E-2</v>
      </c>
    </row>
    <row r="8501" spans="16:19" x14ac:dyDescent="0.25">
      <c r="P8501" s="27">
        <v>3.2548184716220556E-2</v>
      </c>
      <c r="Q8501" s="28">
        <f t="shared" si="136"/>
        <v>3.5548184716220559E-2</v>
      </c>
      <c r="R8501" s="29">
        <v>0.15003660775771735</v>
      </c>
      <c r="S8501" s="30">
        <v>4.7168314000000003E-2</v>
      </c>
    </row>
    <row r="8502" spans="16:19" x14ac:dyDescent="0.25">
      <c r="P8502" s="27">
        <v>3.2548184716220556E-2</v>
      </c>
      <c r="Q8502" s="28">
        <f t="shared" si="136"/>
        <v>3.5548184716220559E-2</v>
      </c>
      <c r="R8502" s="29">
        <v>0.15003660775771735</v>
      </c>
      <c r="S8502" s="30">
        <v>4.301E-2</v>
      </c>
    </row>
    <row r="8503" spans="16:19" x14ac:dyDescent="0.25">
      <c r="P8503" s="27">
        <v>3.2548184716220556E-2</v>
      </c>
      <c r="Q8503" s="28">
        <f t="shared" si="136"/>
        <v>3.5548184716220559E-2</v>
      </c>
      <c r="R8503" s="29">
        <v>0.15003660775771735</v>
      </c>
      <c r="S8503" s="30">
        <v>4.2360000000000002E-2</v>
      </c>
    </row>
    <row r="8504" spans="16:19" x14ac:dyDescent="0.25">
      <c r="P8504" s="27">
        <v>3.2548184716220556E-2</v>
      </c>
      <c r="Q8504" s="28">
        <f t="shared" si="136"/>
        <v>3.5548184716220559E-2</v>
      </c>
      <c r="R8504" s="29">
        <v>0.15003660775771735</v>
      </c>
      <c r="S8504" s="30">
        <v>4.181E-2</v>
      </c>
    </row>
    <row r="8505" spans="16:19" x14ac:dyDescent="0.25">
      <c r="P8505" s="27">
        <v>3.2548184716220556E-2</v>
      </c>
      <c r="Q8505" s="28">
        <f t="shared" si="136"/>
        <v>3.5548184716220559E-2</v>
      </c>
      <c r="R8505" s="29">
        <v>0.15003660775771735</v>
      </c>
      <c r="S8505" s="30">
        <v>4.283E-2</v>
      </c>
    </row>
    <row r="8506" spans="16:19" x14ac:dyDescent="0.25">
      <c r="P8506" s="27">
        <v>3.2548184716220556E-2</v>
      </c>
      <c r="Q8506" s="28">
        <f t="shared" si="136"/>
        <v>3.5548184716220559E-2</v>
      </c>
      <c r="R8506" s="29">
        <v>0.15003660775771735</v>
      </c>
      <c r="S8506" s="30">
        <v>4.8989999999999999E-2</v>
      </c>
    </row>
    <row r="8507" spans="16:19" x14ac:dyDescent="0.25">
      <c r="P8507" s="27">
        <v>3.2548184716220556E-2</v>
      </c>
      <c r="Q8507" s="28">
        <f t="shared" si="136"/>
        <v>3.5548184716220559E-2</v>
      </c>
      <c r="R8507" s="31">
        <v>0.15939660775771733</v>
      </c>
      <c r="S8507" s="32">
        <v>5.5530000000000003E-2</v>
      </c>
    </row>
    <row r="8508" spans="16:19" x14ac:dyDescent="0.25">
      <c r="P8508" s="27">
        <v>3.2548184716220556E-2</v>
      </c>
      <c r="Q8508" s="28">
        <f t="shared" si="136"/>
        <v>3.5548184716220559E-2</v>
      </c>
      <c r="R8508" s="33">
        <v>0.16282860775771735</v>
      </c>
      <c r="S8508" s="34">
        <v>5.6369999999999996E-2</v>
      </c>
    </row>
    <row r="8509" spans="16:19" x14ac:dyDescent="0.25">
      <c r="P8509" s="27">
        <v>3.2548184716220556E-2</v>
      </c>
      <c r="Q8509" s="28">
        <f t="shared" si="136"/>
        <v>3.5548184716220559E-2</v>
      </c>
      <c r="R8509" s="33">
        <v>0.16282860775771735</v>
      </c>
      <c r="S8509" s="34">
        <v>5.9709999999999999E-2</v>
      </c>
    </row>
    <row r="8510" spans="16:19" x14ac:dyDescent="0.25">
      <c r="P8510" s="27">
        <v>3.2548184716220556E-2</v>
      </c>
      <c r="Q8510" s="28">
        <f t="shared" si="136"/>
        <v>3.5548184716220559E-2</v>
      </c>
      <c r="R8510" s="33">
        <v>0.16282860775771735</v>
      </c>
      <c r="S8510" s="34">
        <v>5.6189999999999997E-2</v>
      </c>
    </row>
    <row r="8511" spans="16:19" x14ac:dyDescent="0.25">
      <c r="P8511" s="27">
        <v>3.2548184716220556E-2</v>
      </c>
      <c r="Q8511" s="28">
        <f t="shared" si="136"/>
        <v>3.5548184716220559E-2</v>
      </c>
      <c r="R8511" s="33">
        <v>0.16282860775771735</v>
      </c>
      <c r="S8511" s="34">
        <v>5.3999999999999999E-2</v>
      </c>
    </row>
    <row r="8512" spans="16:19" x14ac:dyDescent="0.25">
      <c r="P8512" s="27">
        <v>3.2548184716220556E-2</v>
      </c>
      <c r="Q8512" s="28">
        <f t="shared" si="136"/>
        <v>3.5548184716220559E-2</v>
      </c>
      <c r="R8512" s="33">
        <v>0.16282860775771735</v>
      </c>
      <c r="S8512" s="34">
        <v>5.271E-2</v>
      </c>
    </row>
    <row r="8513" spans="16:19" x14ac:dyDescent="0.25">
      <c r="P8513" s="27">
        <v>3.2548184716220556E-2</v>
      </c>
      <c r="Q8513" s="28">
        <f t="shared" si="136"/>
        <v>3.5548184716220559E-2</v>
      </c>
      <c r="R8513" s="33">
        <v>0.16282860775771735</v>
      </c>
      <c r="S8513" s="34">
        <v>4.8149999999999998E-2</v>
      </c>
    </row>
    <row r="8514" spans="16:19" x14ac:dyDescent="0.25">
      <c r="P8514" s="27">
        <v>3.2548184716220556E-2</v>
      </c>
      <c r="Q8514" s="28">
        <f t="shared" si="136"/>
        <v>3.5548184716220559E-2</v>
      </c>
      <c r="R8514" s="33">
        <v>0.16282860775771735</v>
      </c>
      <c r="S8514" s="34">
        <v>5.1389999999999998E-2</v>
      </c>
    </row>
    <row r="8515" spans="16:19" x14ac:dyDescent="0.25">
      <c r="P8515" s="27">
        <v>3.2548184716220556E-2</v>
      </c>
      <c r="Q8515" s="28">
        <f t="shared" si="136"/>
        <v>3.5548184716220559E-2</v>
      </c>
      <c r="R8515" s="33">
        <v>0.16282860775771735</v>
      </c>
      <c r="S8515" s="34">
        <v>5.5100000000000003E-2</v>
      </c>
    </row>
    <row r="8516" spans="16:19" x14ac:dyDescent="0.25">
      <c r="P8516" s="27">
        <v>3.2548184716220556E-2</v>
      </c>
      <c r="Q8516" s="28">
        <f t="shared" si="136"/>
        <v>3.5548184716220559E-2</v>
      </c>
      <c r="R8516" s="33">
        <v>0.16282860775771735</v>
      </c>
      <c r="S8516" s="34">
        <v>6.0149999999999995E-2</v>
      </c>
    </row>
    <row r="8517" spans="16:19" x14ac:dyDescent="0.25">
      <c r="P8517" s="27">
        <v>3.2548184716220556E-2</v>
      </c>
      <c r="Q8517" s="28">
        <f t="shared" ref="Q8517:Q8580" si="137">P8517+0.003</f>
        <v>3.5548184716220559E-2</v>
      </c>
      <c r="R8517" s="33">
        <v>0.16282860775771735</v>
      </c>
      <c r="S8517" s="34">
        <v>6.8699999999999997E-2</v>
      </c>
    </row>
    <row r="8518" spans="16:19" x14ac:dyDescent="0.25">
      <c r="P8518" s="27">
        <v>3.2548184716220556E-2</v>
      </c>
      <c r="Q8518" s="28">
        <f t="shared" si="137"/>
        <v>3.5548184716220559E-2</v>
      </c>
      <c r="R8518" s="33">
        <v>0.16282860775771735</v>
      </c>
      <c r="S8518" s="34">
        <v>6.8000000000000005E-2</v>
      </c>
    </row>
    <row r="8519" spans="16:19" x14ac:dyDescent="0.25">
      <c r="P8519" s="27">
        <v>3.2548184716220556E-2</v>
      </c>
      <c r="Q8519" s="28">
        <f t="shared" si="137"/>
        <v>3.5548184716220559E-2</v>
      </c>
      <c r="R8519" s="31">
        <v>0.15939660775771733</v>
      </c>
      <c r="S8519" s="32">
        <v>6.8000000000000005E-2</v>
      </c>
    </row>
    <row r="8520" spans="16:19" x14ac:dyDescent="0.25">
      <c r="P8520" s="27">
        <v>3.2548184716220556E-2</v>
      </c>
      <c r="Q8520" s="28">
        <f t="shared" si="137"/>
        <v>3.5548184716220559E-2</v>
      </c>
      <c r="R8520" s="31">
        <v>0.15939660775771733</v>
      </c>
      <c r="S8520" s="32">
        <v>6.9949999999999998E-2</v>
      </c>
    </row>
    <row r="8521" spans="16:19" x14ac:dyDescent="0.25">
      <c r="P8521" s="27">
        <v>3.2548184716220556E-2</v>
      </c>
      <c r="Q8521" s="28">
        <f t="shared" si="137"/>
        <v>3.5548184716220559E-2</v>
      </c>
      <c r="R8521" s="31">
        <v>0.15939660775771733</v>
      </c>
      <c r="S8521" s="32">
        <v>6.4810000000000006E-2</v>
      </c>
    </row>
    <row r="8522" spans="16:19" x14ac:dyDescent="0.25">
      <c r="P8522" s="27">
        <v>3.2548184716220556E-2</v>
      </c>
      <c r="Q8522" s="28">
        <f t="shared" si="137"/>
        <v>3.5548184716220559E-2</v>
      </c>
      <c r="R8522" s="31">
        <v>0.15939660775771733</v>
      </c>
      <c r="S8522" s="32">
        <v>5.9080000000000001E-2</v>
      </c>
    </row>
    <row r="8523" spans="16:19" x14ac:dyDescent="0.25">
      <c r="P8523" s="27">
        <v>3.2548184716220556E-2</v>
      </c>
      <c r="Q8523" s="28">
        <f t="shared" si="137"/>
        <v>3.5548184716220559E-2</v>
      </c>
      <c r="R8523" s="29">
        <v>0.15003660775771735</v>
      </c>
      <c r="S8523" s="30">
        <v>5.1999999999999998E-2</v>
      </c>
    </row>
    <row r="8524" spans="16:19" x14ac:dyDescent="0.25">
      <c r="P8524" s="27">
        <v>3.2548184716220556E-2</v>
      </c>
      <c r="Q8524" s="28">
        <f t="shared" si="137"/>
        <v>3.5548184716220559E-2</v>
      </c>
      <c r="R8524" s="29">
        <v>0.15003660775771735</v>
      </c>
      <c r="S8524" s="30">
        <v>4.9829999999999999E-2</v>
      </c>
    </row>
    <row r="8525" spans="16:19" x14ac:dyDescent="0.25">
      <c r="P8525" s="27">
        <v>3.2548184716220556E-2</v>
      </c>
      <c r="Q8525" s="28">
        <f t="shared" si="137"/>
        <v>3.5548184716220559E-2</v>
      </c>
      <c r="R8525" s="29">
        <v>0.15003660775771735</v>
      </c>
      <c r="S8525" s="30">
        <v>4.1779999999999998E-2</v>
      </c>
    </row>
    <row r="8526" spans="16:19" x14ac:dyDescent="0.25">
      <c r="P8526" s="27">
        <v>3.2548184716220556E-2</v>
      </c>
      <c r="Q8526" s="28">
        <f t="shared" si="137"/>
        <v>3.5548184716220559E-2</v>
      </c>
      <c r="R8526" s="29">
        <v>0.15003660775771735</v>
      </c>
      <c r="S8526" s="30">
        <v>4.1779999999999998E-2</v>
      </c>
    </row>
    <row r="8527" spans="16:19" x14ac:dyDescent="0.25">
      <c r="P8527" s="27">
        <v>3.2548184716220556E-2</v>
      </c>
      <c r="Q8527" s="28">
        <f t="shared" si="137"/>
        <v>3.5548184716220559E-2</v>
      </c>
      <c r="R8527" s="29">
        <v>0.15003660775771735</v>
      </c>
      <c r="S8527" s="30">
        <v>4.181E-2</v>
      </c>
    </row>
    <row r="8528" spans="16:19" x14ac:dyDescent="0.25">
      <c r="P8528" s="27">
        <v>3.2548184716220556E-2</v>
      </c>
      <c r="Q8528" s="28">
        <f t="shared" si="137"/>
        <v>3.5548184716220559E-2</v>
      </c>
      <c r="R8528" s="29">
        <v>0.15003660775771735</v>
      </c>
      <c r="S8528" s="30">
        <v>4.0600000000000004E-2</v>
      </c>
    </row>
    <row r="8529" spans="16:19" x14ac:dyDescent="0.25">
      <c r="P8529" s="27">
        <v>3.2548184716220556E-2</v>
      </c>
      <c r="Q8529" s="28">
        <f t="shared" si="137"/>
        <v>3.5548184716220559E-2</v>
      </c>
      <c r="R8529" s="29">
        <v>0.15003660775771735</v>
      </c>
      <c r="S8529" s="30">
        <v>4.5370000000000001E-2</v>
      </c>
    </row>
    <row r="8530" spans="16:19" x14ac:dyDescent="0.25">
      <c r="P8530" s="27">
        <v>3.2548184716220556E-2</v>
      </c>
      <c r="Q8530" s="28">
        <f t="shared" si="137"/>
        <v>3.5548184716220559E-2</v>
      </c>
      <c r="R8530" s="29">
        <v>0.15003660775771735</v>
      </c>
      <c r="S8530" s="30">
        <v>5.6079999999999998E-2</v>
      </c>
    </row>
    <row r="8531" spans="16:19" x14ac:dyDescent="0.25">
      <c r="P8531" s="27">
        <v>3.2548184716220556E-2</v>
      </c>
      <c r="Q8531" s="28">
        <f t="shared" si="137"/>
        <v>3.5548184716220559E-2</v>
      </c>
      <c r="R8531" s="31">
        <v>0.15939999999999999</v>
      </c>
      <c r="S8531" s="32">
        <v>7.5260000000000007E-2</v>
      </c>
    </row>
    <row r="8532" spans="16:19" x14ac:dyDescent="0.25">
      <c r="P8532" s="27">
        <v>3.2548184716220556E-2</v>
      </c>
      <c r="Q8532" s="28">
        <f t="shared" si="137"/>
        <v>3.5548184716220559E-2</v>
      </c>
      <c r="R8532" s="31">
        <v>0.15939999999999999</v>
      </c>
      <c r="S8532" s="32">
        <v>7.109E-2</v>
      </c>
    </row>
    <row r="8533" spans="16:19" x14ac:dyDescent="0.25">
      <c r="P8533" s="27">
        <v>3.2548184716220556E-2</v>
      </c>
      <c r="Q8533" s="28">
        <f t="shared" si="137"/>
        <v>3.5548184716220559E-2</v>
      </c>
      <c r="R8533" s="31">
        <v>0.15939999999999999</v>
      </c>
      <c r="S8533" s="32">
        <v>6.7900000000000002E-2</v>
      </c>
    </row>
    <row r="8534" spans="16:19" x14ac:dyDescent="0.25">
      <c r="P8534" s="27">
        <v>3.2548184716220556E-2</v>
      </c>
      <c r="Q8534" s="28">
        <f t="shared" si="137"/>
        <v>3.5548184716220559E-2</v>
      </c>
      <c r="R8534" s="31">
        <v>0.15939999999999999</v>
      </c>
      <c r="S8534" s="32">
        <v>6.1120000000000001E-2</v>
      </c>
    </row>
    <row r="8535" spans="16:19" x14ac:dyDescent="0.25">
      <c r="P8535" s="27">
        <v>3.2548184716220556E-2</v>
      </c>
      <c r="Q8535" s="28">
        <f t="shared" si="137"/>
        <v>3.5548184716220559E-2</v>
      </c>
      <c r="R8535" s="31">
        <v>0.15939999999999999</v>
      </c>
      <c r="S8535" s="32">
        <v>5.7280000000000005E-2</v>
      </c>
    </row>
    <row r="8536" spans="16:19" x14ac:dyDescent="0.25">
      <c r="P8536" s="27">
        <v>3.2548184716220556E-2</v>
      </c>
      <c r="Q8536" s="28">
        <f t="shared" si="137"/>
        <v>3.5548184716220559E-2</v>
      </c>
      <c r="R8536" s="31">
        <v>0.15939999999999999</v>
      </c>
      <c r="S8536" s="32">
        <v>5.4460000000000001E-2</v>
      </c>
    </row>
    <row r="8537" spans="16:19" x14ac:dyDescent="0.25">
      <c r="P8537" s="27">
        <v>3.2548184716220556E-2</v>
      </c>
      <c r="Q8537" s="28">
        <f t="shared" si="137"/>
        <v>3.5548184716220559E-2</v>
      </c>
      <c r="R8537" s="31">
        <v>0.15939999999999999</v>
      </c>
      <c r="S8537" s="32">
        <v>5.5670000000000004E-2</v>
      </c>
    </row>
    <row r="8538" spans="16:19" x14ac:dyDescent="0.25">
      <c r="P8538" s="27">
        <v>3.2548184716220556E-2</v>
      </c>
      <c r="Q8538" s="28">
        <f t="shared" si="137"/>
        <v>3.5548184716220559E-2</v>
      </c>
      <c r="R8538" s="31">
        <v>0.15939999999999999</v>
      </c>
      <c r="S8538" s="32">
        <v>6.498000000000001E-2</v>
      </c>
    </row>
    <row r="8539" spans="16:19" x14ac:dyDescent="0.25">
      <c r="P8539" s="27">
        <v>3.2548184716220556E-2</v>
      </c>
      <c r="Q8539" s="28">
        <f t="shared" si="137"/>
        <v>3.5548184716220559E-2</v>
      </c>
      <c r="R8539" s="31">
        <v>0.15939999999999999</v>
      </c>
      <c r="S8539" s="32">
        <v>6.8940000000000001E-2</v>
      </c>
    </row>
    <row r="8540" spans="16:19" x14ac:dyDescent="0.25">
      <c r="P8540" s="27">
        <v>3.2548184716220556E-2</v>
      </c>
      <c r="Q8540" s="28">
        <f t="shared" si="137"/>
        <v>3.5548184716220559E-2</v>
      </c>
      <c r="R8540" s="31">
        <v>0.15939999999999999</v>
      </c>
      <c r="S8540" s="32">
        <v>7.6607414000000013E-2</v>
      </c>
    </row>
    <row r="8541" spans="16:19" x14ac:dyDescent="0.25">
      <c r="P8541" s="27">
        <v>3.2548184716220556E-2</v>
      </c>
      <c r="Q8541" s="28">
        <f t="shared" si="137"/>
        <v>3.5548184716220559E-2</v>
      </c>
      <c r="R8541" s="31">
        <v>0.15939999999999999</v>
      </c>
      <c r="S8541" s="32">
        <v>7.5439999999999993E-2</v>
      </c>
    </row>
    <row r="8542" spans="16:19" x14ac:dyDescent="0.25">
      <c r="P8542" s="27">
        <v>3.2548184716220556E-2</v>
      </c>
      <c r="Q8542" s="28">
        <f t="shared" si="137"/>
        <v>3.5548184716220559E-2</v>
      </c>
      <c r="R8542" s="31">
        <v>0.15939999999999999</v>
      </c>
      <c r="S8542" s="32">
        <v>6.7839999999999998E-2</v>
      </c>
    </row>
    <row r="8543" spans="16:19" x14ac:dyDescent="0.25">
      <c r="P8543" s="27">
        <v>3.2548184716220556E-2</v>
      </c>
      <c r="Q8543" s="28">
        <f t="shared" si="137"/>
        <v>3.5548184716220559E-2</v>
      </c>
      <c r="R8543" s="31">
        <v>0.15939999999999999</v>
      </c>
      <c r="S8543" s="32">
        <v>6.5000000000000002E-2</v>
      </c>
    </row>
    <row r="8544" spans="16:19" x14ac:dyDescent="0.25">
      <c r="P8544" s="27">
        <v>3.2548184716220556E-2</v>
      </c>
      <c r="Q8544" s="28">
        <f t="shared" si="137"/>
        <v>3.5548184716220559E-2</v>
      </c>
      <c r="R8544" s="31">
        <v>0.15939999999999999</v>
      </c>
      <c r="S8544" s="32">
        <v>6.0289999999999996E-2</v>
      </c>
    </row>
    <row r="8545" spans="16:19" x14ac:dyDescent="0.25">
      <c r="P8545" s="27">
        <v>3.2548184716220556E-2</v>
      </c>
      <c r="Q8545" s="28">
        <f t="shared" si="137"/>
        <v>3.5548184716220559E-2</v>
      </c>
      <c r="R8545" s="31">
        <v>0.15939999999999999</v>
      </c>
      <c r="S8545" s="32">
        <v>5.8700000000000002E-2</v>
      </c>
    </row>
    <row r="8546" spans="16:19" x14ac:dyDescent="0.25">
      <c r="P8546" s="27">
        <v>3.2548184716220556E-2</v>
      </c>
      <c r="Q8546" s="28">
        <f t="shared" si="137"/>
        <v>3.5548184716220559E-2</v>
      </c>
      <c r="R8546" s="31">
        <v>0.15939999999999999</v>
      </c>
      <c r="S8546" s="32">
        <v>6.08E-2</v>
      </c>
    </row>
    <row r="8547" spans="16:19" x14ac:dyDescent="0.25">
      <c r="P8547" s="27">
        <v>3.2548184716220556E-2</v>
      </c>
      <c r="Q8547" s="28">
        <f t="shared" si="137"/>
        <v>3.5548184716220559E-2</v>
      </c>
      <c r="R8547" s="29">
        <v>0.15</v>
      </c>
      <c r="S8547" s="30">
        <v>5.1709999999999999E-2</v>
      </c>
    </row>
    <row r="8548" spans="16:19" x14ac:dyDescent="0.25">
      <c r="P8548" s="27">
        <v>3.2548184716220556E-2</v>
      </c>
      <c r="Q8548" s="28">
        <f t="shared" si="137"/>
        <v>3.5548184716220559E-2</v>
      </c>
      <c r="R8548" s="29">
        <v>0.15</v>
      </c>
      <c r="S8548" s="30">
        <v>4.9000000000000002E-2</v>
      </c>
    </row>
    <row r="8549" spans="16:19" x14ac:dyDescent="0.25">
      <c r="P8549" s="27">
        <v>3.2548184716220556E-2</v>
      </c>
      <c r="Q8549" s="28">
        <f t="shared" si="137"/>
        <v>3.5548184716220559E-2</v>
      </c>
      <c r="R8549" s="29">
        <v>0.15</v>
      </c>
      <c r="S8549" s="30">
        <v>4.0079999999999998E-2</v>
      </c>
    </row>
    <row r="8550" spans="16:19" x14ac:dyDescent="0.25">
      <c r="P8550" s="27">
        <v>3.2548184716220556E-2</v>
      </c>
      <c r="Q8550" s="28">
        <f t="shared" si="137"/>
        <v>3.5548184716220559E-2</v>
      </c>
      <c r="R8550" s="29">
        <v>0.15</v>
      </c>
      <c r="S8550" s="30">
        <v>3.8109999999999998E-2</v>
      </c>
    </row>
    <row r="8551" spans="16:19" x14ac:dyDescent="0.25">
      <c r="P8551" s="27">
        <v>3.2548184716220556E-2</v>
      </c>
      <c r="Q8551" s="28">
        <f t="shared" si="137"/>
        <v>3.5548184716220559E-2</v>
      </c>
      <c r="R8551" s="29">
        <v>0.15</v>
      </c>
      <c r="S8551" s="30">
        <v>3.6490000000000002E-2</v>
      </c>
    </row>
    <row r="8552" spans="16:19" x14ac:dyDescent="0.25">
      <c r="P8552" s="27">
        <v>3.2548184716220556E-2</v>
      </c>
      <c r="Q8552" s="28">
        <f t="shared" si="137"/>
        <v>3.5548184716220559E-2</v>
      </c>
      <c r="R8552" s="29">
        <v>0.15</v>
      </c>
      <c r="S8552" s="30">
        <v>3.9555398999999998E-2</v>
      </c>
    </row>
    <row r="8553" spans="16:19" x14ac:dyDescent="0.25">
      <c r="P8553" s="27">
        <v>3.2548184716220556E-2</v>
      </c>
      <c r="Q8553" s="28">
        <f t="shared" si="137"/>
        <v>3.5548184716220559E-2</v>
      </c>
      <c r="R8553" s="29">
        <v>0.15</v>
      </c>
      <c r="S8553" s="30">
        <v>4.2810000000000001E-2</v>
      </c>
    </row>
    <row r="8554" spans="16:19" x14ac:dyDescent="0.25">
      <c r="P8554" s="27">
        <v>3.2548184716220556E-2</v>
      </c>
      <c r="Q8554" s="28">
        <f t="shared" si="137"/>
        <v>3.5548184716220559E-2</v>
      </c>
      <c r="R8554" s="29">
        <v>0.15</v>
      </c>
      <c r="S8554" s="30">
        <v>5.4439999999999995E-2</v>
      </c>
    </row>
    <row r="8555" spans="16:19" x14ac:dyDescent="0.25">
      <c r="P8555" s="27">
        <v>3.2548184716220556E-2</v>
      </c>
      <c r="Q8555" s="28">
        <f t="shared" si="137"/>
        <v>3.5548184716220559E-2</v>
      </c>
      <c r="R8555" s="29">
        <v>0.15</v>
      </c>
      <c r="S8555" s="30">
        <v>6.5000000000000002E-2</v>
      </c>
    </row>
    <row r="8556" spans="16:19" x14ac:dyDescent="0.25">
      <c r="P8556" s="27">
        <v>3.2548184716220556E-2</v>
      </c>
      <c r="Q8556" s="28">
        <f t="shared" si="137"/>
        <v>3.5548184716220559E-2</v>
      </c>
      <c r="R8556" s="29">
        <v>0.15</v>
      </c>
      <c r="S8556" s="30">
        <v>6.7810000000000009E-2</v>
      </c>
    </row>
    <row r="8557" spans="16:19" x14ac:dyDescent="0.25">
      <c r="P8557" s="27">
        <v>3.2548184716220556E-2</v>
      </c>
      <c r="Q8557" s="28">
        <f t="shared" si="137"/>
        <v>3.5548184716220559E-2</v>
      </c>
      <c r="R8557" s="29">
        <v>0.15</v>
      </c>
      <c r="S8557" s="30">
        <v>6.4260000000000012E-2</v>
      </c>
    </row>
    <row r="8558" spans="16:19" x14ac:dyDescent="0.25">
      <c r="P8558" s="27">
        <v>3.2548184716220556E-2</v>
      </c>
      <c r="Q8558" s="28">
        <f t="shared" si="137"/>
        <v>3.5548184716220559E-2</v>
      </c>
      <c r="R8558" s="29">
        <v>0.15</v>
      </c>
      <c r="S8558" s="30">
        <v>5.7722394000000003E-2</v>
      </c>
    </row>
    <row r="8559" spans="16:19" x14ac:dyDescent="0.25">
      <c r="P8559" s="27">
        <v>3.2548184716220556E-2</v>
      </c>
      <c r="Q8559" s="28">
        <f t="shared" si="137"/>
        <v>3.5548184716220559E-2</v>
      </c>
      <c r="R8559" s="29">
        <v>0.15</v>
      </c>
      <c r="S8559" s="30">
        <v>5.4469999999999998E-2</v>
      </c>
    </row>
    <row r="8560" spans="16:19" x14ac:dyDescent="0.25">
      <c r="P8560" s="27">
        <v>3.2548184716220556E-2</v>
      </c>
      <c r="Q8560" s="28">
        <f t="shared" si="137"/>
        <v>3.5548184716220559E-2</v>
      </c>
      <c r="R8560" s="29">
        <v>0.15</v>
      </c>
      <c r="S8560" s="30">
        <v>4.99E-2</v>
      </c>
    </row>
    <row r="8561" spans="16:19" x14ac:dyDescent="0.25">
      <c r="P8561" s="27">
        <v>3.2548184716220556E-2</v>
      </c>
      <c r="Q8561" s="28">
        <f t="shared" si="137"/>
        <v>3.5548184716220559E-2</v>
      </c>
      <c r="R8561" s="29">
        <v>0.15</v>
      </c>
      <c r="S8561" s="30">
        <v>4.99E-2</v>
      </c>
    </row>
    <row r="8562" spans="16:19" x14ac:dyDescent="0.25">
      <c r="P8562" s="27">
        <v>3.2548184716220556E-2</v>
      </c>
      <c r="Q8562" s="28">
        <f t="shared" si="137"/>
        <v>3.5548184716220559E-2</v>
      </c>
      <c r="R8562" s="29">
        <v>0.15</v>
      </c>
      <c r="S8562" s="30">
        <v>5.8700000000000002E-2</v>
      </c>
    </row>
    <row r="8563" spans="16:19" x14ac:dyDescent="0.25">
      <c r="P8563" s="27">
        <v>3.2548184716220556E-2</v>
      </c>
      <c r="Q8563" s="28">
        <f t="shared" si="137"/>
        <v>3.5548184716220559E-2</v>
      </c>
      <c r="R8563" s="29">
        <v>0.15</v>
      </c>
      <c r="S8563" s="30">
        <v>6.08E-2</v>
      </c>
    </row>
    <row r="8564" spans="16:19" x14ac:dyDescent="0.25">
      <c r="P8564" s="27">
        <v>3.2548184716220556E-2</v>
      </c>
      <c r="Q8564" s="28">
        <f t="shared" si="137"/>
        <v>3.5548184716220559E-2</v>
      </c>
      <c r="R8564" s="29">
        <v>0.15</v>
      </c>
      <c r="S8564" s="30">
        <v>7.0000000000000007E-2</v>
      </c>
    </row>
    <row r="8565" spans="16:19" x14ac:dyDescent="0.25">
      <c r="P8565" s="27">
        <v>3.2548184716220556E-2</v>
      </c>
      <c r="Q8565" s="28">
        <f t="shared" si="137"/>
        <v>3.5548184716220559E-2</v>
      </c>
      <c r="R8565" s="29">
        <v>0.15</v>
      </c>
      <c r="S8565" s="30">
        <v>7.4029999999999999E-2</v>
      </c>
    </row>
    <row r="8566" spans="16:19" x14ac:dyDescent="0.25">
      <c r="P8566" s="27">
        <v>3.2548184716220556E-2</v>
      </c>
      <c r="Q8566" s="28">
        <f t="shared" si="137"/>
        <v>3.5548184716220559E-2</v>
      </c>
      <c r="R8566" s="29">
        <v>0.15</v>
      </c>
      <c r="S8566" s="30">
        <v>6.8479999999999999E-2</v>
      </c>
    </row>
    <row r="8567" spans="16:19" x14ac:dyDescent="0.25">
      <c r="P8567" s="27">
        <v>3.2548184716220556E-2</v>
      </c>
      <c r="Q8567" s="28">
        <f t="shared" si="137"/>
        <v>3.5548184716220559E-2</v>
      </c>
      <c r="R8567" s="29">
        <v>0.15</v>
      </c>
      <c r="S8567" s="30">
        <v>6.1899999999999997E-2</v>
      </c>
    </row>
    <row r="8568" spans="16:19" x14ac:dyDescent="0.25">
      <c r="P8568" s="27">
        <v>3.2548184716220556E-2</v>
      </c>
      <c r="Q8568" s="28">
        <f t="shared" si="137"/>
        <v>3.5548184716220559E-2</v>
      </c>
      <c r="R8568" s="29">
        <v>0.15</v>
      </c>
      <c r="S8568" s="30">
        <v>5.9359999999999996E-2</v>
      </c>
    </row>
    <row r="8569" spans="16:19" x14ac:dyDescent="0.25">
      <c r="P8569" s="27">
        <v>3.2548184716220556E-2</v>
      </c>
      <c r="Q8569" s="28">
        <f t="shared" si="137"/>
        <v>3.5548184716220559E-2</v>
      </c>
      <c r="R8569" s="29">
        <v>0.15</v>
      </c>
      <c r="S8569" s="30">
        <v>5.6710000000000003E-2</v>
      </c>
    </row>
    <row r="8570" spans="16:19" x14ac:dyDescent="0.25">
      <c r="P8570" s="27">
        <v>3.2548184716220556E-2</v>
      </c>
      <c r="Q8570" s="28">
        <f t="shared" si="137"/>
        <v>3.5548184716220559E-2</v>
      </c>
      <c r="R8570" s="29">
        <v>0.15</v>
      </c>
      <c r="S8570" s="30">
        <v>5.7500000000000002E-2</v>
      </c>
    </row>
    <row r="8571" spans="16:19" x14ac:dyDescent="0.25">
      <c r="P8571" s="27">
        <v>3.2548184716220556E-2</v>
      </c>
      <c r="Q8571" s="28">
        <f t="shared" si="137"/>
        <v>3.5548184716220559E-2</v>
      </c>
      <c r="R8571" s="29">
        <v>0.15</v>
      </c>
      <c r="S8571" s="30">
        <v>5.0999999999999997E-2</v>
      </c>
    </row>
    <row r="8572" spans="16:19" x14ac:dyDescent="0.25">
      <c r="P8572" s="27">
        <v>3.2548184716220556E-2</v>
      </c>
      <c r="Q8572" s="28">
        <f t="shared" si="137"/>
        <v>3.5548184716220559E-2</v>
      </c>
      <c r="R8572" s="29">
        <v>0.15</v>
      </c>
      <c r="S8572" s="30">
        <v>0.05</v>
      </c>
    </row>
    <row r="8573" spans="16:19" x14ac:dyDescent="0.25">
      <c r="P8573" s="27">
        <v>3.2548184716220556E-2</v>
      </c>
      <c r="Q8573" s="28">
        <f t="shared" si="137"/>
        <v>3.5548184716220559E-2</v>
      </c>
      <c r="R8573" s="29">
        <v>0.15</v>
      </c>
      <c r="S8573" s="30">
        <v>4.1079999999999998E-2</v>
      </c>
    </row>
    <row r="8574" spans="16:19" x14ac:dyDescent="0.25">
      <c r="P8574" s="27">
        <v>3.2548184716220556E-2</v>
      </c>
      <c r="Q8574" s="28">
        <f t="shared" si="137"/>
        <v>3.5548184716220559E-2</v>
      </c>
      <c r="R8574" s="29">
        <v>0.15</v>
      </c>
      <c r="S8574" s="30">
        <v>4.0780000000000004E-2</v>
      </c>
    </row>
    <row r="8575" spans="16:19" x14ac:dyDescent="0.25">
      <c r="P8575" s="27">
        <v>3.2548184716220556E-2</v>
      </c>
      <c r="Q8575" s="28">
        <f t="shared" si="137"/>
        <v>3.5548184716220559E-2</v>
      </c>
      <c r="R8575" s="29">
        <v>0.15</v>
      </c>
      <c r="S8575" s="30">
        <v>3.8869999999999995E-2</v>
      </c>
    </row>
    <row r="8576" spans="16:19" x14ac:dyDescent="0.25">
      <c r="P8576" s="27">
        <v>3.2548184716220556E-2</v>
      </c>
      <c r="Q8576" s="28">
        <f t="shared" si="137"/>
        <v>3.5548184716220559E-2</v>
      </c>
      <c r="R8576" s="29">
        <v>0.15</v>
      </c>
      <c r="S8576" s="30">
        <v>0.04</v>
      </c>
    </row>
    <row r="8577" spans="16:19" x14ac:dyDescent="0.25">
      <c r="P8577" s="27">
        <v>3.2548184716220556E-2</v>
      </c>
      <c r="Q8577" s="28">
        <f t="shared" si="137"/>
        <v>3.5548184716220559E-2</v>
      </c>
      <c r="R8577" s="29">
        <v>0.15</v>
      </c>
      <c r="S8577" s="30">
        <v>4.2079999999999999E-2</v>
      </c>
    </row>
    <row r="8578" spans="16:19" x14ac:dyDescent="0.25">
      <c r="P8578" s="27">
        <v>3.2548184716220556E-2</v>
      </c>
      <c r="Q8578" s="28">
        <f t="shared" si="137"/>
        <v>3.5548184716220559E-2</v>
      </c>
      <c r="R8578" s="29">
        <v>0.15</v>
      </c>
      <c r="S8578" s="30">
        <v>5.2240000000000002E-2</v>
      </c>
    </row>
    <row r="8579" spans="16:19" x14ac:dyDescent="0.25">
      <c r="P8579" s="27">
        <v>3.2548184716220556E-2</v>
      </c>
      <c r="Q8579" s="28">
        <f t="shared" si="137"/>
        <v>3.5548184716220559E-2</v>
      </c>
      <c r="R8579" s="31">
        <v>0.15939660775771733</v>
      </c>
      <c r="S8579" s="32">
        <v>6.1499999999999999E-2</v>
      </c>
    </row>
    <row r="8580" spans="16:19" x14ac:dyDescent="0.25">
      <c r="P8580" s="27">
        <v>3.2548184716220556E-2</v>
      </c>
      <c r="Q8580" s="28">
        <f t="shared" si="137"/>
        <v>3.5548184716220559E-2</v>
      </c>
      <c r="R8580" s="33">
        <v>0.16282860775771735</v>
      </c>
      <c r="S8580" s="34">
        <v>6.8339999999999998E-2</v>
      </c>
    </row>
    <row r="8581" spans="16:19" x14ac:dyDescent="0.25">
      <c r="P8581" s="27">
        <v>3.2548184716220556E-2</v>
      </c>
      <c r="Q8581" s="28">
        <f t="shared" ref="Q8581:Q8644" si="138">P8581+0.003</f>
        <v>3.5548184716220559E-2</v>
      </c>
      <c r="R8581" s="33">
        <v>0.16282860775771735</v>
      </c>
      <c r="S8581" s="34">
        <v>6.8339999999999998E-2</v>
      </c>
    </row>
    <row r="8582" spans="16:19" x14ac:dyDescent="0.25">
      <c r="P8582" s="27">
        <v>3.2548184716220556E-2</v>
      </c>
      <c r="Q8582" s="28">
        <f t="shared" si="138"/>
        <v>3.5548184716220559E-2</v>
      </c>
      <c r="R8582" s="33">
        <v>0.16282860775771735</v>
      </c>
      <c r="S8582" s="34">
        <v>6.0819999999999999E-2</v>
      </c>
    </row>
    <row r="8583" spans="16:19" x14ac:dyDescent="0.25">
      <c r="P8583" s="27">
        <v>3.2548184716220556E-2</v>
      </c>
      <c r="Q8583" s="28">
        <f t="shared" si="138"/>
        <v>3.5548184716220559E-2</v>
      </c>
      <c r="R8583" s="33">
        <v>0.16282860775771735</v>
      </c>
      <c r="S8583" s="34">
        <v>5.6329999999999998E-2</v>
      </c>
    </row>
    <row r="8584" spans="16:19" x14ac:dyDescent="0.25">
      <c r="P8584" s="27">
        <v>3.2548184716220556E-2</v>
      </c>
      <c r="Q8584" s="28">
        <f t="shared" si="138"/>
        <v>3.5548184716220559E-2</v>
      </c>
      <c r="R8584" s="33">
        <v>0.16282860775771735</v>
      </c>
      <c r="S8584" s="34">
        <v>5.3399999999999996E-2</v>
      </c>
    </row>
    <row r="8585" spans="16:19" x14ac:dyDescent="0.25">
      <c r="P8585" s="27">
        <v>3.2548184716220556E-2</v>
      </c>
      <c r="Q8585" s="28">
        <f t="shared" si="138"/>
        <v>3.5548184716220559E-2</v>
      </c>
      <c r="R8585" s="33">
        <v>0.16282860775771735</v>
      </c>
      <c r="S8585" s="34">
        <v>5.2326932999999999E-2</v>
      </c>
    </row>
    <row r="8586" spans="16:19" x14ac:dyDescent="0.25">
      <c r="P8586" s="27">
        <v>3.2548184716220556E-2</v>
      </c>
      <c r="Q8586" s="28">
        <f t="shared" si="138"/>
        <v>3.5548184716220559E-2</v>
      </c>
      <c r="R8586" s="33">
        <v>0.16282860775771735</v>
      </c>
      <c r="S8586" s="34">
        <v>6.0319999999999999E-2</v>
      </c>
    </row>
    <row r="8587" spans="16:19" x14ac:dyDescent="0.25">
      <c r="P8587" s="27">
        <v>3.2548184716220556E-2</v>
      </c>
      <c r="Q8587" s="28">
        <f t="shared" si="138"/>
        <v>3.5548184716220559E-2</v>
      </c>
      <c r="R8587" s="33">
        <v>0.16282860775771735</v>
      </c>
      <c r="S8587" s="34">
        <v>6.2399999999999997E-2</v>
      </c>
    </row>
    <row r="8588" spans="16:19" x14ac:dyDescent="0.25">
      <c r="P8588" s="27">
        <v>3.2548184716220556E-2</v>
      </c>
      <c r="Q8588" s="28">
        <f t="shared" si="138"/>
        <v>3.5548184716220559E-2</v>
      </c>
      <c r="R8588" s="33">
        <v>0.16282860775771735</v>
      </c>
      <c r="S8588" s="34">
        <v>6.8339999999999998E-2</v>
      </c>
    </row>
    <row r="8589" spans="16:19" x14ac:dyDescent="0.25">
      <c r="P8589" s="27">
        <v>3.2548184716220556E-2</v>
      </c>
      <c r="Q8589" s="28">
        <f t="shared" si="138"/>
        <v>3.5548184716220559E-2</v>
      </c>
      <c r="R8589" s="33">
        <v>0.16282860775771735</v>
      </c>
      <c r="S8589" s="34">
        <v>7.4370000000000006E-2</v>
      </c>
    </row>
    <row r="8590" spans="16:19" x14ac:dyDescent="0.25">
      <c r="P8590" s="27">
        <v>3.2548184716220556E-2</v>
      </c>
      <c r="Q8590" s="28">
        <f t="shared" si="138"/>
        <v>3.5548184716220559E-2</v>
      </c>
      <c r="R8590" s="33">
        <v>0.16282860775771735</v>
      </c>
      <c r="S8590" s="34">
        <v>7.0000000000000007E-2</v>
      </c>
    </row>
    <row r="8591" spans="16:19" x14ac:dyDescent="0.25">
      <c r="P8591" s="27">
        <v>3.2548184716220556E-2</v>
      </c>
      <c r="Q8591" s="28">
        <f t="shared" si="138"/>
        <v>3.5548184716220559E-2</v>
      </c>
      <c r="R8591" s="31">
        <v>0.15939660775771733</v>
      </c>
      <c r="S8591" s="32">
        <v>6.7849999999999994E-2</v>
      </c>
    </row>
    <row r="8592" spans="16:19" x14ac:dyDescent="0.25">
      <c r="P8592" s="27">
        <v>3.2548184716220556E-2</v>
      </c>
      <c r="Q8592" s="28">
        <f t="shared" si="138"/>
        <v>3.5548184716220559E-2</v>
      </c>
      <c r="R8592" s="31">
        <v>0.15939660775771733</v>
      </c>
      <c r="S8592" s="32">
        <v>6.2549999999999994E-2</v>
      </c>
    </row>
    <row r="8593" spans="16:19" x14ac:dyDescent="0.25">
      <c r="P8593" s="27">
        <v>3.2548184716220556E-2</v>
      </c>
      <c r="Q8593" s="28">
        <f t="shared" si="138"/>
        <v>3.5548184716220559E-2</v>
      </c>
      <c r="R8593" s="31">
        <v>0.15939660775771733</v>
      </c>
      <c r="S8593" s="32">
        <v>5.6000000000000001E-2</v>
      </c>
    </row>
    <row r="8594" spans="16:19" x14ac:dyDescent="0.25">
      <c r="P8594" s="27">
        <v>3.2548184716220556E-2</v>
      </c>
      <c r="Q8594" s="28">
        <f t="shared" si="138"/>
        <v>3.5548184716220559E-2</v>
      </c>
      <c r="R8594" s="31">
        <v>0.15939660775771733</v>
      </c>
      <c r="S8594" s="32">
        <v>5.534E-2</v>
      </c>
    </row>
    <row r="8595" spans="16:19" x14ac:dyDescent="0.25">
      <c r="P8595" s="27">
        <v>3.2548184716220556E-2</v>
      </c>
      <c r="Q8595" s="28">
        <f t="shared" si="138"/>
        <v>3.5548184716220559E-2</v>
      </c>
      <c r="R8595" s="29">
        <v>0.15003660775771735</v>
      </c>
      <c r="S8595" s="30">
        <v>4.99E-2</v>
      </c>
    </row>
    <row r="8596" spans="16:19" x14ac:dyDescent="0.25">
      <c r="P8596" s="27">
        <v>3.2548184716220556E-2</v>
      </c>
      <c r="Q8596" s="28">
        <f t="shared" si="138"/>
        <v>3.5548184716220559E-2</v>
      </c>
      <c r="R8596" s="29">
        <v>0.15003660775771735</v>
      </c>
      <c r="S8596" s="30">
        <v>4.8860000000000001E-2</v>
      </c>
    </row>
    <row r="8597" spans="16:19" x14ac:dyDescent="0.25">
      <c r="P8597" s="27">
        <v>3.2548184716220556E-2</v>
      </c>
      <c r="Q8597" s="28">
        <f t="shared" si="138"/>
        <v>3.5548184716220559E-2</v>
      </c>
      <c r="R8597" s="29">
        <v>0.15003660775771735</v>
      </c>
      <c r="S8597" s="30">
        <v>4.2259576E-2</v>
      </c>
    </row>
    <row r="8598" spans="16:19" x14ac:dyDescent="0.25">
      <c r="P8598" s="27">
        <v>3.2548184716220556E-2</v>
      </c>
      <c r="Q8598" s="28">
        <f t="shared" si="138"/>
        <v>3.5548184716220559E-2</v>
      </c>
      <c r="R8598" s="29">
        <v>0.15003660775771735</v>
      </c>
      <c r="S8598" s="30">
        <v>3.8600000000000002E-2</v>
      </c>
    </row>
    <row r="8599" spans="16:19" x14ac:dyDescent="0.25">
      <c r="P8599" s="27">
        <v>3.2548184716220556E-2</v>
      </c>
      <c r="Q8599" s="28">
        <f t="shared" si="138"/>
        <v>3.5548184716220559E-2</v>
      </c>
      <c r="R8599" s="29">
        <v>0.15003660775771735</v>
      </c>
      <c r="S8599" s="30">
        <v>3.5040000000000002E-2</v>
      </c>
    </row>
    <row r="8600" spans="16:19" x14ac:dyDescent="0.25">
      <c r="P8600" s="27">
        <v>3.2548184716220556E-2</v>
      </c>
      <c r="Q8600" s="28">
        <f t="shared" si="138"/>
        <v>3.5548184716220559E-2</v>
      </c>
      <c r="R8600" s="29">
        <v>0.15003660775771735</v>
      </c>
      <c r="S8600" s="30">
        <v>3.585E-2</v>
      </c>
    </row>
    <row r="8601" spans="16:19" x14ac:dyDescent="0.25">
      <c r="P8601" s="27">
        <v>3.2548184716220556E-2</v>
      </c>
      <c r="Q8601" s="28">
        <f t="shared" si="138"/>
        <v>3.5548184716220559E-2</v>
      </c>
      <c r="R8601" s="29">
        <v>0.15003660775771735</v>
      </c>
      <c r="S8601" s="30">
        <v>3.9109999999999999E-2</v>
      </c>
    </row>
    <row r="8602" spans="16:19" x14ac:dyDescent="0.25">
      <c r="P8602" s="27">
        <v>3.2548184716220556E-2</v>
      </c>
      <c r="Q8602" s="28">
        <f t="shared" si="138"/>
        <v>3.5548184716220559E-2</v>
      </c>
      <c r="R8602" s="29">
        <v>0.15003660775771735</v>
      </c>
      <c r="S8602" s="30">
        <v>4.0829999999999998E-2</v>
      </c>
    </row>
    <row r="8603" spans="16:19" x14ac:dyDescent="0.25">
      <c r="P8603" s="27">
        <v>3.2548184716220556E-2</v>
      </c>
      <c r="Q8603" s="28">
        <f t="shared" si="138"/>
        <v>3.5548184716220559E-2</v>
      </c>
      <c r="R8603" s="29">
        <v>0.15003660775771735</v>
      </c>
      <c r="S8603" s="30">
        <v>4.2599999999999999E-2</v>
      </c>
    </row>
    <row r="8604" spans="16:19" x14ac:dyDescent="0.25">
      <c r="P8604" s="27">
        <v>3.2548184716220556E-2</v>
      </c>
      <c r="Q8604" s="28">
        <f t="shared" si="138"/>
        <v>3.5548184716220559E-2</v>
      </c>
      <c r="R8604" s="29">
        <v>0.15003660775771735</v>
      </c>
      <c r="S8604" s="30">
        <v>4.5130000000000003E-2</v>
      </c>
    </row>
    <row r="8605" spans="16:19" x14ac:dyDescent="0.25">
      <c r="P8605" s="27">
        <v>3.2548184716220556E-2</v>
      </c>
      <c r="Q8605" s="28">
        <f t="shared" si="138"/>
        <v>3.5548184716220559E-2</v>
      </c>
      <c r="R8605" s="29">
        <v>0.15003660775771735</v>
      </c>
      <c r="S8605" s="30">
        <v>4.965E-2</v>
      </c>
    </row>
    <row r="8606" spans="16:19" x14ac:dyDescent="0.25">
      <c r="P8606" s="27">
        <v>3.2548184716220556E-2</v>
      </c>
      <c r="Q8606" s="28">
        <f t="shared" si="138"/>
        <v>3.5548184716220559E-2</v>
      </c>
      <c r="R8606" s="29">
        <v>0.15003660775771735</v>
      </c>
      <c r="S8606" s="30">
        <v>5.0099999999999999E-2</v>
      </c>
    </row>
    <row r="8607" spans="16:19" x14ac:dyDescent="0.25">
      <c r="P8607" s="27">
        <v>3.2548184716220556E-2</v>
      </c>
      <c r="Q8607" s="28">
        <f t="shared" si="138"/>
        <v>3.5548184716220559E-2</v>
      </c>
      <c r="R8607" s="29">
        <v>0.15003660775771735</v>
      </c>
      <c r="S8607" s="30">
        <v>4.9000000000000002E-2</v>
      </c>
    </row>
    <row r="8608" spans="16:19" x14ac:dyDescent="0.25">
      <c r="P8608" s="27">
        <v>3.2548184716220556E-2</v>
      </c>
      <c r="Q8608" s="28">
        <f t="shared" si="138"/>
        <v>3.5548184716220559E-2</v>
      </c>
      <c r="R8608" s="29">
        <v>0.15003660775771735</v>
      </c>
      <c r="S8608" s="30">
        <v>4.6259999999999996E-2</v>
      </c>
    </row>
    <row r="8609" spans="16:19" x14ac:dyDescent="0.25">
      <c r="P8609" s="27">
        <v>3.2548184716220556E-2</v>
      </c>
      <c r="Q8609" s="28">
        <f t="shared" si="138"/>
        <v>3.5548184716220559E-2</v>
      </c>
      <c r="R8609" s="29">
        <v>0.15003660775771735</v>
      </c>
      <c r="S8609" s="30">
        <v>3.9780000000000003E-2</v>
      </c>
    </row>
    <row r="8610" spans="16:19" x14ac:dyDescent="0.25">
      <c r="P8610" s="27">
        <v>3.2548184716220556E-2</v>
      </c>
      <c r="Q8610" s="28">
        <f t="shared" si="138"/>
        <v>3.5548184716220559E-2</v>
      </c>
      <c r="R8610" s="29">
        <v>0.15003660775771735</v>
      </c>
      <c r="S8610" s="30">
        <v>4.1829999999999999E-2</v>
      </c>
    </row>
    <row r="8611" spans="16:19" x14ac:dyDescent="0.25">
      <c r="P8611" s="27">
        <v>3.2548184716220556E-2</v>
      </c>
      <c r="Q8611" s="28">
        <f t="shared" si="138"/>
        <v>3.5548184716220559E-2</v>
      </c>
      <c r="R8611" s="29">
        <v>0.15003660775771735</v>
      </c>
      <c r="S8611" s="30">
        <v>4.8329999999999998E-2</v>
      </c>
    </row>
    <row r="8612" spans="16:19" x14ac:dyDescent="0.25">
      <c r="P8612" s="27">
        <v>3.2548184716220556E-2</v>
      </c>
      <c r="Q8612" s="28">
        <f t="shared" si="138"/>
        <v>3.5548184716220559E-2</v>
      </c>
      <c r="R8612" s="29">
        <v>0.15003660775771735</v>
      </c>
      <c r="S8612" s="30">
        <v>0.05</v>
      </c>
    </row>
    <row r="8613" spans="16:19" x14ac:dyDescent="0.25">
      <c r="P8613" s="27">
        <v>3.2548184716220556E-2</v>
      </c>
      <c r="Q8613" s="28">
        <f t="shared" si="138"/>
        <v>3.5548184716220559E-2</v>
      </c>
      <c r="R8613" s="29">
        <v>0.15003660775771735</v>
      </c>
      <c r="S8613" s="30">
        <v>5.629E-2</v>
      </c>
    </row>
    <row r="8614" spans="16:19" x14ac:dyDescent="0.25">
      <c r="P8614" s="27">
        <v>3.2548184716220556E-2</v>
      </c>
      <c r="Q8614" s="28">
        <f t="shared" si="138"/>
        <v>3.5548184716220559E-2</v>
      </c>
      <c r="R8614" s="29">
        <v>0.15003660775771735</v>
      </c>
      <c r="S8614" s="30">
        <v>5.7239999999999999E-2</v>
      </c>
    </row>
    <row r="8615" spans="16:19" x14ac:dyDescent="0.25">
      <c r="P8615" s="27">
        <v>3.2548184716220556E-2</v>
      </c>
      <c r="Q8615" s="28">
        <f t="shared" si="138"/>
        <v>3.5548184716220559E-2</v>
      </c>
      <c r="R8615" s="29">
        <v>0.15003660775771735</v>
      </c>
      <c r="S8615" s="30">
        <v>6.021E-2</v>
      </c>
    </row>
    <row r="8616" spans="16:19" x14ac:dyDescent="0.25">
      <c r="P8616" s="27">
        <v>3.2548184716220556E-2</v>
      </c>
      <c r="Q8616" s="28">
        <f t="shared" si="138"/>
        <v>3.5548184716220559E-2</v>
      </c>
      <c r="R8616" s="29">
        <v>0.15003660775771735</v>
      </c>
      <c r="S8616" s="30">
        <v>5.8959999999999999E-2</v>
      </c>
    </row>
    <row r="8617" spans="16:19" x14ac:dyDescent="0.25">
      <c r="P8617" s="27">
        <v>3.2548184716220556E-2</v>
      </c>
      <c r="Q8617" s="28">
        <f t="shared" si="138"/>
        <v>3.5548184716220559E-2</v>
      </c>
      <c r="R8617" s="29">
        <v>0.15003660775771735</v>
      </c>
      <c r="S8617" s="30">
        <v>5.604E-2</v>
      </c>
    </row>
    <row r="8618" spans="16:19" x14ac:dyDescent="0.25">
      <c r="P8618" s="27">
        <v>3.2548184716220556E-2</v>
      </c>
      <c r="Q8618" s="28">
        <f t="shared" si="138"/>
        <v>3.5548184716220559E-2</v>
      </c>
      <c r="R8618" s="29">
        <v>0.15003660775771735</v>
      </c>
      <c r="S8618" s="30">
        <v>5.4479999999999994E-2</v>
      </c>
    </row>
    <row r="8619" spans="16:19" x14ac:dyDescent="0.25">
      <c r="P8619" s="27">
        <v>3.2548184716220556E-2</v>
      </c>
      <c r="Q8619" s="28">
        <f t="shared" si="138"/>
        <v>3.5548184716220559E-2</v>
      </c>
      <c r="R8619" s="29">
        <v>0.15003660775771735</v>
      </c>
      <c r="S8619" s="30">
        <v>4.8860000000000001E-2</v>
      </c>
    </row>
    <row r="8620" spans="16:19" x14ac:dyDescent="0.25">
      <c r="P8620" s="27">
        <v>3.2548184716220556E-2</v>
      </c>
      <c r="Q8620" s="28">
        <f t="shared" si="138"/>
        <v>3.5548184716220559E-2</v>
      </c>
      <c r="R8620" s="29">
        <v>0.15003660775771735</v>
      </c>
      <c r="S8620" s="30">
        <v>4.9799999999999997E-2</v>
      </c>
    </row>
    <row r="8621" spans="16:19" x14ac:dyDescent="0.25">
      <c r="P8621" s="27">
        <v>3.2548184716220556E-2</v>
      </c>
      <c r="Q8621" s="28">
        <f t="shared" si="138"/>
        <v>3.5548184716220559E-2</v>
      </c>
      <c r="R8621" s="29">
        <v>0.15003660775771735</v>
      </c>
      <c r="S8621" s="30">
        <v>3.8829999999999996E-2</v>
      </c>
    </row>
    <row r="8622" spans="16:19" x14ac:dyDescent="0.25">
      <c r="P8622" s="27">
        <v>3.2548184716220556E-2</v>
      </c>
      <c r="Q8622" s="28">
        <f t="shared" si="138"/>
        <v>3.5548184716220559E-2</v>
      </c>
      <c r="R8622" s="29">
        <v>0.15003660775771735</v>
      </c>
      <c r="S8622" s="30">
        <v>3.4716039000000004E-2</v>
      </c>
    </row>
    <row r="8623" spans="16:19" x14ac:dyDescent="0.25">
      <c r="P8623" s="27">
        <v>3.2548184716220556E-2</v>
      </c>
      <c r="Q8623" s="28">
        <f t="shared" si="138"/>
        <v>3.5548184716220559E-2</v>
      </c>
      <c r="R8623" s="29">
        <v>0.15003660775771735</v>
      </c>
      <c r="S8623" s="30">
        <v>3.3739999999999999E-2</v>
      </c>
    </row>
    <row r="8624" spans="16:19" x14ac:dyDescent="0.25">
      <c r="P8624" s="27">
        <v>3.2548184716220556E-2</v>
      </c>
      <c r="Q8624" s="28">
        <f t="shared" si="138"/>
        <v>3.5548184716220559E-2</v>
      </c>
      <c r="R8624" s="29">
        <v>0.15003660775771735</v>
      </c>
      <c r="S8624" s="30">
        <v>3.424E-2</v>
      </c>
    </row>
    <row r="8625" spans="16:19" x14ac:dyDescent="0.25">
      <c r="P8625" s="27">
        <v>3.2548184716220556E-2</v>
      </c>
      <c r="Q8625" s="28">
        <f t="shared" si="138"/>
        <v>3.5548184716220559E-2</v>
      </c>
      <c r="R8625" s="29">
        <v>0.15003660775771735</v>
      </c>
      <c r="S8625" s="30">
        <v>3.9109999999999999E-2</v>
      </c>
    </row>
    <row r="8626" spans="16:19" x14ac:dyDescent="0.25">
      <c r="P8626" s="27">
        <v>3.2548184716220556E-2</v>
      </c>
      <c r="Q8626" s="28">
        <f t="shared" si="138"/>
        <v>3.5548184716220559E-2</v>
      </c>
      <c r="R8626" s="29">
        <v>0.15003660775771735</v>
      </c>
      <c r="S8626" s="30">
        <v>4.0829999999999998E-2</v>
      </c>
    </row>
    <row r="8627" spans="16:19" x14ac:dyDescent="0.25">
      <c r="P8627" s="27">
        <v>3.2548184716220556E-2</v>
      </c>
      <c r="Q8627" s="28">
        <f t="shared" si="138"/>
        <v>3.5548184716220559E-2</v>
      </c>
      <c r="R8627" s="29">
        <v>0.15003660775771735</v>
      </c>
      <c r="S8627" s="30">
        <v>4.6019088999999999E-2</v>
      </c>
    </row>
    <row r="8628" spans="16:19" x14ac:dyDescent="0.25">
      <c r="P8628" s="27">
        <v>3.2548184716220556E-2</v>
      </c>
      <c r="Q8628" s="28">
        <f t="shared" si="138"/>
        <v>3.5548184716220559E-2</v>
      </c>
      <c r="R8628" s="29">
        <v>0.15003660775771735</v>
      </c>
      <c r="S8628" s="30">
        <v>0.05</v>
      </c>
    </row>
    <row r="8629" spans="16:19" x14ac:dyDescent="0.25">
      <c r="P8629" s="27">
        <v>3.2548184716220556E-2</v>
      </c>
      <c r="Q8629" s="28">
        <f t="shared" si="138"/>
        <v>3.5548184716220559E-2</v>
      </c>
      <c r="R8629" s="29">
        <v>0.15003660775771735</v>
      </c>
      <c r="S8629" s="30">
        <v>4.9500000000000002E-2</v>
      </c>
    </row>
    <row r="8630" spans="16:19" x14ac:dyDescent="0.25">
      <c r="P8630" s="27">
        <v>3.2548184716220556E-2</v>
      </c>
      <c r="Q8630" s="28">
        <f t="shared" si="138"/>
        <v>3.5548184716220559E-2</v>
      </c>
      <c r="R8630" s="29">
        <v>0.15003660775771735</v>
      </c>
      <c r="S8630" s="30">
        <v>4.8799999999999996E-2</v>
      </c>
    </row>
    <row r="8631" spans="16:19" x14ac:dyDescent="0.25">
      <c r="P8631" s="27">
        <v>3.2548184716220556E-2</v>
      </c>
      <c r="Q8631" s="28">
        <f t="shared" si="138"/>
        <v>3.5548184716220559E-2</v>
      </c>
      <c r="R8631" s="29">
        <v>0.15003660775771735</v>
      </c>
      <c r="S8631" s="30">
        <v>4.6149999999999997E-2</v>
      </c>
    </row>
    <row r="8632" spans="16:19" x14ac:dyDescent="0.25">
      <c r="P8632" s="27">
        <v>3.2548184716220556E-2</v>
      </c>
      <c r="Q8632" s="28">
        <f t="shared" si="138"/>
        <v>3.5548184716220559E-2</v>
      </c>
      <c r="R8632" s="29">
        <v>0.15003660775771735</v>
      </c>
      <c r="S8632" s="30">
        <v>4.4249999999999998E-2</v>
      </c>
    </row>
    <row r="8633" spans="16:19" x14ac:dyDescent="0.25">
      <c r="P8633" s="27">
        <v>3.2548184716220556E-2</v>
      </c>
      <c r="Q8633" s="28">
        <f t="shared" si="138"/>
        <v>3.5548184716220559E-2</v>
      </c>
      <c r="R8633" s="29">
        <v>0.15003660775771735</v>
      </c>
      <c r="S8633" s="30">
        <v>3.9280000000000002E-2</v>
      </c>
    </row>
    <row r="8634" spans="16:19" x14ac:dyDescent="0.25">
      <c r="P8634" s="27">
        <v>3.2548184716220556E-2</v>
      </c>
      <c r="Q8634" s="28">
        <f t="shared" si="138"/>
        <v>3.5548184716220559E-2</v>
      </c>
      <c r="R8634" s="29">
        <v>0.15003660775771735</v>
      </c>
      <c r="S8634" s="30">
        <v>4.1329999999999999E-2</v>
      </c>
    </row>
    <row r="8635" spans="16:19" x14ac:dyDescent="0.25">
      <c r="P8635" s="27">
        <v>3.2548184716220556E-2</v>
      </c>
      <c r="Q8635" s="28">
        <f t="shared" si="138"/>
        <v>3.5548184716220559E-2</v>
      </c>
      <c r="R8635" s="29">
        <v>0.15003660775771735</v>
      </c>
      <c r="S8635" s="30">
        <v>4.6560754000000003E-2</v>
      </c>
    </row>
    <row r="8636" spans="16:19" x14ac:dyDescent="0.25">
      <c r="P8636" s="27">
        <v>3.2548184716220556E-2</v>
      </c>
      <c r="Q8636" s="28">
        <f t="shared" si="138"/>
        <v>3.5548184716220559E-2</v>
      </c>
      <c r="R8636" s="29">
        <v>0.15003660775771735</v>
      </c>
      <c r="S8636" s="30">
        <v>5.4600000000000003E-2</v>
      </c>
    </row>
    <row r="8637" spans="16:19" x14ac:dyDescent="0.25">
      <c r="P8637" s="27">
        <v>3.2548184716220556E-2</v>
      </c>
      <c r="Q8637" s="28">
        <f t="shared" si="138"/>
        <v>3.5548184716220559E-2</v>
      </c>
      <c r="R8637" s="29">
        <v>0.15003660775771735</v>
      </c>
      <c r="S8637" s="30">
        <v>5.7009999999999998E-2</v>
      </c>
    </row>
    <row r="8638" spans="16:19" x14ac:dyDescent="0.25">
      <c r="P8638" s="27">
        <v>3.2548184716220556E-2</v>
      </c>
      <c r="Q8638" s="28">
        <f t="shared" si="138"/>
        <v>3.5548184716220559E-2</v>
      </c>
      <c r="R8638" s="29">
        <v>0.15003660775771735</v>
      </c>
      <c r="S8638" s="30">
        <v>5.6570000000000002E-2</v>
      </c>
    </row>
    <row r="8639" spans="16:19" x14ac:dyDescent="0.25">
      <c r="P8639" s="27">
        <v>3.2548184716220556E-2</v>
      </c>
      <c r="Q8639" s="28">
        <f t="shared" si="138"/>
        <v>3.5548184716220559E-2</v>
      </c>
      <c r="R8639" s="29">
        <v>0.15003660775771735</v>
      </c>
      <c r="S8639" s="30">
        <v>6.021E-2</v>
      </c>
    </row>
    <row r="8640" spans="16:19" x14ac:dyDescent="0.25">
      <c r="P8640" s="27">
        <v>3.2548184716220556E-2</v>
      </c>
      <c r="Q8640" s="28">
        <f t="shared" si="138"/>
        <v>3.5548184716220559E-2</v>
      </c>
      <c r="R8640" s="29">
        <v>0.15003660775771735</v>
      </c>
      <c r="S8640" s="30">
        <v>0.06</v>
      </c>
    </row>
    <row r="8641" spans="16:19" x14ac:dyDescent="0.25">
      <c r="P8641" s="27">
        <v>3.2548184716220556E-2</v>
      </c>
      <c r="Q8641" s="28">
        <f t="shared" si="138"/>
        <v>3.5548184716220559E-2</v>
      </c>
      <c r="R8641" s="29">
        <v>0.15003660775771735</v>
      </c>
      <c r="S8641" s="30">
        <v>5.5799999999999995E-2</v>
      </c>
    </row>
    <row r="8642" spans="16:19" x14ac:dyDescent="0.25">
      <c r="P8642" s="27">
        <v>3.2548184716220556E-2</v>
      </c>
      <c r="Q8642" s="28">
        <f t="shared" si="138"/>
        <v>3.5548184716220559E-2</v>
      </c>
      <c r="R8642" s="29">
        <v>0.15003660775771735</v>
      </c>
      <c r="S8642" s="30">
        <v>5.3120000000000001E-2</v>
      </c>
    </row>
    <row r="8643" spans="16:19" x14ac:dyDescent="0.25">
      <c r="P8643" s="27">
        <v>3.2548184716220556E-2</v>
      </c>
      <c r="Q8643" s="28">
        <f t="shared" si="138"/>
        <v>3.5548184716220559E-2</v>
      </c>
      <c r="R8643" s="29">
        <v>0.15003660775771735</v>
      </c>
      <c r="S8643" s="30">
        <v>4.7079999999999997E-2</v>
      </c>
    </row>
    <row r="8644" spans="16:19" x14ac:dyDescent="0.25">
      <c r="P8644" s="27">
        <v>3.2548184716220556E-2</v>
      </c>
      <c r="Q8644" s="28">
        <f t="shared" si="138"/>
        <v>3.5548184716220559E-2</v>
      </c>
      <c r="R8644" s="29">
        <v>0.15003660775771735</v>
      </c>
      <c r="S8644" s="30">
        <v>4.87E-2</v>
      </c>
    </row>
    <row r="8645" spans="16:19" x14ac:dyDescent="0.25">
      <c r="P8645" s="27">
        <v>3.2548184716220556E-2</v>
      </c>
      <c r="Q8645" s="28">
        <f t="shared" ref="Q8645:Q8708" si="139">P8645+0.003</f>
        <v>3.5548184716220559E-2</v>
      </c>
      <c r="R8645" s="29">
        <v>0.15003660775771735</v>
      </c>
      <c r="S8645" s="30">
        <v>3.8780000000000002E-2</v>
      </c>
    </row>
    <row r="8646" spans="16:19" x14ac:dyDescent="0.25">
      <c r="P8646" s="27">
        <v>3.2548184716220556E-2</v>
      </c>
      <c r="Q8646" s="28">
        <f t="shared" si="139"/>
        <v>3.5548184716220559E-2</v>
      </c>
      <c r="R8646" s="29">
        <v>0.15003660775771735</v>
      </c>
      <c r="S8646" s="30">
        <v>3.424E-2</v>
      </c>
    </row>
    <row r="8647" spans="16:19" x14ac:dyDescent="0.25">
      <c r="P8647" s="27">
        <v>3.2548184716220556E-2</v>
      </c>
      <c r="Q8647" s="28">
        <f t="shared" si="139"/>
        <v>3.5548184716220559E-2</v>
      </c>
      <c r="R8647" s="29">
        <v>0.15003660775771735</v>
      </c>
      <c r="S8647" s="30">
        <v>3.3489999999999999E-2</v>
      </c>
    </row>
    <row r="8648" spans="16:19" x14ac:dyDescent="0.25">
      <c r="P8648" s="27">
        <v>3.2548184716220556E-2</v>
      </c>
      <c r="Q8648" s="28">
        <f t="shared" si="139"/>
        <v>3.5548184716220559E-2</v>
      </c>
      <c r="R8648" s="29">
        <v>0.15003660775771735</v>
      </c>
      <c r="S8648" s="30">
        <v>3.424E-2</v>
      </c>
    </row>
    <row r="8649" spans="16:19" x14ac:dyDescent="0.25">
      <c r="P8649" s="27">
        <v>3.2548184716220556E-2</v>
      </c>
      <c r="Q8649" s="28">
        <f t="shared" si="139"/>
        <v>3.5548184716220559E-2</v>
      </c>
      <c r="R8649" s="29">
        <v>0.15003660775771735</v>
      </c>
      <c r="S8649" s="30">
        <v>3.8600000000000002E-2</v>
      </c>
    </row>
    <row r="8650" spans="16:19" x14ac:dyDescent="0.25">
      <c r="P8650" s="27">
        <v>3.2548184716220556E-2</v>
      </c>
      <c r="Q8650" s="28">
        <f t="shared" si="139"/>
        <v>3.5548184716220559E-2</v>
      </c>
      <c r="R8650" s="29">
        <v>0.15003660775771735</v>
      </c>
      <c r="S8650" s="30">
        <v>0.05</v>
      </c>
    </row>
    <row r="8651" spans="16:19" x14ac:dyDescent="0.25">
      <c r="P8651" s="27">
        <v>3.2548184716220556E-2</v>
      </c>
      <c r="Q8651" s="28">
        <f t="shared" si="139"/>
        <v>3.5548184716220559E-2</v>
      </c>
      <c r="R8651" s="31">
        <v>0.15939660775771733</v>
      </c>
      <c r="S8651" s="32">
        <v>5.722E-2</v>
      </c>
    </row>
    <row r="8652" spans="16:19" x14ac:dyDescent="0.25">
      <c r="P8652" s="27">
        <v>3.2548184716220556E-2</v>
      </c>
      <c r="Q8652" s="28">
        <f t="shared" si="139"/>
        <v>3.5548184716220559E-2</v>
      </c>
      <c r="R8652" s="33">
        <v>0.16282860775771735</v>
      </c>
      <c r="S8652" s="34">
        <v>6.6222888999999993E-2</v>
      </c>
    </row>
    <row r="8653" spans="16:19" x14ac:dyDescent="0.25">
      <c r="P8653" s="27">
        <v>3.2548184716220556E-2</v>
      </c>
      <c r="Q8653" s="28">
        <f t="shared" si="139"/>
        <v>3.5548184716220559E-2</v>
      </c>
      <c r="R8653" s="33">
        <v>0.16282860775771735</v>
      </c>
      <c r="S8653" s="34">
        <v>6.9930000000000006E-2</v>
      </c>
    </row>
    <row r="8654" spans="16:19" x14ac:dyDescent="0.25">
      <c r="P8654" s="27">
        <v>3.2548184716220556E-2</v>
      </c>
      <c r="Q8654" s="28">
        <f t="shared" si="139"/>
        <v>3.5548184716220559E-2</v>
      </c>
      <c r="R8654" s="33">
        <v>0.16282860775771735</v>
      </c>
      <c r="S8654" s="34">
        <v>6.5099999999999991E-2</v>
      </c>
    </row>
    <row r="8655" spans="16:19" x14ac:dyDescent="0.25">
      <c r="P8655" s="27">
        <v>3.2548184716220556E-2</v>
      </c>
      <c r="Q8655" s="28">
        <f t="shared" si="139"/>
        <v>3.5548184716220559E-2</v>
      </c>
      <c r="R8655" s="33">
        <v>0.16282860775771735</v>
      </c>
      <c r="S8655" s="34">
        <v>6.0499999999999998E-2</v>
      </c>
    </row>
    <row r="8656" spans="16:19" x14ac:dyDescent="0.25">
      <c r="P8656" s="27">
        <v>3.2548184716220556E-2</v>
      </c>
      <c r="Q8656" s="28">
        <f t="shared" si="139"/>
        <v>3.5548184716220559E-2</v>
      </c>
      <c r="R8656" s="33">
        <v>0.16282860775771735</v>
      </c>
      <c r="S8656" s="34">
        <v>5.8000000000000003E-2</v>
      </c>
    </row>
    <row r="8657" spans="16:19" x14ac:dyDescent="0.25">
      <c r="P8657" s="27">
        <v>3.2548184716220556E-2</v>
      </c>
      <c r="Q8657" s="28">
        <f t="shared" si="139"/>
        <v>3.5548184716220559E-2</v>
      </c>
      <c r="R8657" s="33">
        <v>0.16282860775771735</v>
      </c>
      <c r="S8657" s="34">
        <v>5.595E-2</v>
      </c>
    </row>
    <row r="8658" spans="16:19" x14ac:dyDescent="0.25">
      <c r="P8658" s="27">
        <v>3.2548184716220556E-2</v>
      </c>
      <c r="Q8658" s="28">
        <f t="shared" si="139"/>
        <v>3.5548184716220559E-2</v>
      </c>
      <c r="R8658" s="33">
        <v>0.16282860775771735</v>
      </c>
      <c r="S8658" s="34">
        <v>6.7750000000000005E-2</v>
      </c>
    </row>
    <row r="8659" spans="16:19" x14ac:dyDescent="0.25">
      <c r="P8659" s="27">
        <v>3.2548184716220556E-2</v>
      </c>
      <c r="Q8659" s="28">
        <f t="shared" si="139"/>
        <v>3.5548184716220559E-2</v>
      </c>
      <c r="R8659" s="33">
        <v>0.16282860775771735</v>
      </c>
      <c r="S8659" s="34">
        <v>7.5260000000000007E-2</v>
      </c>
    </row>
    <row r="8660" spans="16:19" x14ac:dyDescent="0.25">
      <c r="P8660" s="27">
        <v>3.2548184716220556E-2</v>
      </c>
      <c r="Q8660" s="28">
        <f t="shared" si="139"/>
        <v>3.5548184716220559E-2</v>
      </c>
      <c r="R8660" s="33">
        <v>0.16282860775771735</v>
      </c>
      <c r="S8660" s="34">
        <v>7.5999999999999998E-2</v>
      </c>
    </row>
    <row r="8661" spans="16:19" x14ac:dyDescent="0.25">
      <c r="P8661" s="27">
        <v>3.2548184716220556E-2</v>
      </c>
      <c r="Q8661" s="28">
        <f t="shared" si="139"/>
        <v>3.5548184716220559E-2</v>
      </c>
      <c r="R8661" s="33">
        <v>0.16282860775771735</v>
      </c>
      <c r="S8661" s="34">
        <v>9.6390000000000003E-2</v>
      </c>
    </row>
    <row r="8662" spans="16:19" x14ac:dyDescent="0.25">
      <c r="P8662" s="27">
        <v>3.2548184716220556E-2</v>
      </c>
      <c r="Q8662" s="28">
        <f t="shared" si="139"/>
        <v>3.5548184716220559E-2</v>
      </c>
      <c r="R8662" s="33">
        <v>0.16282860775771735</v>
      </c>
      <c r="S8662" s="34">
        <v>7.8890000000000002E-2</v>
      </c>
    </row>
    <row r="8663" spans="16:19" x14ac:dyDescent="0.25">
      <c r="P8663" s="27">
        <v>3.2548184716220556E-2</v>
      </c>
      <c r="Q8663" s="28">
        <f t="shared" si="139"/>
        <v>3.5548184716220559E-2</v>
      </c>
      <c r="R8663" s="31">
        <v>0.15939660775771733</v>
      </c>
      <c r="S8663" s="32">
        <v>7.4340000000000003E-2</v>
      </c>
    </row>
    <row r="8664" spans="16:19" x14ac:dyDescent="0.25">
      <c r="P8664" s="27">
        <v>3.2548184716220556E-2</v>
      </c>
      <c r="Q8664" s="28">
        <f t="shared" si="139"/>
        <v>3.5548184716220559E-2</v>
      </c>
      <c r="R8664" s="31">
        <v>0.15939660775771733</v>
      </c>
      <c r="S8664" s="32">
        <v>7.0379999999999998E-2</v>
      </c>
    </row>
    <row r="8665" spans="16:19" x14ac:dyDescent="0.25">
      <c r="P8665" s="27">
        <v>3.2548184716220556E-2</v>
      </c>
      <c r="Q8665" s="28">
        <f t="shared" si="139"/>
        <v>3.5548184716220559E-2</v>
      </c>
      <c r="R8665" s="31">
        <v>0.15939660775771733</v>
      </c>
      <c r="S8665" s="32">
        <v>6.5000000000000002E-2</v>
      </c>
    </row>
    <row r="8666" spans="16:19" x14ac:dyDescent="0.25">
      <c r="P8666" s="27">
        <v>3.2548184716220556E-2</v>
      </c>
      <c r="Q8666" s="28">
        <f t="shared" si="139"/>
        <v>3.5548184716220559E-2</v>
      </c>
      <c r="R8666" s="31">
        <v>0.15939660775771733</v>
      </c>
      <c r="S8666" s="32">
        <v>5.5630000000000006E-2</v>
      </c>
    </row>
    <row r="8667" spans="16:19" x14ac:dyDescent="0.25">
      <c r="P8667" s="27">
        <v>3.2548184716220556E-2</v>
      </c>
      <c r="Q8667" s="28">
        <f t="shared" si="139"/>
        <v>3.5548184716220559E-2</v>
      </c>
      <c r="R8667" s="29">
        <v>0.15003660775771735</v>
      </c>
      <c r="S8667" s="30">
        <v>4.9000000000000002E-2</v>
      </c>
    </row>
    <row r="8668" spans="16:19" x14ac:dyDescent="0.25">
      <c r="P8668" s="27">
        <v>3.2548184716220556E-2</v>
      </c>
      <c r="Q8668" s="28">
        <f t="shared" si="139"/>
        <v>3.5548184716220559E-2</v>
      </c>
      <c r="R8668" s="29">
        <v>0.15003660775771735</v>
      </c>
      <c r="S8668" s="30">
        <v>4.4819999999999999E-2</v>
      </c>
    </row>
    <row r="8669" spans="16:19" x14ac:dyDescent="0.25">
      <c r="P8669" s="27">
        <v>3.2548184716220556E-2</v>
      </c>
      <c r="Q8669" s="28">
        <f t="shared" si="139"/>
        <v>3.5548184716220559E-2</v>
      </c>
      <c r="R8669" s="29">
        <v>0.15003660775771735</v>
      </c>
      <c r="S8669" s="30">
        <v>3.2990000000000005E-2</v>
      </c>
    </row>
    <row r="8670" spans="16:19" x14ac:dyDescent="0.25">
      <c r="P8670" s="27">
        <v>3.2548184716220556E-2</v>
      </c>
      <c r="Q8670" s="28">
        <f t="shared" si="139"/>
        <v>3.5548184716220559E-2</v>
      </c>
      <c r="R8670" s="29">
        <v>0.15003660775771735</v>
      </c>
      <c r="S8670" s="30">
        <v>2.0760000000000001E-2</v>
      </c>
    </row>
    <row r="8671" spans="16:19" x14ac:dyDescent="0.25">
      <c r="P8671" s="27">
        <v>3.2548184716220556E-2</v>
      </c>
      <c r="Q8671" s="28">
        <f t="shared" si="139"/>
        <v>3.5548184716220559E-2</v>
      </c>
      <c r="R8671" s="29">
        <v>0.15003660775771735</v>
      </c>
      <c r="S8671" s="30">
        <v>1.6E-2</v>
      </c>
    </row>
    <row r="8672" spans="16:19" x14ac:dyDescent="0.25">
      <c r="P8672" s="27">
        <v>3.2548184716220556E-2</v>
      </c>
      <c r="Q8672" s="28">
        <f t="shared" si="139"/>
        <v>3.5548184716220559E-2</v>
      </c>
      <c r="R8672" s="29">
        <v>0.15003660775771735</v>
      </c>
      <c r="S8672" s="30">
        <v>1.4999999999999999E-2</v>
      </c>
    </row>
    <row r="8673" spans="16:19" x14ac:dyDescent="0.25">
      <c r="P8673" s="27">
        <v>3.2548184716220556E-2</v>
      </c>
      <c r="Q8673" s="28">
        <f t="shared" si="139"/>
        <v>3.5548184716220559E-2</v>
      </c>
      <c r="R8673" s="29">
        <v>0.15003660775771735</v>
      </c>
      <c r="S8673" s="30">
        <v>1.7000000000000001E-2</v>
      </c>
    </row>
    <row r="8674" spans="16:19" x14ac:dyDescent="0.25">
      <c r="P8674" s="27">
        <v>3.2548184716220556E-2</v>
      </c>
      <c r="Q8674" s="28">
        <f t="shared" si="139"/>
        <v>3.5548184716220559E-2</v>
      </c>
      <c r="R8674" s="29">
        <v>0.15003660775771735</v>
      </c>
      <c r="S8674" s="30">
        <v>3.4514195999999997E-2</v>
      </c>
    </row>
    <row r="8675" spans="16:19" x14ac:dyDescent="0.25">
      <c r="P8675" s="27">
        <v>3.2548184716220556E-2</v>
      </c>
      <c r="Q8675" s="28">
        <f t="shared" si="139"/>
        <v>3.5548184716220559E-2</v>
      </c>
      <c r="R8675" s="31">
        <v>0.15939660775771733</v>
      </c>
      <c r="S8675" s="32">
        <v>4.0390000000000002E-2</v>
      </c>
    </row>
    <row r="8676" spans="16:19" x14ac:dyDescent="0.25">
      <c r="P8676" s="27">
        <v>3.2548184716220556E-2</v>
      </c>
      <c r="Q8676" s="28">
        <f t="shared" si="139"/>
        <v>3.5548184716220559E-2</v>
      </c>
      <c r="R8676" s="33">
        <v>0.16282860775771735</v>
      </c>
      <c r="S8676" s="34">
        <v>4.8280000000000003E-2</v>
      </c>
    </row>
    <row r="8677" spans="16:19" x14ac:dyDescent="0.25">
      <c r="P8677" s="27">
        <v>3.2548184716220556E-2</v>
      </c>
      <c r="Q8677" s="28">
        <f t="shared" si="139"/>
        <v>3.5548184716220559E-2</v>
      </c>
      <c r="R8677" s="33">
        <v>0.16282860775771735</v>
      </c>
      <c r="S8677" s="34">
        <v>0.05</v>
      </c>
    </row>
    <row r="8678" spans="16:19" x14ac:dyDescent="0.25">
      <c r="P8678" s="27">
        <v>3.2548184716220556E-2</v>
      </c>
      <c r="Q8678" s="28">
        <f t="shared" si="139"/>
        <v>3.5548184716220559E-2</v>
      </c>
      <c r="R8678" s="33">
        <v>0.16282860775771735</v>
      </c>
      <c r="S8678" s="34">
        <v>4.8780000000000004E-2</v>
      </c>
    </row>
    <row r="8679" spans="16:19" x14ac:dyDescent="0.25">
      <c r="P8679" s="27">
        <v>3.2548184716220556E-2</v>
      </c>
      <c r="Q8679" s="28">
        <f t="shared" si="139"/>
        <v>3.5548184716220559E-2</v>
      </c>
      <c r="R8679" s="33">
        <v>0.16282860775771735</v>
      </c>
      <c r="S8679" s="34">
        <v>4.9640000000000004E-2</v>
      </c>
    </row>
    <row r="8680" spans="16:19" x14ac:dyDescent="0.25">
      <c r="P8680" s="27">
        <v>3.2548184716220556E-2</v>
      </c>
      <c r="Q8680" s="28">
        <f t="shared" si="139"/>
        <v>3.5548184716220559E-2</v>
      </c>
      <c r="R8680" s="33">
        <v>0.16282860775771735</v>
      </c>
      <c r="S8680" s="34">
        <v>5.1249999999999997E-2</v>
      </c>
    </row>
    <row r="8681" spans="16:19" x14ac:dyDescent="0.25">
      <c r="P8681" s="27">
        <v>3.2548184716220556E-2</v>
      </c>
      <c r="Q8681" s="28">
        <f t="shared" si="139"/>
        <v>3.5548184716220559E-2</v>
      </c>
      <c r="R8681" s="33">
        <v>0.16282860775771735</v>
      </c>
      <c r="S8681" s="34">
        <v>5.0140000000000004E-2</v>
      </c>
    </row>
    <row r="8682" spans="16:19" x14ac:dyDescent="0.25">
      <c r="P8682" s="27">
        <v>3.2548184716220556E-2</v>
      </c>
      <c r="Q8682" s="28">
        <f t="shared" si="139"/>
        <v>3.5548184716220559E-2</v>
      </c>
      <c r="R8682" s="33">
        <v>0.16282860775771735</v>
      </c>
      <c r="S8682" s="34">
        <v>5.45E-2</v>
      </c>
    </row>
    <row r="8683" spans="16:19" x14ac:dyDescent="0.25">
      <c r="P8683" s="27">
        <v>3.2548184716220556E-2</v>
      </c>
      <c r="Q8683" s="28">
        <f t="shared" si="139"/>
        <v>3.5548184716220559E-2</v>
      </c>
      <c r="R8683" s="33">
        <v>0.16282860775771735</v>
      </c>
      <c r="S8683" s="34">
        <v>5.883E-2</v>
      </c>
    </row>
    <row r="8684" spans="16:19" x14ac:dyDescent="0.25">
      <c r="P8684" s="27">
        <v>3.2548184716220556E-2</v>
      </c>
      <c r="Q8684" s="28">
        <f t="shared" si="139"/>
        <v>3.5548184716220559E-2</v>
      </c>
      <c r="R8684" s="33">
        <v>0.16282860775771735</v>
      </c>
      <c r="S8684" s="34">
        <v>6.5000000000000002E-2</v>
      </c>
    </row>
    <row r="8685" spans="16:19" x14ac:dyDescent="0.25">
      <c r="P8685" s="27">
        <v>3.2548184716220556E-2</v>
      </c>
      <c r="Q8685" s="28">
        <f t="shared" si="139"/>
        <v>3.5548184716220559E-2</v>
      </c>
      <c r="R8685" s="33">
        <v>0.16282860775771735</v>
      </c>
      <c r="S8685" s="34">
        <v>7.2999999999999995E-2</v>
      </c>
    </row>
    <row r="8686" spans="16:19" x14ac:dyDescent="0.25">
      <c r="P8686" s="27">
        <v>3.2548184716220556E-2</v>
      </c>
      <c r="Q8686" s="28">
        <f t="shared" si="139"/>
        <v>3.5548184716220559E-2</v>
      </c>
      <c r="R8686" s="33">
        <v>0.16282860775771735</v>
      </c>
      <c r="S8686" s="34">
        <v>6.9000000000000006E-2</v>
      </c>
    </row>
    <row r="8687" spans="16:19" x14ac:dyDescent="0.25">
      <c r="P8687" s="27">
        <v>3.2548184716220556E-2</v>
      </c>
      <c r="Q8687" s="28">
        <f t="shared" si="139"/>
        <v>3.5548184716220559E-2</v>
      </c>
      <c r="R8687" s="31">
        <v>0.15939660775771733</v>
      </c>
      <c r="S8687" s="32">
        <v>6.6560000000000008E-2</v>
      </c>
    </row>
    <row r="8688" spans="16:19" x14ac:dyDescent="0.25">
      <c r="P8688" s="27">
        <v>3.2548184716220556E-2</v>
      </c>
      <c r="Q8688" s="28">
        <f t="shared" si="139"/>
        <v>3.5548184716220559E-2</v>
      </c>
      <c r="R8688" s="31">
        <v>0.15939660775771733</v>
      </c>
      <c r="S8688" s="32">
        <v>6.4209999999999989E-2</v>
      </c>
    </row>
    <row r="8689" spans="16:19" x14ac:dyDescent="0.25">
      <c r="P8689" s="27">
        <v>3.2548184716220556E-2</v>
      </c>
      <c r="Q8689" s="28">
        <f t="shared" si="139"/>
        <v>3.5548184716220559E-2</v>
      </c>
      <c r="R8689" s="31">
        <v>0.15939660775771733</v>
      </c>
      <c r="S8689" s="32">
        <v>6.4150000000000013E-2</v>
      </c>
    </row>
    <row r="8690" spans="16:19" x14ac:dyDescent="0.25">
      <c r="P8690" s="27">
        <v>3.2548184716220556E-2</v>
      </c>
      <c r="Q8690" s="28">
        <f t="shared" si="139"/>
        <v>3.5548184716220559E-2</v>
      </c>
      <c r="R8690" s="31">
        <v>0.15939660775771733</v>
      </c>
      <c r="S8690" s="32">
        <v>5.6030000000000003E-2</v>
      </c>
    </row>
    <row r="8691" spans="16:19" x14ac:dyDescent="0.25">
      <c r="P8691" s="27">
        <v>3.2548184716220556E-2</v>
      </c>
      <c r="Q8691" s="28">
        <f t="shared" si="139"/>
        <v>3.5548184716220559E-2</v>
      </c>
      <c r="R8691" s="29">
        <v>0.15003660775771735</v>
      </c>
      <c r="S8691" s="30">
        <v>0.05</v>
      </c>
    </row>
    <row r="8692" spans="16:19" x14ac:dyDescent="0.25">
      <c r="P8692" s="27">
        <v>3.2548184716220556E-2</v>
      </c>
      <c r="Q8692" s="28">
        <f t="shared" si="139"/>
        <v>3.5548184716220559E-2</v>
      </c>
      <c r="R8692" s="29">
        <v>0.15003660775771735</v>
      </c>
      <c r="S8692" s="30">
        <v>4.4999999999999998E-2</v>
      </c>
    </row>
    <row r="8693" spans="16:19" x14ac:dyDescent="0.25">
      <c r="P8693" s="27">
        <v>3.2548184716220556E-2</v>
      </c>
      <c r="Q8693" s="28">
        <f t="shared" si="139"/>
        <v>3.5548184716220559E-2</v>
      </c>
      <c r="R8693" s="29">
        <v>0.15003660775771735</v>
      </c>
      <c r="S8693" s="30">
        <v>3.5000000000000003E-2</v>
      </c>
    </row>
    <row r="8694" spans="16:19" x14ac:dyDescent="0.25">
      <c r="P8694" s="27">
        <v>3.2548184716220556E-2</v>
      </c>
      <c r="Q8694" s="28">
        <f t="shared" si="139"/>
        <v>3.5548184716220559E-2</v>
      </c>
      <c r="R8694" s="29">
        <v>0.15003660775771735</v>
      </c>
      <c r="S8694" s="30">
        <v>2.8050000000000002E-2</v>
      </c>
    </row>
    <row r="8695" spans="16:19" x14ac:dyDescent="0.25">
      <c r="P8695" s="27">
        <v>3.2548184716220556E-2</v>
      </c>
      <c r="Q8695" s="28">
        <f t="shared" si="139"/>
        <v>3.5548184716220559E-2</v>
      </c>
      <c r="R8695" s="29">
        <v>0.15003660775771735</v>
      </c>
      <c r="S8695" s="30">
        <v>2.6119727000000002E-2</v>
      </c>
    </row>
    <row r="8696" spans="16:19" x14ac:dyDescent="0.25">
      <c r="P8696" s="27">
        <v>3.2548184716220556E-2</v>
      </c>
      <c r="Q8696" s="28">
        <f t="shared" si="139"/>
        <v>3.5548184716220559E-2</v>
      </c>
      <c r="R8696" s="29">
        <v>0.15003660775771735</v>
      </c>
      <c r="S8696" s="30">
        <v>2.4539999999999999E-2</v>
      </c>
    </row>
    <row r="8697" spans="16:19" x14ac:dyDescent="0.25">
      <c r="P8697" s="27">
        <v>3.2548184716220556E-2</v>
      </c>
      <c r="Q8697" s="28">
        <f t="shared" si="139"/>
        <v>3.5548184716220559E-2</v>
      </c>
      <c r="R8697" s="29">
        <v>0.15003660775771735</v>
      </c>
      <c r="S8697" s="30">
        <v>3.2850000000000004E-2</v>
      </c>
    </row>
    <row r="8698" spans="16:19" x14ac:dyDescent="0.25">
      <c r="P8698" s="27">
        <v>3.2548184716220556E-2</v>
      </c>
      <c r="Q8698" s="28">
        <f t="shared" si="139"/>
        <v>3.5548184716220559E-2</v>
      </c>
      <c r="R8698" s="29">
        <v>0.15003660775771735</v>
      </c>
      <c r="S8698" s="30">
        <v>4.2999999999999997E-2</v>
      </c>
    </row>
    <row r="8699" spans="16:19" x14ac:dyDescent="0.25">
      <c r="P8699" s="27">
        <v>3.2548184716220556E-2</v>
      </c>
      <c r="Q8699" s="28">
        <f t="shared" si="139"/>
        <v>3.5548184716220559E-2</v>
      </c>
      <c r="R8699" s="31">
        <v>0.15939999999999999</v>
      </c>
      <c r="S8699" s="32">
        <v>5.2729999999999999E-2</v>
      </c>
    </row>
    <row r="8700" spans="16:19" x14ac:dyDescent="0.25">
      <c r="P8700" s="27">
        <v>3.2548184716220556E-2</v>
      </c>
      <c r="Q8700" s="28">
        <f t="shared" si="139"/>
        <v>3.5548184716220559E-2</v>
      </c>
      <c r="R8700" s="31">
        <v>0.15939999999999999</v>
      </c>
      <c r="S8700" s="32">
        <v>5.7619999999999998E-2</v>
      </c>
    </row>
    <row r="8701" spans="16:19" x14ac:dyDescent="0.25">
      <c r="P8701" s="27">
        <v>3.2548184716220556E-2</v>
      </c>
      <c r="Q8701" s="28">
        <f t="shared" si="139"/>
        <v>3.5548184716220559E-2</v>
      </c>
      <c r="R8701" s="31">
        <v>0.15939999999999999</v>
      </c>
      <c r="S8701" s="32">
        <v>5.704E-2</v>
      </c>
    </row>
    <row r="8702" spans="16:19" x14ac:dyDescent="0.25">
      <c r="P8702" s="27">
        <v>3.2548184716220556E-2</v>
      </c>
      <c r="Q8702" s="28">
        <f t="shared" si="139"/>
        <v>3.5548184716220559E-2</v>
      </c>
      <c r="R8702" s="31">
        <v>0.15939999999999999</v>
      </c>
      <c r="S8702" s="32">
        <v>5.475E-2</v>
      </c>
    </row>
    <row r="8703" spans="16:19" x14ac:dyDescent="0.25">
      <c r="P8703" s="27">
        <v>3.2548184716220556E-2</v>
      </c>
      <c r="Q8703" s="28">
        <f t="shared" si="139"/>
        <v>3.5548184716220559E-2</v>
      </c>
      <c r="R8703" s="31">
        <v>0.15939999999999999</v>
      </c>
      <c r="S8703" s="32">
        <v>5.3409999999999999E-2</v>
      </c>
    </row>
    <row r="8704" spans="16:19" x14ac:dyDescent="0.25">
      <c r="P8704" s="27">
        <v>3.2548184716220556E-2</v>
      </c>
      <c r="Q8704" s="28">
        <f t="shared" si="139"/>
        <v>3.5548184716220559E-2</v>
      </c>
      <c r="R8704" s="31">
        <v>0.15939999999999999</v>
      </c>
      <c r="S8704" s="32">
        <v>5.2950000000000004E-2</v>
      </c>
    </row>
    <row r="8705" spans="16:19" x14ac:dyDescent="0.25">
      <c r="P8705" s="27">
        <v>3.2548184716220556E-2</v>
      </c>
      <c r="Q8705" s="28">
        <f t="shared" si="139"/>
        <v>3.5548184716220559E-2</v>
      </c>
      <c r="R8705" s="31">
        <v>0.15939999999999999</v>
      </c>
      <c r="S8705" s="32">
        <v>5.1999999999999998E-2</v>
      </c>
    </row>
    <row r="8706" spans="16:19" x14ac:dyDescent="0.25">
      <c r="P8706" s="27">
        <v>3.2548184716220556E-2</v>
      </c>
      <c r="Q8706" s="28">
        <f t="shared" si="139"/>
        <v>3.5548184716220559E-2</v>
      </c>
      <c r="R8706" s="31">
        <v>0.15939999999999999</v>
      </c>
      <c r="S8706" s="32">
        <v>5.586E-2</v>
      </c>
    </row>
    <row r="8707" spans="16:19" x14ac:dyDescent="0.25">
      <c r="P8707" s="27">
        <v>3.2548184716220556E-2</v>
      </c>
      <c r="Q8707" s="28">
        <f t="shared" si="139"/>
        <v>3.5548184716220559E-2</v>
      </c>
      <c r="R8707" s="31">
        <v>0.15939999999999999</v>
      </c>
      <c r="S8707" s="32">
        <v>6.0177425999999999E-2</v>
      </c>
    </row>
    <row r="8708" spans="16:19" x14ac:dyDescent="0.25">
      <c r="P8708" s="27">
        <v>3.2548184716220556E-2</v>
      </c>
      <c r="Q8708" s="28">
        <f t="shared" si="139"/>
        <v>3.5548184716220559E-2</v>
      </c>
      <c r="R8708" s="31">
        <v>0.15939999999999999</v>
      </c>
      <c r="S8708" s="32">
        <v>6.9930000000000006E-2</v>
      </c>
    </row>
    <row r="8709" spans="16:19" x14ac:dyDescent="0.25">
      <c r="P8709" s="27">
        <v>3.2548184716220556E-2</v>
      </c>
      <c r="Q8709" s="28">
        <f t="shared" ref="Q8709:Q8739" si="140">P8709+0.003</f>
        <v>3.5548184716220559E-2</v>
      </c>
      <c r="R8709" s="31">
        <v>0.15939999999999999</v>
      </c>
      <c r="S8709" s="32">
        <v>7.8890000000000002E-2</v>
      </c>
    </row>
    <row r="8710" spans="16:19" x14ac:dyDescent="0.25">
      <c r="P8710" s="27">
        <v>3.2548184716220556E-2</v>
      </c>
      <c r="Q8710" s="28">
        <f t="shared" si="140"/>
        <v>3.5548184716220559E-2</v>
      </c>
      <c r="R8710" s="31">
        <v>0.15939999999999999</v>
      </c>
      <c r="S8710" s="32">
        <v>7.2999999999999995E-2</v>
      </c>
    </row>
    <row r="8711" spans="16:19" x14ac:dyDescent="0.25">
      <c r="P8711" s="27">
        <v>3.2548184716220556E-2</v>
      </c>
      <c r="Q8711" s="28">
        <f t="shared" si="140"/>
        <v>3.5548184716220559E-2</v>
      </c>
      <c r="R8711" s="31">
        <v>0.15939999999999999</v>
      </c>
      <c r="S8711" s="32">
        <v>7.2999999999999995E-2</v>
      </c>
    </row>
    <row r="8712" spans="16:19" x14ac:dyDescent="0.25">
      <c r="P8712" s="27">
        <v>3.2548184716220556E-2</v>
      </c>
      <c r="Q8712" s="28">
        <f t="shared" si="140"/>
        <v>3.5548184716220559E-2</v>
      </c>
      <c r="R8712" s="31">
        <v>0.15939999999999999</v>
      </c>
      <c r="S8712" s="32">
        <v>7.1664041999999997E-2</v>
      </c>
    </row>
    <row r="8713" spans="16:19" x14ac:dyDescent="0.25">
      <c r="P8713" s="27">
        <v>3.2548184716220556E-2</v>
      </c>
      <c r="Q8713" s="28">
        <f t="shared" si="140"/>
        <v>3.5548184716220559E-2</v>
      </c>
      <c r="R8713" s="31">
        <v>0.15939999999999999</v>
      </c>
      <c r="S8713" s="32">
        <v>6.8760000000000002E-2</v>
      </c>
    </row>
    <row r="8714" spans="16:19" x14ac:dyDescent="0.25">
      <c r="P8714" s="27">
        <v>3.2548184716220556E-2</v>
      </c>
      <c r="Q8714" s="28">
        <f t="shared" si="140"/>
        <v>3.5548184716220559E-2</v>
      </c>
      <c r="R8714" s="31">
        <v>0.15939999999999999</v>
      </c>
      <c r="S8714" s="32">
        <v>6.4989999999999992E-2</v>
      </c>
    </row>
    <row r="8715" spans="16:19" x14ac:dyDescent="0.25">
      <c r="P8715" s="27">
        <v>3.2548184716220556E-2</v>
      </c>
      <c r="Q8715" s="28">
        <f t="shared" si="140"/>
        <v>3.5548184716220559E-2</v>
      </c>
      <c r="R8715" s="29">
        <v>0.15</v>
      </c>
      <c r="S8715" s="30">
        <v>5.2539999999999996E-2</v>
      </c>
    </row>
    <row r="8716" spans="16:19" x14ac:dyDescent="0.25">
      <c r="P8716" s="27">
        <v>3.2548184716220556E-2</v>
      </c>
      <c r="Q8716" s="28">
        <f t="shared" si="140"/>
        <v>3.5548184716220559E-2</v>
      </c>
      <c r="R8716" s="29">
        <v>0.15</v>
      </c>
      <c r="S8716" s="30">
        <v>5.2700000000000004E-2</v>
      </c>
    </row>
    <row r="8717" spans="16:19" x14ac:dyDescent="0.25">
      <c r="P8717" s="27">
        <v>3.2548184716220556E-2</v>
      </c>
      <c r="Q8717" s="28">
        <f t="shared" si="140"/>
        <v>3.5548184716220559E-2</v>
      </c>
      <c r="R8717" s="29">
        <v>0.15</v>
      </c>
      <c r="S8717" s="30">
        <v>4.3499999999999997E-2</v>
      </c>
    </row>
    <row r="8718" spans="16:19" x14ac:dyDescent="0.25">
      <c r="P8718" s="27">
        <v>3.2548184716220556E-2</v>
      </c>
      <c r="Q8718" s="28">
        <f t="shared" si="140"/>
        <v>3.5548184716220559E-2</v>
      </c>
      <c r="R8718" s="29">
        <v>0.15</v>
      </c>
      <c r="S8718" s="30">
        <v>4.0079999999999998E-2</v>
      </c>
    </row>
    <row r="8719" spans="16:19" x14ac:dyDescent="0.25">
      <c r="P8719" s="27">
        <v>3.2548184716220556E-2</v>
      </c>
      <c r="Q8719" s="28">
        <f t="shared" si="140"/>
        <v>3.5548184716220559E-2</v>
      </c>
      <c r="R8719" s="29">
        <v>0.15</v>
      </c>
      <c r="S8719" s="30">
        <v>3.8780000000000002E-2</v>
      </c>
    </row>
    <row r="8720" spans="16:19" x14ac:dyDescent="0.25">
      <c r="P8720" s="27">
        <v>3.2548184716220556E-2</v>
      </c>
      <c r="Q8720" s="28">
        <f t="shared" si="140"/>
        <v>3.5548184716220559E-2</v>
      </c>
      <c r="R8720" s="29">
        <v>0.15</v>
      </c>
      <c r="S8720" s="30">
        <v>3.8780000000000002E-2</v>
      </c>
    </row>
    <row r="8721" spans="16:19" x14ac:dyDescent="0.25">
      <c r="P8721" s="27">
        <v>3.2548184716220556E-2</v>
      </c>
      <c r="Q8721" s="28">
        <f t="shared" si="140"/>
        <v>3.5548184716220559E-2</v>
      </c>
      <c r="R8721" s="29">
        <v>0.15</v>
      </c>
      <c r="S8721" s="30">
        <v>4.1799999999999997E-2</v>
      </c>
    </row>
    <row r="8722" spans="16:19" x14ac:dyDescent="0.25">
      <c r="P8722" s="27">
        <v>3.2548184716220556E-2</v>
      </c>
      <c r="Q8722" s="28">
        <f t="shared" si="140"/>
        <v>3.5548184716220559E-2</v>
      </c>
      <c r="R8722" s="29">
        <v>0.15</v>
      </c>
      <c r="S8722" s="30">
        <v>5.1999999999999998E-2</v>
      </c>
    </row>
    <row r="8723" spans="16:19" x14ac:dyDescent="0.25">
      <c r="P8723" s="27">
        <v>3.2548184716220556E-2</v>
      </c>
      <c r="Q8723" s="28">
        <f t="shared" si="140"/>
        <v>3.5548184716220559E-2</v>
      </c>
      <c r="R8723" s="29">
        <v>0.15</v>
      </c>
      <c r="S8723" s="30">
        <v>5.8729999999999997E-2</v>
      </c>
    </row>
    <row r="8724" spans="16:19" x14ac:dyDescent="0.25">
      <c r="P8724" s="27">
        <v>3.2548184716220556E-2</v>
      </c>
      <c r="Q8724" s="28">
        <f t="shared" si="140"/>
        <v>3.5548184716220559E-2</v>
      </c>
      <c r="R8724" s="29">
        <v>0.15</v>
      </c>
      <c r="S8724" s="30">
        <v>6.4989999999999992E-2</v>
      </c>
    </row>
    <row r="8725" spans="16:19" x14ac:dyDescent="0.25">
      <c r="P8725" s="27">
        <v>3.2548184716220556E-2</v>
      </c>
      <c r="Q8725" s="28">
        <f t="shared" si="140"/>
        <v>3.5548184716220559E-2</v>
      </c>
      <c r="R8725" s="29">
        <v>0.15</v>
      </c>
      <c r="S8725" s="30">
        <v>6.4989999999999992E-2</v>
      </c>
    </row>
    <row r="8726" spans="16:19" x14ac:dyDescent="0.25">
      <c r="P8726" s="27">
        <v>3.2548184716220556E-2</v>
      </c>
      <c r="Q8726" s="28">
        <f t="shared" si="140"/>
        <v>3.5548184716220559E-2</v>
      </c>
      <c r="R8726" s="29">
        <v>0.15</v>
      </c>
      <c r="S8726" s="30">
        <v>5.7030000000000004E-2</v>
      </c>
    </row>
    <row r="8727" spans="16:19" x14ac:dyDescent="0.25">
      <c r="P8727" s="27">
        <v>3.2548184716220556E-2</v>
      </c>
      <c r="Q8727" s="28">
        <f t="shared" si="140"/>
        <v>3.5548184716220559E-2</v>
      </c>
      <c r="R8727" s="29">
        <v>0.15</v>
      </c>
      <c r="S8727" s="30">
        <v>5.6030000000000003E-2</v>
      </c>
    </row>
    <row r="8728" spans="16:19" x14ac:dyDescent="0.25">
      <c r="P8728" s="27">
        <v>3.2548184716220556E-2</v>
      </c>
      <c r="Q8728" s="28">
        <f t="shared" si="140"/>
        <v>3.5548184716220559E-2</v>
      </c>
      <c r="R8728" s="29">
        <v>0.15</v>
      </c>
      <c r="S8728" s="30">
        <v>5.5969999999999999E-2</v>
      </c>
    </row>
    <row r="8729" spans="16:19" x14ac:dyDescent="0.25">
      <c r="P8729" s="27">
        <v>3.2548184716220556E-2</v>
      </c>
      <c r="Q8729" s="28">
        <f t="shared" si="140"/>
        <v>3.5548184716220559E-2</v>
      </c>
      <c r="R8729" s="29">
        <v>0.15</v>
      </c>
      <c r="S8729" s="30">
        <v>5.3499999999999999E-2</v>
      </c>
    </row>
    <row r="8730" spans="16:19" x14ac:dyDescent="0.25">
      <c r="P8730" s="27">
        <v>3.2548184716220556E-2</v>
      </c>
      <c r="Q8730" s="28">
        <f t="shared" si="140"/>
        <v>3.5548184716220559E-2</v>
      </c>
      <c r="R8730" s="29">
        <v>0.15</v>
      </c>
      <c r="S8730" s="30">
        <v>5.7210000000000004E-2</v>
      </c>
    </row>
    <row r="8731" spans="16:19" x14ac:dyDescent="0.25">
      <c r="P8731" s="27">
        <v>3.2548184716220556E-2</v>
      </c>
      <c r="Q8731" s="28">
        <f t="shared" si="140"/>
        <v>3.5548184716220559E-2</v>
      </c>
      <c r="R8731" s="29">
        <v>0.15</v>
      </c>
      <c r="S8731" s="30">
        <v>6.794E-2</v>
      </c>
    </row>
    <row r="8732" spans="16:19" x14ac:dyDescent="0.25">
      <c r="P8732" s="27">
        <v>3.2548184716220556E-2</v>
      </c>
      <c r="Q8732" s="28">
        <f t="shared" si="140"/>
        <v>3.5548184716220559E-2</v>
      </c>
      <c r="R8732" s="29">
        <v>0.15</v>
      </c>
      <c r="S8732" s="30">
        <v>7.0999999999999994E-2</v>
      </c>
    </row>
    <row r="8733" spans="16:19" x14ac:dyDescent="0.25">
      <c r="P8733" s="27">
        <v>3.2548184716220556E-2</v>
      </c>
      <c r="Q8733" s="28">
        <f t="shared" si="140"/>
        <v>3.5548184716220559E-2</v>
      </c>
      <c r="R8733" s="29">
        <v>0.15</v>
      </c>
      <c r="S8733" s="30">
        <v>8.7999999999999995E-2</v>
      </c>
    </row>
    <row r="8734" spans="16:19" x14ac:dyDescent="0.25">
      <c r="P8734" s="27">
        <v>3.2548184716220556E-2</v>
      </c>
      <c r="Q8734" s="28">
        <f t="shared" si="140"/>
        <v>3.5548184716220559E-2</v>
      </c>
      <c r="R8734" s="29">
        <v>0.15</v>
      </c>
      <c r="S8734" s="30">
        <v>8.4220000000000003E-2</v>
      </c>
    </row>
    <row r="8735" spans="16:19" x14ac:dyDescent="0.25">
      <c r="P8735" s="27">
        <v>3.2548184716220556E-2</v>
      </c>
      <c r="Q8735" s="28">
        <f t="shared" si="140"/>
        <v>3.5548184716220559E-2</v>
      </c>
      <c r="R8735" s="29">
        <v>0.15</v>
      </c>
      <c r="S8735" s="30">
        <v>7.7189999999999995E-2</v>
      </c>
    </row>
    <row r="8736" spans="16:19" x14ac:dyDescent="0.25">
      <c r="P8736" s="27">
        <v>3.2548184716220556E-2</v>
      </c>
      <c r="Q8736" s="28">
        <f t="shared" si="140"/>
        <v>3.5548184716220559E-2</v>
      </c>
      <c r="R8736" s="29">
        <v>0.15</v>
      </c>
      <c r="S8736" s="30">
        <v>6.9000000000000006E-2</v>
      </c>
    </row>
    <row r="8737" spans="6:19" x14ac:dyDescent="0.25">
      <c r="P8737" s="27">
        <v>3.2548184716220556E-2</v>
      </c>
      <c r="Q8737" s="28">
        <f t="shared" si="140"/>
        <v>3.5548184716220559E-2</v>
      </c>
      <c r="R8737" s="29">
        <v>0.15</v>
      </c>
      <c r="S8737" s="30">
        <v>6.4769999999999994E-2</v>
      </c>
    </row>
    <row r="8738" spans="6:19" x14ac:dyDescent="0.25">
      <c r="P8738" s="27">
        <v>3.2548184716220556E-2</v>
      </c>
      <c r="Q8738" s="28">
        <f t="shared" si="140"/>
        <v>3.5548184716220559E-2</v>
      </c>
      <c r="R8738" s="29">
        <v>0.15</v>
      </c>
      <c r="S8738" s="30">
        <v>5.8999999999999997E-2</v>
      </c>
    </row>
    <row r="8739" spans="6:19" x14ac:dyDescent="0.25">
      <c r="P8739" s="27">
        <v>3.2548184716220556E-2</v>
      </c>
      <c r="Q8739" s="28">
        <f t="shared" si="140"/>
        <v>3.5548184716220559E-2</v>
      </c>
      <c r="R8739" s="29">
        <v>0.15</v>
      </c>
      <c r="S8739" s="30">
        <v>5.2999999999999999E-2</v>
      </c>
    </row>
    <row r="8740" spans="6:19" x14ac:dyDescent="0.25">
      <c r="F8740" s="35"/>
    </row>
    <row r="8741" spans="6:19" x14ac:dyDescent="0.25">
      <c r="F8741" s="35"/>
    </row>
    <row r="8742" spans="6:19" x14ac:dyDescent="0.25">
      <c r="F8742" s="35"/>
    </row>
    <row r="8743" spans="6:19" x14ac:dyDescent="0.25">
      <c r="F8743" s="35"/>
    </row>
    <row r="8744" spans="6:19" x14ac:dyDescent="0.25">
      <c r="F8744" s="35"/>
    </row>
    <row r="8745" spans="6:19" x14ac:dyDescent="0.25">
      <c r="F8745" s="35"/>
    </row>
    <row r="8746" spans="6:19" x14ac:dyDescent="0.25">
      <c r="F8746" s="3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6"/>
  <sheetViews>
    <sheetView workbookViewId="0">
      <selection activeCell="M28" sqref="M28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19</v>
      </c>
      <c r="B1" t="s">
        <v>6</v>
      </c>
      <c r="C1" t="s">
        <v>7</v>
      </c>
      <c r="D1" t="s">
        <v>21</v>
      </c>
      <c r="E1" t="s">
        <v>20</v>
      </c>
      <c r="F1" t="s">
        <v>40</v>
      </c>
      <c r="G1" t="s">
        <v>47</v>
      </c>
    </row>
    <row r="2" spans="1:9" x14ac:dyDescent="0.25">
      <c r="A2" t="s">
        <v>48</v>
      </c>
      <c r="B2" t="s">
        <v>49</v>
      </c>
      <c r="C2" t="s">
        <v>73</v>
      </c>
      <c r="D2" t="s">
        <v>74</v>
      </c>
      <c r="E2" t="s">
        <v>75</v>
      </c>
      <c r="F2" t="s">
        <v>76</v>
      </c>
      <c r="G2" t="s">
        <v>77</v>
      </c>
      <c r="I2" t="s">
        <v>90</v>
      </c>
    </row>
    <row r="3" spans="1:9" x14ac:dyDescent="0.25">
      <c r="A3" t="s">
        <v>50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</row>
    <row r="4" spans="1:9" x14ac:dyDescent="0.25">
      <c r="A4" t="s">
        <v>55</v>
      </c>
      <c r="B4" t="s">
        <v>56</v>
      </c>
      <c r="C4" t="s">
        <v>57</v>
      </c>
      <c r="D4" t="s">
        <v>58</v>
      </c>
      <c r="E4" t="s">
        <v>59</v>
      </c>
      <c r="F4" t="s">
        <v>60</v>
      </c>
      <c r="G4" t="s">
        <v>61</v>
      </c>
    </row>
    <row r="5" spans="1:9" x14ac:dyDescent="0.25">
      <c r="A5" t="s">
        <v>83</v>
      </c>
      <c r="B5" t="s">
        <v>84</v>
      </c>
      <c r="C5" t="s">
        <v>85</v>
      </c>
      <c r="D5" t="s">
        <v>86</v>
      </c>
      <c r="E5" t="s">
        <v>87</v>
      </c>
      <c r="F5" t="s">
        <v>88</v>
      </c>
      <c r="G5" t="s">
        <v>89</v>
      </c>
    </row>
    <row r="6" spans="1:9" x14ac:dyDescent="0.25">
      <c r="A6" t="s">
        <v>62</v>
      </c>
      <c r="B6" t="s">
        <v>63</v>
      </c>
      <c r="C6" t="s">
        <v>64</v>
      </c>
      <c r="D6" t="s">
        <v>65</v>
      </c>
      <c r="E6" t="s">
        <v>66</v>
      </c>
      <c r="F6" t="s">
        <v>67</v>
      </c>
      <c r="G6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2016-11-30T17:14:42Z</dcterms:modified>
</cp:coreProperties>
</file>