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5" rupBuild="14420" codeName="{51196F13-6AD0-C1B8-E2B4-A1F9AE17003E}"/>
  <workbookPr codeName="ThisWorkbook" defaultThemeVersion="164011"/>
  <mc:AlternateContent xmlns:mc="http://schemas.openxmlformats.org/markup-compatibility/2006">
    <mc:Choice Requires="x15">
      <x15ac:absPath xmlns:x15ac="http://schemas.microsoft.com/office/spreadsheetml/2010/11/ac" url="C:\Users\luca1\Documents\GitHub\UCdet\"/>
    </mc:Choice>
  </mc:AlternateContent>
  <bookViews>
    <workbookView xWindow="0" yWindow="0" windowWidth="28800" windowHeight="11610"/>
  </bookViews>
  <sheets>
    <sheet name="Demand" sheetId="1" r:id="rId1"/>
    <sheet name="Undispatch" sheetId="3" r:id="rId2"/>
    <sheet name="Machines" sheetId="2" r:id="rId3"/>
    <sheet name="Stor&amp;Net" sheetId="4" r:id="rId4"/>
    <sheet name="Prices" sheetId="8" r:id="rId5"/>
    <sheet name="DATA" sheetId="7" state="hidden" r:id="rId6"/>
  </sheets>
  <functionGroups builtInGroupCount="18"/>
  <definedNames>
    <definedName name="adddata">Machines!$M$1</definedName>
    <definedName name="ambdof">Demand!$N$2</definedName>
    <definedName name="ambrange">Demand!$K$2</definedName>
    <definedName name="colamb">Machines!$A$3</definedName>
    <definedName name="colinp">Machines!$A$1</definedName>
    <definedName name="colout">Machines!$A$2</definedName>
    <definedName name="datarange">Demand!$I$2</definedName>
    <definedName name="ddatarange">Undispatch!$A$1</definedName>
    <definedName name="namb">DATA!#REF!</definedName>
    <definedName name="names">Machines!$B:$B</definedName>
    <definedName name="ngoods">Demand!$K$2</definedName>
    <definedName name="pricerange">Prices!$A$1</definedName>
    <definedName name="profstart">Demand!$F$4</definedName>
    <definedName name="rangeread">DATA!$M$2</definedName>
    <definedName name="storstart">'Stor&amp;Net'!$A$3</definedName>
    <definedName name="tdur">Demand!$C$1</definedName>
    <definedName name="unprofstart">Undispatch!$D$2</definedName>
  </definedNames>
  <calcPr calcId="162913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C1" i="1" l="1"/>
  <c r="J4" i="4" l="1"/>
  <c r="J3" i="4" l="1"/>
  <c r="A1" i="8"/>
  <c r="C1156" i="1"/>
  <c r="A1156" i="1" s="1"/>
  <c r="C1155" i="1"/>
  <c r="A1155" i="1"/>
  <c r="C1154" i="1"/>
  <c r="A1154" i="1" s="1"/>
  <c r="C1153" i="1"/>
  <c r="A1153" i="1" s="1"/>
  <c r="C1152" i="1"/>
  <c r="A1152" i="1" s="1"/>
  <c r="C1151" i="1"/>
  <c r="A1151" i="1" s="1"/>
  <c r="C1150" i="1"/>
  <c r="A1150" i="1"/>
  <c r="C1149" i="1"/>
  <c r="A1149" i="1"/>
  <c r="C1148" i="1"/>
  <c r="A1148" i="1" s="1"/>
  <c r="C1147" i="1"/>
  <c r="A1147" i="1" s="1"/>
  <c r="C1146" i="1"/>
  <c r="A1146" i="1"/>
  <c r="C1145" i="1"/>
  <c r="A1145" i="1" s="1"/>
  <c r="C1144" i="1"/>
  <c r="A1144" i="1" s="1"/>
  <c r="C1143" i="1"/>
  <c r="A1143" i="1" s="1"/>
  <c r="C1142" i="1"/>
  <c r="A1142" i="1" s="1"/>
  <c r="C1141" i="1"/>
  <c r="A1141" i="1"/>
  <c r="C1140" i="1"/>
  <c r="A1140" i="1" s="1"/>
  <c r="C1139" i="1"/>
  <c r="A1139" i="1" s="1"/>
  <c r="C1138" i="1"/>
  <c r="A1138" i="1" s="1"/>
  <c r="C1137" i="1"/>
  <c r="A1137" i="1"/>
  <c r="C1136" i="1"/>
  <c r="A1136" i="1" s="1"/>
  <c r="C1135" i="1"/>
  <c r="A1135" i="1"/>
  <c r="C1134" i="1"/>
  <c r="A1134" i="1" s="1"/>
  <c r="C1133" i="1"/>
  <c r="A1133" i="1" s="1"/>
  <c r="C1132" i="1"/>
  <c r="A1132" i="1" s="1"/>
  <c r="C1131" i="1"/>
  <c r="A1131" i="1" s="1"/>
  <c r="C1130" i="1"/>
  <c r="A1130" i="1" s="1"/>
  <c r="C1129" i="1"/>
  <c r="A1129" i="1" s="1"/>
  <c r="C1128" i="1"/>
  <c r="A1128" i="1" s="1"/>
  <c r="C1127" i="1"/>
  <c r="A1127" i="1"/>
  <c r="C1126" i="1"/>
  <c r="A1126" i="1"/>
  <c r="C1125" i="1"/>
  <c r="A1125" i="1" s="1"/>
  <c r="C1124" i="1"/>
  <c r="A1124" i="1" s="1"/>
  <c r="C1123" i="1"/>
  <c r="A1123" i="1"/>
  <c r="C1122" i="1"/>
  <c r="A1122" i="1" s="1"/>
  <c r="C1121" i="1"/>
  <c r="A1121" i="1" s="1"/>
  <c r="C1120" i="1"/>
  <c r="A1120" i="1" s="1"/>
  <c r="C1119" i="1"/>
  <c r="A1119" i="1" s="1"/>
  <c r="C1118" i="1"/>
  <c r="A1118" i="1"/>
  <c r="C1117" i="1"/>
  <c r="A1117" i="1"/>
  <c r="C1116" i="1"/>
  <c r="A1116" i="1" s="1"/>
  <c r="C1115" i="1"/>
  <c r="A1115" i="1" s="1"/>
  <c r="C1114" i="1"/>
  <c r="A1114" i="1"/>
  <c r="C1113" i="1"/>
  <c r="A1113" i="1" s="1"/>
  <c r="C1112" i="1"/>
  <c r="A1112" i="1" s="1"/>
  <c r="C1111" i="1"/>
  <c r="A1111" i="1" s="1"/>
  <c r="C1110" i="1"/>
  <c r="A1110" i="1" s="1"/>
  <c r="C1109" i="1"/>
  <c r="A1109" i="1"/>
  <c r="C1108" i="1"/>
  <c r="A1108" i="1" s="1"/>
  <c r="C1107" i="1"/>
  <c r="A1107" i="1" s="1"/>
  <c r="C1106" i="1"/>
  <c r="A1106" i="1" s="1"/>
  <c r="C1105" i="1"/>
  <c r="A1105" i="1"/>
  <c r="C1104" i="1"/>
  <c r="A1104" i="1" s="1"/>
  <c r="C1103" i="1"/>
  <c r="A1103" i="1"/>
  <c r="C1102" i="1"/>
  <c r="A1102" i="1" s="1"/>
  <c r="C1101" i="1"/>
  <c r="A1101" i="1" s="1"/>
  <c r="C1100" i="1"/>
  <c r="A1100" i="1" s="1"/>
  <c r="C1099" i="1"/>
  <c r="A1099" i="1" s="1"/>
  <c r="C1098" i="1"/>
  <c r="A1098" i="1" s="1"/>
  <c r="C1097" i="1"/>
  <c r="A1097" i="1" s="1"/>
  <c r="C1096" i="1"/>
  <c r="A1096" i="1" s="1"/>
  <c r="C1095" i="1"/>
  <c r="A1095" i="1"/>
  <c r="C1094" i="1"/>
  <c r="A1094" i="1"/>
  <c r="C1093" i="1"/>
  <c r="A1093" i="1" s="1"/>
  <c r="C1092" i="1"/>
  <c r="A1092" i="1" s="1"/>
  <c r="C1091" i="1"/>
  <c r="A1091" i="1"/>
  <c r="C1090" i="1"/>
  <c r="A1090" i="1" s="1"/>
  <c r="C1089" i="1"/>
  <c r="A1089" i="1" s="1"/>
  <c r="C1088" i="1"/>
  <c r="A1088" i="1" s="1"/>
  <c r="C1087" i="1"/>
  <c r="A1087" i="1" s="1"/>
  <c r="C1086" i="1"/>
  <c r="A1086" i="1"/>
  <c r="C1085" i="1"/>
  <c r="A1085" i="1"/>
  <c r="C1084" i="1"/>
  <c r="A1084" i="1" s="1"/>
  <c r="C1083" i="1"/>
  <c r="A1083" i="1" s="1"/>
  <c r="C1082" i="1"/>
  <c r="A1082" i="1"/>
  <c r="C1081" i="1"/>
  <c r="A1081" i="1" s="1"/>
  <c r="C1080" i="1"/>
  <c r="A1080" i="1" s="1"/>
  <c r="C1079" i="1"/>
  <c r="A1079" i="1" s="1"/>
  <c r="C1078" i="1"/>
  <c r="A1078" i="1" s="1"/>
  <c r="C1077" i="1"/>
  <c r="A1077" i="1"/>
  <c r="C1076" i="1"/>
  <c r="A1076" i="1" s="1"/>
  <c r="C1075" i="1"/>
  <c r="A1075" i="1" s="1"/>
  <c r="C1074" i="1"/>
  <c r="A1074" i="1" s="1"/>
  <c r="C1073" i="1"/>
  <c r="A1073" i="1"/>
  <c r="C1072" i="1"/>
  <c r="A1072" i="1" s="1"/>
  <c r="C1071" i="1"/>
  <c r="A1071" i="1"/>
  <c r="C1070" i="1"/>
  <c r="A1070" i="1" s="1"/>
  <c r="C1069" i="1"/>
  <c r="A1069" i="1" s="1"/>
  <c r="C1068" i="1"/>
  <c r="A1068" i="1" s="1"/>
  <c r="C1067" i="1"/>
  <c r="A1067" i="1" s="1"/>
  <c r="C1066" i="1"/>
  <c r="A1066" i="1" s="1"/>
  <c r="C1065" i="1"/>
  <c r="A1065" i="1" s="1"/>
  <c r="C1064" i="1"/>
  <c r="A1064" i="1" s="1"/>
  <c r="C1063" i="1"/>
  <c r="A1063" i="1"/>
  <c r="C1062" i="1"/>
  <c r="A1062" i="1"/>
  <c r="C1061" i="1"/>
  <c r="A1061" i="1" s="1"/>
  <c r="C1060" i="1"/>
  <c r="A1060" i="1" s="1"/>
  <c r="C1059" i="1"/>
  <c r="A1059" i="1"/>
  <c r="C1058" i="1"/>
  <c r="A1058" i="1" s="1"/>
  <c r="C1057" i="1"/>
  <c r="A1057" i="1" s="1"/>
  <c r="C1056" i="1"/>
  <c r="A1056" i="1" s="1"/>
  <c r="C1055" i="1"/>
  <c r="A1055" i="1" s="1"/>
  <c r="C1054" i="1"/>
  <c r="A1054" i="1"/>
  <c r="C1053" i="1"/>
  <c r="A1053" i="1"/>
  <c r="C1052" i="1"/>
  <c r="A1052" i="1" s="1"/>
  <c r="C1051" i="1"/>
  <c r="A1051" i="1" s="1"/>
  <c r="C1050" i="1"/>
  <c r="A1050" i="1"/>
  <c r="C1049" i="1"/>
  <c r="A1049" i="1" s="1"/>
  <c r="C1048" i="1"/>
  <c r="A1048" i="1" s="1"/>
  <c r="C1047" i="1"/>
  <c r="A1047" i="1" s="1"/>
  <c r="C1046" i="1"/>
  <c r="A1046" i="1" s="1"/>
  <c r="C1045" i="1"/>
  <c r="A1045" i="1"/>
  <c r="C1044" i="1"/>
  <c r="A1044" i="1" s="1"/>
  <c r="C1043" i="1"/>
  <c r="A1043" i="1" s="1"/>
  <c r="C1042" i="1"/>
  <c r="A1042" i="1" s="1"/>
  <c r="C1041" i="1"/>
  <c r="A1041" i="1"/>
  <c r="C1040" i="1"/>
  <c r="A1040" i="1" s="1"/>
  <c r="C1039" i="1"/>
  <c r="A1039" i="1"/>
  <c r="C1038" i="1"/>
  <c r="A1038" i="1" s="1"/>
  <c r="C1037" i="1"/>
  <c r="A1037" i="1" s="1"/>
  <c r="C1036" i="1"/>
  <c r="A1036" i="1" s="1"/>
  <c r="C1035" i="1"/>
  <c r="A1035" i="1" s="1"/>
  <c r="C1034" i="1"/>
  <c r="A1034" i="1" s="1"/>
  <c r="C1033" i="1"/>
  <c r="A1033" i="1" s="1"/>
  <c r="C1032" i="1"/>
  <c r="A1032" i="1" s="1"/>
  <c r="C1031" i="1"/>
  <c r="A1031" i="1"/>
  <c r="C1030" i="1"/>
  <c r="A1030" i="1"/>
  <c r="C1029" i="1"/>
  <c r="A1029" i="1" s="1"/>
  <c r="C1028" i="1"/>
  <c r="A1028" i="1" s="1"/>
  <c r="C1027" i="1"/>
  <c r="A1027" i="1"/>
  <c r="C1026" i="1"/>
  <c r="A1026" i="1" s="1"/>
  <c r="C1025" i="1"/>
  <c r="A1025" i="1" s="1"/>
  <c r="C1024" i="1"/>
  <c r="A1024" i="1" s="1"/>
  <c r="C1023" i="1"/>
  <c r="A1023" i="1" s="1"/>
  <c r="C1022" i="1"/>
  <c r="A1022" i="1"/>
  <c r="C1021" i="1"/>
  <c r="A1021" i="1"/>
  <c r="C1020" i="1"/>
  <c r="A1020" i="1" s="1"/>
  <c r="C1019" i="1"/>
  <c r="A1019" i="1" s="1"/>
  <c r="C1018" i="1"/>
  <c r="A1018" i="1"/>
  <c r="C1017" i="1"/>
  <c r="A1017" i="1" s="1"/>
  <c r="C1016" i="1"/>
  <c r="A1016" i="1" s="1"/>
  <c r="C1015" i="1"/>
  <c r="A1015" i="1" s="1"/>
  <c r="C1014" i="1"/>
  <c r="A1014" i="1" s="1"/>
  <c r="C1013" i="1"/>
  <c r="A1013" i="1"/>
  <c r="C1012" i="1"/>
  <c r="A1012" i="1" s="1"/>
  <c r="C1011" i="1"/>
  <c r="A1011" i="1" s="1"/>
  <c r="C1010" i="1"/>
  <c r="A1010" i="1" s="1"/>
  <c r="C1009" i="1"/>
  <c r="A1009" i="1"/>
  <c r="C1008" i="1"/>
  <c r="A1008" i="1" s="1"/>
  <c r="C1007" i="1"/>
  <c r="A1007" i="1"/>
  <c r="C1006" i="1"/>
  <c r="A1006" i="1" s="1"/>
  <c r="C1005" i="1"/>
  <c r="A1005" i="1"/>
  <c r="C1004" i="1"/>
  <c r="A1004" i="1" s="1"/>
  <c r="C1003" i="1"/>
  <c r="A1003" i="1" s="1"/>
  <c r="C1002" i="1"/>
  <c r="A1002" i="1" s="1"/>
  <c r="C1001" i="1"/>
  <c r="A1001" i="1" s="1"/>
  <c r="C1000" i="1"/>
  <c r="A1000" i="1" s="1"/>
  <c r="C999" i="1"/>
  <c r="A999" i="1"/>
  <c r="C998" i="1"/>
  <c r="A998" i="1"/>
  <c r="C997" i="1"/>
  <c r="A997" i="1" s="1"/>
  <c r="C996" i="1"/>
  <c r="A996" i="1" s="1"/>
  <c r="C995" i="1"/>
  <c r="A995" i="1"/>
  <c r="C994" i="1"/>
  <c r="A994" i="1" s="1"/>
  <c r="C993" i="1"/>
  <c r="A993" i="1" s="1"/>
  <c r="C992" i="1"/>
  <c r="A992" i="1" s="1"/>
  <c r="C991" i="1"/>
  <c r="A991" i="1"/>
  <c r="C990" i="1"/>
  <c r="A990" i="1"/>
  <c r="C989" i="1"/>
  <c r="A989" i="1"/>
  <c r="C988" i="1"/>
  <c r="A988" i="1" s="1"/>
  <c r="C987" i="1"/>
  <c r="A987" i="1" s="1"/>
  <c r="C986" i="1"/>
  <c r="A986" i="1"/>
  <c r="C985" i="1"/>
  <c r="A985" i="1" s="1"/>
  <c r="C984" i="1"/>
  <c r="A984" i="1" s="1"/>
  <c r="C983" i="1"/>
  <c r="A983" i="1" s="1"/>
  <c r="C982" i="1"/>
  <c r="A982" i="1"/>
  <c r="C981" i="1"/>
  <c r="A981" i="1"/>
  <c r="C980" i="1"/>
  <c r="A980" i="1" s="1"/>
  <c r="C979" i="1"/>
  <c r="A979" i="1" s="1"/>
  <c r="C978" i="1"/>
  <c r="A978" i="1" s="1"/>
  <c r="C977" i="1"/>
  <c r="A977" i="1"/>
  <c r="C976" i="1"/>
  <c r="A976" i="1" s="1"/>
  <c r="C975" i="1"/>
  <c r="A975" i="1"/>
  <c r="C974" i="1"/>
  <c r="A974" i="1" s="1"/>
  <c r="C973" i="1"/>
  <c r="A973" i="1"/>
  <c r="C972" i="1"/>
  <c r="A972" i="1" s="1"/>
  <c r="C971" i="1"/>
  <c r="A971" i="1" s="1"/>
  <c r="C970" i="1"/>
  <c r="A970" i="1" s="1"/>
  <c r="C969" i="1"/>
  <c r="A969" i="1" s="1"/>
  <c r="C968" i="1"/>
  <c r="A968" i="1" s="1"/>
  <c r="C967" i="1"/>
  <c r="A967" i="1"/>
  <c r="C966" i="1"/>
  <c r="A966" i="1"/>
  <c r="C965" i="1"/>
  <c r="A965" i="1" s="1"/>
  <c r="C964" i="1"/>
  <c r="A964" i="1" s="1"/>
  <c r="C963" i="1"/>
  <c r="A963" i="1"/>
  <c r="C962" i="1"/>
  <c r="A962" i="1" s="1"/>
  <c r="C961" i="1"/>
  <c r="A961" i="1" s="1"/>
  <c r="C960" i="1"/>
  <c r="A960" i="1" s="1"/>
  <c r="C959" i="1"/>
  <c r="A959" i="1"/>
  <c r="C958" i="1"/>
  <c r="A958" i="1"/>
  <c r="C957" i="1"/>
  <c r="A957" i="1"/>
  <c r="C956" i="1"/>
  <c r="A956" i="1" s="1"/>
  <c r="C955" i="1"/>
  <c r="A955" i="1" s="1"/>
  <c r="C954" i="1"/>
  <c r="A954" i="1"/>
  <c r="C953" i="1"/>
  <c r="A953" i="1" s="1"/>
  <c r="C952" i="1"/>
  <c r="A952" i="1" s="1"/>
  <c r="C951" i="1"/>
  <c r="A951" i="1"/>
  <c r="C950" i="1"/>
  <c r="A950" i="1"/>
  <c r="C949" i="1"/>
  <c r="A949" i="1"/>
  <c r="C948" i="1"/>
  <c r="A948" i="1" s="1"/>
  <c r="C947" i="1"/>
  <c r="A947" i="1" s="1"/>
  <c r="C946" i="1"/>
  <c r="A946" i="1" s="1"/>
  <c r="C945" i="1"/>
  <c r="A945" i="1"/>
  <c r="C944" i="1"/>
  <c r="A944" i="1" s="1"/>
  <c r="C943" i="1"/>
  <c r="A943" i="1"/>
  <c r="C942" i="1"/>
  <c r="A942" i="1"/>
  <c r="C941" i="1"/>
  <c r="A941" i="1"/>
  <c r="C940" i="1"/>
  <c r="A940" i="1" s="1"/>
  <c r="C939" i="1"/>
  <c r="A939" i="1" s="1"/>
  <c r="C938" i="1"/>
  <c r="A938" i="1" s="1"/>
  <c r="C937" i="1"/>
  <c r="A937" i="1" s="1"/>
  <c r="C936" i="1"/>
  <c r="A936" i="1" s="1"/>
  <c r="C935" i="1"/>
  <c r="A935" i="1"/>
  <c r="C934" i="1"/>
  <c r="A934" i="1"/>
  <c r="C933" i="1"/>
  <c r="A933" i="1"/>
  <c r="C932" i="1"/>
  <c r="A932" i="1" s="1"/>
  <c r="C931" i="1"/>
  <c r="A931" i="1"/>
  <c r="C930" i="1"/>
  <c r="A930" i="1" s="1"/>
  <c r="C929" i="1"/>
  <c r="A929" i="1" s="1"/>
  <c r="C928" i="1"/>
  <c r="A928" i="1" s="1"/>
  <c r="C927" i="1"/>
  <c r="A927" i="1"/>
  <c r="C926" i="1"/>
  <c r="A926" i="1"/>
  <c r="C925" i="1"/>
  <c r="A925" i="1"/>
  <c r="C924" i="1"/>
  <c r="A924" i="1" s="1"/>
  <c r="C923" i="1"/>
  <c r="A923" i="1" s="1"/>
  <c r="C922" i="1"/>
  <c r="A922" i="1"/>
  <c r="C921" i="1"/>
  <c r="A921" i="1" s="1"/>
  <c r="C920" i="1"/>
  <c r="A920" i="1" s="1"/>
  <c r="C919" i="1"/>
  <c r="A919" i="1"/>
  <c r="C918" i="1"/>
  <c r="A918" i="1"/>
  <c r="C917" i="1"/>
  <c r="A917" i="1"/>
  <c r="C916" i="1"/>
  <c r="A916" i="1" s="1"/>
  <c r="C915" i="1"/>
  <c r="A915" i="1" s="1"/>
  <c r="C914" i="1"/>
  <c r="A914" i="1" s="1"/>
  <c r="C913" i="1"/>
  <c r="A913" i="1"/>
  <c r="C912" i="1"/>
  <c r="A912" i="1" s="1"/>
  <c r="C911" i="1"/>
  <c r="A911" i="1"/>
  <c r="C910" i="1"/>
  <c r="A910" i="1"/>
  <c r="C909" i="1"/>
  <c r="A909" i="1"/>
  <c r="C908" i="1"/>
  <c r="A908" i="1" s="1"/>
  <c r="C907" i="1"/>
  <c r="A907" i="1" s="1"/>
  <c r="C906" i="1"/>
  <c r="A906" i="1" s="1"/>
  <c r="C905" i="1"/>
  <c r="A905" i="1" s="1"/>
  <c r="C904" i="1"/>
  <c r="A904" i="1" s="1"/>
  <c r="C903" i="1"/>
  <c r="A903" i="1"/>
  <c r="C902" i="1"/>
  <c r="A902" i="1"/>
  <c r="C901" i="1"/>
  <c r="A901" i="1"/>
  <c r="C900" i="1"/>
  <c r="A900" i="1" s="1"/>
  <c r="C899" i="1"/>
  <c r="A899" i="1"/>
  <c r="C898" i="1"/>
  <c r="A898" i="1" s="1"/>
  <c r="C897" i="1"/>
  <c r="A897" i="1" s="1"/>
  <c r="C896" i="1"/>
  <c r="A896" i="1" s="1"/>
  <c r="C895" i="1"/>
  <c r="A895" i="1"/>
  <c r="C894" i="1"/>
  <c r="A894" i="1"/>
  <c r="C893" i="1"/>
  <c r="A893" i="1"/>
  <c r="C892" i="1"/>
  <c r="A892" i="1" s="1"/>
  <c r="C891" i="1"/>
  <c r="A891" i="1" s="1"/>
  <c r="C890" i="1"/>
  <c r="A890" i="1"/>
  <c r="C889" i="1"/>
  <c r="A889" i="1" s="1"/>
  <c r="C888" i="1"/>
  <c r="A888" i="1" s="1"/>
  <c r="C887" i="1"/>
  <c r="A887" i="1"/>
  <c r="C886" i="1"/>
  <c r="A886" i="1"/>
  <c r="C885" i="1"/>
  <c r="A885" i="1"/>
  <c r="C884" i="1"/>
  <c r="A884" i="1" s="1"/>
  <c r="C883" i="1"/>
  <c r="A883" i="1" s="1"/>
  <c r="C882" i="1"/>
  <c r="A882" i="1" s="1"/>
  <c r="C881" i="1"/>
  <c r="A881" i="1"/>
  <c r="C880" i="1"/>
  <c r="A880" i="1" s="1"/>
  <c r="C879" i="1"/>
  <c r="A879" i="1"/>
  <c r="C878" i="1"/>
  <c r="A878" i="1"/>
  <c r="C877" i="1"/>
  <c r="A877" i="1"/>
  <c r="C876" i="1"/>
  <c r="A876" i="1" s="1"/>
  <c r="C875" i="1"/>
  <c r="A875" i="1" s="1"/>
  <c r="C874" i="1"/>
  <c r="A874" i="1" s="1"/>
  <c r="C873" i="1"/>
  <c r="A873" i="1" s="1"/>
  <c r="C872" i="1"/>
  <c r="A872" i="1" s="1"/>
  <c r="C871" i="1"/>
  <c r="A871" i="1"/>
  <c r="C870" i="1"/>
  <c r="A870" i="1"/>
  <c r="C869" i="1"/>
  <c r="A869" i="1"/>
  <c r="C868" i="1"/>
  <c r="A868" i="1" s="1"/>
  <c r="C867" i="1"/>
  <c r="A867" i="1"/>
  <c r="C866" i="1"/>
  <c r="A866" i="1" s="1"/>
  <c r="C865" i="1"/>
  <c r="A865" i="1" s="1"/>
  <c r="C864" i="1"/>
  <c r="A864" i="1" s="1"/>
  <c r="C863" i="1"/>
  <c r="A863" i="1"/>
  <c r="C862" i="1"/>
  <c r="A862" i="1"/>
  <c r="C861" i="1"/>
  <c r="A861" i="1"/>
  <c r="C860" i="1"/>
  <c r="A860" i="1" s="1"/>
  <c r="C859" i="1"/>
  <c r="A859" i="1" s="1"/>
  <c r="C858" i="1"/>
  <c r="A858" i="1"/>
  <c r="C857" i="1"/>
  <c r="A857" i="1" s="1"/>
  <c r="C856" i="1"/>
  <c r="A856" i="1" s="1"/>
  <c r="C855" i="1"/>
  <c r="A855" i="1"/>
  <c r="C854" i="1"/>
  <c r="A854" i="1"/>
  <c r="C853" i="1"/>
  <c r="A853" i="1"/>
  <c r="C852" i="1"/>
  <c r="A852" i="1" s="1"/>
  <c r="C851" i="1"/>
  <c r="A851" i="1" s="1"/>
  <c r="C850" i="1"/>
  <c r="A850" i="1" s="1"/>
  <c r="C849" i="1"/>
  <c r="A849" i="1"/>
  <c r="C848" i="1"/>
  <c r="A848" i="1" s="1"/>
  <c r="C847" i="1"/>
  <c r="A847" i="1"/>
  <c r="C846" i="1"/>
  <c r="A846" i="1"/>
  <c r="C845" i="1"/>
  <c r="A845" i="1"/>
  <c r="C844" i="1"/>
  <c r="A844" i="1" s="1"/>
  <c r="C843" i="1"/>
  <c r="A843" i="1" s="1"/>
  <c r="C842" i="1"/>
  <c r="A842" i="1" s="1"/>
  <c r="C841" i="1"/>
  <c r="A841" i="1" s="1"/>
  <c r="C840" i="1"/>
  <c r="A840" i="1" s="1"/>
  <c r="C839" i="1"/>
  <c r="A839" i="1"/>
  <c r="C838" i="1"/>
  <c r="A838" i="1"/>
  <c r="C837" i="1"/>
  <c r="A837" i="1"/>
  <c r="C836" i="1"/>
  <c r="A836" i="1" s="1"/>
  <c r="C835" i="1"/>
  <c r="A835" i="1"/>
  <c r="C834" i="1"/>
  <c r="A834" i="1" s="1"/>
  <c r="C833" i="1"/>
  <c r="A833" i="1" s="1"/>
  <c r="C832" i="1"/>
  <c r="A832" i="1" s="1"/>
  <c r="C831" i="1"/>
  <c r="A831" i="1"/>
  <c r="C830" i="1"/>
  <c r="A830" i="1"/>
  <c r="C829" i="1"/>
  <c r="A829" i="1"/>
  <c r="C828" i="1"/>
  <c r="A828" i="1" s="1"/>
  <c r="C827" i="1"/>
  <c r="A827" i="1" s="1"/>
  <c r="C826" i="1"/>
  <c r="A826" i="1"/>
  <c r="C825" i="1"/>
  <c r="A825" i="1" s="1"/>
  <c r="C824" i="1"/>
  <c r="A824" i="1" s="1"/>
  <c r="C823" i="1"/>
  <c r="A823" i="1"/>
  <c r="C822" i="1"/>
  <c r="A822" i="1"/>
  <c r="C821" i="1"/>
  <c r="A821" i="1"/>
  <c r="C820" i="1"/>
  <c r="A820" i="1" s="1"/>
  <c r="C819" i="1"/>
  <c r="A819" i="1" s="1"/>
  <c r="C818" i="1"/>
  <c r="A818" i="1" s="1"/>
  <c r="C817" i="1"/>
  <c r="A817" i="1"/>
  <c r="C816" i="1"/>
  <c r="A816" i="1" s="1"/>
  <c r="C815" i="1"/>
  <c r="A815" i="1"/>
  <c r="C814" i="1"/>
  <c r="A814" i="1"/>
  <c r="C813" i="1"/>
  <c r="A813" i="1"/>
  <c r="C812" i="1"/>
  <c r="A812" i="1" s="1"/>
  <c r="C811" i="1"/>
  <c r="A811" i="1" s="1"/>
  <c r="C810" i="1"/>
  <c r="A810" i="1" s="1"/>
  <c r="C809" i="1"/>
  <c r="A809" i="1" s="1"/>
  <c r="C808" i="1"/>
  <c r="A808" i="1" s="1"/>
  <c r="C807" i="1"/>
  <c r="A807" i="1"/>
  <c r="C806" i="1"/>
  <c r="A806" i="1"/>
  <c r="C805" i="1"/>
  <c r="A805" i="1"/>
  <c r="C804" i="1"/>
  <c r="A804" i="1" s="1"/>
  <c r="C803" i="1"/>
  <c r="A803" i="1"/>
  <c r="C802" i="1"/>
  <c r="A802" i="1" s="1"/>
  <c r="C801" i="1"/>
  <c r="A801" i="1" s="1"/>
  <c r="C800" i="1"/>
  <c r="A800" i="1" s="1"/>
  <c r="C799" i="1"/>
  <c r="A799" i="1"/>
  <c r="C798" i="1"/>
  <c r="A798" i="1"/>
  <c r="C797" i="1"/>
  <c r="A797" i="1"/>
  <c r="C796" i="1"/>
  <c r="A796" i="1" s="1"/>
  <c r="C795" i="1"/>
  <c r="A795" i="1" s="1"/>
  <c r="C794" i="1"/>
  <c r="A794" i="1"/>
  <c r="C793" i="1"/>
  <c r="A793" i="1" s="1"/>
  <c r="C792" i="1"/>
  <c r="A792" i="1" s="1"/>
  <c r="C791" i="1"/>
  <c r="A791" i="1"/>
  <c r="C790" i="1"/>
  <c r="A790" i="1"/>
  <c r="C789" i="1"/>
  <c r="A789" i="1"/>
  <c r="C788" i="1"/>
  <c r="A788" i="1" s="1"/>
  <c r="C787" i="1"/>
  <c r="A787" i="1" s="1"/>
  <c r="C786" i="1"/>
  <c r="A786" i="1" s="1"/>
  <c r="C785" i="1"/>
  <c r="A785" i="1"/>
  <c r="C784" i="1"/>
  <c r="A784" i="1" s="1"/>
  <c r="C783" i="1"/>
  <c r="A783" i="1"/>
  <c r="C782" i="1"/>
  <c r="A782" i="1"/>
  <c r="C781" i="1"/>
  <c r="A781" i="1"/>
  <c r="C780" i="1"/>
  <c r="A780" i="1" s="1"/>
  <c r="C779" i="1"/>
  <c r="A779" i="1" s="1"/>
  <c r="C778" i="1"/>
  <c r="A778" i="1" s="1"/>
  <c r="C777" i="1"/>
  <c r="A777" i="1" s="1"/>
  <c r="C776" i="1"/>
  <c r="A776" i="1" s="1"/>
  <c r="C775" i="1"/>
  <c r="A775" i="1"/>
  <c r="C774" i="1"/>
  <c r="A774" i="1"/>
  <c r="C773" i="1"/>
  <c r="A773" i="1"/>
  <c r="C772" i="1"/>
  <c r="A772" i="1" s="1"/>
  <c r="C771" i="1"/>
  <c r="A771" i="1"/>
  <c r="C770" i="1"/>
  <c r="A770" i="1" s="1"/>
  <c r="C769" i="1"/>
  <c r="A769" i="1" s="1"/>
  <c r="C768" i="1"/>
  <c r="A768" i="1" s="1"/>
  <c r="C767" i="1"/>
  <c r="A767" i="1"/>
  <c r="C766" i="1"/>
  <c r="A766" i="1"/>
  <c r="C765" i="1"/>
  <c r="A765" i="1"/>
  <c r="C764" i="1"/>
  <c r="A764" i="1" s="1"/>
  <c r="C763" i="1"/>
  <c r="A763" i="1" s="1"/>
  <c r="C762" i="1"/>
  <c r="A762" i="1"/>
  <c r="C761" i="1"/>
  <c r="A761" i="1" s="1"/>
  <c r="C760" i="1"/>
  <c r="A760" i="1" s="1"/>
  <c r="C759" i="1"/>
  <c r="A759" i="1"/>
  <c r="C758" i="1"/>
  <c r="A758" i="1"/>
  <c r="C757" i="1"/>
  <c r="A757" i="1"/>
  <c r="C756" i="1"/>
  <c r="A756" i="1" s="1"/>
  <c r="C755" i="1"/>
  <c r="A755" i="1" s="1"/>
  <c r="C754" i="1"/>
  <c r="A754" i="1" s="1"/>
  <c r="C753" i="1"/>
  <c r="A753" i="1"/>
  <c r="C752" i="1"/>
  <c r="A752" i="1" s="1"/>
  <c r="C751" i="1"/>
  <c r="A751" i="1"/>
  <c r="C750" i="1"/>
  <c r="A750" i="1"/>
  <c r="C749" i="1"/>
  <c r="A749" i="1"/>
  <c r="C748" i="1"/>
  <c r="A748" i="1" s="1"/>
  <c r="C747" i="1"/>
  <c r="A747" i="1" s="1"/>
  <c r="C746" i="1"/>
  <c r="A746" i="1" s="1"/>
  <c r="C745" i="1"/>
  <c r="A745" i="1" s="1"/>
  <c r="C744" i="1"/>
  <c r="A744" i="1" s="1"/>
  <c r="C743" i="1"/>
  <c r="A743" i="1"/>
  <c r="C742" i="1"/>
  <c r="A742" i="1"/>
  <c r="C741" i="1"/>
  <c r="A741" i="1"/>
  <c r="C740" i="1"/>
  <c r="A740" i="1" s="1"/>
  <c r="C739" i="1"/>
  <c r="A739" i="1"/>
  <c r="C738" i="1"/>
  <c r="A738" i="1" s="1"/>
  <c r="C737" i="1"/>
  <c r="A737" i="1" s="1"/>
  <c r="C736" i="1"/>
  <c r="A736" i="1" s="1"/>
  <c r="C735" i="1"/>
  <c r="A735" i="1"/>
  <c r="C734" i="1"/>
  <c r="A734" i="1"/>
  <c r="C733" i="1"/>
  <c r="A733" i="1"/>
  <c r="C732" i="1"/>
  <c r="A732" i="1" s="1"/>
  <c r="C731" i="1"/>
  <c r="A731" i="1" s="1"/>
  <c r="C730" i="1"/>
  <c r="A730" i="1"/>
  <c r="C729" i="1"/>
  <c r="A729" i="1" s="1"/>
  <c r="C728" i="1"/>
  <c r="A728" i="1" s="1"/>
  <c r="C727" i="1"/>
  <c r="A727" i="1"/>
  <c r="C726" i="1"/>
  <c r="A726" i="1"/>
  <c r="C725" i="1"/>
  <c r="A725" i="1"/>
  <c r="C724" i="1"/>
  <c r="A724" i="1" s="1"/>
  <c r="C723" i="1"/>
  <c r="A723" i="1" s="1"/>
  <c r="C722" i="1"/>
  <c r="A722" i="1" s="1"/>
  <c r="C721" i="1"/>
  <c r="A721" i="1"/>
  <c r="C720" i="1"/>
  <c r="A720" i="1" s="1"/>
  <c r="C719" i="1"/>
  <c r="A719" i="1"/>
  <c r="C718" i="1"/>
  <c r="A718" i="1"/>
  <c r="C717" i="1"/>
  <c r="A717" i="1"/>
  <c r="C716" i="1"/>
  <c r="A716" i="1" s="1"/>
  <c r="C715" i="1"/>
  <c r="A715" i="1" s="1"/>
  <c r="C714" i="1"/>
  <c r="A714" i="1" s="1"/>
  <c r="C713" i="1"/>
  <c r="A713" i="1" s="1"/>
  <c r="C712" i="1"/>
  <c r="A712" i="1" s="1"/>
  <c r="C711" i="1"/>
  <c r="A711" i="1"/>
  <c r="C710" i="1"/>
  <c r="A710" i="1"/>
  <c r="C709" i="1"/>
  <c r="A709" i="1"/>
  <c r="C708" i="1"/>
  <c r="A708" i="1" s="1"/>
  <c r="C707" i="1"/>
  <c r="A707" i="1"/>
  <c r="C706" i="1"/>
  <c r="A706" i="1" s="1"/>
  <c r="C705" i="1"/>
  <c r="A705" i="1" s="1"/>
  <c r="C704" i="1"/>
  <c r="A704" i="1" s="1"/>
  <c r="C703" i="1"/>
  <c r="A703" i="1"/>
  <c r="C702" i="1"/>
  <c r="A702" i="1"/>
  <c r="C701" i="1"/>
  <c r="A701" i="1"/>
  <c r="C700" i="1"/>
  <c r="A700" i="1" s="1"/>
  <c r="C699" i="1"/>
  <c r="A699" i="1" s="1"/>
  <c r="C698" i="1"/>
  <c r="A698" i="1"/>
  <c r="C697" i="1"/>
  <c r="A697" i="1" s="1"/>
  <c r="C696" i="1"/>
  <c r="A696" i="1" s="1"/>
  <c r="C695" i="1"/>
  <c r="A695" i="1"/>
  <c r="C694" i="1"/>
  <c r="A694" i="1"/>
  <c r="C693" i="1"/>
  <c r="A693" i="1"/>
  <c r="C692" i="1"/>
  <c r="A692" i="1" s="1"/>
  <c r="C691" i="1"/>
  <c r="A691" i="1" s="1"/>
  <c r="C690" i="1"/>
  <c r="A690" i="1" s="1"/>
  <c r="C689" i="1"/>
  <c r="A689" i="1"/>
  <c r="C688" i="1"/>
  <c r="A688" i="1" s="1"/>
  <c r="C687" i="1"/>
  <c r="A687" i="1"/>
  <c r="C686" i="1"/>
  <c r="A686" i="1"/>
  <c r="C685" i="1"/>
  <c r="A685" i="1"/>
  <c r="C684" i="1"/>
  <c r="A684" i="1" s="1"/>
  <c r="C683" i="1"/>
  <c r="A683" i="1" s="1"/>
  <c r="C682" i="1"/>
  <c r="A682" i="1" s="1"/>
  <c r="C681" i="1"/>
  <c r="A681" i="1" s="1"/>
  <c r="C680" i="1"/>
  <c r="A680" i="1" s="1"/>
  <c r="C679" i="1"/>
  <c r="A679" i="1"/>
  <c r="C678" i="1"/>
  <c r="A678" i="1"/>
  <c r="C677" i="1"/>
  <c r="A677" i="1"/>
  <c r="C676" i="1"/>
  <c r="A676" i="1" s="1"/>
  <c r="C675" i="1"/>
  <c r="A675" i="1"/>
  <c r="C674" i="1"/>
  <c r="A674" i="1" s="1"/>
  <c r="C673" i="1"/>
  <c r="A673" i="1" s="1"/>
  <c r="C672" i="1"/>
  <c r="A672" i="1" s="1"/>
  <c r="C671" i="1"/>
  <c r="A671" i="1"/>
  <c r="C670" i="1"/>
  <c r="A670" i="1"/>
  <c r="C669" i="1"/>
  <c r="A669" i="1"/>
  <c r="C668" i="1"/>
  <c r="A668" i="1" s="1"/>
  <c r="C667" i="1"/>
  <c r="A667" i="1" s="1"/>
  <c r="C666" i="1"/>
  <c r="A666" i="1"/>
  <c r="C665" i="1"/>
  <c r="A665" i="1" s="1"/>
  <c r="C664" i="1"/>
  <c r="A664" i="1" s="1"/>
  <c r="C663" i="1"/>
  <c r="A663" i="1"/>
  <c r="C662" i="1"/>
  <c r="A662" i="1"/>
  <c r="C661" i="1"/>
  <c r="A661" i="1"/>
  <c r="C660" i="1"/>
  <c r="A660" i="1" s="1"/>
  <c r="C659" i="1"/>
  <c r="A659" i="1" s="1"/>
  <c r="C658" i="1"/>
  <c r="A658" i="1" s="1"/>
  <c r="C657" i="1"/>
  <c r="A657" i="1"/>
  <c r="C656" i="1"/>
  <c r="A656" i="1" s="1"/>
  <c r="C655" i="1"/>
  <c r="A655" i="1"/>
  <c r="C654" i="1"/>
  <c r="A654" i="1"/>
  <c r="C653" i="1"/>
  <c r="A653" i="1"/>
  <c r="C652" i="1"/>
  <c r="A652" i="1" s="1"/>
  <c r="C651" i="1"/>
  <c r="A651" i="1" s="1"/>
  <c r="C650" i="1"/>
  <c r="A650" i="1" s="1"/>
  <c r="C649" i="1"/>
  <c r="A649" i="1" s="1"/>
  <c r="C648" i="1"/>
  <c r="A648" i="1" s="1"/>
  <c r="C647" i="1"/>
  <c r="A647" i="1"/>
  <c r="C646" i="1"/>
  <c r="A646" i="1"/>
  <c r="C645" i="1"/>
  <c r="A645" i="1"/>
  <c r="C644" i="1"/>
  <c r="A644" i="1" s="1"/>
  <c r="C643" i="1"/>
  <c r="A643" i="1"/>
  <c r="C642" i="1"/>
  <c r="A642" i="1" s="1"/>
  <c r="C641" i="1"/>
  <c r="A641" i="1" s="1"/>
  <c r="C640" i="1"/>
  <c r="A640" i="1" s="1"/>
  <c r="C639" i="1"/>
  <c r="A639" i="1"/>
  <c r="C638" i="1"/>
  <c r="A638" i="1"/>
  <c r="C637" i="1"/>
  <c r="A637" i="1"/>
  <c r="C636" i="1"/>
  <c r="A636" i="1" s="1"/>
  <c r="C635" i="1"/>
  <c r="A635" i="1" s="1"/>
  <c r="C634" i="1"/>
  <c r="A634" i="1"/>
  <c r="C633" i="1"/>
  <c r="A633" i="1" s="1"/>
  <c r="C632" i="1"/>
  <c r="A632" i="1" s="1"/>
  <c r="C631" i="1"/>
  <c r="A631" i="1"/>
  <c r="C630" i="1"/>
  <c r="A630" i="1"/>
  <c r="C629" i="1"/>
  <c r="A629" i="1"/>
  <c r="C628" i="1"/>
  <c r="A628" i="1" s="1"/>
  <c r="C627" i="1"/>
  <c r="A627" i="1" s="1"/>
  <c r="C626" i="1"/>
  <c r="A626" i="1" s="1"/>
  <c r="C625" i="1"/>
  <c r="A625" i="1"/>
  <c r="C624" i="1"/>
  <c r="A624" i="1" s="1"/>
  <c r="C623" i="1"/>
  <c r="A623" i="1"/>
  <c r="C622" i="1"/>
  <c r="A622" i="1"/>
  <c r="C621" i="1"/>
  <c r="A621" i="1"/>
  <c r="C620" i="1"/>
  <c r="A620" i="1" s="1"/>
  <c r="C619" i="1"/>
  <c r="A619" i="1" s="1"/>
  <c r="C618" i="1"/>
  <c r="A618" i="1" s="1"/>
  <c r="C617" i="1"/>
  <c r="A617" i="1" s="1"/>
  <c r="C616" i="1"/>
  <c r="A616" i="1" s="1"/>
  <c r="C615" i="1"/>
  <c r="A615" i="1"/>
  <c r="C614" i="1"/>
  <c r="A614" i="1"/>
  <c r="C613" i="1"/>
  <c r="A613" i="1"/>
  <c r="C612" i="1"/>
  <c r="A612" i="1" s="1"/>
  <c r="C611" i="1"/>
  <c r="A611" i="1"/>
  <c r="C610" i="1"/>
  <c r="A610" i="1" s="1"/>
  <c r="C609" i="1"/>
  <c r="A609" i="1" s="1"/>
  <c r="C608" i="1"/>
  <c r="A608" i="1" s="1"/>
  <c r="C607" i="1"/>
  <c r="A607" i="1"/>
  <c r="C606" i="1"/>
  <c r="A606" i="1"/>
  <c r="C605" i="1"/>
  <c r="A605" i="1"/>
  <c r="C604" i="1"/>
  <c r="A604" i="1" s="1"/>
  <c r="C603" i="1"/>
  <c r="A603" i="1" s="1"/>
  <c r="C602" i="1"/>
  <c r="A602" i="1"/>
  <c r="C601" i="1"/>
  <c r="A601" i="1" s="1"/>
  <c r="C600" i="1"/>
  <c r="A600" i="1" s="1"/>
  <c r="C599" i="1"/>
  <c r="A599" i="1"/>
  <c r="C598" i="1"/>
  <c r="A598" i="1"/>
  <c r="C597" i="1"/>
  <c r="A597" i="1"/>
  <c r="C596" i="1"/>
  <c r="A596" i="1" s="1"/>
  <c r="C595" i="1"/>
  <c r="A595" i="1" s="1"/>
  <c r="C594" i="1"/>
  <c r="A594" i="1" s="1"/>
  <c r="C593" i="1"/>
  <c r="A593" i="1"/>
  <c r="C592" i="1"/>
  <c r="A592" i="1" s="1"/>
  <c r="C591" i="1"/>
  <c r="A591" i="1"/>
  <c r="C590" i="1"/>
  <c r="A590" i="1"/>
  <c r="C589" i="1"/>
  <c r="A589" i="1"/>
  <c r="C588" i="1"/>
  <c r="A588" i="1" s="1"/>
  <c r="C587" i="1"/>
  <c r="A587" i="1" s="1"/>
  <c r="C586" i="1"/>
  <c r="A586" i="1" s="1"/>
  <c r="C585" i="1"/>
  <c r="A585" i="1" s="1"/>
  <c r="C584" i="1"/>
  <c r="A584" i="1" s="1"/>
  <c r="C583" i="1"/>
  <c r="A583" i="1"/>
  <c r="C582" i="1"/>
  <c r="A582" i="1"/>
  <c r="C581" i="1"/>
  <c r="A581" i="1"/>
  <c r="C580" i="1"/>
  <c r="A580" i="1" s="1"/>
  <c r="C579" i="1"/>
  <c r="A579" i="1"/>
  <c r="C578" i="1"/>
  <c r="A578" i="1" s="1"/>
  <c r="C577" i="1"/>
  <c r="A577" i="1" s="1"/>
  <c r="C576" i="1"/>
  <c r="A576" i="1" s="1"/>
  <c r="C575" i="1"/>
  <c r="A575" i="1"/>
  <c r="C574" i="1"/>
  <c r="A574" i="1"/>
  <c r="C573" i="1"/>
  <c r="A573" i="1"/>
  <c r="C572" i="1"/>
  <c r="A572" i="1" s="1"/>
  <c r="C571" i="1"/>
  <c r="A571" i="1" s="1"/>
  <c r="C570" i="1"/>
  <c r="A570" i="1"/>
  <c r="C569" i="1"/>
  <c r="A569" i="1" s="1"/>
  <c r="C568" i="1"/>
  <c r="A568" i="1" s="1"/>
  <c r="C567" i="1"/>
  <c r="A567" i="1"/>
  <c r="C566" i="1"/>
  <c r="A566" i="1"/>
  <c r="C565" i="1"/>
  <c r="A565" i="1"/>
  <c r="C564" i="1"/>
  <c r="A564" i="1" s="1"/>
  <c r="C563" i="1"/>
  <c r="A563" i="1" s="1"/>
  <c r="C562" i="1"/>
  <c r="A562" i="1" s="1"/>
  <c r="C561" i="1"/>
  <c r="A561" i="1"/>
  <c r="C560" i="1"/>
  <c r="A560" i="1" s="1"/>
  <c r="C559" i="1"/>
  <c r="A559" i="1"/>
  <c r="C558" i="1"/>
  <c r="A558" i="1"/>
  <c r="C557" i="1"/>
  <c r="A557" i="1"/>
  <c r="C556" i="1"/>
  <c r="A556" i="1" s="1"/>
  <c r="C555" i="1"/>
  <c r="A555" i="1" s="1"/>
  <c r="C554" i="1"/>
  <c r="A554" i="1" s="1"/>
  <c r="C553" i="1"/>
  <c r="A553" i="1" s="1"/>
  <c r="C552" i="1"/>
  <c r="A552" i="1" s="1"/>
  <c r="C551" i="1"/>
  <c r="A551" i="1"/>
  <c r="C550" i="1"/>
  <c r="A550" i="1"/>
  <c r="C549" i="1"/>
  <c r="A549" i="1"/>
  <c r="C548" i="1"/>
  <c r="A548" i="1" s="1"/>
  <c r="C547" i="1"/>
  <c r="A547" i="1"/>
  <c r="C546" i="1"/>
  <c r="A546" i="1" s="1"/>
  <c r="C545" i="1"/>
  <c r="A545" i="1" s="1"/>
  <c r="C544" i="1"/>
  <c r="A544" i="1" s="1"/>
  <c r="C543" i="1"/>
  <c r="A543" i="1"/>
  <c r="C542" i="1"/>
  <c r="A542" i="1"/>
  <c r="C541" i="1"/>
  <c r="A541" i="1"/>
  <c r="C540" i="1"/>
  <c r="A540" i="1" s="1"/>
  <c r="C539" i="1"/>
  <c r="A539" i="1" s="1"/>
  <c r="C538" i="1"/>
  <c r="A538" i="1"/>
  <c r="C537" i="1"/>
  <c r="A537" i="1" s="1"/>
  <c r="C536" i="1"/>
  <c r="A536" i="1" s="1"/>
  <c r="C535" i="1"/>
  <c r="A535" i="1"/>
  <c r="C534" i="1"/>
  <c r="A534" i="1"/>
  <c r="C533" i="1"/>
  <c r="A533" i="1"/>
  <c r="C532" i="1"/>
  <c r="A532" i="1" s="1"/>
  <c r="C531" i="1"/>
  <c r="A531" i="1" s="1"/>
  <c r="C530" i="1"/>
  <c r="A530" i="1" s="1"/>
  <c r="C529" i="1"/>
  <c r="A529" i="1"/>
  <c r="C528" i="1"/>
  <c r="A528" i="1" s="1"/>
  <c r="C527" i="1"/>
  <c r="A527" i="1"/>
  <c r="C526" i="1"/>
  <c r="A526" i="1"/>
  <c r="C525" i="1"/>
  <c r="A525" i="1"/>
  <c r="C524" i="1"/>
  <c r="A524" i="1" s="1"/>
  <c r="C523" i="1"/>
  <c r="A523" i="1" s="1"/>
  <c r="C522" i="1"/>
  <c r="A522" i="1" s="1"/>
  <c r="C521" i="1"/>
  <c r="A521" i="1" s="1"/>
  <c r="C520" i="1"/>
  <c r="A520" i="1" s="1"/>
  <c r="C519" i="1"/>
  <c r="A519" i="1"/>
  <c r="C518" i="1"/>
  <c r="A518" i="1"/>
  <c r="C517" i="1"/>
  <c r="A517" i="1"/>
  <c r="C516" i="1"/>
  <c r="A516" i="1" s="1"/>
  <c r="C515" i="1"/>
  <c r="A515" i="1"/>
  <c r="C514" i="1"/>
  <c r="A514" i="1" s="1"/>
  <c r="C513" i="1"/>
  <c r="A513" i="1" s="1"/>
  <c r="C512" i="1"/>
  <c r="A512" i="1" s="1"/>
  <c r="C511" i="1"/>
  <c r="A511" i="1"/>
  <c r="C510" i="1"/>
  <c r="A510" i="1"/>
  <c r="C509" i="1"/>
  <c r="A509" i="1"/>
  <c r="C508" i="1"/>
  <c r="A508" i="1" s="1"/>
  <c r="C507" i="1"/>
  <c r="A507" i="1" s="1"/>
  <c r="C506" i="1"/>
  <c r="A506" i="1"/>
  <c r="C505" i="1"/>
  <c r="A505" i="1" s="1"/>
  <c r="C504" i="1"/>
  <c r="A504" i="1" s="1"/>
  <c r="C503" i="1"/>
  <c r="A503" i="1"/>
  <c r="C502" i="1"/>
  <c r="A502" i="1"/>
  <c r="C501" i="1"/>
  <c r="A501" i="1"/>
  <c r="C500" i="1"/>
  <c r="A500" i="1" s="1"/>
  <c r="C499" i="1"/>
  <c r="A499" i="1" s="1"/>
  <c r="C498" i="1"/>
  <c r="A498" i="1" s="1"/>
  <c r="C497" i="1"/>
  <c r="A497" i="1"/>
  <c r="C496" i="1"/>
  <c r="A496" i="1" s="1"/>
  <c r="C495" i="1"/>
  <c r="A495" i="1"/>
  <c r="C494" i="1"/>
  <c r="A494" i="1"/>
  <c r="C493" i="1"/>
  <c r="A493" i="1"/>
  <c r="C492" i="1"/>
  <c r="A492" i="1" s="1"/>
  <c r="C491" i="1"/>
  <c r="A491" i="1" s="1"/>
  <c r="C490" i="1"/>
  <c r="A490" i="1" s="1"/>
  <c r="C489" i="1"/>
  <c r="A489" i="1" s="1"/>
  <c r="C488" i="1"/>
  <c r="A488" i="1" s="1"/>
  <c r="C487" i="1"/>
  <c r="A487" i="1"/>
  <c r="C486" i="1"/>
  <c r="A486" i="1"/>
  <c r="C485" i="1"/>
  <c r="A485" i="1"/>
  <c r="C484" i="1"/>
  <c r="A484" i="1" s="1"/>
  <c r="C483" i="1"/>
  <c r="A483" i="1"/>
  <c r="C482" i="1"/>
  <c r="A482" i="1" s="1"/>
  <c r="C481" i="1"/>
  <c r="A481" i="1" s="1"/>
  <c r="C480" i="1"/>
  <c r="A480" i="1" s="1"/>
  <c r="C479" i="1"/>
  <c r="A479" i="1"/>
  <c r="C478" i="1"/>
  <c r="A478" i="1" s="1"/>
  <c r="C477" i="1"/>
  <c r="A477" i="1"/>
  <c r="C476" i="1"/>
  <c r="A476" i="1" s="1"/>
  <c r="C475" i="1"/>
  <c r="A475" i="1" s="1"/>
  <c r="C474" i="1"/>
  <c r="A474" i="1"/>
  <c r="C473" i="1"/>
  <c r="A473" i="1" s="1"/>
  <c r="C472" i="1"/>
  <c r="A472" i="1" s="1"/>
  <c r="C471" i="1"/>
  <c r="A471" i="1"/>
  <c r="C470" i="1"/>
  <c r="A470" i="1"/>
  <c r="C469" i="1"/>
  <c r="A469" i="1" s="1"/>
  <c r="C468" i="1"/>
  <c r="A468" i="1" s="1"/>
  <c r="C467" i="1"/>
  <c r="A467" i="1" s="1"/>
  <c r="C466" i="1"/>
  <c r="A466" i="1" s="1"/>
  <c r="C465" i="1"/>
  <c r="A465" i="1"/>
  <c r="C464" i="1"/>
  <c r="A464" i="1" s="1"/>
  <c r="C463" i="1"/>
  <c r="A463" i="1"/>
  <c r="C462" i="1"/>
  <c r="A462" i="1"/>
  <c r="C461" i="1"/>
  <c r="A461" i="1"/>
  <c r="C460" i="1"/>
  <c r="A460" i="1" s="1"/>
  <c r="C459" i="1"/>
  <c r="A459" i="1" s="1"/>
  <c r="C458" i="1"/>
  <c r="A458" i="1" s="1"/>
  <c r="C457" i="1"/>
  <c r="A457" i="1" s="1"/>
  <c r="C456" i="1"/>
  <c r="A456" i="1" s="1"/>
  <c r="C455" i="1"/>
  <c r="A455" i="1"/>
  <c r="C454" i="1"/>
  <c r="A454" i="1"/>
  <c r="C453" i="1"/>
  <c r="A453" i="1"/>
  <c r="C452" i="1"/>
  <c r="A452" i="1" s="1"/>
  <c r="C451" i="1"/>
  <c r="A451" i="1" s="1"/>
  <c r="C450" i="1"/>
  <c r="A450" i="1" s="1"/>
  <c r="C449" i="1"/>
  <c r="A449" i="1" s="1"/>
  <c r="C448" i="1"/>
  <c r="A448" i="1" s="1"/>
  <c r="C447" i="1"/>
  <c r="A447" i="1"/>
  <c r="C446" i="1"/>
  <c r="A446" i="1"/>
  <c r="C445" i="1"/>
  <c r="A445" i="1"/>
  <c r="C444" i="1"/>
  <c r="A444" i="1" s="1"/>
  <c r="C443" i="1"/>
  <c r="A443" i="1" s="1"/>
  <c r="C442" i="1"/>
  <c r="A442" i="1"/>
  <c r="C441" i="1"/>
  <c r="A441" i="1" s="1"/>
  <c r="C440" i="1"/>
  <c r="A440" i="1" s="1"/>
  <c r="C439" i="1"/>
  <c r="A439" i="1"/>
  <c r="C438" i="1"/>
  <c r="A438" i="1"/>
  <c r="C437" i="1"/>
  <c r="A437" i="1"/>
  <c r="C436" i="1"/>
  <c r="A436" i="1" s="1"/>
  <c r="C435" i="1"/>
  <c r="A435" i="1" s="1"/>
  <c r="C434" i="1"/>
  <c r="A434" i="1" s="1"/>
  <c r="C433" i="1"/>
  <c r="A433" i="1"/>
  <c r="C432" i="1"/>
  <c r="A432" i="1" s="1"/>
  <c r="C431" i="1"/>
  <c r="A431" i="1"/>
  <c r="C430" i="1"/>
  <c r="A430" i="1"/>
  <c r="C429" i="1"/>
  <c r="A429" i="1"/>
  <c r="C428" i="1"/>
  <c r="A428" i="1" s="1"/>
  <c r="C427" i="1"/>
  <c r="A427" i="1" s="1"/>
  <c r="C426" i="1"/>
  <c r="A426" i="1" s="1"/>
  <c r="C425" i="1"/>
  <c r="A425" i="1" s="1"/>
  <c r="C424" i="1"/>
  <c r="A424" i="1" s="1"/>
  <c r="C423" i="1"/>
  <c r="A423" i="1" s="1"/>
  <c r="C422" i="1"/>
  <c r="A422" i="1"/>
  <c r="C421" i="1"/>
  <c r="A421" i="1"/>
  <c r="C420" i="1"/>
  <c r="A420" i="1" s="1"/>
  <c r="C419" i="1"/>
  <c r="A419" i="1"/>
  <c r="C418" i="1"/>
  <c r="A418" i="1" s="1"/>
  <c r="C417" i="1"/>
  <c r="A417" i="1" s="1"/>
  <c r="C416" i="1"/>
  <c r="A416" i="1" s="1"/>
  <c r="C415" i="1"/>
  <c r="A415" i="1"/>
  <c r="C414" i="1"/>
  <c r="A414" i="1" s="1"/>
  <c r="C413" i="1"/>
  <c r="A413" i="1"/>
  <c r="C412" i="1"/>
  <c r="A412" i="1" s="1"/>
  <c r="C411" i="1"/>
  <c r="A411" i="1" s="1"/>
  <c r="C410" i="1"/>
  <c r="A410" i="1" s="1"/>
  <c r="C409" i="1"/>
  <c r="A409" i="1" s="1"/>
  <c r="C408" i="1"/>
  <c r="A408" i="1" s="1"/>
  <c r="C407" i="1"/>
  <c r="A407" i="1"/>
  <c r="C406" i="1"/>
  <c r="A406" i="1"/>
  <c r="C405" i="1"/>
  <c r="A405" i="1" s="1"/>
  <c r="C404" i="1"/>
  <c r="A404" i="1" s="1"/>
  <c r="C403" i="1"/>
  <c r="A403" i="1" s="1"/>
  <c r="C402" i="1"/>
  <c r="A402" i="1" s="1"/>
  <c r="C401" i="1"/>
  <c r="A401" i="1"/>
  <c r="C400" i="1"/>
  <c r="A400" i="1" s="1"/>
  <c r="C399" i="1"/>
  <c r="A399" i="1"/>
  <c r="C398" i="1"/>
  <c r="A398" i="1"/>
  <c r="C397" i="1"/>
  <c r="A397" i="1"/>
  <c r="C396" i="1"/>
  <c r="A396" i="1" s="1"/>
  <c r="C395" i="1"/>
  <c r="A395" i="1" s="1"/>
  <c r="C394" i="1"/>
  <c r="A394" i="1" s="1"/>
  <c r="C393" i="1"/>
  <c r="A393" i="1" s="1"/>
  <c r="C392" i="1"/>
  <c r="A392" i="1" s="1"/>
  <c r="C391" i="1"/>
  <c r="A391" i="1"/>
  <c r="C390" i="1"/>
  <c r="A390" i="1"/>
  <c r="C389" i="1"/>
  <c r="A389" i="1"/>
  <c r="C388" i="1"/>
  <c r="A388" i="1" s="1"/>
  <c r="C387" i="1"/>
  <c r="A387" i="1" s="1"/>
  <c r="C386" i="1"/>
  <c r="A386" i="1" s="1"/>
  <c r="C385" i="1"/>
  <c r="A385" i="1" s="1"/>
  <c r="C384" i="1"/>
  <c r="A384" i="1" s="1"/>
  <c r="C383" i="1"/>
  <c r="A383" i="1"/>
  <c r="C382" i="1"/>
  <c r="A382" i="1"/>
  <c r="C381" i="1"/>
  <c r="A381" i="1"/>
  <c r="C380" i="1"/>
  <c r="A380" i="1" s="1"/>
  <c r="C379" i="1"/>
  <c r="A379" i="1" s="1"/>
  <c r="C378" i="1"/>
  <c r="A378" i="1"/>
  <c r="C377" i="1"/>
  <c r="A377" i="1" s="1"/>
  <c r="C376" i="1"/>
  <c r="A376" i="1" s="1"/>
  <c r="C375" i="1"/>
  <c r="A375" i="1"/>
  <c r="C374" i="1"/>
  <c r="A374" i="1"/>
  <c r="C373" i="1"/>
  <c r="A373" i="1"/>
  <c r="C372" i="1"/>
  <c r="A372" i="1" s="1"/>
  <c r="C371" i="1"/>
  <c r="A371" i="1" s="1"/>
  <c r="C370" i="1"/>
  <c r="A370" i="1" s="1"/>
  <c r="C369" i="1"/>
  <c r="A369" i="1" s="1"/>
  <c r="C368" i="1"/>
  <c r="A368" i="1" s="1"/>
  <c r="C367" i="1"/>
  <c r="A367" i="1"/>
  <c r="C366" i="1"/>
  <c r="A366" i="1"/>
  <c r="C365" i="1"/>
  <c r="A365" i="1"/>
  <c r="C364" i="1"/>
  <c r="A364" i="1" s="1"/>
  <c r="C363" i="1"/>
  <c r="A363" i="1" s="1"/>
  <c r="C362" i="1"/>
  <c r="A362" i="1" s="1"/>
  <c r="C361" i="1"/>
  <c r="A361" i="1" s="1"/>
  <c r="C360" i="1"/>
  <c r="A360" i="1" s="1"/>
  <c r="C359" i="1"/>
  <c r="A359" i="1" s="1"/>
  <c r="C358" i="1"/>
  <c r="A358" i="1"/>
  <c r="C357" i="1"/>
  <c r="A357" i="1"/>
  <c r="C356" i="1"/>
  <c r="A356" i="1" s="1"/>
  <c r="C355" i="1"/>
  <c r="A355" i="1"/>
  <c r="C354" i="1"/>
  <c r="A354" i="1" s="1"/>
  <c r="C353" i="1"/>
  <c r="A353" i="1" s="1"/>
  <c r="C352" i="1"/>
  <c r="A352" i="1" s="1"/>
  <c r="C351" i="1"/>
  <c r="A351" i="1"/>
  <c r="C350" i="1"/>
  <c r="A350" i="1" s="1"/>
  <c r="C349" i="1"/>
  <c r="A349" i="1"/>
  <c r="C348" i="1"/>
  <c r="A348" i="1" s="1"/>
  <c r="C347" i="1"/>
  <c r="A347" i="1" s="1"/>
  <c r="C346" i="1"/>
  <c r="A346" i="1"/>
  <c r="C345" i="1"/>
  <c r="A345" i="1" s="1"/>
  <c r="C344" i="1"/>
  <c r="A344" i="1" s="1"/>
  <c r="C343" i="1"/>
  <c r="A343" i="1"/>
  <c r="C342" i="1"/>
  <c r="A342" i="1"/>
  <c r="C341" i="1"/>
  <c r="A341" i="1"/>
  <c r="C340" i="1"/>
  <c r="A340" i="1" s="1"/>
  <c r="C339" i="1"/>
  <c r="A339" i="1" s="1"/>
  <c r="C338" i="1"/>
  <c r="A338" i="1" s="1"/>
  <c r="C337" i="1"/>
  <c r="A337" i="1"/>
  <c r="C336" i="1"/>
  <c r="A336" i="1" s="1"/>
  <c r="C335" i="1"/>
  <c r="A335" i="1"/>
  <c r="C334" i="1"/>
  <c r="A334" i="1"/>
  <c r="C333" i="1"/>
  <c r="A333" i="1"/>
  <c r="C332" i="1"/>
  <c r="A332" i="1" s="1"/>
  <c r="C331" i="1"/>
  <c r="A331" i="1" s="1"/>
  <c r="C330" i="1"/>
  <c r="A330" i="1" s="1"/>
  <c r="C329" i="1"/>
  <c r="A329" i="1" s="1"/>
  <c r="C328" i="1"/>
  <c r="A328" i="1" s="1"/>
  <c r="C327" i="1"/>
  <c r="A327" i="1"/>
  <c r="C326" i="1"/>
  <c r="A326" i="1"/>
  <c r="C325" i="1"/>
  <c r="A325" i="1"/>
  <c r="C324" i="1"/>
  <c r="A324" i="1" s="1"/>
  <c r="C323" i="1"/>
  <c r="A323" i="1" s="1"/>
  <c r="C322" i="1"/>
  <c r="A322" i="1" s="1"/>
  <c r="C321" i="1"/>
  <c r="A321" i="1" s="1"/>
  <c r="C320" i="1"/>
  <c r="A320" i="1" s="1"/>
  <c r="C319" i="1"/>
  <c r="A319" i="1"/>
  <c r="C318" i="1"/>
  <c r="A318" i="1"/>
  <c r="C317" i="1"/>
  <c r="A317" i="1"/>
  <c r="C316" i="1"/>
  <c r="A316" i="1" s="1"/>
  <c r="C315" i="1"/>
  <c r="A315" i="1" s="1"/>
  <c r="C314" i="1"/>
  <c r="A314" i="1"/>
  <c r="C313" i="1"/>
  <c r="A313" i="1" s="1"/>
  <c r="C312" i="1"/>
  <c r="A312" i="1" s="1"/>
  <c r="C311" i="1"/>
  <c r="A311" i="1"/>
  <c r="C310" i="1"/>
  <c r="A310" i="1"/>
  <c r="C309" i="1"/>
  <c r="A309" i="1"/>
  <c r="C308" i="1"/>
  <c r="A308" i="1" s="1"/>
  <c r="C307" i="1"/>
  <c r="A307" i="1" s="1"/>
  <c r="C306" i="1"/>
  <c r="A306" i="1" s="1"/>
  <c r="C305" i="1"/>
  <c r="A305" i="1" s="1"/>
  <c r="C304" i="1"/>
  <c r="A304" i="1" s="1"/>
  <c r="C303" i="1"/>
  <c r="A303" i="1"/>
  <c r="C302" i="1"/>
  <c r="A302" i="1"/>
  <c r="C301" i="1"/>
  <c r="A301" i="1"/>
  <c r="C300" i="1"/>
  <c r="A300" i="1" s="1"/>
  <c r="C299" i="1"/>
  <c r="A299" i="1" s="1"/>
  <c r="C298" i="1"/>
  <c r="A298" i="1" s="1"/>
  <c r="C297" i="1"/>
  <c r="A297" i="1" s="1"/>
  <c r="C296" i="1"/>
  <c r="A296" i="1" s="1"/>
  <c r="C295" i="1"/>
  <c r="A295" i="1" s="1"/>
  <c r="C294" i="1"/>
  <c r="A294" i="1"/>
  <c r="C293" i="1"/>
  <c r="A293" i="1"/>
  <c r="C292" i="1"/>
  <c r="A292" i="1" s="1"/>
  <c r="C291" i="1"/>
  <c r="A291" i="1"/>
  <c r="C290" i="1"/>
  <c r="A290" i="1" s="1"/>
  <c r="C289" i="1"/>
  <c r="A289" i="1" s="1"/>
  <c r="C288" i="1"/>
  <c r="A288" i="1" s="1"/>
  <c r="C287" i="1"/>
  <c r="A287" i="1"/>
  <c r="C286" i="1"/>
  <c r="A286" i="1"/>
  <c r="C285" i="1"/>
  <c r="A285" i="1"/>
  <c r="C284" i="1"/>
  <c r="A284" i="1" s="1"/>
  <c r="C283" i="1"/>
  <c r="A283" i="1" s="1"/>
  <c r="C282" i="1"/>
  <c r="A282" i="1" s="1"/>
  <c r="C281" i="1"/>
  <c r="A281" i="1" s="1"/>
  <c r="C280" i="1"/>
  <c r="A280" i="1" s="1"/>
  <c r="C279" i="1"/>
  <c r="A279" i="1"/>
  <c r="C278" i="1"/>
  <c r="A278" i="1"/>
  <c r="C277" i="1"/>
  <c r="A277" i="1" s="1"/>
  <c r="C276" i="1"/>
  <c r="A276" i="1" s="1"/>
  <c r="C275" i="1"/>
  <c r="A275" i="1" s="1"/>
  <c r="C274" i="1"/>
  <c r="A274" i="1" s="1"/>
  <c r="C273" i="1"/>
  <c r="A273" i="1"/>
  <c r="C272" i="1"/>
  <c r="A272" i="1" s="1"/>
  <c r="C271" i="1"/>
  <c r="A271" i="1"/>
  <c r="N2" i="1"/>
  <c r="K2" i="1" s="1"/>
  <c r="I2" i="1"/>
  <c r="C53" i="1"/>
  <c r="A53" i="1" s="1"/>
  <c r="C54" i="1"/>
  <c r="A54" i="1" s="1"/>
  <c r="C55" i="1"/>
  <c r="C56" i="1"/>
  <c r="C57" i="1"/>
  <c r="A57" i="1"/>
  <c r="C58" i="1"/>
  <c r="C59" i="1"/>
  <c r="A59" i="1" s="1"/>
  <c r="C60" i="1"/>
  <c r="A60" i="1" s="1"/>
  <c r="C61" i="1"/>
  <c r="C62" i="1"/>
  <c r="A62" i="1" s="1"/>
  <c r="C63" i="1"/>
  <c r="A63" i="1" s="1"/>
  <c r="C64" i="1"/>
  <c r="C65" i="1"/>
  <c r="C66" i="1"/>
  <c r="A66" i="1"/>
  <c r="C67" i="1"/>
  <c r="A67" i="1" s="1"/>
  <c r="C68" i="1"/>
  <c r="A68" i="1" s="1"/>
  <c r="C69" i="1"/>
  <c r="C70" i="1"/>
  <c r="A70" i="1" s="1"/>
  <c r="C71" i="1"/>
  <c r="C72" i="1"/>
  <c r="A72" i="1" s="1"/>
  <c r="C73" i="1"/>
  <c r="A73" i="1"/>
  <c r="C74" i="1"/>
  <c r="C75" i="1"/>
  <c r="A75" i="1" s="1"/>
  <c r="C76" i="1"/>
  <c r="C77" i="1"/>
  <c r="C78" i="1"/>
  <c r="A78" i="1" s="1"/>
  <c r="C79" i="1"/>
  <c r="C80" i="1"/>
  <c r="A80" i="1" s="1"/>
  <c r="C81" i="1"/>
  <c r="C82" i="1"/>
  <c r="C83" i="1"/>
  <c r="C84" i="1"/>
  <c r="C85" i="1"/>
  <c r="C86" i="1"/>
  <c r="C87" i="1"/>
  <c r="A87" i="1" s="1"/>
  <c r="C88" i="1"/>
  <c r="A88" i="1" s="1"/>
  <c r="C89" i="1"/>
  <c r="A89" i="1" s="1"/>
  <c r="C90" i="1"/>
  <c r="C91" i="1"/>
  <c r="A91" i="1" s="1"/>
  <c r="C92" i="1"/>
  <c r="A92" i="1" s="1"/>
  <c r="C93" i="1"/>
  <c r="C94" i="1"/>
  <c r="A94" i="1" s="1"/>
  <c r="C95" i="1"/>
  <c r="C96" i="1"/>
  <c r="A96" i="1" s="1"/>
  <c r="C97" i="1"/>
  <c r="C98" i="1"/>
  <c r="C99" i="1"/>
  <c r="C100" i="1"/>
  <c r="A100" i="1" s="1"/>
  <c r="C101" i="1"/>
  <c r="A101" i="1" s="1"/>
  <c r="C102" i="1"/>
  <c r="C103" i="1"/>
  <c r="A103" i="1" s="1"/>
  <c r="C104" i="1"/>
  <c r="C105" i="1"/>
  <c r="C106" i="1"/>
  <c r="A106" i="1" s="1"/>
  <c r="C107" i="1"/>
  <c r="C108" i="1"/>
  <c r="A108" i="1" s="1"/>
  <c r="C109" i="1"/>
  <c r="C110" i="1"/>
  <c r="A110" i="1" s="1"/>
  <c r="C111" i="1"/>
  <c r="C112" i="1"/>
  <c r="A112" i="1" s="1"/>
  <c r="C113" i="1"/>
  <c r="C114" i="1"/>
  <c r="A114" i="1" s="1"/>
  <c r="C115" i="1"/>
  <c r="A115" i="1" s="1"/>
  <c r="C116" i="1"/>
  <c r="A116" i="1" s="1"/>
  <c r="C117" i="1"/>
  <c r="A117" i="1" s="1"/>
  <c r="C118" i="1"/>
  <c r="A118" i="1" s="1"/>
  <c r="C119" i="1"/>
  <c r="A119" i="1" s="1"/>
  <c r="C120" i="1"/>
  <c r="C121" i="1"/>
  <c r="A121" i="1" s="1"/>
  <c r="C122" i="1"/>
  <c r="C123" i="1"/>
  <c r="A123" i="1" s="1"/>
  <c r="C124" i="1"/>
  <c r="C125" i="1"/>
  <c r="C126" i="1"/>
  <c r="A126" i="1" s="1"/>
  <c r="C127" i="1"/>
  <c r="A127" i="1" s="1"/>
  <c r="C128" i="1"/>
  <c r="A128" i="1" s="1"/>
  <c r="C129" i="1"/>
  <c r="A129" i="1" s="1"/>
  <c r="C130" i="1"/>
  <c r="A130" i="1" s="1"/>
  <c r="C131" i="1"/>
  <c r="A131" i="1" s="1"/>
  <c r="C132" i="1"/>
  <c r="A132" i="1" s="1"/>
  <c r="C133" i="1"/>
  <c r="A133" i="1" s="1"/>
  <c r="C134" i="1"/>
  <c r="A134" i="1" s="1"/>
  <c r="C135" i="1"/>
  <c r="C136" i="1"/>
  <c r="C137" i="1"/>
  <c r="A137" i="1" s="1"/>
  <c r="C138" i="1"/>
  <c r="C139" i="1"/>
  <c r="A139" i="1" s="1"/>
  <c r="C140" i="1"/>
  <c r="A140" i="1" s="1"/>
  <c r="C141" i="1"/>
  <c r="A141" i="1" s="1"/>
  <c r="C142" i="1"/>
  <c r="A142" i="1" s="1"/>
  <c r="C143" i="1"/>
  <c r="A143" i="1" s="1"/>
  <c r="C144" i="1"/>
  <c r="C145" i="1"/>
  <c r="C146" i="1"/>
  <c r="A146" i="1" s="1"/>
  <c r="C147" i="1"/>
  <c r="A147" i="1" s="1"/>
  <c r="C148" i="1"/>
  <c r="A148" i="1" s="1"/>
  <c r="C149" i="1"/>
  <c r="C150" i="1"/>
  <c r="A150" i="1" s="1"/>
  <c r="C151" i="1"/>
  <c r="C152" i="1"/>
  <c r="A152" i="1" s="1"/>
  <c r="C153" i="1"/>
  <c r="A153" i="1" s="1"/>
  <c r="C154" i="1"/>
  <c r="C155" i="1"/>
  <c r="A155" i="1" s="1"/>
  <c r="C156" i="1"/>
  <c r="C157" i="1"/>
  <c r="C158" i="1"/>
  <c r="A158" i="1" s="1"/>
  <c r="C159" i="1"/>
  <c r="C160" i="1"/>
  <c r="A160" i="1" s="1"/>
  <c r="C161" i="1"/>
  <c r="C162" i="1"/>
  <c r="A162" i="1" s="1"/>
  <c r="C163" i="1"/>
  <c r="C164" i="1"/>
  <c r="C165" i="1"/>
  <c r="C166" i="1"/>
  <c r="C167" i="1"/>
  <c r="A167" i="1" s="1"/>
  <c r="C168" i="1"/>
  <c r="C169" i="1"/>
  <c r="C170" i="1"/>
  <c r="A170" i="1" s="1"/>
  <c r="C171" i="1"/>
  <c r="C172" i="1"/>
  <c r="A172" i="1" s="1"/>
  <c r="C173" i="1"/>
  <c r="C174" i="1"/>
  <c r="A174" i="1" s="1"/>
  <c r="C175" i="1"/>
  <c r="A175" i="1" s="1"/>
  <c r="C176" i="1"/>
  <c r="A176" i="1" s="1"/>
  <c r="C177" i="1"/>
  <c r="A177" i="1" s="1"/>
  <c r="C178" i="1"/>
  <c r="C179" i="1"/>
  <c r="A179" i="1" s="1"/>
  <c r="C180" i="1"/>
  <c r="A180" i="1" s="1"/>
  <c r="C181" i="1"/>
  <c r="A181" i="1" s="1"/>
  <c r="C182" i="1"/>
  <c r="A182" i="1" s="1"/>
  <c r="C183" i="1"/>
  <c r="C184" i="1"/>
  <c r="A184" i="1" s="1"/>
  <c r="C185" i="1"/>
  <c r="A185" i="1" s="1"/>
  <c r="C186" i="1"/>
  <c r="A186" i="1" s="1"/>
  <c r="C187" i="1"/>
  <c r="C188" i="1"/>
  <c r="C189" i="1"/>
  <c r="C190" i="1"/>
  <c r="A190" i="1" s="1"/>
  <c r="C191" i="1"/>
  <c r="A191" i="1" s="1"/>
  <c r="C192" i="1"/>
  <c r="A192" i="1" s="1"/>
  <c r="C193" i="1"/>
  <c r="A193" i="1" s="1"/>
  <c r="C194" i="1"/>
  <c r="A194" i="1" s="1"/>
  <c r="C195" i="1"/>
  <c r="A195" i="1" s="1"/>
  <c r="C196" i="1"/>
  <c r="A196" i="1" s="1"/>
  <c r="C197" i="1"/>
  <c r="C198" i="1"/>
  <c r="C199" i="1"/>
  <c r="A199" i="1" s="1"/>
  <c r="C200" i="1"/>
  <c r="A200" i="1" s="1"/>
  <c r="C201" i="1"/>
  <c r="A201" i="1" s="1"/>
  <c r="C202" i="1"/>
  <c r="A202" i="1" s="1"/>
  <c r="C203" i="1"/>
  <c r="C204" i="1"/>
  <c r="A204" i="1" s="1"/>
  <c r="C205" i="1"/>
  <c r="A205" i="1" s="1"/>
  <c r="C206" i="1"/>
  <c r="A206" i="1" s="1"/>
  <c r="C207" i="1"/>
  <c r="A207" i="1" s="1"/>
  <c r="C208" i="1"/>
  <c r="A208" i="1" s="1"/>
  <c r="C209" i="1"/>
  <c r="A209" i="1" s="1"/>
  <c r="C210" i="1"/>
  <c r="A210" i="1" s="1"/>
  <c r="C211" i="1"/>
  <c r="A211" i="1" s="1"/>
  <c r="C212" i="1"/>
  <c r="A212" i="1" s="1"/>
  <c r="C213" i="1"/>
  <c r="A213" i="1" s="1"/>
  <c r="C214" i="1"/>
  <c r="A214" i="1" s="1"/>
  <c r="C215" i="1"/>
  <c r="A215" i="1" s="1"/>
  <c r="C216" i="1"/>
  <c r="A216" i="1" s="1"/>
  <c r="C217" i="1"/>
  <c r="A217" i="1" s="1"/>
  <c r="C218" i="1"/>
  <c r="A218" i="1" s="1"/>
  <c r="C219" i="1"/>
  <c r="A219" i="1" s="1"/>
  <c r="C220" i="1"/>
  <c r="A220" i="1" s="1"/>
  <c r="C221" i="1"/>
  <c r="A221" i="1" s="1"/>
  <c r="C222" i="1"/>
  <c r="A222" i="1" s="1"/>
  <c r="C223" i="1"/>
  <c r="C224" i="1"/>
  <c r="A224" i="1" s="1"/>
  <c r="C225" i="1"/>
  <c r="A225" i="1" s="1"/>
  <c r="C226" i="1"/>
  <c r="A226" i="1" s="1"/>
  <c r="C227" i="1"/>
  <c r="A227" i="1" s="1"/>
  <c r="C228" i="1"/>
  <c r="A228" i="1" s="1"/>
  <c r="C229" i="1"/>
  <c r="A229" i="1" s="1"/>
  <c r="C230" i="1"/>
  <c r="A230" i="1" s="1"/>
  <c r="C231" i="1"/>
  <c r="A231" i="1" s="1"/>
  <c r="C232" i="1"/>
  <c r="C233" i="1"/>
  <c r="A233" i="1" s="1"/>
  <c r="C234" i="1"/>
  <c r="A234" i="1" s="1"/>
  <c r="C235" i="1"/>
  <c r="A235" i="1" s="1"/>
  <c r="C236" i="1"/>
  <c r="A236" i="1" s="1"/>
  <c r="C237" i="1"/>
  <c r="A237" i="1" s="1"/>
  <c r="C238" i="1"/>
  <c r="A238" i="1" s="1"/>
  <c r="C239" i="1"/>
  <c r="A239" i="1" s="1"/>
  <c r="C240" i="1"/>
  <c r="C241" i="1"/>
  <c r="A241" i="1" s="1"/>
  <c r="C242" i="1"/>
  <c r="A242" i="1" s="1"/>
  <c r="C243" i="1"/>
  <c r="A243" i="1" s="1"/>
  <c r="C244" i="1"/>
  <c r="A244" i="1" s="1"/>
  <c r="C245" i="1"/>
  <c r="A245" i="1" s="1"/>
  <c r="C246" i="1"/>
  <c r="A246" i="1"/>
  <c r="C247" i="1"/>
  <c r="C248" i="1"/>
  <c r="A248" i="1" s="1"/>
  <c r="C249" i="1"/>
  <c r="C250" i="1"/>
  <c r="A250" i="1" s="1"/>
  <c r="C251" i="1"/>
  <c r="A251" i="1" s="1"/>
  <c r="C252" i="1"/>
  <c r="A252" i="1" s="1"/>
  <c r="C253" i="1"/>
  <c r="A253" i="1" s="1"/>
  <c r="C254" i="1"/>
  <c r="A254" i="1" s="1"/>
  <c r="C255" i="1"/>
  <c r="C256" i="1"/>
  <c r="A256" i="1" s="1"/>
  <c r="C257" i="1"/>
  <c r="A257" i="1"/>
  <c r="C258" i="1"/>
  <c r="A258" i="1" s="1"/>
  <c r="C259" i="1"/>
  <c r="A259" i="1" s="1"/>
  <c r="C260" i="1"/>
  <c r="C261" i="1"/>
  <c r="A261" i="1" s="1"/>
  <c r="C262" i="1"/>
  <c r="A262" i="1" s="1"/>
  <c r="C263" i="1"/>
  <c r="A263" i="1" s="1"/>
  <c r="C264" i="1"/>
  <c r="A264" i="1" s="1"/>
  <c r="C265" i="1"/>
  <c r="A265" i="1" s="1"/>
  <c r="C266" i="1"/>
  <c r="A266" i="1" s="1"/>
  <c r="C267" i="1"/>
  <c r="A267" i="1" s="1"/>
  <c r="C268" i="1"/>
  <c r="A268" i="1" s="1"/>
  <c r="C269" i="1"/>
  <c r="A269" i="1" s="1"/>
  <c r="C270" i="1"/>
  <c r="A270" i="1"/>
  <c r="A249" i="1"/>
  <c r="A168" i="1"/>
  <c r="A255" i="1"/>
  <c r="A71" i="1"/>
  <c r="A232" i="1"/>
  <c r="A198" i="1"/>
  <c r="A163" i="1"/>
  <c r="A151" i="1"/>
  <c r="A55" i="1"/>
  <c r="A197" i="1"/>
  <c r="A203" i="1"/>
  <c r="A136" i="1"/>
  <c r="A104" i="1"/>
  <c r="A260" i="1"/>
  <c r="A173" i="1"/>
  <c r="A156" i="1"/>
  <c r="A124" i="1"/>
  <c r="A76" i="1"/>
  <c r="A178" i="1"/>
  <c r="A102" i="1"/>
  <c r="A247" i="1"/>
  <c r="A189" i="1"/>
  <c r="A183" i="1"/>
  <c r="A144" i="1"/>
  <c r="A64" i="1"/>
  <c r="A223" i="1"/>
  <c r="A188" i="1"/>
  <c r="A165" i="1"/>
  <c r="A154" i="1"/>
  <c r="A149" i="1"/>
  <c r="A74" i="1"/>
  <c r="A69" i="1"/>
  <c r="A240" i="1"/>
  <c r="A187" i="1"/>
  <c r="A84" i="1"/>
  <c r="C28" i="1"/>
  <c r="A28" i="1" s="1"/>
  <c r="A27" i="3" s="1"/>
  <c r="A1" i="3"/>
  <c r="C52" i="1"/>
  <c r="A52" i="1" s="1"/>
  <c r="A51" i="3" s="1"/>
  <c r="C51" i="1"/>
  <c r="A51" i="1" s="1"/>
  <c r="A50" i="3" s="1"/>
  <c r="C50" i="1"/>
  <c r="C49" i="3" s="1"/>
  <c r="C49" i="1"/>
  <c r="A49" i="1" s="1"/>
  <c r="A48" i="3" s="1"/>
  <c r="C48" i="1"/>
  <c r="C47" i="3" s="1"/>
  <c r="C47" i="1"/>
  <c r="C46" i="1"/>
  <c r="A46" i="1" s="1"/>
  <c r="A45" i="3" s="1"/>
  <c r="C45" i="1"/>
  <c r="A45" i="1" s="1"/>
  <c r="A44" i="3" s="1"/>
  <c r="C44" i="1"/>
  <c r="A44" i="1" s="1"/>
  <c r="A43" i="3" s="1"/>
  <c r="C43" i="1"/>
  <c r="C42" i="3" s="1"/>
  <c r="C42" i="1"/>
  <c r="A42" i="1" s="1"/>
  <c r="A41" i="3" s="1"/>
  <c r="C41" i="1"/>
  <c r="C40" i="3" s="1"/>
  <c r="C40" i="1"/>
  <c r="C39" i="3" s="1"/>
  <c r="C39" i="1"/>
  <c r="A39" i="1" s="1"/>
  <c r="A38" i="3" s="1"/>
  <c r="C38" i="1"/>
  <c r="A38" i="1" s="1"/>
  <c r="A37" i="3" s="1"/>
  <c r="C37" i="1"/>
  <c r="C36" i="3" s="1"/>
  <c r="C36" i="1"/>
  <c r="A36" i="1" s="1"/>
  <c r="A35" i="3" s="1"/>
  <c r="C35" i="1"/>
  <c r="A35" i="1" s="1"/>
  <c r="A34" i="3" s="1"/>
  <c r="C34" i="1"/>
  <c r="A34" i="1" s="1"/>
  <c r="A33" i="3" s="1"/>
  <c r="C33" i="1"/>
  <c r="A33" i="1" s="1"/>
  <c r="A32" i="3" s="1"/>
  <c r="C32" i="1"/>
  <c r="C31" i="3" s="1"/>
  <c r="C31" i="1"/>
  <c r="C30" i="3" s="1"/>
  <c r="C30" i="1"/>
  <c r="A30" i="1" s="1"/>
  <c r="A29" i="3" s="1"/>
  <c r="C29" i="1"/>
  <c r="A29" i="1" s="1"/>
  <c r="A28" i="3" s="1"/>
  <c r="C27" i="1"/>
  <c r="A27" i="1" s="1"/>
  <c r="A26" i="3" s="1"/>
  <c r="C26" i="1"/>
  <c r="C25" i="3" s="1"/>
  <c r="A26" i="1"/>
  <c r="A25" i="3" s="1"/>
  <c r="C25" i="1"/>
  <c r="C24" i="3" s="1"/>
  <c r="C24" i="1"/>
  <c r="A24" i="1" s="1"/>
  <c r="A23" i="3" s="1"/>
  <c r="C23" i="1"/>
  <c r="C22" i="3" s="1"/>
  <c r="C22" i="1"/>
  <c r="C21" i="1"/>
  <c r="A21" i="1" s="1"/>
  <c r="A20" i="3" s="1"/>
  <c r="C20" i="1"/>
  <c r="C19" i="3" s="1"/>
  <c r="C19" i="1"/>
  <c r="C18" i="3" s="1"/>
  <c r="C18" i="1"/>
  <c r="C17" i="3" s="1"/>
  <c r="C17" i="1"/>
  <c r="C16" i="3" s="1"/>
  <c r="A17" i="1"/>
  <c r="A16" i="3" s="1"/>
  <c r="C16" i="1"/>
  <c r="C15" i="3" s="1"/>
  <c r="C15" i="1"/>
  <c r="A15" i="1" s="1"/>
  <c r="A14" i="3" s="1"/>
  <c r="C14" i="1"/>
  <c r="A14" i="1" s="1"/>
  <c r="A13" i="3" s="1"/>
  <c r="C13" i="1"/>
  <c r="A13" i="1" s="1"/>
  <c r="C12" i="3"/>
  <c r="C12" i="1"/>
  <c r="A12" i="1" s="1"/>
  <c r="A11" i="3" s="1"/>
  <c r="C11" i="1"/>
  <c r="A11" i="1" s="1"/>
  <c r="A10" i="3" s="1"/>
  <c r="C10" i="1"/>
  <c r="C9" i="3" s="1"/>
  <c r="C9" i="1"/>
  <c r="C8" i="3" s="1"/>
  <c r="C8" i="1"/>
  <c r="A8" i="1" s="1"/>
  <c r="A7" i="3" s="1"/>
  <c r="C7" i="1"/>
  <c r="C6" i="3" s="1"/>
  <c r="C6" i="1"/>
  <c r="A6" i="1" s="1"/>
  <c r="A5" i="3" s="1"/>
  <c r="C5" i="1"/>
  <c r="A5" i="1" s="1"/>
  <c r="A4" i="3" s="1"/>
  <c r="B5" i="3"/>
  <c r="B6" i="3"/>
  <c r="B7" i="3"/>
  <c r="B8" i="3"/>
  <c r="B9" i="3"/>
  <c r="B10" i="3"/>
  <c r="B11" i="3"/>
  <c r="B12" i="3"/>
  <c r="B13" i="3"/>
  <c r="B14" i="3"/>
  <c r="B15" i="3"/>
  <c r="B16" i="3"/>
  <c r="B17" i="3"/>
  <c r="B18" i="3"/>
  <c r="B19" i="3"/>
  <c r="B20" i="3"/>
  <c r="B21" i="3"/>
  <c r="B22" i="3"/>
  <c r="B23" i="3"/>
  <c r="B24" i="3"/>
  <c r="B25" i="3"/>
  <c r="B26" i="3"/>
  <c r="B27" i="3"/>
  <c r="C27" i="3"/>
  <c r="B28" i="3"/>
  <c r="B29" i="3"/>
  <c r="B30" i="3"/>
  <c r="B31" i="3"/>
  <c r="B32" i="3"/>
  <c r="C32" i="3"/>
  <c r="B33" i="3"/>
  <c r="B34" i="3"/>
  <c r="C34" i="3"/>
  <c r="B35" i="3"/>
  <c r="B36" i="3"/>
  <c r="B37" i="3"/>
  <c r="B38" i="3"/>
  <c r="C38" i="3"/>
  <c r="B39" i="3"/>
  <c r="B40" i="3"/>
  <c r="B41" i="3"/>
  <c r="B42" i="3"/>
  <c r="B43" i="3"/>
  <c r="B44" i="3"/>
  <c r="B45" i="3"/>
  <c r="C45" i="3"/>
  <c r="B46" i="3"/>
  <c r="B47" i="3"/>
  <c r="B48" i="3"/>
  <c r="C48" i="3"/>
  <c r="B49" i="3"/>
  <c r="B50" i="3"/>
  <c r="B51" i="3"/>
  <c r="B4" i="3"/>
  <c r="C5" i="3"/>
  <c r="C7" i="3"/>
  <c r="A19" i="1"/>
  <c r="A18" i="3" s="1"/>
  <c r="A12" i="3"/>
  <c r="C21" i="3"/>
  <c r="A22" i="1"/>
  <c r="A21" i="3" s="1"/>
  <c r="A25" i="1" l="1"/>
  <c r="A24" i="3" s="1"/>
  <c r="A31" i="1"/>
  <c r="A30" i="3" s="1"/>
  <c r="C13" i="3"/>
  <c r="C51" i="3"/>
  <c r="A109" i="1"/>
  <c r="C23" i="3"/>
  <c r="A48" i="1"/>
  <c r="A47" i="3" s="1"/>
  <c r="C26" i="3"/>
  <c r="A95" i="1"/>
  <c r="A107" i="1"/>
  <c r="C50" i="3"/>
  <c r="A135" i="1"/>
  <c r="A58" i="1"/>
  <c r="C29" i="3"/>
  <c r="C28" i="3"/>
  <c r="A90" i="1"/>
  <c r="A159" i="1"/>
  <c r="A56" i="1"/>
  <c r="A83" i="1"/>
  <c r="C41" i="3"/>
  <c r="C10" i="3"/>
  <c r="A16" i="1"/>
  <c r="A15" i="3" s="1"/>
  <c r="A20" i="1"/>
  <c r="A19" i="3" s="1"/>
  <c r="C44" i="3"/>
  <c r="A50" i="1"/>
  <c r="A49" i="3" s="1"/>
  <c r="A111" i="1"/>
  <c r="A145" i="1"/>
  <c r="A169" i="1"/>
  <c r="A166" i="1"/>
  <c r="A125" i="1"/>
  <c r="A105" i="1"/>
  <c r="A98" i="1"/>
  <c r="A77" i="1"/>
  <c r="A40" i="1"/>
  <c r="A39" i="3" s="1"/>
  <c r="C20" i="3"/>
  <c r="A41" i="1"/>
  <c r="A40" i="3" s="1"/>
  <c r="A122" i="1"/>
  <c r="A82" i="1"/>
  <c r="A32" i="1"/>
  <c r="A31" i="3" s="1"/>
  <c r="C14" i="3"/>
  <c r="A9" i="1"/>
  <c r="A8" i="3" s="1"/>
  <c r="A164" i="1"/>
  <c r="A85" i="1"/>
  <c r="A138" i="1"/>
  <c r="A171" i="1"/>
  <c r="C37" i="3"/>
  <c r="C4" i="3"/>
  <c r="A10" i="1"/>
  <c r="A9" i="3" s="1"/>
  <c r="A120" i="1"/>
  <c r="A86" i="1"/>
  <c r="A99" i="1"/>
  <c r="A79" i="1"/>
  <c r="C35" i="3"/>
  <c r="A7" i="1"/>
  <c r="A6" i="3" s="1"/>
  <c r="A18" i="1"/>
  <c r="A17" i="3" s="1"/>
  <c r="A157" i="1"/>
  <c r="A97" i="1"/>
  <c r="A81" i="1"/>
  <c r="A37" i="1"/>
  <c r="A36" i="3" s="1"/>
  <c r="C43" i="3"/>
  <c r="A23" i="1"/>
  <c r="A22" i="3" s="1"/>
  <c r="A43" i="1"/>
  <c r="A42" i="3" s="1"/>
  <c r="A61" i="1"/>
  <c r="C11" i="3"/>
  <c r="A47" i="1"/>
  <c r="A46" i="3" s="1"/>
  <c r="C46" i="3"/>
  <c r="A113" i="1"/>
  <c r="C33" i="3"/>
  <c r="A65" i="1"/>
  <c r="A161" i="1"/>
  <c r="A93" i="1"/>
</calcChain>
</file>

<file path=xl/sharedStrings.xml><?xml version="1.0" encoding="utf-8"?>
<sst xmlns="http://schemas.openxmlformats.org/spreadsheetml/2006/main" count="139" uniqueCount="84">
  <si>
    <t>timestep</t>
  </si>
  <si>
    <t>[h]</t>
  </si>
  <si>
    <t>time [h]</t>
  </si>
  <si>
    <t>EE</t>
  </si>
  <si>
    <t>LTH</t>
  </si>
  <si>
    <t>INPUT</t>
  </si>
  <si>
    <t>OUTPUT</t>
  </si>
  <si>
    <t>NAME</t>
  </si>
  <si>
    <t>LIMITS</t>
  </si>
  <si>
    <t>DATA</t>
  </si>
  <si>
    <t>STORAGES</t>
  </si>
  <si>
    <t>NETWORKS</t>
  </si>
  <si>
    <t>Capacity</t>
  </si>
  <si>
    <t>ηcharge</t>
  </si>
  <si>
    <t>Max charge rate</t>
  </si>
  <si>
    <t>Max discharge rate</t>
  </si>
  <si>
    <t>ηdischarge</t>
  </si>
  <si>
    <t>hourly self discharge rate</t>
  </si>
  <si>
    <t>maxSOC</t>
  </si>
  <si>
    <t>minSOC</t>
  </si>
  <si>
    <t>max withdrawal rate</t>
  </si>
  <si>
    <t>max injection rate</t>
  </si>
  <si>
    <t>Initialcond</t>
  </si>
  <si>
    <t>Purch</t>
  </si>
  <si>
    <t>Sold</t>
  </si>
  <si>
    <t>RAMPS</t>
  </si>
  <si>
    <t>minup [h]</t>
  </si>
  <si>
    <t>mindown [h]</t>
  </si>
  <si>
    <t>SU/SD</t>
  </si>
  <si>
    <t>day</t>
  </si>
  <si>
    <t>FUELS</t>
  </si>
  <si>
    <t>functionflag</t>
  </si>
  <si>
    <t>Tamb [°C]</t>
  </si>
  <si>
    <t>rampup [rate/hour]</t>
  </si>
  <si>
    <t>rampdown  [rate/hour]</t>
  </si>
  <si>
    <t>Minin (INPUT)</t>
  </si>
  <si>
    <t>Maxin (INPUT)</t>
  </si>
  <si>
    <t>Base timestep:</t>
  </si>
  <si>
    <t>SU cost [Iaddinput/startup]</t>
  </si>
  <si>
    <t>variabili ambientali</t>
  </si>
  <si>
    <t>rangetoread</t>
  </si>
  <si>
    <t>AMBIENT</t>
  </si>
  <si>
    <t>Tamb</t>
  </si>
  <si>
    <t>N/A</t>
  </si>
  <si>
    <t>G</t>
  </si>
  <si>
    <t>inf</t>
  </si>
  <si>
    <t>G [W/m²]</t>
  </si>
  <si>
    <t>SUN</t>
  </si>
  <si>
    <t>HEATER @35</t>
  </si>
  <si>
    <t>HEATER @55</t>
  </si>
  <si>
    <t>MTH</t>
  </si>
  <si>
    <t>SAHP @35</t>
  </si>
  <si>
    <t>SAHP @55</t>
  </si>
  <si>
    <t>B6</t>
  </si>
  <si>
    <t>C6</t>
  </si>
  <si>
    <t>D6</t>
  </si>
  <si>
    <t>C7:D8</t>
  </si>
  <si>
    <t>L7:M7</t>
  </si>
  <si>
    <t>N7:O7</t>
  </si>
  <si>
    <t>P7:S7</t>
  </si>
  <si>
    <t>B10</t>
  </si>
  <si>
    <t>C10</t>
  </si>
  <si>
    <t>D10</t>
  </si>
  <si>
    <t>C11:D12</t>
  </si>
  <si>
    <t>L11:M11</t>
  </si>
  <si>
    <t>N11:O11</t>
  </si>
  <si>
    <t>P11:S11</t>
  </si>
  <si>
    <t>B14</t>
  </si>
  <si>
    <t>E14</t>
  </si>
  <si>
    <t>F14</t>
  </si>
  <si>
    <t>C14:D14</t>
  </si>
  <si>
    <t>C15:F1464</t>
  </si>
  <si>
    <t>L15:M15</t>
  </si>
  <si>
    <t>N15:O15</t>
  </si>
  <si>
    <t>P15:S15</t>
  </si>
  <si>
    <t>B1466</t>
  </si>
  <si>
    <t>E1466</t>
  </si>
  <si>
    <t>F1466</t>
  </si>
  <si>
    <t>C1466:D1466</t>
  </si>
  <si>
    <t>C1467:F2826</t>
  </si>
  <si>
    <t>L1467:M1467</t>
  </si>
  <si>
    <t>N1467:O1467</t>
  </si>
  <si>
    <t>P1467:S1467</t>
  </si>
  <si>
    <t>A2:H5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</si>
</sst>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4">
    <numFmt numFmtId="164" formatCode="_(* #,##0.00_);_(* \(#,##0.00\);_(* &quot;-&quot;??_);_(@_)"/>
    <numFmt numFmtId="165" formatCode="_-* #,##0.00000_-;\-* #,##0.00000_-;_-* &quot;-&quot;??_-;_-@_-"/>
    <numFmt numFmtId="166" formatCode="#,##0.00;[Red]#,##0.00"/>
    <numFmt numFmtId="167" formatCode="0.0E+00"/>
  </numFmts>
  <fonts count="9" x14ac:knownFonts="1">
    <font>
      <sz val="11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0"/>
      <name val="Arial"/>
      <family val="2"/>
    </font>
    <font>
      <b/>
      <sz val="11"/>
      <color theme="1"/>
      <name val="Calibri"/>
      <family val="2"/>
    </font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</fonts>
  <fills count="21">
    <fill>
      <patternFill patternType="none"/>
    </fill>
    <fill>
      <patternFill patternType="gray125"/>
    </fill>
    <fill>
      <patternFill patternType="solid">
        <fgColor rgb="FFFF0000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indexed="13"/>
        <bgColor indexed="64"/>
      </patternFill>
    </fill>
    <fill>
      <patternFill patternType="solid">
        <fgColor indexed="50"/>
        <bgColor indexed="64"/>
      </patternFill>
    </fill>
    <fill>
      <patternFill patternType="solid">
        <fgColor indexed="10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8" tint="0.39997558519241921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darkDown">
        <bgColor theme="0" tint="-0.14996795556505021"/>
      </patternFill>
    </fill>
    <fill>
      <patternFill patternType="solid">
        <fgColor theme="4" tint="0.39997558519241921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rgb="FF92D050"/>
        <bgColor indexed="64"/>
      </patternFill>
    </fill>
  </fills>
  <borders count="14">
    <border>
      <left/>
      <right/>
      <top/>
      <bottom/>
      <diagonal/>
    </border>
    <border>
      <left/>
      <right/>
      <top/>
      <bottom style="medium">
        <color auto="1"/>
      </bottom>
      <diagonal/>
    </border>
    <border>
      <left style="thick">
        <color auto="1"/>
      </left>
      <right/>
      <top style="thick">
        <color auto="1"/>
      </top>
      <bottom/>
      <diagonal/>
    </border>
    <border>
      <left/>
      <right/>
      <top style="thick">
        <color auto="1"/>
      </top>
      <bottom/>
      <diagonal/>
    </border>
    <border>
      <left/>
      <right style="thick">
        <color auto="1"/>
      </right>
      <top style="thick">
        <color auto="1"/>
      </top>
      <bottom/>
      <diagonal/>
    </border>
    <border>
      <left style="thick">
        <color auto="1"/>
      </left>
      <right/>
      <top/>
      <bottom/>
      <diagonal/>
    </border>
    <border>
      <left/>
      <right style="thick">
        <color auto="1"/>
      </right>
      <top/>
      <bottom/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auto="1"/>
      </left>
      <right/>
      <top style="medium">
        <color auto="1"/>
      </top>
      <bottom/>
      <diagonal/>
    </border>
    <border>
      <left style="medium">
        <color auto="1"/>
      </left>
      <right/>
      <top/>
      <bottom/>
      <diagonal/>
    </border>
    <border>
      <left style="medium">
        <color auto="1"/>
      </left>
      <right/>
      <top/>
      <bottom style="medium">
        <color auto="1"/>
      </bottom>
      <diagonal/>
    </border>
    <border>
      <left/>
      <right/>
      <top style="medium">
        <color auto="1"/>
      </top>
      <bottom/>
      <diagonal/>
    </border>
  </borders>
  <cellStyleXfs count="4">
    <xf numFmtId="0" fontId="0" fillId="0" borderId="0"/>
    <xf numFmtId="9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0" fontId="4" fillId="0" borderId="0"/>
  </cellStyleXfs>
  <cellXfs count="82">
    <xf numFmtId="0" fontId="0" fillId="0" borderId="0" xfId="0"/>
    <xf numFmtId="0" fontId="0" fillId="0" borderId="0" xfId="0" quotePrefix="1"/>
    <xf numFmtId="0" fontId="0" fillId="0" borderId="0" xfId="0" applyFill="1"/>
    <xf numFmtId="0" fontId="0" fillId="0" borderId="0" xfId="0" applyFill="1" applyAlignment="1">
      <alignment horizontal="center" vertical="center"/>
    </xf>
    <xf numFmtId="0" fontId="3" fillId="0" borderId="0" xfId="0" applyFont="1" applyAlignment="1"/>
    <xf numFmtId="0" fontId="0" fillId="4" borderId="0" xfId="0" applyFill="1"/>
    <xf numFmtId="0" fontId="0" fillId="5" borderId="0" xfId="0" applyFill="1"/>
    <xf numFmtId="0" fontId="0" fillId="6" borderId="0" xfId="0" applyFill="1"/>
    <xf numFmtId="0" fontId="0" fillId="8" borderId="0" xfId="0" applyFill="1"/>
    <xf numFmtId="165" fontId="4" fillId="9" borderId="0" xfId="2" applyNumberFormat="1" applyFont="1" applyFill="1" applyBorder="1" applyAlignment="1">
      <alignment horizontal="center"/>
    </xf>
    <xf numFmtId="165" fontId="4" fillId="10" borderId="0" xfId="2" applyNumberFormat="1" applyFont="1" applyFill="1" applyBorder="1" applyAlignment="1">
      <alignment horizontal="center"/>
    </xf>
    <xf numFmtId="165" fontId="4" fillId="11" borderId="0" xfId="2" applyNumberFormat="1" applyFont="1" applyFill="1" applyBorder="1" applyAlignment="1">
      <alignment horizontal="center"/>
    </xf>
    <xf numFmtId="0" fontId="0" fillId="14" borderId="0" xfId="0" applyFill="1"/>
    <xf numFmtId="0" fontId="3" fillId="5" borderId="0" xfId="0" applyFont="1" applyFill="1"/>
    <xf numFmtId="0" fontId="3" fillId="6" borderId="0" xfId="0" applyFont="1" applyFill="1"/>
    <xf numFmtId="0" fontId="3" fillId="4" borderId="0" xfId="0" applyFont="1" applyFill="1"/>
    <xf numFmtId="0" fontId="3" fillId="15" borderId="0" xfId="0" applyFont="1" applyFill="1"/>
    <xf numFmtId="0" fontId="0" fillId="16" borderId="0" xfId="0" applyFill="1"/>
    <xf numFmtId="0" fontId="3" fillId="0" borderId="0" xfId="0" applyFont="1"/>
    <xf numFmtId="0" fontId="5" fillId="0" borderId="0" xfId="0" applyFont="1"/>
    <xf numFmtId="0" fontId="0" fillId="15" borderId="0" xfId="0" applyFill="1" applyAlignment="1">
      <alignment horizontal="center"/>
    </xf>
    <xf numFmtId="0" fontId="0" fillId="7" borderId="0" xfId="0" applyFill="1" applyAlignment="1">
      <alignment horizontal="center"/>
    </xf>
    <xf numFmtId="0" fontId="3" fillId="7" borderId="0" xfId="0" applyFont="1" applyFill="1"/>
    <xf numFmtId="0" fontId="1" fillId="12" borderId="0" xfId="0" applyFont="1" applyFill="1"/>
    <xf numFmtId="0" fontId="1" fillId="14" borderId="0" xfId="0" applyFont="1" applyFill="1"/>
    <xf numFmtId="0" fontId="3" fillId="17" borderId="0" xfId="0" applyFont="1" applyFill="1"/>
    <xf numFmtId="0" fontId="0" fillId="17" borderId="0" xfId="0" applyFill="1"/>
    <xf numFmtId="0" fontId="0" fillId="8" borderId="1" xfId="0" applyFill="1" applyBorder="1"/>
    <xf numFmtId="0" fontId="0" fillId="6" borderId="1" xfId="0" applyFill="1" applyBorder="1"/>
    <xf numFmtId="0" fontId="0" fillId="17" borderId="1" xfId="0" applyFill="1" applyBorder="1"/>
    <xf numFmtId="0" fontId="3" fillId="15" borderId="0" xfId="0" quotePrefix="1" applyFont="1" applyFill="1"/>
    <xf numFmtId="0" fontId="3" fillId="8" borderId="2" xfId="0" applyFont="1" applyFill="1" applyBorder="1"/>
    <xf numFmtId="0" fontId="3" fillId="8" borderId="3" xfId="0" applyFont="1" applyFill="1" applyBorder="1"/>
    <xf numFmtId="0" fontId="3" fillId="8" borderId="4" xfId="0" applyFont="1" applyFill="1" applyBorder="1"/>
    <xf numFmtId="0" fontId="0" fillId="8" borderId="5" xfId="0" applyFill="1" applyBorder="1"/>
    <xf numFmtId="0" fontId="0" fillId="8" borderId="0" xfId="0" applyFill="1" applyBorder="1"/>
    <xf numFmtId="0" fontId="0" fillId="8" borderId="6" xfId="0" applyFill="1" applyBorder="1"/>
    <xf numFmtId="0" fontId="3" fillId="18" borderId="0" xfId="0" applyFont="1" applyFill="1" applyBorder="1"/>
    <xf numFmtId="0" fontId="0" fillId="0" borderId="0" xfId="0" applyFont="1"/>
    <xf numFmtId="0" fontId="3" fillId="19" borderId="7" xfId="0" applyFont="1" applyFill="1" applyBorder="1"/>
    <xf numFmtId="0" fontId="0" fillId="19" borderId="8" xfId="0" applyFill="1" applyBorder="1"/>
    <xf numFmtId="0" fontId="0" fillId="19" borderId="8" xfId="0" applyFont="1" applyFill="1" applyBorder="1" applyAlignment="1">
      <alignment horizontal="center" vertical="center"/>
    </xf>
    <xf numFmtId="0" fontId="3" fillId="19" borderId="9" xfId="0" applyFont="1" applyFill="1" applyBorder="1"/>
    <xf numFmtId="0" fontId="3" fillId="19" borderId="0" xfId="0" applyFont="1" applyFill="1" applyBorder="1"/>
    <xf numFmtId="0" fontId="0" fillId="19" borderId="0" xfId="0" applyFill="1" applyBorder="1"/>
    <xf numFmtId="0" fontId="0" fillId="19" borderId="0" xfId="0" applyFont="1" applyFill="1" applyBorder="1" applyAlignment="1">
      <alignment horizontal="center" vertical="center"/>
    </xf>
    <xf numFmtId="0" fontId="0" fillId="20" borderId="0" xfId="0" applyFill="1" applyBorder="1"/>
    <xf numFmtId="0" fontId="0" fillId="0" borderId="0" xfId="0"/>
    <xf numFmtId="0" fontId="6" fillId="2" borderId="0" xfId="0" applyFont="1" applyFill="1" applyAlignment="1">
      <alignment horizontal="center"/>
    </xf>
    <xf numFmtId="0" fontId="6" fillId="0" borderId="0" xfId="0" applyFont="1"/>
    <xf numFmtId="0" fontId="7" fillId="0" borderId="0" xfId="0" applyFont="1"/>
    <xf numFmtId="0" fontId="6" fillId="3" borderId="0" xfId="0" applyFont="1" applyFill="1" applyAlignment="1">
      <alignment horizontal="center"/>
    </xf>
    <xf numFmtId="0" fontId="8" fillId="12" borderId="0" xfId="0" applyFont="1" applyFill="1" applyAlignment="1">
      <alignment horizontal="center"/>
    </xf>
    <xf numFmtId="0" fontId="6" fillId="0" borderId="0" xfId="0" applyFont="1" applyAlignment="1">
      <alignment horizontal="center" vertical="center"/>
    </xf>
    <xf numFmtId="0" fontId="7" fillId="0" borderId="0" xfId="0" applyFont="1" applyFill="1"/>
    <xf numFmtId="9" fontId="6" fillId="0" borderId="0" xfId="1" applyFont="1"/>
    <xf numFmtId="0" fontId="6" fillId="0" borderId="0" xfId="0" applyFont="1" applyAlignment="1">
      <alignment horizontal="center"/>
    </xf>
    <xf numFmtId="11" fontId="6" fillId="0" borderId="0" xfId="0" applyNumberFormat="1" applyFont="1" applyAlignment="1">
      <alignment horizontal="center"/>
    </xf>
    <xf numFmtId="0" fontId="6" fillId="0" borderId="0" xfId="0" applyFont="1" applyFill="1" applyAlignment="1">
      <alignment horizontal="center"/>
    </xf>
    <xf numFmtId="0" fontId="6" fillId="16" borderId="0" xfId="0" applyFont="1" applyFill="1"/>
    <xf numFmtId="0" fontId="1" fillId="12" borderId="0" xfId="0" applyFont="1" applyFill="1" applyAlignment="1">
      <alignment horizontal="center"/>
    </xf>
    <xf numFmtId="0" fontId="6" fillId="0" borderId="0" xfId="0" applyFont="1" applyAlignment="1">
      <alignment horizontal="center" vertical="center"/>
    </xf>
    <xf numFmtId="0" fontId="6" fillId="0" borderId="0" xfId="0" applyFont="1" applyFill="1"/>
    <xf numFmtId="0" fontId="0" fillId="3" borderId="0" xfId="0" applyFont="1" applyFill="1" applyAlignment="1">
      <alignment horizontal="center" vertical="center"/>
    </xf>
    <xf numFmtId="0" fontId="0" fillId="2" borderId="0" xfId="0" applyFont="1" applyFill="1" applyAlignment="1">
      <alignment horizontal="center" vertical="center"/>
    </xf>
    <xf numFmtId="0" fontId="3" fillId="0" borderId="0" xfId="0" applyFont="1" applyFill="1"/>
    <xf numFmtId="0" fontId="1" fillId="0" borderId="0" xfId="0" applyFont="1" applyAlignment="1">
      <alignment horizontal="center"/>
    </xf>
    <xf numFmtId="0" fontId="7" fillId="0" borderId="0" xfId="0" applyFont="1" applyAlignment="1">
      <alignment horizontal="center"/>
    </xf>
    <xf numFmtId="0" fontId="7" fillId="0" borderId="0" xfId="0" applyFont="1" applyFill="1" applyAlignment="1">
      <alignment horizontal="center"/>
    </xf>
    <xf numFmtId="2" fontId="6" fillId="0" borderId="0" xfId="0" applyNumberFormat="1" applyFont="1" applyAlignment="1">
      <alignment horizontal="center"/>
    </xf>
    <xf numFmtId="166" fontId="4" fillId="0" borderId="13" xfId="3" applyNumberFormat="1" applyBorder="1" applyAlignment="1">
      <alignment horizontal="right" vertical="center"/>
    </xf>
    <xf numFmtId="166" fontId="4" fillId="0" borderId="10" xfId="3" applyNumberFormat="1" applyBorder="1" applyAlignment="1">
      <alignment horizontal="right" vertical="center"/>
    </xf>
    <xf numFmtId="166" fontId="4" fillId="0" borderId="0" xfId="3" applyNumberFormat="1" applyBorder="1" applyAlignment="1">
      <alignment horizontal="right" vertical="center"/>
    </xf>
    <xf numFmtId="166" fontId="4" fillId="0" borderId="11" xfId="3" applyNumberFormat="1" applyBorder="1" applyAlignment="1">
      <alignment horizontal="right" vertical="center"/>
    </xf>
    <xf numFmtId="166" fontId="4" fillId="0" borderId="1" xfId="3" applyNumberFormat="1" applyBorder="1" applyAlignment="1">
      <alignment horizontal="right" vertical="center"/>
    </xf>
    <xf numFmtId="166" fontId="4" fillId="0" borderId="12" xfId="3" applyNumberFormat="1" applyBorder="1" applyAlignment="1">
      <alignment horizontal="right" vertical="center"/>
    </xf>
    <xf numFmtId="166" fontId="0" fillId="0" borderId="0" xfId="0" applyNumberFormat="1" applyFont="1"/>
    <xf numFmtId="166" fontId="0" fillId="0" borderId="0" xfId="0" applyNumberFormat="1"/>
    <xf numFmtId="167" fontId="0" fillId="0" borderId="0" xfId="0" applyNumberFormat="1"/>
    <xf numFmtId="0" fontId="0" fillId="0" borderId="0" xfId="0" applyAlignment="1">
      <alignment horizontal="center" vertical="center"/>
    </xf>
    <xf numFmtId="0" fontId="3" fillId="14" borderId="0" xfId="0" applyFont="1" applyFill="1" applyAlignment="1">
      <alignment horizontal="center"/>
    </xf>
    <xf numFmtId="0" fontId="3" fillId="13" borderId="0" xfId="0" applyFont="1" applyFill="1" applyAlignment="1">
      <alignment horizontal="center"/>
    </xf>
  </cellXfs>
  <cellStyles count="4">
    <cellStyle name="Comma" xfId="2" builtinId="3"/>
    <cellStyle name="Normal" xfId="0" builtinId="0"/>
    <cellStyle name="Normale 2" xfId="3"/>
    <cellStyle name="Percent" xfId="1" builtinId="5"/>
  </cellStyles>
  <dxfs count="0"/>
  <tableStyles count="0" defaultTableStyle="TableStyleMedium2" defaultPivotStyle="PivotStyleLight16"/>
  <colors>
    <mruColors>
      <color rgb="FF6AA343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AJ1156"/>
  <sheetViews>
    <sheetView tabSelected="1" topLeftCell="A4" zoomScaleNormal="100" workbookViewId="0">
      <selection activeCell="E4" sqref="E4"/>
    </sheetView>
  </sheetViews>
  <sheetFormatPr defaultRowHeight="15" x14ac:dyDescent="0.25"/>
  <cols>
    <col min="4" max="5" width="10.28515625" style="38" customWidth="1"/>
    <col min="8" max="8" width="9.140625" style="47"/>
    <col min="12" max="12" width="11.28515625" customWidth="1"/>
  </cols>
  <sheetData>
    <row r="1" spans="1:36" ht="15.75" thickBot="1" x14ac:dyDescent="0.3">
      <c r="A1" s="39" t="s">
        <v>37</v>
      </c>
      <c r="B1" s="40"/>
      <c r="C1" s="41">
        <f>5/60</f>
        <v>8.3333333333333329E-2</v>
      </c>
      <c r="D1" s="42" t="s">
        <v>1</v>
      </c>
      <c r="E1" s="47"/>
      <c r="F1" s="2"/>
    </row>
    <row r="2" spans="1:36" hidden="1" x14ac:dyDescent="0.25">
      <c r="A2" s="43"/>
      <c r="B2" s="44"/>
      <c r="C2" s="45"/>
      <c r="D2" s="43"/>
      <c r="E2" s="43"/>
      <c r="I2" s="1" t="str">
        <f>ADDRESS(ROW(profstart), COLUMN(profstart),4)&amp;":"&amp;ADDRESS(LOOKUP(2,1/(F:F&lt;&gt;""),ROW(F:F)),LOOKUP(2,1/(4:4&lt;&gt;""),COLUMN(4:4)),4)</f>
        <v>F4:H1156</v>
      </c>
      <c r="J2" t="s">
        <v>40</v>
      </c>
      <c r="K2" t="str">
        <f>ADDRESS(ROW(profstart),COLUMN(profstart)-ambdof,4)&amp;":"&amp;ADDRESS(LOOKUP(2,1/(F:F&lt;&gt;""),ROW(F:F)),COLUMN(profstart)-1,4)</f>
        <v>D4:E1156</v>
      </c>
      <c r="L2" t="s">
        <v>39</v>
      </c>
      <c r="N2">
        <f>+COLUMN(profstart)-4</f>
        <v>2</v>
      </c>
    </row>
    <row r="3" spans="1:36" ht="15.75" thickBot="1" x14ac:dyDescent="0.3">
      <c r="D3"/>
      <c r="E3" s="47"/>
    </row>
    <row r="4" spans="1:36" s="17" customFormat="1" ht="16.5" thickTop="1" thickBot="1" x14ac:dyDescent="0.3">
      <c r="A4" s="31" t="s">
        <v>29</v>
      </c>
      <c r="B4" s="32" t="s">
        <v>0</v>
      </c>
      <c r="C4" s="33" t="s">
        <v>2</v>
      </c>
      <c r="D4" s="37" t="s">
        <v>32</v>
      </c>
      <c r="E4" s="37" t="s">
        <v>46</v>
      </c>
      <c r="F4" s="30" t="s">
        <v>3</v>
      </c>
      <c r="G4" s="30" t="s">
        <v>4</v>
      </c>
      <c r="H4" s="30" t="s">
        <v>50</v>
      </c>
    </row>
    <row r="5" spans="1:36" x14ac:dyDescent="0.25">
      <c r="A5" s="34">
        <f>ROUNDUP(C5/24,0)</f>
        <v>1</v>
      </c>
      <c r="B5" s="35">
        <v>1</v>
      </c>
      <c r="C5" s="36">
        <f t="shared" ref="C5:C36" si="0">B5*$C$1</f>
        <v>8.3333333333333329E-2</v>
      </c>
      <c r="D5" s="70">
        <v>7</v>
      </c>
      <c r="E5" s="70">
        <v>0</v>
      </c>
      <c r="F5" s="71">
        <v>165.1</v>
      </c>
      <c r="G5" s="70">
        <v>0</v>
      </c>
      <c r="H5" s="70">
        <v>0</v>
      </c>
      <c r="AH5">
        <v>526.08558532714846</v>
      </c>
      <c r="AI5">
        <v>0</v>
      </c>
      <c r="AJ5">
        <v>3420.60107421875</v>
      </c>
    </row>
    <row r="6" spans="1:36" x14ac:dyDescent="0.25">
      <c r="A6" s="34">
        <f t="shared" ref="A6:A52" si="1">ROUNDUP(C6/24,0)</f>
        <v>1</v>
      </c>
      <c r="B6" s="35">
        <v>2</v>
      </c>
      <c r="C6" s="36">
        <f t="shared" si="0"/>
        <v>0.16666666666666666</v>
      </c>
      <c r="D6" s="72">
        <v>6.9916666666666698</v>
      </c>
      <c r="E6" s="72">
        <v>0</v>
      </c>
      <c r="F6" s="73">
        <v>162.125</v>
      </c>
      <c r="G6" s="72">
        <v>0</v>
      </c>
      <c r="H6" s="72">
        <v>0</v>
      </c>
      <c r="AH6">
        <v>508.83685302734375</v>
      </c>
      <c r="AI6">
        <v>0</v>
      </c>
      <c r="AJ6">
        <v>3507.75</v>
      </c>
    </row>
    <row r="7" spans="1:36" x14ac:dyDescent="0.25">
      <c r="A7" s="34">
        <f t="shared" si="1"/>
        <v>1</v>
      </c>
      <c r="B7" s="35">
        <v>3</v>
      </c>
      <c r="C7" s="36">
        <f t="shared" si="0"/>
        <v>0.25</v>
      </c>
      <c r="D7" s="72">
        <v>6.9833333333333298</v>
      </c>
      <c r="E7" s="72">
        <v>0</v>
      </c>
      <c r="F7" s="73">
        <v>159.15</v>
      </c>
      <c r="G7" s="72">
        <v>0</v>
      </c>
      <c r="H7" s="72">
        <v>0</v>
      </c>
      <c r="AF7">
        <v>517.46119140625001</v>
      </c>
      <c r="AG7">
        <v>0</v>
      </c>
      <c r="AH7">
        <v>3584.00537109375</v>
      </c>
    </row>
    <row r="8" spans="1:36" x14ac:dyDescent="0.25">
      <c r="A8" s="34">
        <f t="shared" si="1"/>
        <v>1</v>
      </c>
      <c r="B8" s="35">
        <v>4</v>
      </c>
      <c r="C8" s="36">
        <f t="shared" si="0"/>
        <v>0.33333333333333331</v>
      </c>
      <c r="D8" s="72">
        <v>6.9749999999999996</v>
      </c>
      <c r="E8" s="72">
        <v>0</v>
      </c>
      <c r="F8" s="73">
        <v>156.17500000000001</v>
      </c>
      <c r="G8" s="72">
        <v>0</v>
      </c>
      <c r="H8" s="72">
        <v>0</v>
      </c>
      <c r="AF8">
        <v>517.46119140625001</v>
      </c>
      <c r="AG8">
        <v>0</v>
      </c>
      <c r="AH8">
        <v>3758.3037109375</v>
      </c>
    </row>
    <row r="9" spans="1:36" x14ac:dyDescent="0.25">
      <c r="A9" s="34">
        <f t="shared" si="1"/>
        <v>1</v>
      </c>
      <c r="B9" s="35">
        <v>5</v>
      </c>
      <c r="C9" s="36">
        <f t="shared" si="0"/>
        <v>0.41666666666666663</v>
      </c>
      <c r="D9" s="72">
        <v>6.9666666666666703</v>
      </c>
      <c r="E9" s="72">
        <v>0</v>
      </c>
      <c r="F9" s="73">
        <v>153.19999999999999</v>
      </c>
      <c r="G9" s="72">
        <v>0</v>
      </c>
      <c r="H9" s="72">
        <v>0</v>
      </c>
      <c r="AF9">
        <v>517.46119140625001</v>
      </c>
      <c r="AG9">
        <v>0</v>
      </c>
      <c r="AH9">
        <v>4019.750732421875</v>
      </c>
    </row>
    <row r="10" spans="1:36" x14ac:dyDescent="0.25">
      <c r="A10" s="34">
        <f t="shared" si="1"/>
        <v>1</v>
      </c>
      <c r="B10" s="35">
        <v>6</v>
      </c>
      <c r="C10" s="36">
        <f t="shared" si="0"/>
        <v>0.5</v>
      </c>
      <c r="D10" s="72">
        <v>6.9583333333333304</v>
      </c>
      <c r="E10" s="72">
        <v>0</v>
      </c>
      <c r="F10" s="73">
        <v>150.22499999999999</v>
      </c>
      <c r="G10" s="72">
        <v>0</v>
      </c>
      <c r="H10" s="72">
        <v>0</v>
      </c>
      <c r="AF10">
        <v>517.46119140625001</v>
      </c>
      <c r="AG10">
        <v>0</v>
      </c>
      <c r="AH10">
        <v>4085.11279296875</v>
      </c>
    </row>
    <row r="11" spans="1:36" x14ac:dyDescent="0.25">
      <c r="A11" s="34">
        <f t="shared" si="1"/>
        <v>1</v>
      </c>
      <c r="B11" s="35">
        <v>7</v>
      </c>
      <c r="C11" s="36">
        <f t="shared" si="0"/>
        <v>0.58333333333333326</v>
      </c>
      <c r="D11" s="72">
        <v>6.95</v>
      </c>
      <c r="E11" s="72">
        <v>0</v>
      </c>
      <c r="F11" s="73">
        <v>147.25</v>
      </c>
      <c r="G11" s="72">
        <v>0</v>
      </c>
      <c r="H11" s="72">
        <v>0</v>
      </c>
      <c r="AF11">
        <v>612.32908020019522</v>
      </c>
      <c r="AG11">
        <v>0</v>
      </c>
      <c r="AH11">
        <v>4139.5810546875</v>
      </c>
    </row>
    <row r="12" spans="1:36" x14ac:dyDescent="0.25">
      <c r="A12" s="34">
        <f t="shared" si="1"/>
        <v>1</v>
      </c>
      <c r="B12" s="35">
        <v>8</v>
      </c>
      <c r="C12" s="36">
        <f t="shared" si="0"/>
        <v>0.66666666666666663</v>
      </c>
      <c r="D12" s="72">
        <v>6.94166666666667</v>
      </c>
      <c r="E12" s="72">
        <v>0</v>
      </c>
      <c r="F12" s="73">
        <v>144.27500000000001</v>
      </c>
      <c r="G12" s="72">
        <v>0</v>
      </c>
      <c r="H12" s="72">
        <v>0</v>
      </c>
      <c r="AF12">
        <v>612.32908020019522</v>
      </c>
      <c r="AG12">
        <v>2368</v>
      </c>
      <c r="AH12">
        <v>4782.30517578125</v>
      </c>
    </row>
    <row r="13" spans="1:36" x14ac:dyDescent="0.25">
      <c r="A13" s="34">
        <f t="shared" si="1"/>
        <v>1</v>
      </c>
      <c r="B13" s="35">
        <v>9</v>
      </c>
      <c r="C13" s="36">
        <f t="shared" si="0"/>
        <v>0.75</v>
      </c>
      <c r="D13" s="72">
        <v>6.93333333333333</v>
      </c>
      <c r="E13" s="72">
        <v>0</v>
      </c>
      <c r="F13" s="73">
        <v>141.30000000000001</v>
      </c>
      <c r="G13" s="72">
        <v>0</v>
      </c>
      <c r="H13" s="72">
        <v>0</v>
      </c>
      <c r="AF13">
        <v>758.94311035156238</v>
      </c>
      <c r="AG13">
        <v>2368</v>
      </c>
      <c r="AH13">
        <v>5000.177734375</v>
      </c>
    </row>
    <row r="14" spans="1:36" x14ac:dyDescent="0.25">
      <c r="A14" s="34">
        <f t="shared" si="1"/>
        <v>1</v>
      </c>
      <c r="B14" s="35">
        <v>10</v>
      </c>
      <c r="C14" s="36">
        <f t="shared" si="0"/>
        <v>0.83333333333333326</v>
      </c>
      <c r="D14" s="72">
        <v>6.9249999999999998</v>
      </c>
      <c r="E14" s="72">
        <v>0</v>
      </c>
      <c r="F14" s="73">
        <v>138.32499999999999</v>
      </c>
      <c r="G14" s="72">
        <v>0</v>
      </c>
      <c r="H14" s="72">
        <v>0</v>
      </c>
      <c r="AF14">
        <v>750.31871643066404</v>
      </c>
      <c r="AG14">
        <v>2368</v>
      </c>
      <c r="AH14">
        <v>4499.07080078125</v>
      </c>
    </row>
    <row r="15" spans="1:36" x14ac:dyDescent="0.25">
      <c r="A15" s="34">
        <f t="shared" si="1"/>
        <v>1</v>
      </c>
      <c r="B15" s="35">
        <v>11</v>
      </c>
      <c r="C15" s="36">
        <f t="shared" si="0"/>
        <v>0.91666666666666663</v>
      </c>
      <c r="D15" s="72">
        <v>6.9166666666666696</v>
      </c>
      <c r="E15" s="72">
        <v>0</v>
      </c>
      <c r="F15" s="73">
        <v>135.35</v>
      </c>
      <c r="G15" s="72">
        <v>0</v>
      </c>
      <c r="H15" s="72">
        <v>0</v>
      </c>
      <c r="AF15">
        <v>724.44570129394526</v>
      </c>
      <c r="AG15">
        <v>2368</v>
      </c>
      <c r="AH15">
        <v>4869.4541015625</v>
      </c>
    </row>
    <row r="16" spans="1:36" x14ac:dyDescent="0.25">
      <c r="A16" s="34">
        <f t="shared" si="1"/>
        <v>1</v>
      </c>
      <c r="B16" s="35">
        <v>12</v>
      </c>
      <c r="C16" s="36">
        <f t="shared" si="0"/>
        <v>1</v>
      </c>
      <c r="D16" s="72">
        <v>6.9083333333333297</v>
      </c>
      <c r="E16" s="72">
        <v>0</v>
      </c>
      <c r="F16" s="73">
        <v>132.375</v>
      </c>
      <c r="G16" s="72">
        <v>0</v>
      </c>
      <c r="H16" s="72">
        <v>0</v>
      </c>
      <c r="AH16">
        <v>853.81099914550782</v>
      </c>
      <c r="AI16">
        <v>2368</v>
      </c>
      <c r="AJ16">
        <v>4695.15625</v>
      </c>
    </row>
    <row r="17" spans="1:36" x14ac:dyDescent="0.25">
      <c r="A17" s="34">
        <f t="shared" si="1"/>
        <v>1</v>
      </c>
      <c r="B17" s="35">
        <v>13</v>
      </c>
      <c r="C17" s="36">
        <f t="shared" si="0"/>
        <v>1.0833333333333333</v>
      </c>
      <c r="D17" s="72">
        <v>6.9</v>
      </c>
      <c r="E17" s="72">
        <v>0</v>
      </c>
      <c r="F17" s="73">
        <v>129.4</v>
      </c>
      <c r="G17" s="72">
        <v>0</v>
      </c>
      <c r="H17" s="72">
        <v>0</v>
      </c>
      <c r="AH17">
        <v>681.32389831542969</v>
      </c>
      <c r="AI17">
        <v>2368</v>
      </c>
      <c r="AJ17">
        <v>4695.15625</v>
      </c>
    </row>
    <row r="18" spans="1:36" x14ac:dyDescent="0.25">
      <c r="A18" s="34">
        <f t="shared" si="1"/>
        <v>1</v>
      </c>
      <c r="B18" s="35">
        <v>14</v>
      </c>
      <c r="C18" s="36">
        <f t="shared" si="0"/>
        <v>1.1666666666666665</v>
      </c>
      <c r="D18" s="72">
        <v>6.8416666666666703</v>
      </c>
      <c r="E18" s="72">
        <v>0</v>
      </c>
      <c r="F18" s="73">
        <v>128.96666666666701</v>
      </c>
      <c r="G18" s="72">
        <v>0</v>
      </c>
      <c r="H18" s="72">
        <v>0</v>
      </c>
      <c r="AH18">
        <v>664.07522155761717</v>
      </c>
      <c r="AI18">
        <v>2368</v>
      </c>
      <c r="AJ18">
        <v>4248.51708984375</v>
      </c>
    </row>
    <row r="19" spans="1:36" x14ac:dyDescent="0.25">
      <c r="A19" s="34">
        <f t="shared" si="1"/>
        <v>1</v>
      </c>
      <c r="B19" s="35">
        <v>15</v>
      </c>
      <c r="C19" s="36">
        <f t="shared" si="0"/>
        <v>1.25</v>
      </c>
      <c r="D19" s="72">
        <v>6.7833333333333297</v>
      </c>
      <c r="E19" s="72">
        <v>0</v>
      </c>
      <c r="F19" s="73">
        <v>128.53333333333299</v>
      </c>
      <c r="G19" s="72">
        <v>0</v>
      </c>
      <c r="H19" s="72">
        <v>0</v>
      </c>
      <c r="AH19">
        <v>638.20215087890631</v>
      </c>
      <c r="AI19">
        <v>2368</v>
      </c>
      <c r="AJ19">
        <v>4335.666015625</v>
      </c>
    </row>
    <row r="20" spans="1:36" x14ac:dyDescent="0.25">
      <c r="A20" s="34">
        <f t="shared" si="1"/>
        <v>1</v>
      </c>
      <c r="B20" s="35">
        <v>16</v>
      </c>
      <c r="C20" s="36">
        <f t="shared" si="0"/>
        <v>1.3333333333333333</v>
      </c>
      <c r="D20" s="72">
        <v>6.7249999999999996</v>
      </c>
      <c r="E20" s="72">
        <v>0</v>
      </c>
      <c r="F20" s="73">
        <v>128.1</v>
      </c>
      <c r="G20" s="72">
        <v>0</v>
      </c>
      <c r="H20" s="72">
        <v>0</v>
      </c>
      <c r="AH20">
        <v>534.70992370605472</v>
      </c>
      <c r="AI20">
        <v>2368</v>
      </c>
      <c r="AJ20">
        <v>4695.15625</v>
      </c>
    </row>
    <row r="21" spans="1:36" x14ac:dyDescent="0.25">
      <c r="A21" s="34">
        <f t="shared" si="1"/>
        <v>1</v>
      </c>
      <c r="B21" s="35">
        <v>17</v>
      </c>
      <c r="C21" s="36">
        <f t="shared" si="0"/>
        <v>1.4166666666666665</v>
      </c>
      <c r="D21" s="72">
        <v>6.6666666666666696</v>
      </c>
      <c r="E21" s="72">
        <v>0</v>
      </c>
      <c r="F21" s="73">
        <v>127.666666666667</v>
      </c>
      <c r="G21" s="72">
        <v>0</v>
      </c>
      <c r="H21" s="72">
        <v>0</v>
      </c>
      <c r="AH21">
        <v>707.19696899414055</v>
      </c>
      <c r="AI21">
        <v>2368</v>
      </c>
      <c r="AJ21">
        <v>4695.15625</v>
      </c>
    </row>
    <row r="22" spans="1:36" x14ac:dyDescent="0.25">
      <c r="A22" s="34">
        <f t="shared" si="1"/>
        <v>1</v>
      </c>
      <c r="B22" s="35">
        <v>18</v>
      </c>
      <c r="C22" s="36">
        <f t="shared" si="0"/>
        <v>1.5</v>
      </c>
      <c r="D22" s="72">
        <v>6.6083333333333298</v>
      </c>
      <c r="E22" s="72">
        <v>0</v>
      </c>
      <c r="F22" s="73">
        <v>127.23333333333299</v>
      </c>
      <c r="G22" s="72">
        <v>0</v>
      </c>
      <c r="H22" s="72">
        <v>0</v>
      </c>
      <c r="AH22">
        <v>707.19696899414055</v>
      </c>
      <c r="AI22">
        <v>2368</v>
      </c>
      <c r="AJ22">
        <v>4651.58154296875</v>
      </c>
    </row>
    <row r="23" spans="1:36" x14ac:dyDescent="0.25">
      <c r="A23" s="34">
        <f t="shared" si="1"/>
        <v>1</v>
      </c>
      <c r="B23" s="35">
        <v>19</v>
      </c>
      <c r="C23" s="36">
        <f t="shared" si="0"/>
        <v>1.5833333333333333</v>
      </c>
      <c r="D23" s="72">
        <v>6.55</v>
      </c>
      <c r="E23" s="72">
        <v>0</v>
      </c>
      <c r="F23" s="73">
        <v>126.8</v>
      </c>
      <c r="G23" s="72">
        <v>0</v>
      </c>
      <c r="H23" s="72">
        <v>0</v>
      </c>
      <c r="AH23">
        <v>664.07522155761717</v>
      </c>
      <c r="AI23">
        <v>2368</v>
      </c>
      <c r="AJ23">
        <v>4270.3046875</v>
      </c>
    </row>
    <row r="24" spans="1:36" x14ac:dyDescent="0.25">
      <c r="A24" s="34">
        <f t="shared" si="1"/>
        <v>1</v>
      </c>
      <c r="B24" s="35">
        <v>20</v>
      </c>
      <c r="C24" s="36">
        <f t="shared" si="0"/>
        <v>1.6666666666666665</v>
      </c>
      <c r="D24" s="72">
        <v>6.4916666666666698</v>
      </c>
      <c r="E24" s="72">
        <v>0</v>
      </c>
      <c r="F24" s="73">
        <v>126.366666666667</v>
      </c>
      <c r="G24" s="72">
        <v>0</v>
      </c>
      <c r="H24" s="72">
        <v>0</v>
      </c>
      <c r="AH24">
        <v>733.07003967285152</v>
      </c>
      <c r="AI24">
        <v>2368</v>
      </c>
      <c r="AJ24">
        <v>4270.3046875</v>
      </c>
    </row>
    <row r="25" spans="1:36" x14ac:dyDescent="0.25">
      <c r="A25" s="34">
        <f t="shared" si="1"/>
        <v>1</v>
      </c>
      <c r="B25" s="35">
        <v>21</v>
      </c>
      <c r="C25" s="36">
        <f t="shared" si="0"/>
        <v>1.75</v>
      </c>
      <c r="D25" s="72">
        <v>6.43333333333333</v>
      </c>
      <c r="E25" s="72">
        <v>0</v>
      </c>
      <c r="F25" s="73">
        <v>125.933333333333</v>
      </c>
      <c r="G25" s="72">
        <v>0</v>
      </c>
      <c r="H25" s="72">
        <v>0</v>
      </c>
      <c r="AH25">
        <v>638.20215087890631</v>
      </c>
      <c r="AI25">
        <v>0</v>
      </c>
      <c r="AJ25">
        <v>4183.1552734375</v>
      </c>
    </row>
    <row r="26" spans="1:36" x14ac:dyDescent="0.25">
      <c r="A26" s="34">
        <f t="shared" si="1"/>
        <v>1</v>
      </c>
      <c r="B26" s="35">
        <v>22</v>
      </c>
      <c r="C26" s="36">
        <f t="shared" si="0"/>
        <v>1.8333333333333333</v>
      </c>
      <c r="D26" s="72">
        <v>6.375</v>
      </c>
      <c r="E26" s="72">
        <v>0</v>
      </c>
      <c r="F26" s="73">
        <v>125.5</v>
      </c>
      <c r="G26" s="72">
        <v>0</v>
      </c>
      <c r="H26" s="72">
        <v>0</v>
      </c>
      <c r="AH26">
        <v>551.95860046386713</v>
      </c>
      <c r="AI26">
        <v>0</v>
      </c>
      <c r="AJ26">
        <v>3899.9208984375</v>
      </c>
    </row>
    <row r="27" spans="1:36" x14ac:dyDescent="0.25">
      <c r="A27" s="34">
        <f t="shared" si="1"/>
        <v>1</v>
      </c>
      <c r="B27" s="35">
        <v>23</v>
      </c>
      <c r="C27" s="36">
        <f t="shared" si="0"/>
        <v>1.9166666666666665</v>
      </c>
      <c r="D27" s="72">
        <v>6.31666666666667</v>
      </c>
      <c r="E27" s="72">
        <v>0</v>
      </c>
      <c r="F27" s="73">
        <v>125.066666666667</v>
      </c>
      <c r="G27" s="72">
        <v>0</v>
      </c>
      <c r="H27" s="72">
        <v>0</v>
      </c>
      <c r="AH27">
        <v>551.95860046386713</v>
      </c>
      <c r="AI27">
        <v>0</v>
      </c>
      <c r="AJ27">
        <v>3790.984375</v>
      </c>
    </row>
    <row r="28" spans="1:36" ht="15.75" thickBot="1" x14ac:dyDescent="0.3">
      <c r="A28" s="34">
        <f t="shared" si="1"/>
        <v>1</v>
      </c>
      <c r="B28" s="35">
        <v>24</v>
      </c>
      <c r="C28" s="36">
        <f t="shared" si="0"/>
        <v>2</v>
      </c>
      <c r="D28" s="74">
        <v>6.2583333333333302</v>
      </c>
      <c r="E28" s="74">
        <v>0</v>
      </c>
      <c r="F28" s="75">
        <v>124.633333333333</v>
      </c>
      <c r="G28" s="74">
        <v>0</v>
      </c>
      <c r="H28" s="74">
        <v>0</v>
      </c>
      <c r="AH28">
        <v>526.08558532714846</v>
      </c>
      <c r="AI28">
        <v>0</v>
      </c>
      <c r="AJ28">
        <v>3703.835693359375</v>
      </c>
    </row>
    <row r="29" spans="1:36" x14ac:dyDescent="0.25">
      <c r="A29" s="34">
        <f t="shared" si="1"/>
        <v>1</v>
      </c>
      <c r="B29" s="35">
        <v>25</v>
      </c>
      <c r="C29" s="36">
        <f t="shared" si="0"/>
        <v>2.083333333333333</v>
      </c>
      <c r="D29" s="70">
        <v>6.2</v>
      </c>
      <c r="E29" s="70">
        <v>0</v>
      </c>
      <c r="F29" s="71">
        <v>124.2</v>
      </c>
      <c r="G29" s="70">
        <v>0</v>
      </c>
      <c r="H29" s="70">
        <v>0</v>
      </c>
      <c r="AH29">
        <v>348.32088439941401</v>
      </c>
      <c r="AI29">
        <v>747</v>
      </c>
      <c r="AJ29">
        <v>3136.6806640625</v>
      </c>
    </row>
    <row r="30" spans="1:36" x14ac:dyDescent="0.25">
      <c r="A30" s="34">
        <f t="shared" si="1"/>
        <v>1</v>
      </c>
      <c r="B30" s="35">
        <v>26</v>
      </c>
      <c r="C30" s="36">
        <f t="shared" si="0"/>
        <v>2.1666666666666665</v>
      </c>
      <c r="D30" s="72">
        <v>6.1749999999999998</v>
      </c>
      <c r="E30" s="72">
        <v>0</v>
      </c>
      <c r="F30" s="73">
        <v>124.283333333333</v>
      </c>
      <c r="G30" s="72">
        <v>0</v>
      </c>
      <c r="H30" s="72">
        <v>0</v>
      </c>
      <c r="AH30">
        <v>331.4666390991211</v>
      </c>
      <c r="AI30">
        <v>747</v>
      </c>
      <c r="AJ30">
        <v>3231.470703125</v>
      </c>
    </row>
    <row r="31" spans="1:36" x14ac:dyDescent="0.25">
      <c r="A31" s="34">
        <f t="shared" si="1"/>
        <v>1</v>
      </c>
      <c r="B31" s="35">
        <v>27</v>
      </c>
      <c r="C31" s="36">
        <f t="shared" si="0"/>
        <v>2.25</v>
      </c>
      <c r="D31" s="72">
        <v>6.15</v>
      </c>
      <c r="E31" s="72">
        <v>0</v>
      </c>
      <c r="F31" s="73">
        <v>124.366666666667</v>
      </c>
      <c r="G31" s="72">
        <v>0</v>
      </c>
      <c r="H31" s="72">
        <v>0</v>
      </c>
      <c r="AH31">
        <v>342.70281188964839</v>
      </c>
      <c r="AI31">
        <v>747</v>
      </c>
      <c r="AJ31">
        <v>3343.494873046875</v>
      </c>
    </row>
    <row r="32" spans="1:36" x14ac:dyDescent="0.25">
      <c r="A32" s="34">
        <f t="shared" si="1"/>
        <v>1</v>
      </c>
      <c r="B32" s="35">
        <v>28</v>
      </c>
      <c r="C32" s="36">
        <f t="shared" si="0"/>
        <v>2.333333333333333</v>
      </c>
      <c r="D32" s="72">
        <v>6.125</v>
      </c>
      <c r="E32" s="72">
        <v>0</v>
      </c>
      <c r="F32" s="73">
        <v>124.45</v>
      </c>
      <c r="G32" s="72">
        <v>0</v>
      </c>
      <c r="H32" s="72">
        <v>0</v>
      </c>
      <c r="AH32">
        <v>337.08471160888672</v>
      </c>
      <c r="AI32">
        <v>747</v>
      </c>
      <c r="AJ32">
        <v>3421.05029296875</v>
      </c>
    </row>
    <row r="33" spans="1:36" x14ac:dyDescent="0.25">
      <c r="A33" s="34">
        <f t="shared" si="1"/>
        <v>1</v>
      </c>
      <c r="B33" s="35">
        <v>29</v>
      </c>
      <c r="C33" s="36">
        <f t="shared" si="0"/>
        <v>2.4166666666666665</v>
      </c>
      <c r="D33" s="72">
        <v>6.1</v>
      </c>
      <c r="E33" s="72">
        <v>0</v>
      </c>
      <c r="F33" s="73">
        <v>124.533333333333</v>
      </c>
      <c r="G33" s="72">
        <v>0</v>
      </c>
      <c r="H33" s="72">
        <v>0</v>
      </c>
      <c r="AH33">
        <v>337.08471160888672</v>
      </c>
      <c r="AI33">
        <v>747</v>
      </c>
      <c r="AJ33">
        <v>3524.457275390625</v>
      </c>
    </row>
    <row r="34" spans="1:36" x14ac:dyDescent="0.25">
      <c r="A34" s="34">
        <f t="shared" si="1"/>
        <v>1</v>
      </c>
      <c r="B34" s="35">
        <v>30</v>
      </c>
      <c r="C34" s="36">
        <f t="shared" si="0"/>
        <v>2.5</v>
      </c>
      <c r="D34" s="72">
        <v>6.0750000000000002</v>
      </c>
      <c r="E34" s="72">
        <v>0</v>
      </c>
      <c r="F34" s="73">
        <v>124.616666666667</v>
      </c>
      <c r="G34" s="72">
        <v>0</v>
      </c>
      <c r="H34" s="72">
        <v>0</v>
      </c>
      <c r="AH34">
        <v>337.08471160888672</v>
      </c>
      <c r="AI34">
        <v>747</v>
      </c>
      <c r="AJ34">
        <v>3688.18505859375</v>
      </c>
    </row>
    <row r="35" spans="1:36" x14ac:dyDescent="0.25">
      <c r="A35" s="34">
        <f t="shared" si="1"/>
        <v>1</v>
      </c>
      <c r="B35" s="35">
        <v>31</v>
      </c>
      <c r="C35" s="36">
        <f t="shared" si="0"/>
        <v>2.583333333333333</v>
      </c>
      <c r="D35" s="72">
        <v>6.05</v>
      </c>
      <c r="E35" s="72">
        <v>0</v>
      </c>
      <c r="F35" s="73">
        <v>124.7</v>
      </c>
      <c r="G35" s="72">
        <v>0</v>
      </c>
      <c r="H35" s="72">
        <v>0</v>
      </c>
      <c r="AH35">
        <v>573.0440069580078</v>
      </c>
      <c r="AI35">
        <v>747</v>
      </c>
      <c r="AJ35">
        <v>3981.171630859375</v>
      </c>
    </row>
    <row r="36" spans="1:36" x14ac:dyDescent="0.25">
      <c r="A36" s="34">
        <f t="shared" si="1"/>
        <v>1</v>
      </c>
      <c r="B36" s="35">
        <v>32</v>
      </c>
      <c r="C36" s="36">
        <f t="shared" si="0"/>
        <v>2.6666666666666665</v>
      </c>
      <c r="D36" s="72">
        <v>6.0250000000000004</v>
      </c>
      <c r="E36" s="72">
        <v>0</v>
      </c>
      <c r="F36" s="73">
        <v>124.783333333333</v>
      </c>
      <c r="G36" s="72">
        <v>0</v>
      </c>
      <c r="H36" s="72">
        <v>0</v>
      </c>
      <c r="AH36">
        <v>573.0440069580078</v>
      </c>
      <c r="AI36">
        <v>1532</v>
      </c>
      <c r="AJ36">
        <v>4661.9345703125</v>
      </c>
    </row>
    <row r="37" spans="1:36" x14ac:dyDescent="0.25">
      <c r="A37" s="34">
        <f t="shared" si="1"/>
        <v>1</v>
      </c>
      <c r="B37" s="35">
        <v>33</v>
      </c>
      <c r="C37" s="36">
        <f t="shared" ref="C37:C52" si="2">B37*$C$1</f>
        <v>2.75</v>
      </c>
      <c r="D37" s="72">
        <v>6</v>
      </c>
      <c r="E37" s="72">
        <v>0</v>
      </c>
      <c r="F37" s="73">
        <v>124.866666666667</v>
      </c>
      <c r="G37" s="72">
        <v>0</v>
      </c>
      <c r="H37" s="72">
        <v>0</v>
      </c>
      <c r="AH37">
        <v>904.51067382812505</v>
      </c>
      <c r="AI37">
        <v>1532</v>
      </c>
      <c r="AJ37">
        <v>4300.01025390625</v>
      </c>
    </row>
    <row r="38" spans="1:36" x14ac:dyDescent="0.25">
      <c r="A38" s="34">
        <f t="shared" si="1"/>
        <v>1</v>
      </c>
      <c r="B38" s="35">
        <v>34</v>
      </c>
      <c r="C38" s="36">
        <f t="shared" si="2"/>
        <v>2.833333333333333</v>
      </c>
      <c r="D38" s="72">
        <v>5.9749999999999996</v>
      </c>
      <c r="E38" s="72">
        <v>0</v>
      </c>
      <c r="F38" s="73">
        <v>124.95</v>
      </c>
      <c r="G38" s="72">
        <v>0</v>
      </c>
      <c r="H38" s="72">
        <v>0</v>
      </c>
      <c r="AH38">
        <v>842.71176513671867</v>
      </c>
      <c r="AI38">
        <v>1532</v>
      </c>
      <c r="AJ38">
        <v>3800.20947265625</v>
      </c>
    </row>
    <row r="39" spans="1:36" x14ac:dyDescent="0.25">
      <c r="A39" s="34">
        <f t="shared" si="1"/>
        <v>1</v>
      </c>
      <c r="B39" s="35">
        <v>35</v>
      </c>
      <c r="C39" s="36">
        <f t="shared" si="2"/>
        <v>2.9166666666666665</v>
      </c>
      <c r="D39" s="72">
        <v>5.95</v>
      </c>
      <c r="E39" s="72">
        <v>0</v>
      </c>
      <c r="F39" s="73">
        <v>125.033333333333</v>
      </c>
      <c r="G39" s="72">
        <v>0</v>
      </c>
      <c r="H39" s="72">
        <v>0</v>
      </c>
      <c r="AH39">
        <v>926.98301940917963</v>
      </c>
      <c r="AI39">
        <v>1532</v>
      </c>
      <c r="AJ39">
        <v>4653.3173828125</v>
      </c>
    </row>
    <row r="40" spans="1:36" x14ac:dyDescent="0.25">
      <c r="A40" s="34">
        <f t="shared" si="1"/>
        <v>1</v>
      </c>
      <c r="B40" s="35">
        <v>36</v>
      </c>
      <c r="C40" s="36">
        <f t="shared" si="2"/>
        <v>3</v>
      </c>
      <c r="D40" s="72">
        <v>5.9249999999999998</v>
      </c>
      <c r="E40" s="72">
        <v>0</v>
      </c>
      <c r="F40" s="73">
        <v>125.116666666667</v>
      </c>
      <c r="G40" s="72">
        <v>0</v>
      </c>
      <c r="H40" s="72">
        <v>0</v>
      </c>
      <c r="AH40">
        <v>870.8022387695313</v>
      </c>
      <c r="AI40">
        <v>1532</v>
      </c>
      <c r="AJ40">
        <v>4394.7998046875</v>
      </c>
    </row>
    <row r="41" spans="1:36" x14ac:dyDescent="0.25">
      <c r="A41" s="34">
        <f t="shared" si="1"/>
        <v>1</v>
      </c>
      <c r="B41" s="35">
        <v>37</v>
      </c>
      <c r="C41" s="36">
        <f t="shared" si="2"/>
        <v>3.083333333333333</v>
      </c>
      <c r="D41" s="72">
        <v>5.9</v>
      </c>
      <c r="E41" s="72">
        <v>0</v>
      </c>
      <c r="F41" s="73">
        <v>125.2</v>
      </c>
      <c r="G41" s="72">
        <v>0</v>
      </c>
      <c r="H41" s="72">
        <v>0</v>
      </c>
      <c r="AH41">
        <v>786.53098449707034</v>
      </c>
      <c r="AI41">
        <v>1532</v>
      </c>
      <c r="AJ41">
        <v>4231.07177734375</v>
      </c>
    </row>
    <row r="42" spans="1:36" x14ac:dyDescent="0.25">
      <c r="A42" s="34">
        <f t="shared" si="1"/>
        <v>1</v>
      </c>
      <c r="B42" s="35">
        <v>38</v>
      </c>
      <c r="C42" s="36">
        <f t="shared" si="2"/>
        <v>3.1666666666666665</v>
      </c>
      <c r="D42" s="72">
        <v>5.8916666666666702</v>
      </c>
      <c r="E42" s="72">
        <v>0</v>
      </c>
      <c r="F42" s="73">
        <v>124.85</v>
      </c>
      <c r="G42" s="72">
        <v>0</v>
      </c>
      <c r="H42" s="72">
        <v>0</v>
      </c>
      <c r="AH42">
        <v>719.11405883789052</v>
      </c>
      <c r="AI42">
        <v>1532</v>
      </c>
      <c r="AJ42">
        <v>4127.6650390625</v>
      </c>
    </row>
    <row r="43" spans="1:36" x14ac:dyDescent="0.25">
      <c r="A43" s="34">
        <f t="shared" si="1"/>
        <v>1</v>
      </c>
      <c r="B43" s="35">
        <v>39</v>
      </c>
      <c r="C43" s="36">
        <f t="shared" si="2"/>
        <v>3.25</v>
      </c>
      <c r="D43" s="72">
        <v>5.8833333333333302</v>
      </c>
      <c r="E43" s="72">
        <v>0</v>
      </c>
      <c r="F43" s="73">
        <v>124.5</v>
      </c>
      <c r="G43" s="72">
        <v>0</v>
      </c>
      <c r="H43" s="72">
        <v>0</v>
      </c>
      <c r="AH43">
        <v>730.35020385742177</v>
      </c>
      <c r="AI43">
        <v>1532</v>
      </c>
      <c r="AJ43">
        <v>3817.44384765625</v>
      </c>
    </row>
    <row r="44" spans="1:36" x14ac:dyDescent="0.25">
      <c r="A44" s="34">
        <f t="shared" si="1"/>
        <v>1</v>
      </c>
      <c r="B44" s="35">
        <v>40</v>
      </c>
      <c r="C44" s="36">
        <f t="shared" si="2"/>
        <v>3.333333333333333</v>
      </c>
      <c r="D44" s="72">
        <v>5.875</v>
      </c>
      <c r="E44" s="72">
        <v>0</v>
      </c>
      <c r="F44" s="73">
        <v>124.15</v>
      </c>
      <c r="G44" s="72">
        <v>0</v>
      </c>
      <c r="H44" s="72">
        <v>0</v>
      </c>
      <c r="AH44">
        <v>719.11405883789052</v>
      </c>
      <c r="AI44">
        <v>1532</v>
      </c>
      <c r="AJ44">
        <v>4015.640869140625</v>
      </c>
    </row>
    <row r="45" spans="1:36" x14ac:dyDescent="0.25">
      <c r="A45" s="34">
        <f t="shared" si="1"/>
        <v>1</v>
      </c>
      <c r="B45" s="35">
        <v>41</v>
      </c>
      <c r="C45" s="36">
        <f t="shared" si="2"/>
        <v>3.4166666666666665</v>
      </c>
      <c r="D45" s="72">
        <v>5.8666666666666698</v>
      </c>
      <c r="E45" s="72">
        <v>0</v>
      </c>
      <c r="F45" s="73">
        <v>123.8</v>
      </c>
      <c r="G45" s="72">
        <v>0</v>
      </c>
      <c r="H45" s="72">
        <v>0</v>
      </c>
      <c r="AH45">
        <v>646.07906066894532</v>
      </c>
      <c r="AI45">
        <v>1532</v>
      </c>
      <c r="AJ45">
        <v>4679.1689453125</v>
      </c>
    </row>
    <row r="46" spans="1:36" x14ac:dyDescent="0.25">
      <c r="A46" s="34">
        <f t="shared" si="1"/>
        <v>1</v>
      </c>
      <c r="B46" s="35">
        <v>42</v>
      </c>
      <c r="C46" s="36">
        <f t="shared" si="2"/>
        <v>3.5</v>
      </c>
      <c r="D46" s="72">
        <v>5.8583333333333298</v>
      </c>
      <c r="E46" s="72">
        <v>0</v>
      </c>
      <c r="F46" s="73">
        <v>123.45</v>
      </c>
      <c r="G46" s="72">
        <v>0</v>
      </c>
      <c r="H46" s="72">
        <v>0</v>
      </c>
      <c r="AH46">
        <v>561.80786193847655</v>
      </c>
      <c r="AI46">
        <v>1532</v>
      </c>
      <c r="AJ46">
        <v>4274.158203125</v>
      </c>
    </row>
    <row r="47" spans="1:36" x14ac:dyDescent="0.25">
      <c r="A47" s="34">
        <f t="shared" si="1"/>
        <v>1</v>
      </c>
      <c r="B47" s="35">
        <v>43</v>
      </c>
      <c r="C47" s="36">
        <f t="shared" si="2"/>
        <v>3.583333333333333</v>
      </c>
      <c r="D47" s="72">
        <v>5.85</v>
      </c>
      <c r="E47" s="72">
        <v>0</v>
      </c>
      <c r="F47" s="73">
        <v>123.1</v>
      </c>
      <c r="G47" s="72">
        <v>0</v>
      </c>
      <c r="H47" s="72">
        <v>0</v>
      </c>
      <c r="AH47">
        <v>550.5717169189453</v>
      </c>
      <c r="AI47">
        <v>1532</v>
      </c>
      <c r="AJ47">
        <v>4162.13427734375</v>
      </c>
    </row>
    <row r="48" spans="1:36" x14ac:dyDescent="0.25">
      <c r="A48" s="34">
        <f t="shared" si="1"/>
        <v>1</v>
      </c>
      <c r="B48" s="35">
        <v>44</v>
      </c>
      <c r="C48" s="36">
        <f t="shared" si="2"/>
        <v>3.6666666666666665</v>
      </c>
      <c r="D48" s="72">
        <v>5.8416666666666703</v>
      </c>
      <c r="E48" s="72">
        <v>0</v>
      </c>
      <c r="F48" s="73">
        <v>122.75</v>
      </c>
      <c r="G48" s="72">
        <v>0</v>
      </c>
      <c r="H48" s="72">
        <v>0</v>
      </c>
      <c r="AH48">
        <v>483.15473571777346</v>
      </c>
      <c r="AI48">
        <v>1532</v>
      </c>
      <c r="AJ48">
        <v>4093.196044921875</v>
      </c>
    </row>
    <row r="49" spans="1:36" x14ac:dyDescent="0.25">
      <c r="A49" s="34">
        <f t="shared" si="1"/>
        <v>1</v>
      </c>
      <c r="B49" s="35">
        <v>45</v>
      </c>
      <c r="C49" s="36">
        <f t="shared" si="2"/>
        <v>3.75</v>
      </c>
      <c r="D49" s="72">
        <v>5.8333333333333304</v>
      </c>
      <c r="E49" s="72">
        <v>0</v>
      </c>
      <c r="F49" s="73">
        <v>122.4</v>
      </c>
      <c r="G49" s="72">
        <v>0</v>
      </c>
      <c r="H49" s="72">
        <v>0</v>
      </c>
      <c r="AH49">
        <v>421.35588256835933</v>
      </c>
      <c r="AI49">
        <v>747</v>
      </c>
      <c r="AJ49">
        <v>3989.788818359375</v>
      </c>
    </row>
    <row r="50" spans="1:36" x14ac:dyDescent="0.25">
      <c r="A50" s="34">
        <f t="shared" si="1"/>
        <v>1</v>
      </c>
      <c r="B50" s="35">
        <v>46</v>
      </c>
      <c r="C50" s="36">
        <f t="shared" si="2"/>
        <v>3.833333333333333</v>
      </c>
      <c r="D50" s="72">
        <v>5.8250000000000002</v>
      </c>
      <c r="E50" s="72">
        <v>0</v>
      </c>
      <c r="F50" s="73">
        <v>122.05</v>
      </c>
      <c r="G50" s="72">
        <v>0</v>
      </c>
      <c r="H50" s="72">
        <v>0</v>
      </c>
      <c r="AH50">
        <v>365.17510192871089</v>
      </c>
      <c r="AI50">
        <v>747</v>
      </c>
      <c r="AJ50">
        <v>3619.2470703125</v>
      </c>
    </row>
    <row r="51" spans="1:36" x14ac:dyDescent="0.25">
      <c r="A51" s="34">
        <f t="shared" si="1"/>
        <v>1</v>
      </c>
      <c r="B51" s="35">
        <v>47</v>
      </c>
      <c r="C51" s="36">
        <f t="shared" si="2"/>
        <v>3.9166666666666665</v>
      </c>
      <c r="D51" s="72">
        <v>5.81666666666667</v>
      </c>
      <c r="E51" s="72">
        <v>0</v>
      </c>
      <c r="F51" s="73">
        <v>121.7</v>
      </c>
      <c r="G51" s="72">
        <v>0</v>
      </c>
      <c r="H51" s="72">
        <v>0</v>
      </c>
      <c r="AH51">
        <v>365.17510192871089</v>
      </c>
      <c r="AI51">
        <v>747</v>
      </c>
      <c r="AJ51">
        <v>3515.83984375</v>
      </c>
    </row>
    <row r="52" spans="1:36" ht="15.75" thickBot="1" x14ac:dyDescent="0.3">
      <c r="A52" s="34">
        <f t="shared" si="1"/>
        <v>1</v>
      </c>
      <c r="B52" s="35">
        <v>48</v>
      </c>
      <c r="C52" s="36">
        <f t="shared" si="2"/>
        <v>4</v>
      </c>
      <c r="D52" s="74">
        <v>5.80833333333333</v>
      </c>
      <c r="E52" s="74">
        <v>0</v>
      </c>
      <c r="F52" s="75">
        <v>121.35</v>
      </c>
      <c r="G52" s="74">
        <v>0</v>
      </c>
      <c r="H52" s="74">
        <v>0</v>
      </c>
      <c r="AH52">
        <v>348.32088439941401</v>
      </c>
      <c r="AI52">
        <v>747</v>
      </c>
      <c r="AJ52">
        <v>2929.86669921875</v>
      </c>
    </row>
    <row r="53" spans="1:36" x14ac:dyDescent="0.25">
      <c r="A53" s="34">
        <f t="shared" ref="A53:A116" si="3">ROUNDUP(C53/24,0)</f>
        <v>1</v>
      </c>
      <c r="B53" s="35">
        <v>49</v>
      </c>
      <c r="C53" s="36">
        <f t="shared" ref="C53:C116" si="4">B53*$C$1</f>
        <v>4.083333333333333</v>
      </c>
      <c r="D53" s="70">
        <v>5.8</v>
      </c>
      <c r="E53" s="70">
        <v>0</v>
      </c>
      <c r="F53" s="71">
        <v>121</v>
      </c>
      <c r="G53" s="70">
        <v>0</v>
      </c>
      <c r="H53" s="70">
        <v>0</v>
      </c>
    </row>
    <row r="54" spans="1:36" x14ac:dyDescent="0.25">
      <c r="A54" s="34">
        <f t="shared" si="3"/>
        <v>1</v>
      </c>
      <c r="B54" s="35">
        <v>50</v>
      </c>
      <c r="C54" s="36">
        <f t="shared" si="4"/>
        <v>4.1666666666666661</v>
      </c>
      <c r="D54" s="72">
        <v>5.7249999999999996</v>
      </c>
      <c r="E54" s="72">
        <v>0</v>
      </c>
      <c r="F54" s="73">
        <v>121.7</v>
      </c>
      <c r="G54" s="72">
        <v>37.027500000000003</v>
      </c>
      <c r="H54" s="72">
        <v>0</v>
      </c>
    </row>
    <row r="55" spans="1:36" x14ac:dyDescent="0.25">
      <c r="A55" s="34">
        <f t="shared" si="3"/>
        <v>1</v>
      </c>
      <c r="B55" s="35">
        <v>51</v>
      </c>
      <c r="C55" s="36">
        <f t="shared" si="4"/>
        <v>4.25</v>
      </c>
      <c r="D55" s="72">
        <v>5.65</v>
      </c>
      <c r="E55" s="72">
        <v>0</v>
      </c>
      <c r="F55" s="73">
        <v>122.4</v>
      </c>
      <c r="G55" s="72">
        <v>74.055000000000007</v>
      </c>
      <c r="H55" s="72">
        <v>0</v>
      </c>
    </row>
    <row r="56" spans="1:36" x14ac:dyDescent="0.25">
      <c r="A56" s="34">
        <f t="shared" si="3"/>
        <v>1</v>
      </c>
      <c r="B56" s="35">
        <v>52</v>
      </c>
      <c r="C56" s="36">
        <f t="shared" si="4"/>
        <v>4.333333333333333</v>
      </c>
      <c r="D56" s="72">
        <v>5.5750000000000002</v>
      </c>
      <c r="E56" s="72">
        <v>0</v>
      </c>
      <c r="F56" s="73">
        <v>123.1</v>
      </c>
      <c r="G56" s="72">
        <v>111.0825</v>
      </c>
      <c r="H56" s="72">
        <v>0</v>
      </c>
    </row>
    <row r="57" spans="1:36" x14ac:dyDescent="0.25">
      <c r="A57" s="34">
        <f t="shared" si="3"/>
        <v>1</v>
      </c>
      <c r="B57" s="35">
        <v>53</v>
      </c>
      <c r="C57" s="36">
        <f t="shared" si="4"/>
        <v>4.4166666666666661</v>
      </c>
      <c r="D57" s="72">
        <v>5.5</v>
      </c>
      <c r="E57" s="72">
        <v>0</v>
      </c>
      <c r="F57" s="73">
        <v>123.8</v>
      </c>
      <c r="G57" s="72">
        <v>148.11000000000001</v>
      </c>
      <c r="H57" s="72">
        <v>0</v>
      </c>
    </row>
    <row r="58" spans="1:36" x14ac:dyDescent="0.25">
      <c r="A58" s="34">
        <f t="shared" si="3"/>
        <v>1</v>
      </c>
      <c r="B58" s="35">
        <v>54</v>
      </c>
      <c r="C58" s="36">
        <f t="shared" si="4"/>
        <v>4.5</v>
      </c>
      <c r="D58" s="72">
        <v>5.4249999999999998</v>
      </c>
      <c r="E58" s="72">
        <v>0</v>
      </c>
      <c r="F58" s="73">
        <v>124.5</v>
      </c>
      <c r="G58" s="72">
        <v>185.13749999999999</v>
      </c>
      <c r="H58" s="72">
        <v>0</v>
      </c>
    </row>
    <row r="59" spans="1:36" x14ac:dyDescent="0.25">
      <c r="A59" s="34">
        <f t="shared" si="3"/>
        <v>1</v>
      </c>
      <c r="B59" s="35">
        <v>55</v>
      </c>
      <c r="C59" s="36">
        <f t="shared" si="4"/>
        <v>4.583333333333333</v>
      </c>
      <c r="D59" s="72">
        <v>5.35</v>
      </c>
      <c r="E59" s="72">
        <v>0</v>
      </c>
      <c r="F59" s="73">
        <v>125.2</v>
      </c>
      <c r="G59" s="72">
        <v>222.16499999999999</v>
      </c>
      <c r="H59" s="72">
        <v>0</v>
      </c>
    </row>
    <row r="60" spans="1:36" x14ac:dyDescent="0.25">
      <c r="A60" s="34">
        <f t="shared" si="3"/>
        <v>1</v>
      </c>
      <c r="B60" s="35">
        <v>56</v>
      </c>
      <c r="C60" s="36">
        <f t="shared" si="4"/>
        <v>4.6666666666666661</v>
      </c>
      <c r="D60" s="72">
        <v>5.2750000000000004</v>
      </c>
      <c r="E60" s="72">
        <v>0</v>
      </c>
      <c r="F60" s="73">
        <v>125.9</v>
      </c>
      <c r="G60" s="72">
        <v>259.1925</v>
      </c>
      <c r="H60" s="72">
        <v>0</v>
      </c>
    </row>
    <row r="61" spans="1:36" x14ac:dyDescent="0.25">
      <c r="A61" s="34">
        <f t="shared" si="3"/>
        <v>1</v>
      </c>
      <c r="B61" s="35">
        <v>57</v>
      </c>
      <c r="C61" s="36">
        <f t="shared" si="4"/>
        <v>4.75</v>
      </c>
      <c r="D61" s="72">
        <v>5.2</v>
      </c>
      <c r="E61" s="72">
        <v>0</v>
      </c>
      <c r="F61" s="73">
        <v>126.6</v>
      </c>
      <c r="G61" s="72">
        <v>296.22000000000003</v>
      </c>
      <c r="H61" s="72">
        <v>0</v>
      </c>
    </row>
    <row r="62" spans="1:36" x14ac:dyDescent="0.25">
      <c r="A62" s="34">
        <f t="shared" si="3"/>
        <v>1</v>
      </c>
      <c r="B62" s="35">
        <v>58</v>
      </c>
      <c r="C62" s="36">
        <f t="shared" si="4"/>
        <v>4.833333333333333</v>
      </c>
      <c r="D62" s="72">
        <v>5.125</v>
      </c>
      <c r="E62" s="72">
        <v>0</v>
      </c>
      <c r="F62" s="73">
        <v>127.3</v>
      </c>
      <c r="G62" s="72">
        <v>333.2475</v>
      </c>
      <c r="H62" s="72">
        <v>0</v>
      </c>
    </row>
    <row r="63" spans="1:36" x14ac:dyDescent="0.25">
      <c r="A63" s="34">
        <f t="shared" si="3"/>
        <v>1</v>
      </c>
      <c r="B63" s="35">
        <v>59</v>
      </c>
      <c r="C63" s="36">
        <f t="shared" si="4"/>
        <v>4.9166666666666661</v>
      </c>
      <c r="D63" s="72">
        <v>5.05</v>
      </c>
      <c r="E63" s="72">
        <v>0</v>
      </c>
      <c r="F63" s="73">
        <v>128</v>
      </c>
      <c r="G63" s="72">
        <v>370.27499999999998</v>
      </c>
      <c r="H63" s="72">
        <v>0</v>
      </c>
    </row>
    <row r="64" spans="1:36" x14ac:dyDescent="0.25">
      <c r="A64" s="34">
        <f t="shared" si="3"/>
        <v>1</v>
      </c>
      <c r="B64" s="35">
        <v>60</v>
      </c>
      <c r="C64" s="36">
        <f t="shared" si="4"/>
        <v>5</v>
      </c>
      <c r="D64" s="72">
        <v>4.9749999999999996</v>
      </c>
      <c r="E64" s="72">
        <v>0</v>
      </c>
      <c r="F64" s="73">
        <v>128.69999999999999</v>
      </c>
      <c r="G64" s="72">
        <v>407.30250000000001</v>
      </c>
      <c r="H64" s="72">
        <v>0</v>
      </c>
    </row>
    <row r="65" spans="1:8" x14ac:dyDescent="0.25">
      <c r="A65" s="34">
        <f t="shared" si="3"/>
        <v>1</v>
      </c>
      <c r="B65" s="35">
        <v>61</v>
      </c>
      <c r="C65" s="36">
        <f t="shared" si="4"/>
        <v>5.083333333333333</v>
      </c>
      <c r="D65" s="72">
        <v>4.9000000000000004</v>
      </c>
      <c r="E65" s="72">
        <v>0</v>
      </c>
      <c r="F65" s="73">
        <v>129.4</v>
      </c>
      <c r="G65" s="72">
        <v>444.33</v>
      </c>
      <c r="H65" s="72">
        <v>0</v>
      </c>
    </row>
    <row r="66" spans="1:8" x14ac:dyDescent="0.25">
      <c r="A66" s="34">
        <f t="shared" si="3"/>
        <v>1</v>
      </c>
      <c r="B66" s="35">
        <v>62</v>
      </c>
      <c r="C66" s="36">
        <f t="shared" si="4"/>
        <v>5.1666666666666661</v>
      </c>
      <c r="D66" s="72">
        <v>4.8666666666666698</v>
      </c>
      <c r="E66" s="72">
        <v>0</v>
      </c>
      <c r="F66" s="73">
        <v>144.86666666666699</v>
      </c>
      <c r="G66" s="72">
        <v>605.80833333333305</v>
      </c>
      <c r="H66" s="72">
        <v>22.6666666666667</v>
      </c>
    </row>
    <row r="67" spans="1:8" x14ac:dyDescent="0.25">
      <c r="A67" s="34">
        <f t="shared" si="3"/>
        <v>1</v>
      </c>
      <c r="B67" s="35">
        <v>63</v>
      </c>
      <c r="C67" s="36">
        <f t="shared" si="4"/>
        <v>5.25</v>
      </c>
      <c r="D67" s="72">
        <v>4.8333333333333304</v>
      </c>
      <c r="E67" s="72">
        <v>0</v>
      </c>
      <c r="F67" s="73">
        <v>160.333333333333</v>
      </c>
      <c r="G67" s="72">
        <v>767.28666666666697</v>
      </c>
      <c r="H67" s="72">
        <v>45.3333333333333</v>
      </c>
    </row>
    <row r="68" spans="1:8" x14ac:dyDescent="0.25">
      <c r="A68" s="34">
        <f t="shared" si="3"/>
        <v>1</v>
      </c>
      <c r="B68" s="35">
        <v>64</v>
      </c>
      <c r="C68" s="36">
        <f t="shared" si="4"/>
        <v>5.333333333333333</v>
      </c>
      <c r="D68" s="72">
        <v>4.8</v>
      </c>
      <c r="E68" s="72">
        <v>0</v>
      </c>
      <c r="F68" s="73">
        <v>175.8</v>
      </c>
      <c r="G68" s="72">
        <v>928.76499999999999</v>
      </c>
      <c r="H68" s="72">
        <v>68</v>
      </c>
    </row>
    <row r="69" spans="1:8" x14ac:dyDescent="0.25">
      <c r="A69" s="34">
        <f t="shared" si="3"/>
        <v>1</v>
      </c>
      <c r="B69" s="35">
        <v>65</v>
      </c>
      <c r="C69" s="36">
        <f t="shared" si="4"/>
        <v>5.4166666666666661</v>
      </c>
      <c r="D69" s="72">
        <v>4.7666666666666702</v>
      </c>
      <c r="E69" s="72">
        <v>0</v>
      </c>
      <c r="F69" s="73">
        <v>191.26666666666699</v>
      </c>
      <c r="G69" s="72">
        <v>1090.2433333333299</v>
      </c>
      <c r="H69" s="72">
        <v>90.6666666666667</v>
      </c>
    </row>
    <row r="70" spans="1:8" x14ac:dyDescent="0.25">
      <c r="A70" s="34">
        <f t="shared" si="3"/>
        <v>1</v>
      </c>
      <c r="B70" s="35">
        <v>66</v>
      </c>
      <c r="C70" s="36">
        <f t="shared" si="4"/>
        <v>5.5</v>
      </c>
      <c r="D70" s="72">
        <v>4.7333333333333298</v>
      </c>
      <c r="E70" s="72">
        <v>0</v>
      </c>
      <c r="F70" s="73">
        <v>206.73333333333301</v>
      </c>
      <c r="G70" s="72">
        <v>1251.72166666667</v>
      </c>
      <c r="H70" s="72">
        <v>113.333333333333</v>
      </c>
    </row>
    <row r="71" spans="1:8" x14ac:dyDescent="0.25">
      <c r="A71" s="34">
        <f t="shared" si="3"/>
        <v>1</v>
      </c>
      <c r="B71" s="35">
        <v>67</v>
      </c>
      <c r="C71" s="36">
        <f t="shared" si="4"/>
        <v>5.583333333333333</v>
      </c>
      <c r="D71" s="72">
        <v>4.7</v>
      </c>
      <c r="E71" s="72">
        <v>0</v>
      </c>
      <c r="F71" s="73">
        <v>222.2</v>
      </c>
      <c r="G71" s="72">
        <v>1413.2</v>
      </c>
      <c r="H71" s="72">
        <v>136</v>
      </c>
    </row>
    <row r="72" spans="1:8" x14ac:dyDescent="0.25">
      <c r="A72" s="34">
        <f t="shared" si="3"/>
        <v>1</v>
      </c>
      <c r="B72" s="35">
        <v>68</v>
      </c>
      <c r="C72" s="36">
        <f t="shared" si="4"/>
        <v>5.6666666666666661</v>
      </c>
      <c r="D72" s="72">
        <v>4.6666666666666696</v>
      </c>
      <c r="E72" s="72">
        <v>0</v>
      </c>
      <c r="F72" s="73">
        <v>237.666666666667</v>
      </c>
      <c r="G72" s="72">
        <v>1574.6783333333301</v>
      </c>
      <c r="H72" s="72">
        <v>158.666666666667</v>
      </c>
    </row>
    <row r="73" spans="1:8" x14ac:dyDescent="0.25">
      <c r="A73" s="34">
        <f t="shared" si="3"/>
        <v>1</v>
      </c>
      <c r="B73" s="35">
        <v>69</v>
      </c>
      <c r="C73" s="36">
        <f t="shared" si="4"/>
        <v>5.75</v>
      </c>
      <c r="D73" s="72">
        <v>4.6333333333333302</v>
      </c>
      <c r="E73" s="72">
        <v>0</v>
      </c>
      <c r="F73" s="73">
        <v>253.13333333333301</v>
      </c>
      <c r="G73" s="72">
        <v>1736.1566666666699</v>
      </c>
      <c r="H73" s="72">
        <v>181.333333333333</v>
      </c>
    </row>
    <row r="74" spans="1:8" x14ac:dyDescent="0.25">
      <c r="A74" s="34">
        <f t="shared" si="3"/>
        <v>1</v>
      </c>
      <c r="B74" s="35">
        <v>70</v>
      </c>
      <c r="C74" s="36">
        <f t="shared" si="4"/>
        <v>5.833333333333333</v>
      </c>
      <c r="D74" s="72">
        <v>4.5999999999999996</v>
      </c>
      <c r="E74" s="72">
        <v>0</v>
      </c>
      <c r="F74" s="73">
        <v>268.60000000000002</v>
      </c>
      <c r="G74" s="72">
        <v>1897.635</v>
      </c>
      <c r="H74" s="72">
        <v>204</v>
      </c>
    </row>
    <row r="75" spans="1:8" x14ac:dyDescent="0.25">
      <c r="A75" s="34">
        <f t="shared" si="3"/>
        <v>1</v>
      </c>
      <c r="B75" s="35">
        <v>71</v>
      </c>
      <c r="C75" s="36">
        <f t="shared" si="4"/>
        <v>5.9166666666666661</v>
      </c>
      <c r="D75" s="72">
        <v>4.56666666666667</v>
      </c>
      <c r="E75" s="72">
        <v>0</v>
      </c>
      <c r="F75" s="73">
        <v>284.066666666667</v>
      </c>
      <c r="G75" s="72">
        <v>2059.11333333333</v>
      </c>
      <c r="H75" s="72">
        <v>226.666666666667</v>
      </c>
    </row>
    <row r="76" spans="1:8" ht="15.75" thickBot="1" x14ac:dyDescent="0.3">
      <c r="A76" s="34">
        <f t="shared" si="3"/>
        <v>1</v>
      </c>
      <c r="B76" s="35">
        <v>72</v>
      </c>
      <c r="C76" s="36">
        <f t="shared" si="4"/>
        <v>6</v>
      </c>
      <c r="D76" s="74">
        <v>4.5333333333333297</v>
      </c>
      <c r="E76" s="74">
        <v>0</v>
      </c>
      <c r="F76" s="75">
        <v>299.53333333333302</v>
      </c>
      <c r="G76" s="74">
        <v>2220.5916666666699</v>
      </c>
      <c r="H76" s="74">
        <v>249.333333333333</v>
      </c>
    </row>
    <row r="77" spans="1:8" x14ac:dyDescent="0.25">
      <c r="A77" s="34">
        <f t="shared" si="3"/>
        <v>1</v>
      </c>
      <c r="B77" s="35">
        <v>73</v>
      </c>
      <c r="C77" s="36">
        <f t="shared" si="4"/>
        <v>6.083333333333333</v>
      </c>
      <c r="D77" s="70">
        <v>4.5</v>
      </c>
      <c r="E77" s="70">
        <v>0</v>
      </c>
      <c r="F77" s="71">
        <v>315</v>
      </c>
      <c r="G77" s="70">
        <v>2382.0700000000002</v>
      </c>
      <c r="H77" s="70">
        <v>272</v>
      </c>
    </row>
    <row r="78" spans="1:8" x14ac:dyDescent="0.25">
      <c r="A78" s="34">
        <f t="shared" si="3"/>
        <v>1</v>
      </c>
      <c r="B78" s="35">
        <v>74</v>
      </c>
      <c r="C78" s="36">
        <f t="shared" si="4"/>
        <v>6.1666666666666661</v>
      </c>
      <c r="D78" s="72">
        <v>4.45</v>
      </c>
      <c r="E78" s="72">
        <v>0</v>
      </c>
      <c r="F78" s="73">
        <v>325.32499999999999</v>
      </c>
      <c r="G78" s="72">
        <v>2425.3000000000002</v>
      </c>
      <c r="H78" s="72">
        <v>294.65833333333302</v>
      </c>
    </row>
    <row r="79" spans="1:8" x14ac:dyDescent="0.25">
      <c r="A79" s="34">
        <f t="shared" si="3"/>
        <v>1</v>
      </c>
      <c r="B79" s="35">
        <v>75</v>
      </c>
      <c r="C79" s="36">
        <f t="shared" si="4"/>
        <v>6.25</v>
      </c>
      <c r="D79" s="72">
        <v>4.4000000000000004</v>
      </c>
      <c r="E79" s="72">
        <v>0</v>
      </c>
      <c r="F79" s="73">
        <v>335.65</v>
      </c>
      <c r="G79" s="72">
        <v>2468.5300000000002</v>
      </c>
      <c r="H79" s="72">
        <v>317.316666666667</v>
      </c>
    </row>
    <row r="80" spans="1:8" x14ac:dyDescent="0.25">
      <c r="A80" s="34">
        <f t="shared" si="3"/>
        <v>1</v>
      </c>
      <c r="B80" s="35">
        <v>76</v>
      </c>
      <c r="C80" s="36">
        <f t="shared" si="4"/>
        <v>6.333333333333333</v>
      </c>
      <c r="D80" s="72">
        <v>4.3499999999999996</v>
      </c>
      <c r="E80" s="72">
        <v>0</v>
      </c>
      <c r="F80" s="73">
        <v>345.97500000000002</v>
      </c>
      <c r="G80" s="72">
        <v>2511.7600000000002</v>
      </c>
      <c r="H80" s="72">
        <v>339.97500000000002</v>
      </c>
    </row>
    <row r="81" spans="1:8" x14ac:dyDescent="0.25">
      <c r="A81" s="34">
        <f t="shared" si="3"/>
        <v>1</v>
      </c>
      <c r="B81" s="35">
        <v>77</v>
      </c>
      <c r="C81" s="36">
        <f t="shared" si="4"/>
        <v>6.4166666666666661</v>
      </c>
      <c r="D81" s="72">
        <v>4.3</v>
      </c>
      <c r="E81" s="72">
        <v>0</v>
      </c>
      <c r="F81" s="73">
        <v>356.3</v>
      </c>
      <c r="G81" s="72">
        <v>2554.9899999999998</v>
      </c>
      <c r="H81" s="72">
        <v>362.63333333333298</v>
      </c>
    </row>
    <row r="82" spans="1:8" x14ac:dyDescent="0.25">
      <c r="A82" s="34">
        <f t="shared" si="3"/>
        <v>1</v>
      </c>
      <c r="B82" s="35">
        <v>78</v>
      </c>
      <c r="C82" s="36">
        <f t="shared" si="4"/>
        <v>6.5</v>
      </c>
      <c r="D82" s="72">
        <v>4.25</v>
      </c>
      <c r="E82" s="72">
        <v>0</v>
      </c>
      <c r="F82" s="73">
        <v>366.625</v>
      </c>
      <c r="G82" s="72">
        <v>2598.2199999999998</v>
      </c>
      <c r="H82" s="72">
        <v>385.29166666666703</v>
      </c>
    </row>
    <row r="83" spans="1:8" x14ac:dyDescent="0.25">
      <c r="A83" s="34">
        <f t="shared" si="3"/>
        <v>1</v>
      </c>
      <c r="B83" s="35">
        <v>79</v>
      </c>
      <c r="C83" s="36">
        <f t="shared" si="4"/>
        <v>6.583333333333333</v>
      </c>
      <c r="D83" s="72">
        <v>4.2</v>
      </c>
      <c r="E83" s="72">
        <v>0</v>
      </c>
      <c r="F83" s="73">
        <v>376.95</v>
      </c>
      <c r="G83" s="72">
        <v>2641.45</v>
      </c>
      <c r="H83" s="72">
        <v>407.95</v>
      </c>
    </row>
    <row r="84" spans="1:8" x14ac:dyDescent="0.25">
      <c r="A84" s="34">
        <f t="shared" si="3"/>
        <v>1</v>
      </c>
      <c r="B84" s="35">
        <v>80</v>
      </c>
      <c r="C84" s="36">
        <f t="shared" si="4"/>
        <v>6.6666666666666661</v>
      </c>
      <c r="D84" s="72">
        <v>4.1500000000000004</v>
      </c>
      <c r="E84" s="72">
        <v>0</v>
      </c>
      <c r="F84" s="73">
        <v>387.27499999999998</v>
      </c>
      <c r="G84" s="72">
        <v>2684.68</v>
      </c>
      <c r="H84" s="72">
        <v>430.60833333333301</v>
      </c>
    </row>
    <row r="85" spans="1:8" x14ac:dyDescent="0.25">
      <c r="A85" s="34">
        <f t="shared" si="3"/>
        <v>1</v>
      </c>
      <c r="B85" s="35">
        <v>81</v>
      </c>
      <c r="C85" s="36">
        <f t="shared" si="4"/>
        <v>6.75</v>
      </c>
      <c r="D85" s="72">
        <v>4.0999999999999996</v>
      </c>
      <c r="E85" s="72">
        <v>0</v>
      </c>
      <c r="F85" s="73">
        <v>397.6</v>
      </c>
      <c r="G85" s="72">
        <v>2727.91</v>
      </c>
      <c r="H85" s="72">
        <v>453.26666666666699</v>
      </c>
    </row>
    <row r="86" spans="1:8" x14ac:dyDescent="0.25">
      <c r="A86" s="34">
        <f t="shared" si="3"/>
        <v>1</v>
      </c>
      <c r="B86" s="35">
        <v>82</v>
      </c>
      <c r="C86" s="36">
        <f t="shared" si="4"/>
        <v>6.833333333333333</v>
      </c>
      <c r="D86" s="72">
        <v>4.05</v>
      </c>
      <c r="E86" s="72">
        <v>0</v>
      </c>
      <c r="F86" s="73">
        <v>407.92500000000001</v>
      </c>
      <c r="G86" s="72">
        <v>2771.14</v>
      </c>
      <c r="H86" s="72">
        <v>475.92500000000001</v>
      </c>
    </row>
    <row r="87" spans="1:8" x14ac:dyDescent="0.25">
      <c r="A87" s="34">
        <f t="shared" si="3"/>
        <v>1</v>
      </c>
      <c r="B87" s="35">
        <v>83</v>
      </c>
      <c r="C87" s="36">
        <f t="shared" si="4"/>
        <v>6.9166666666666661</v>
      </c>
      <c r="D87" s="72">
        <v>4</v>
      </c>
      <c r="E87" s="72">
        <v>0</v>
      </c>
      <c r="F87" s="73">
        <v>418.25</v>
      </c>
      <c r="G87" s="72">
        <v>2814.37</v>
      </c>
      <c r="H87" s="72">
        <v>498.58333333333297</v>
      </c>
    </row>
    <row r="88" spans="1:8" x14ac:dyDescent="0.25">
      <c r="A88" s="34">
        <f t="shared" si="3"/>
        <v>1</v>
      </c>
      <c r="B88" s="35">
        <v>84</v>
      </c>
      <c r="C88" s="36">
        <f t="shared" si="4"/>
        <v>7</v>
      </c>
      <c r="D88" s="72">
        <v>3.95</v>
      </c>
      <c r="E88" s="72">
        <v>0</v>
      </c>
      <c r="F88" s="73">
        <v>428.57499999999999</v>
      </c>
      <c r="G88" s="72">
        <v>2857.6</v>
      </c>
      <c r="H88" s="72">
        <v>521.24166666666702</v>
      </c>
    </row>
    <row r="89" spans="1:8" x14ac:dyDescent="0.25">
      <c r="A89" s="34">
        <f t="shared" si="3"/>
        <v>1</v>
      </c>
      <c r="B89" s="35">
        <v>85</v>
      </c>
      <c r="C89" s="36">
        <f t="shared" si="4"/>
        <v>7.083333333333333</v>
      </c>
      <c r="D89" s="72">
        <v>3.9</v>
      </c>
      <c r="E89" s="72">
        <v>0</v>
      </c>
      <c r="F89" s="73">
        <v>438.9</v>
      </c>
      <c r="G89" s="72">
        <v>2900.83</v>
      </c>
      <c r="H89" s="72">
        <v>543.9</v>
      </c>
    </row>
    <row r="90" spans="1:8" x14ac:dyDescent="0.25">
      <c r="A90" s="34">
        <f t="shared" si="3"/>
        <v>1</v>
      </c>
      <c r="B90" s="35">
        <v>86</v>
      </c>
      <c r="C90" s="36">
        <f t="shared" si="4"/>
        <v>7.1666666666666661</v>
      </c>
      <c r="D90" s="72">
        <v>3.9083333333333301</v>
      </c>
      <c r="E90" s="72">
        <v>9.83333333333333E-2</v>
      </c>
      <c r="F90" s="73">
        <v>432.95</v>
      </c>
      <c r="G90" s="72">
        <v>2761.7766666666698</v>
      </c>
      <c r="H90" s="72">
        <v>611.89166666666699</v>
      </c>
    </row>
    <row r="91" spans="1:8" x14ac:dyDescent="0.25">
      <c r="A91" s="34">
        <f t="shared" si="3"/>
        <v>1</v>
      </c>
      <c r="B91" s="35">
        <v>87</v>
      </c>
      <c r="C91" s="36">
        <f t="shared" si="4"/>
        <v>7.25</v>
      </c>
      <c r="D91" s="72">
        <v>3.9166666666666701</v>
      </c>
      <c r="E91" s="72">
        <v>0.19666666666666699</v>
      </c>
      <c r="F91" s="73">
        <v>427</v>
      </c>
      <c r="G91" s="72">
        <v>2622.7233333333302</v>
      </c>
      <c r="H91" s="72">
        <v>679.88333333333298</v>
      </c>
    </row>
    <row r="92" spans="1:8" x14ac:dyDescent="0.25">
      <c r="A92" s="34">
        <f t="shared" si="3"/>
        <v>1</v>
      </c>
      <c r="B92" s="35">
        <v>88</v>
      </c>
      <c r="C92" s="36">
        <f t="shared" si="4"/>
        <v>7.333333333333333</v>
      </c>
      <c r="D92" s="72">
        <v>3.9249999999999998</v>
      </c>
      <c r="E92" s="72">
        <v>0.29499999999999998</v>
      </c>
      <c r="F92" s="73">
        <v>421.05</v>
      </c>
      <c r="G92" s="72">
        <v>2483.67</v>
      </c>
      <c r="H92" s="72">
        <v>747.875</v>
      </c>
    </row>
    <row r="93" spans="1:8" x14ac:dyDescent="0.25">
      <c r="A93" s="34">
        <f t="shared" si="3"/>
        <v>1</v>
      </c>
      <c r="B93" s="35">
        <v>89</v>
      </c>
      <c r="C93" s="36">
        <f t="shared" si="4"/>
        <v>7.4166666666666661</v>
      </c>
      <c r="D93" s="72">
        <v>3.93333333333333</v>
      </c>
      <c r="E93" s="72">
        <v>0.39333333333333298</v>
      </c>
      <c r="F93" s="73">
        <v>415.1</v>
      </c>
      <c r="G93" s="72">
        <v>2344.61666666667</v>
      </c>
      <c r="H93" s="72">
        <v>815.86666666666702</v>
      </c>
    </row>
    <row r="94" spans="1:8" x14ac:dyDescent="0.25">
      <c r="A94" s="34">
        <f t="shared" si="3"/>
        <v>1</v>
      </c>
      <c r="B94" s="35">
        <v>90</v>
      </c>
      <c r="C94" s="36">
        <f t="shared" si="4"/>
        <v>7.5</v>
      </c>
      <c r="D94" s="72">
        <v>3.94166666666667</v>
      </c>
      <c r="E94" s="72">
        <v>0.49166666666666697</v>
      </c>
      <c r="F94" s="73">
        <v>409.15</v>
      </c>
      <c r="G94" s="72">
        <v>2205.5633333333299</v>
      </c>
      <c r="H94" s="72">
        <v>883.85833333333301</v>
      </c>
    </row>
    <row r="95" spans="1:8" x14ac:dyDescent="0.25">
      <c r="A95" s="34">
        <f t="shared" si="3"/>
        <v>1</v>
      </c>
      <c r="B95" s="35">
        <v>91</v>
      </c>
      <c r="C95" s="36">
        <f t="shared" si="4"/>
        <v>7.583333333333333</v>
      </c>
      <c r="D95" s="72">
        <v>3.95</v>
      </c>
      <c r="E95" s="72">
        <v>0.59</v>
      </c>
      <c r="F95" s="73">
        <v>403.2</v>
      </c>
      <c r="G95" s="72">
        <v>2066.5100000000002</v>
      </c>
      <c r="H95" s="72">
        <v>951.85</v>
      </c>
    </row>
    <row r="96" spans="1:8" x14ac:dyDescent="0.25">
      <c r="A96" s="34">
        <f t="shared" si="3"/>
        <v>1</v>
      </c>
      <c r="B96" s="35">
        <v>92</v>
      </c>
      <c r="C96" s="36">
        <f t="shared" si="4"/>
        <v>7.6666666666666661</v>
      </c>
      <c r="D96" s="72">
        <v>3.9583333333333299</v>
      </c>
      <c r="E96" s="72">
        <v>0.68833333333333302</v>
      </c>
      <c r="F96" s="73">
        <v>397.25</v>
      </c>
      <c r="G96" s="72">
        <v>1927.4566666666699</v>
      </c>
      <c r="H96" s="72">
        <v>1019.84166666667</v>
      </c>
    </row>
    <row r="97" spans="1:8" x14ac:dyDescent="0.25">
      <c r="A97" s="34">
        <f t="shared" si="3"/>
        <v>1</v>
      </c>
      <c r="B97" s="35">
        <v>93</v>
      </c>
      <c r="C97" s="36">
        <f t="shared" si="4"/>
        <v>7.75</v>
      </c>
      <c r="D97" s="72">
        <v>3.9666666666666699</v>
      </c>
      <c r="E97" s="72">
        <v>0.78666666666666696</v>
      </c>
      <c r="F97" s="73">
        <v>391.3</v>
      </c>
      <c r="G97" s="72">
        <v>1788.40333333333</v>
      </c>
      <c r="H97" s="72">
        <v>1087.8333333333301</v>
      </c>
    </row>
    <row r="98" spans="1:8" x14ac:dyDescent="0.25">
      <c r="A98" s="34">
        <f t="shared" si="3"/>
        <v>1</v>
      </c>
      <c r="B98" s="35">
        <v>94</v>
      </c>
      <c r="C98" s="36">
        <f t="shared" si="4"/>
        <v>7.833333333333333</v>
      </c>
      <c r="D98" s="72">
        <v>3.9750000000000001</v>
      </c>
      <c r="E98" s="72">
        <v>0.88500000000000001</v>
      </c>
      <c r="F98" s="73">
        <v>385.35</v>
      </c>
      <c r="G98" s="72">
        <v>1649.35</v>
      </c>
      <c r="H98" s="72">
        <v>1155.825</v>
      </c>
    </row>
    <row r="99" spans="1:8" x14ac:dyDescent="0.25">
      <c r="A99" s="34">
        <f t="shared" si="3"/>
        <v>1</v>
      </c>
      <c r="B99" s="35">
        <v>95</v>
      </c>
      <c r="C99" s="36">
        <f t="shared" si="4"/>
        <v>7.9166666666666661</v>
      </c>
      <c r="D99" s="72">
        <v>3.9833333333333298</v>
      </c>
      <c r="E99" s="72">
        <v>0.98333333333333295</v>
      </c>
      <c r="F99" s="73">
        <v>379.4</v>
      </c>
      <c r="G99" s="72">
        <v>1510.29666666667</v>
      </c>
      <c r="H99" s="72">
        <v>1223.81666666667</v>
      </c>
    </row>
    <row r="100" spans="1:8" ht="15.75" thickBot="1" x14ac:dyDescent="0.3">
      <c r="A100" s="34">
        <f t="shared" si="3"/>
        <v>1</v>
      </c>
      <c r="B100" s="35">
        <v>96</v>
      </c>
      <c r="C100" s="36">
        <f t="shared" si="4"/>
        <v>8</v>
      </c>
      <c r="D100" s="74">
        <v>3.9916666666666698</v>
      </c>
      <c r="E100" s="74">
        <v>1.0816666666666701</v>
      </c>
      <c r="F100" s="75">
        <v>373.45</v>
      </c>
      <c r="G100" s="74">
        <v>1371.2433333333299</v>
      </c>
      <c r="H100" s="74">
        <v>1291.80833333333</v>
      </c>
    </row>
    <row r="101" spans="1:8" x14ac:dyDescent="0.25">
      <c r="A101" s="34">
        <f t="shared" si="3"/>
        <v>1</v>
      </c>
      <c r="B101" s="35">
        <v>97</v>
      </c>
      <c r="C101" s="36">
        <f t="shared" si="4"/>
        <v>8.0833333333333321</v>
      </c>
      <c r="D101" s="70">
        <v>4</v>
      </c>
      <c r="E101" s="70">
        <v>1.18</v>
      </c>
      <c r="F101" s="71">
        <v>367.5</v>
      </c>
      <c r="G101" s="70">
        <v>1232.19</v>
      </c>
      <c r="H101" s="70">
        <v>1359.8</v>
      </c>
    </row>
    <row r="102" spans="1:8" x14ac:dyDescent="0.25">
      <c r="A102" s="34">
        <f t="shared" si="3"/>
        <v>1</v>
      </c>
      <c r="B102" s="35">
        <v>98</v>
      </c>
      <c r="C102" s="36">
        <f t="shared" si="4"/>
        <v>8.1666666666666661</v>
      </c>
      <c r="D102" s="72">
        <v>4</v>
      </c>
      <c r="E102" s="72">
        <v>1.5816666666666701</v>
      </c>
      <c r="F102" s="73">
        <v>349.15</v>
      </c>
      <c r="G102" s="72">
        <v>1225.1258333333301</v>
      </c>
      <c r="H102" s="72">
        <v>1291.80833333333</v>
      </c>
    </row>
    <row r="103" spans="1:8" x14ac:dyDescent="0.25">
      <c r="A103" s="34">
        <f t="shared" si="3"/>
        <v>1</v>
      </c>
      <c r="B103" s="35">
        <v>99</v>
      </c>
      <c r="C103" s="36">
        <f t="shared" si="4"/>
        <v>8.25</v>
      </c>
      <c r="D103" s="72">
        <v>4</v>
      </c>
      <c r="E103" s="72">
        <v>1.9833333333333301</v>
      </c>
      <c r="F103" s="73">
        <v>330.8</v>
      </c>
      <c r="G103" s="72">
        <v>1218.0616666666699</v>
      </c>
      <c r="H103" s="72">
        <v>1223.81666666667</v>
      </c>
    </row>
    <row r="104" spans="1:8" x14ac:dyDescent="0.25">
      <c r="A104" s="34">
        <f t="shared" si="3"/>
        <v>1</v>
      </c>
      <c r="B104" s="35">
        <v>100</v>
      </c>
      <c r="C104" s="36">
        <f t="shared" si="4"/>
        <v>8.3333333333333321</v>
      </c>
      <c r="D104" s="72">
        <v>4</v>
      </c>
      <c r="E104" s="72">
        <v>2.3849999999999998</v>
      </c>
      <c r="F104" s="73">
        <v>312.45</v>
      </c>
      <c r="G104" s="72">
        <v>1210.9974999999999</v>
      </c>
      <c r="H104" s="72">
        <v>1155.825</v>
      </c>
    </row>
    <row r="105" spans="1:8" x14ac:dyDescent="0.25">
      <c r="A105" s="34">
        <f t="shared" si="3"/>
        <v>1</v>
      </c>
      <c r="B105" s="35">
        <v>101</v>
      </c>
      <c r="C105" s="36">
        <f t="shared" si="4"/>
        <v>8.4166666666666661</v>
      </c>
      <c r="D105" s="72">
        <v>4</v>
      </c>
      <c r="E105" s="72">
        <v>2.7866666666666702</v>
      </c>
      <c r="F105" s="73">
        <v>294.10000000000002</v>
      </c>
      <c r="G105" s="72">
        <v>1203.93333333333</v>
      </c>
      <c r="H105" s="72">
        <v>1087.8333333333301</v>
      </c>
    </row>
    <row r="106" spans="1:8" x14ac:dyDescent="0.25">
      <c r="A106" s="34">
        <f t="shared" si="3"/>
        <v>1</v>
      </c>
      <c r="B106" s="35">
        <v>102</v>
      </c>
      <c r="C106" s="36">
        <f t="shared" si="4"/>
        <v>8.5</v>
      </c>
      <c r="D106" s="72">
        <v>4</v>
      </c>
      <c r="E106" s="72">
        <v>3.1883333333333299</v>
      </c>
      <c r="F106" s="73">
        <v>275.75</v>
      </c>
      <c r="G106" s="72">
        <v>1196.86916666667</v>
      </c>
      <c r="H106" s="72">
        <v>1019.84166666667</v>
      </c>
    </row>
    <row r="107" spans="1:8" x14ac:dyDescent="0.25">
      <c r="A107" s="34">
        <f t="shared" si="3"/>
        <v>1</v>
      </c>
      <c r="B107" s="35">
        <v>103</v>
      </c>
      <c r="C107" s="36">
        <f t="shared" si="4"/>
        <v>8.5833333333333321</v>
      </c>
      <c r="D107" s="72">
        <v>4</v>
      </c>
      <c r="E107" s="72">
        <v>3.59</v>
      </c>
      <c r="F107" s="73">
        <v>257.39999999999998</v>
      </c>
      <c r="G107" s="72">
        <v>1189.8050000000001</v>
      </c>
      <c r="H107" s="72">
        <v>951.85</v>
      </c>
    </row>
    <row r="108" spans="1:8" x14ac:dyDescent="0.25">
      <c r="A108" s="34">
        <f t="shared" si="3"/>
        <v>1</v>
      </c>
      <c r="B108" s="35">
        <v>104</v>
      </c>
      <c r="C108" s="36">
        <f t="shared" si="4"/>
        <v>8.6666666666666661</v>
      </c>
      <c r="D108" s="72">
        <v>4</v>
      </c>
      <c r="E108" s="72">
        <v>3.9916666666666698</v>
      </c>
      <c r="F108" s="73">
        <v>239.05</v>
      </c>
      <c r="G108" s="72">
        <v>1182.7408333333301</v>
      </c>
      <c r="H108" s="72">
        <v>883.85833333333301</v>
      </c>
    </row>
    <row r="109" spans="1:8" x14ac:dyDescent="0.25">
      <c r="A109" s="34">
        <f t="shared" si="3"/>
        <v>1</v>
      </c>
      <c r="B109" s="35">
        <v>105</v>
      </c>
      <c r="C109" s="36">
        <f t="shared" si="4"/>
        <v>8.75</v>
      </c>
      <c r="D109" s="72">
        <v>4</v>
      </c>
      <c r="E109" s="72">
        <v>4.39333333333333</v>
      </c>
      <c r="F109" s="73">
        <v>220.7</v>
      </c>
      <c r="G109" s="72">
        <v>1175.6766666666699</v>
      </c>
      <c r="H109" s="72">
        <v>815.86666666666702</v>
      </c>
    </row>
    <row r="110" spans="1:8" x14ac:dyDescent="0.25">
      <c r="A110" s="34">
        <f t="shared" si="3"/>
        <v>1</v>
      </c>
      <c r="B110" s="35">
        <v>106</v>
      </c>
      <c r="C110" s="36">
        <f t="shared" si="4"/>
        <v>8.8333333333333321</v>
      </c>
      <c r="D110" s="72">
        <v>4</v>
      </c>
      <c r="E110" s="72">
        <v>4.7949999999999999</v>
      </c>
      <c r="F110" s="73">
        <v>202.35</v>
      </c>
      <c r="G110" s="72">
        <v>1168.6125</v>
      </c>
      <c r="H110" s="72">
        <v>747.875</v>
      </c>
    </row>
    <row r="111" spans="1:8" x14ac:dyDescent="0.25">
      <c r="A111" s="34">
        <f t="shared" si="3"/>
        <v>1</v>
      </c>
      <c r="B111" s="35">
        <v>107</v>
      </c>
      <c r="C111" s="36">
        <f t="shared" si="4"/>
        <v>8.9166666666666661</v>
      </c>
      <c r="D111" s="72">
        <v>4</v>
      </c>
      <c r="E111" s="72">
        <v>5.1966666666666699</v>
      </c>
      <c r="F111" s="73">
        <v>184</v>
      </c>
      <c r="G111" s="72">
        <v>1161.54833333333</v>
      </c>
      <c r="H111" s="72">
        <v>679.88333333333298</v>
      </c>
    </row>
    <row r="112" spans="1:8" x14ac:dyDescent="0.25">
      <c r="A112" s="34">
        <f t="shared" si="3"/>
        <v>1</v>
      </c>
      <c r="B112" s="35">
        <v>108</v>
      </c>
      <c r="C112" s="36">
        <f t="shared" si="4"/>
        <v>9</v>
      </c>
      <c r="D112" s="72">
        <v>4</v>
      </c>
      <c r="E112" s="72">
        <v>5.5983333333333301</v>
      </c>
      <c r="F112" s="73">
        <v>165.65</v>
      </c>
      <c r="G112" s="72">
        <v>1154.48416666667</v>
      </c>
      <c r="H112" s="72">
        <v>611.89166666666699</v>
      </c>
    </row>
    <row r="113" spans="1:8" x14ac:dyDescent="0.25">
      <c r="A113" s="34">
        <f t="shared" si="3"/>
        <v>1</v>
      </c>
      <c r="B113" s="35">
        <v>109</v>
      </c>
      <c r="C113" s="36">
        <f t="shared" si="4"/>
        <v>9.0833333333333321</v>
      </c>
      <c r="D113" s="72">
        <v>4</v>
      </c>
      <c r="E113" s="72">
        <v>6</v>
      </c>
      <c r="F113" s="73">
        <v>147.30000000000001</v>
      </c>
      <c r="G113" s="72">
        <v>1147.42</v>
      </c>
      <c r="H113" s="72">
        <v>543.9</v>
      </c>
    </row>
    <row r="114" spans="1:8" x14ac:dyDescent="0.25">
      <c r="A114" s="34">
        <f t="shared" si="3"/>
        <v>1</v>
      </c>
      <c r="B114" s="35">
        <v>110</v>
      </c>
      <c r="C114" s="36">
        <f t="shared" si="4"/>
        <v>9.1666666666666661</v>
      </c>
      <c r="D114" s="72">
        <v>4.0166666666666702</v>
      </c>
      <c r="E114" s="72">
        <v>7.9041666666666703</v>
      </c>
      <c r="F114" s="73">
        <v>146.683333333333</v>
      </c>
      <c r="G114" s="72">
        <v>1103.3258333333299</v>
      </c>
      <c r="H114" s="72">
        <v>510.58333333333297</v>
      </c>
    </row>
    <row r="115" spans="1:8" x14ac:dyDescent="0.25">
      <c r="A115" s="34">
        <f t="shared" si="3"/>
        <v>1</v>
      </c>
      <c r="B115" s="35">
        <v>111</v>
      </c>
      <c r="C115" s="36">
        <f t="shared" si="4"/>
        <v>9.25</v>
      </c>
      <c r="D115" s="72">
        <v>4.0333333333333297</v>
      </c>
      <c r="E115" s="72">
        <v>9.80833333333333</v>
      </c>
      <c r="F115" s="73">
        <v>146.066666666667</v>
      </c>
      <c r="G115" s="72">
        <v>1059.23166666667</v>
      </c>
      <c r="H115" s="72">
        <v>477.26666666666699</v>
      </c>
    </row>
    <row r="116" spans="1:8" x14ac:dyDescent="0.25">
      <c r="A116" s="34">
        <f t="shared" si="3"/>
        <v>1</v>
      </c>
      <c r="B116" s="35">
        <v>112</v>
      </c>
      <c r="C116" s="36">
        <f t="shared" si="4"/>
        <v>9.3333333333333321</v>
      </c>
      <c r="D116" s="72">
        <v>4.05</v>
      </c>
      <c r="E116" s="72">
        <v>11.7125</v>
      </c>
      <c r="F116" s="73">
        <v>145.44999999999999</v>
      </c>
      <c r="G116" s="72">
        <v>1015.1375</v>
      </c>
      <c r="H116" s="72">
        <v>443.95</v>
      </c>
    </row>
    <row r="117" spans="1:8" x14ac:dyDescent="0.25">
      <c r="A117" s="34">
        <f t="shared" ref="A117:A180" si="5">ROUNDUP(C117/24,0)</f>
        <v>1</v>
      </c>
      <c r="B117" s="35">
        <v>113</v>
      </c>
      <c r="C117" s="36">
        <f t="shared" ref="C117:C180" si="6">B117*$C$1</f>
        <v>9.4166666666666661</v>
      </c>
      <c r="D117" s="72">
        <v>4.06666666666667</v>
      </c>
      <c r="E117" s="72">
        <v>13.616666666666699</v>
      </c>
      <c r="F117" s="73">
        <v>144.833333333333</v>
      </c>
      <c r="G117" s="72">
        <v>971.04333333333398</v>
      </c>
      <c r="H117" s="72">
        <v>410.63333333333298</v>
      </c>
    </row>
    <row r="118" spans="1:8" x14ac:dyDescent="0.25">
      <c r="A118" s="34">
        <f t="shared" si="5"/>
        <v>1</v>
      </c>
      <c r="B118" s="35">
        <v>114</v>
      </c>
      <c r="C118" s="36">
        <f t="shared" si="6"/>
        <v>9.5</v>
      </c>
      <c r="D118" s="72">
        <v>4.0833333333333304</v>
      </c>
      <c r="E118" s="72">
        <v>15.5208333333333</v>
      </c>
      <c r="F118" s="73">
        <v>144.21666666666701</v>
      </c>
      <c r="G118" s="72">
        <v>926.949166666667</v>
      </c>
      <c r="H118" s="72">
        <v>377.316666666667</v>
      </c>
    </row>
    <row r="119" spans="1:8" x14ac:dyDescent="0.25">
      <c r="A119" s="34">
        <f t="shared" si="5"/>
        <v>1</v>
      </c>
      <c r="B119" s="35">
        <v>115</v>
      </c>
      <c r="C119" s="36">
        <f t="shared" si="6"/>
        <v>9.5833333333333321</v>
      </c>
      <c r="D119" s="72">
        <v>4.0999999999999996</v>
      </c>
      <c r="E119" s="72">
        <v>17.425000000000001</v>
      </c>
      <c r="F119" s="73">
        <v>143.6</v>
      </c>
      <c r="G119" s="72">
        <v>882.85500000000002</v>
      </c>
      <c r="H119" s="72">
        <v>344</v>
      </c>
    </row>
    <row r="120" spans="1:8" x14ac:dyDescent="0.25">
      <c r="A120" s="34">
        <f t="shared" si="5"/>
        <v>1</v>
      </c>
      <c r="B120" s="35">
        <v>116</v>
      </c>
      <c r="C120" s="36">
        <f t="shared" si="6"/>
        <v>9.6666666666666661</v>
      </c>
      <c r="D120" s="72">
        <v>4.1166666666666698</v>
      </c>
      <c r="E120" s="72">
        <v>19.329166666666701</v>
      </c>
      <c r="F120" s="73">
        <v>142.98333333333301</v>
      </c>
      <c r="G120" s="72">
        <v>838.76083333333304</v>
      </c>
      <c r="H120" s="72">
        <v>310.683333333333</v>
      </c>
    </row>
    <row r="121" spans="1:8" x14ac:dyDescent="0.25">
      <c r="A121" s="34">
        <f t="shared" si="5"/>
        <v>1</v>
      </c>
      <c r="B121" s="35">
        <v>117</v>
      </c>
      <c r="C121" s="36">
        <f t="shared" si="6"/>
        <v>9.75</v>
      </c>
      <c r="D121" s="72">
        <v>4.1333333333333302</v>
      </c>
      <c r="E121" s="72">
        <v>21.233333333333299</v>
      </c>
      <c r="F121" s="73">
        <v>142.36666666666699</v>
      </c>
      <c r="G121" s="72">
        <v>794.66666666666697</v>
      </c>
      <c r="H121" s="72">
        <v>277.36666666666702</v>
      </c>
    </row>
    <row r="122" spans="1:8" x14ac:dyDescent="0.25">
      <c r="A122" s="34">
        <f t="shared" si="5"/>
        <v>1</v>
      </c>
      <c r="B122" s="35">
        <v>118</v>
      </c>
      <c r="C122" s="36">
        <f t="shared" si="6"/>
        <v>9.8333333333333321</v>
      </c>
      <c r="D122" s="72">
        <v>4.1500000000000004</v>
      </c>
      <c r="E122" s="72">
        <v>23.137499999999999</v>
      </c>
      <c r="F122" s="73">
        <v>141.75</v>
      </c>
      <c r="G122" s="72">
        <v>750.57249999999999</v>
      </c>
      <c r="H122" s="72">
        <v>244.05</v>
      </c>
    </row>
    <row r="123" spans="1:8" x14ac:dyDescent="0.25">
      <c r="A123" s="34">
        <f t="shared" si="5"/>
        <v>1</v>
      </c>
      <c r="B123" s="35">
        <v>119</v>
      </c>
      <c r="C123" s="36">
        <f t="shared" si="6"/>
        <v>9.9166666666666661</v>
      </c>
      <c r="D123" s="72">
        <v>4.1666666666666696</v>
      </c>
      <c r="E123" s="72">
        <v>25.0416666666667</v>
      </c>
      <c r="F123" s="73">
        <v>141.13333333333301</v>
      </c>
      <c r="G123" s="72">
        <v>706.47833333333301</v>
      </c>
      <c r="H123" s="72">
        <v>210.73333333333301</v>
      </c>
    </row>
    <row r="124" spans="1:8" ht="15.75" thickBot="1" x14ac:dyDescent="0.3">
      <c r="A124" s="34">
        <f t="shared" si="5"/>
        <v>1</v>
      </c>
      <c r="B124" s="35">
        <v>120</v>
      </c>
      <c r="C124" s="36">
        <f t="shared" si="6"/>
        <v>10</v>
      </c>
      <c r="D124" s="74">
        <v>4.18333333333333</v>
      </c>
      <c r="E124" s="74">
        <v>26.945833333333301</v>
      </c>
      <c r="F124" s="75">
        <v>140.51666666666699</v>
      </c>
      <c r="G124" s="74">
        <v>662.38416666666706</v>
      </c>
      <c r="H124" s="74">
        <v>177.416666666667</v>
      </c>
    </row>
    <row r="125" spans="1:8" x14ac:dyDescent="0.25">
      <c r="A125" s="34">
        <f t="shared" si="5"/>
        <v>1</v>
      </c>
      <c r="B125" s="35">
        <v>121</v>
      </c>
      <c r="C125" s="36">
        <f t="shared" si="6"/>
        <v>10.083333333333332</v>
      </c>
      <c r="D125" s="70">
        <v>4.2</v>
      </c>
      <c r="E125" s="70">
        <v>28.85</v>
      </c>
      <c r="F125" s="71">
        <v>139.9</v>
      </c>
      <c r="G125" s="70">
        <v>618.29</v>
      </c>
      <c r="H125" s="70">
        <v>144.1</v>
      </c>
    </row>
    <row r="126" spans="1:8" x14ac:dyDescent="0.25">
      <c r="A126" s="34">
        <f t="shared" si="5"/>
        <v>1</v>
      </c>
      <c r="B126" s="35">
        <v>122</v>
      </c>
      <c r="C126" s="36">
        <f t="shared" si="6"/>
        <v>10.166666666666666</v>
      </c>
      <c r="D126" s="72">
        <v>4.2416666666666698</v>
      </c>
      <c r="E126" s="72">
        <v>31.657499999999999</v>
      </c>
      <c r="F126" s="73">
        <v>143.50833333333301</v>
      </c>
      <c r="G126" s="72">
        <v>636.25750000000005</v>
      </c>
      <c r="H126" s="72">
        <v>143.42500000000001</v>
      </c>
    </row>
    <row r="127" spans="1:8" x14ac:dyDescent="0.25">
      <c r="A127" s="34">
        <f t="shared" si="5"/>
        <v>1</v>
      </c>
      <c r="B127" s="35">
        <v>123</v>
      </c>
      <c r="C127" s="36">
        <f t="shared" si="6"/>
        <v>10.25</v>
      </c>
      <c r="D127" s="72">
        <v>4.2833333333333297</v>
      </c>
      <c r="E127" s="72">
        <v>34.465000000000003</v>
      </c>
      <c r="F127" s="73">
        <v>147.11666666666699</v>
      </c>
      <c r="G127" s="72">
        <v>654.22500000000002</v>
      </c>
      <c r="H127" s="72">
        <v>142.75</v>
      </c>
    </row>
    <row r="128" spans="1:8" x14ac:dyDescent="0.25">
      <c r="A128" s="34">
        <f t="shared" si="5"/>
        <v>1</v>
      </c>
      <c r="B128" s="35">
        <v>124</v>
      </c>
      <c r="C128" s="36">
        <f t="shared" si="6"/>
        <v>10.333333333333332</v>
      </c>
      <c r="D128" s="72">
        <v>4.3250000000000002</v>
      </c>
      <c r="E128" s="72">
        <v>37.272500000000001</v>
      </c>
      <c r="F128" s="73">
        <v>150.72499999999999</v>
      </c>
      <c r="G128" s="72">
        <v>672.1925</v>
      </c>
      <c r="H128" s="72">
        <v>142.07499999999999</v>
      </c>
    </row>
    <row r="129" spans="1:8" x14ac:dyDescent="0.25">
      <c r="A129" s="34">
        <f t="shared" si="5"/>
        <v>1</v>
      </c>
      <c r="B129" s="35">
        <v>125</v>
      </c>
      <c r="C129" s="36">
        <f t="shared" si="6"/>
        <v>10.416666666666666</v>
      </c>
      <c r="D129" s="72">
        <v>4.3666666666666698</v>
      </c>
      <c r="E129" s="72">
        <v>40.08</v>
      </c>
      <c r="F129" s="73">
        <v>154.333333333333</v>
      </c>
      <c r="G129" s="72">
        <v>690.16</v>
      </c>
      <c r="H129" s="72">
        <v>141.4</v>
      </c>
    </row>
    <row r="130" spans="1:8" x14ac:dyDescent="0.25">
      <c r="A130" s="34">
        <f t="shared" si="5"/>
        <v>1</v>
      </c>
      <c r="B130" s="35">
        <v>126</v>
      </c>
      <c r="C130" s="36">
        <f t="shared" si="6"/>
        <v>10.5</v>
      </c>
      <c r="D130" s="72">
        <v>4.4083333333333297</v>
      </c>
      <c r="E130" s="72">
        <v>42.887500000000003</v>
      </c>
      <c r="F130" s="73">
        <v>157.941666666667</v>
      </c>
      <c r="G130" s="72">
        <v>708.12750000000005</v>
      </c>
      <c r="H130" s="72">
        <v>140.72499999999999</v>
      </c>
    </row>
    <row r="131" spans="1:8" x14ac:dyDescent="0.25">
      <c r="A131" s="34">
        <f t="shared" si="5"/>
        <v>1</v>
      </c>
      <c r="B131" s="35">
        <v>127</v>
      </c>
      <c r="C131" s="36">
        <f t="shared" si="6"/>
        <v>10.583333333333332</v>
      </c>
      <c r="D131" s="72">
        <v>4.45</v>
      </c>
      <c r="E131" s="72">
        <v>45.695</v>
      </c>
      <c r="F131" s="73">
        <v>161.55000000000001</v>
      </c>
      <c r="G131" s="72">
        <v>726.09500000000003</v>
      </c>
      <c r="H131" s="72">
        <v>140.05000000000001</v>
      </c>
    </row>
    <row r="132" spans="1:8" x14ac:dyDescent="0.25">
      <c r="A132" s="34">
        <f t="shared" si="5"/>
        <v>1</v>
      </c>
      <c r="B132" s="35">
        <v>128</v>
      </c>
      <c r="C132" s="36">
        <f t="shared" si="6"/>
        <v>10.666666666666666</v>
      </c>
      <c r="D132" s="72">
        <v>4.4916666666666698</v>
      </c>
      <c r="E132" s="72">
        <v>48.502499999999998</v>
      </c>
      <c r="F132" s="73">
        <v>165.15833333333299</v>
      </c>
      <c r="G132" s="72">
        <v>744.0625</v>
      </c>
      <c r="H132" s="72">
        <v>139.375</v>
      </c>
    </row>
    <row r="133" spans="1:8" x14ac:dyDescent="0.25">
      <c r="A133" s="34">
        <f t="shared" si="5"/>
        <v>1</v>
      </c>
      <c r="B133" s="35">
        <v>129</v>
      </c>
      <c r="C133" s="36">
        <f t="shared" si="6"/>
        <v>10.75</v>
      </c>
      <c r="D133" s="72">
        <v>4.5333333333333297</v>
      </c>
      <c r="E133" s="72">
        <v>51.31</v>
      </c>
      <c r="F133" s="73">
        <v>168.76666666666699</v>
      </c>
      <c r="G133" s="72">
        <v>762.03</v>
      </c>
      <c r="H133" s="72">
        <v>138.69999999999999</v>
      </c>
    </row>
    <row r="134" spans="1:8" x14ac:dyDescent="0.25">
      <c r="A134" s="34">
        <f t="shared" si="5"/>
        <v>1</v>
      </c>
      <c r="B134" s="35">
        <v>130</v>
      </c>
      <c r="C134" s="36">
        <f t="shared" si="6"/>
        <v>10.833333333333332</v>
      </c>
      <c r="D134" s="72">
        <v>4.5750000000000002</v>
      </c>
      <c r="E134" s="72">
        <v>54.1175</v>
      </c>
      <c r="F134" s="73">
        <v>172.375</v>
      </c>
      <c r="G134" s="72">
        <v>779.99749999999995</v>
      </c>
      <c r="H134" s="72">
        <v>138.02500000000001</v>
      </c>
    </row>
    <row r="135" spans="1:8" x14ac:dyDescent="0.25">
      <c r="A135" s="34">
        <f t="shared" si="5"/>
        <v>1</v>
      </c>
      <c r="B135" s="35">
        <v>131</v>
      </c>
      <c r="C135" s="36">
        <f t="shared" si="6"/>
        <v>10.916666666666666</v>
      </c>
      <c r="D135" s="72">
        <v>4.6166666666666698</v>
      </c>
      <c r="E135" s="72">
        <v>56.924999999999997</v>
      </c>
      <c r="F135" s="73">
        <v>175.98333333333301</v>
      </c>
      <c r="G135" s="72">
        <v>797.96500000000003</v>
      </c>
      <c r="H135" s="72">
        <v>137.35</v>
      </c>
    </row>
    <row r="136" spans="1:8" x14ac:dyDescent="0.25">
      <c r="A136" s="34">
        <f t="shared" si="5"/>
        <v>1</v>
      </c>
      <c r="B136" s="35">
        <v>132</v>
      </c>
      <c r="C136" s="36">
        <f t="shared" si="6"/>
        <v>11</v>
      </c>
      <c r="D136" s="72">
        <v>4.6583333333333297</v>
      </c>
      <c r="E136" s="72">
        <v>59.732500000000002</v>
      </c>
      <c r="F136" s="73">
        <v>179.59166666666701</v>
      </c>
      <c r="G136" s="72">
        <v>815.9325</v>
      </c>
      <c r="H136" s="72">
        <v>136.67500000000001</v>
      </c>
    </row>
    <row r="137" spans="1:8" x14ac:dyDescent="0.25">
      <c r="A137" s="34">
        <f t="shared" si="5"/>
        <v>1</v>
      </c>
      <c r="B137" s="35">
        <v>133</v>
      </c>
      <c r="C137" s="36">
        <f t="shared" si="6"/>
        <v>11.083333333333332</v>
      </c>
      <c r="D137" s="72">
        <v>4.7</v>
      </c>
      <c r="E137" s="72">
        <v>62.54</v>
      </c>
      <c r="F137" s="73">
        <v>183.2</v>
      </c>
      <c r="G137" s="72">
        <v>833.9</v>
      </c>
      <c r="H137" s="72">
        <v>136</v>
      </c>
    </row>
    <row r="138" spans="1:8" x14ac:dyDescent="0.25">
      <c r="A138" s="34">
        <f t="shared" si="5"/>
        <v>1</v>
      </c>
      <c r="B138" s="35">
        <v>134</v>
      </c>
      <c r="C138" s="36">
        <f t="shared" si="6"/>
        <v>11.166666666666666</v>
      </c>
      <c r="D138" s="72">
        <v>4.7416666666666698</v>
      </c>
      <c r="E138" s="72">
        <v>64.364999999999995</v>
      </c>
      <c r="F138" s="73">
        <v>188.86666666666699</v>
      </c>
      <c r="G138" s="72">
        <v>886.91499999999996</v>
      </c>
      <c r="H138" s="72">
        <v>136</v>
      </c>
    </row>
    <row r="139" spans="1:8" x14ac:dyDescent="0.25">
      <c r="A139" s="34">
        <f t="shared" si="5"/>
        <v>1</v>
      </c>
      <c r="B139" s="35">
        <v>135</v>
      </c>
      <c r="C139" s="36">
        <f t="shared" si="6"/>
        <v>11.25</v>
      </c>
      <c r="D139" s="72">
        <v>4.7833333333333297</v>
      </c>
      <c r="E139" s="72">
        <v>66.19</v>
      </c>
      <c r="F139" s="73">
        <v>194.53333333333299</v>
      </c>
      <c r="G139" s="72">
        <v>939.93</v>
      </c>
      <c r="H139" s="72">
        <v>136</v>
      </c>
    </row>
    <row r="140" spans="1:8" x14ac:dyDescent="0.25">
      <c r="A140" s="34">
        <f t="shared" si="5"/>
        <v>1</v>
      </c>
      <c r="B140" s="35">
        <v>136</v>
      </c>
      <c r="C140" s="36">
        <f t="shared" si="6"/>
        <v>11.333333333333332</v>
      </c>
      <c r="D140" s="72">
        <v>4.8250000000000002</v>
      </c>
      <c r="E140" s="72">
        <v>68.015000000000001</v>
      </c>
      <c r="F140" s="73">
        <v>200.2</v>
      </c>
      <c r="G140" s="72">
        <v>992.94500000000005</v>
      </c>
      <c r="H140" s="72">
        <v>136</v>
      </c>
    </row>
    <row r="141" spans="1:8" x14ac:dyDescent="0.25">
      <c r="A141" s="34">
        <f t="shared" si="5"/>
        <v>1</v>
      </c>
      <c r="B141" s="35">
        <v>137</v>
      </c>
      <c r="C141" s="36">
        <f t="shared" si="6"/>
        <v>11.416666666666666</v>
      </c>
      <c r="D141" s="72">
        <v>4.8666666666666698</v>
      </c>
      <c r="E141" s="72">
        <v>69.84</v>
      </c>
      <c r="F141" s="73">
        <v>205.86666666666699</v>
      </c>
      <c r="G141" s="72">
        <v>1045.96</v>
      </c>
      <c r="H141" s="72">
        <v>136</v>
      </c>
    </row>
    <row r="142" spans="1:8" x14ac:dyDescent="0.25">
      <c r="A142" s="34">
        <f t="shared" si="5"/>
        <v>1</v>
      </c>
      <c r="B142" s="35">
        <v>138</v>
      </c>
      <c r="C142" s="36">
        <f t="shared" si="6"/>
        <v>11.5</v>
      </c>
      <c r="D142" s="72">
        <v>4.9083333333333297</v>
      </c>
      <c r="E142" s="72">
        <v>71.665000000000006</v>
      </c>
      <c r="F142" s="73">
        <v>211.53333333333299</v>
      </c>
      <c r="G142" s="72">
        <v>1098.9749999999999</v>
      </c>
      <c r="H142" s="72">
        <v>136</v>
      </c>
    </row>
    <row r="143" spans="1:8" x14ac:dyDescent="0.25">
      <c r="A143" s="34">
        <f t="shared" si="5"/>
        <v>1</v>
      </c>
      <c r="B143" s="35">
        <v>139</v>
      </c>
      <c r="C143" s="36">
        <f t="shared" si="6"/>
        <v>11.583333333333332</v>
      </c>
      <c r="D143" s="72">
        <v>4.95</v>
      </c>
      <c r="E143" s="72">
        <v>73.489999999999995</v>
      </c>
      <c r="F143" s="73">
        <v>217.2</v>
      </c>
      <c r="G143" s="72">
        <v>1151.99</v>
      </c>
      <c r="H143" s="72">
        <v>136</v>
      </c>
    </row>
    <row r="144" spans="1:8" x14ac:dyDescent="0.25">
      <c r="A144" s="34">
        <f t="shared" si="5"/>
        <v>1</v>
      </c>
      <c r="B144" s="35">
        <v>140</v>
      </c>
      <c r="C144" s="36">
        <f t="shared" si="6"/>
        <v>11.666666666666666</v>
      </c>
      <c r="D144" s="72">
        <v>4.9916666666666698</v>
      </c>
      <c r="E144" s="72">
        <v>75.314999999999998</v>
      </c>
      <c r="F144" s="73">
        <v>222.86666666666699</v>
      </c>
      <c r="G144" s="72">
        <v>1205.0050000000001</v>
      </c>
      <c r="H144" s="72">
        <v>136</v>
      </c>
    </row>
    <row r="145" spans="1:8" x14ac:dyDescent="0.25">
      <c r="A145" s="34">
        <f t="shared" si="5"/>
        <v>1</v>
      </c>
      <c r="B145" s="35">
        <v>141</v>
      </c>
      <c r="C145" s="36">
        <f t="shared" si="6"/>
        <v>11.75</v>
      </c>
      <c r="D145" s="72">
        <v>5.0333333333333297</v>
      </c>
      <c r="E145" s="72">
        <v>77.14</v>
      </c>
      <c r="F145" s="73">
        <v>228.53333333333299</v>
      </c>
      <c r="G145" s="72">
        <v>1258.02</v>
      </c>
      <c r="H145" s="72">
        <v>136</v>
      </c>
    </row>
    <row r="146" spans="1:8" x14ac:dyDescent="0.25">
      <c r="A146" s="34">
        <f t="shared" si="5"/>
        <v>1</v>
      </c>
      <c r="B146" s="35">
        <v>142</v>
      </c>
      <c r="C146" s="36">
        <f t="shared" si="6"/>
        <v>11.833333333333332</v>
      </c>
      <c r="D146" s="72">
        <v>5.0750000000000002</v>
      </c>
      <c r="E146" s="72">
        <v>78.965000000000003</v>
      </c>
      <c r="F146" s="73">
        <v>234.2</v>
      </c>
      <c r="G146" s="72">
        <v>1311.0350000000001</v>
      </c>
      <c r="H146" s="72">
        <v>136</v>
      </c>
    </row>
    <row r="147" spans="1:8" x14ac:dyDescent="0.25">
      <c r="A147" s="34">
        <f t="shared" si="5"/>
        <v>1</v>
      </c>
      <c r="B147" s="35">
        <v>143</v>
      </c>
      <c r="C147" s="36">
        <f t="shared" si="6"/>
        <v>11.916666666666666</v>
      </c>
      <c r="D147" s="72">
        <v>5.1166666666666698</v>
      </c>
      <c r="E147" s="72">
        <v>80.790000000000006</v>
      </c>
      <c r="F147" s="73">
        <v>239.86666666666699</v>
      </c>
      <c r="G147" s="72">
        <v>1364.05</v>
      </c>
      <c r="H147" s="72">
        <v>136</v>
      </c>
    </row>
    <row r="148" spans="1:8" ht="15.75" thickBot="1" x14ac:dyDescent="0.3">
      <c r="A148" s="34">
        <f t="shared" si="5"/>
        <v>1</v>
      </c>
      <c r="B148" s="35">
        <v>144</v>
      </c>
      <c r="C148" s="36">
        <f t="shared" si="6"/>
        <v>12</v>
      </c>
      <c r="D148" s="74">
        <v>5.1583333333333297</v>
      </c>
      <c r="E148" s="74">
        <v>82.614999999999995</v>
      </c>
      <c r="F148" s="75">
        <v>245.53333333333299</v>
      </c>
      <c r="G148" s="74">
        <v>1417.0650000000001</v>
      </c>
      <c r="H148" s="74">
        <v>136</v>
      </c>
    </row>
    <row r="149" spans="1:8" x14ac:dyDescent="0.25">
      <c r="A149" s="34">
        <f t="shared" si="5"/>
        <v>1</v>
      </c>
      <c r="B149" s="35">
        <v>145</v>
      </c>
      <c r="C149" s="36">
        <f t="shared" si="6"/>
        <v>12.083333333333332</v>
      </c>
      <c r="D149" s="70">
        <v>5.2</v>
      </c>
      <c r="E149" s="70">
        <v>84.44</v>
      </c>
      <c r="F149" s="71">
        <v>251.2</v>
      </c>
      <c r="G149" s="70">
        <v>1470.08</v>
      </c>
      <c r="H149" s="70">
        <v>136</v>
      </c>
    </row>
    <row r="150" spans="1:8" x14ac:dyDescent="0.25">
      <c r="A150" s="34">
        <f t="shared" si="5"/>
        <v>1</v>
      </c>
      <c r="B150" s="35">
        <v>146</v>
      </c>
      <c r="C150" s="36">
        <f t="shared" si="6"/>
        <v>12.166666666666666</v>
      </c>
      <c r="D150" s="72">
        <v>5.1749999999999998</v>
      </c>
      <c r="E150" s="72">
        <v>86.698333333333295</v>
      </c>
      <c r="F150" s="73">
        <v>250.85</v>
      </c>
      <c r="G150" s="72">
        <v>1464.6641666666701</v>
      </c>
      <c r="H150" s="72">
        <v>136</v>
      </c>
    </row>
    <row r="151" spans="1:8" x14ac:dyDescent="0.25">
      <c r="A151" s="34">
        <f t="shared" si="5"/>
        <v>1</v>
      </c>
      <c r="B151" s="35">
        <v>147</v>
      </c>
      <c r="C151" s="36">
        <f t="shared" si="6"/>
        <v>12.25</v>
      </c>
      <c r="D151" s="72">
        <v>5.15</v>
      </c>
      <c r="E151" s="72">
        <v>88.956666666666706</v>
      </c>
      <c r="F151" s="73">
        <v>250.5</v>
      </c>
      <c r="G151" s="72">
        <v>1459.24833333333</v>
      </c>
      <c r="H151" s="72">
        <v>136</v>
      </c>
    </row>
    <row r="152" spans="1:8" x14ac:dyDescent="0.25">
      <c r="A152" s="34">
        <f t="shared" si="5"/>
        <v>1</v>
      </c>
      <c r="B152" s="35">
        <v>148</v>
      </c>
      <c r="C152" s="36">
        <f t="shared" si="6"/>
        <v>12.333333333333332</v>
      </c>
      <c r="D152" s="72">
        <v>5.125</v>
      </c>
      <c r="E152" s="72">
        <v>91.215000000000003</v>
      </c>
      <c r="F152" s="73">
        <v>250.15</v>
      </c>
      <c r="G152" s="72">
        <v>1453.8325</v>
      </c>
      <c r="H152" s="72">
        <v>136</v>
      </c>
    </row>
    <row r="153" spans="1:8" x14ac:dyDescent="0.25">
      <c r="A153" s="34">
        <f t="shared" si="5"/>
        <v>1</v>
      </c>
      <c r="B153" s="35">
        <v>149</v>
      </c>
      <c r="C153" s="36">
        <f t="shared" si="6"/>
        <v>12.416666666666666</v>
      </c>
      <c r="D153" s="72">
        <v>5.0999999999999996</v>
      </c>
      <c r="E153" s="72">
        <v>93.473333333333301</v>
      </c>
      <c r="F153" s="73">
        <v>249.8</v>
      </c>
      <c r="G153" s="72">
        <v>1448.4166666666699</v>
      </c>
      <c r="H153" s="72">
        <v>136</v>
      </c>
    </row>
    <row r="154" spans="1:8" x14ac:dyDescent="0.25">
      <c r="A154" s="34">
        <f t="shared" si="5"/>
        <v>1</v>
      </c>
      <c r="B154" s="35">
        <v>150</v>
      </c>
      <c r="C154" s="36">
        <f t="shared" si="6"/>
        <v>12.5</v>
      </c>
      <c r="D154" s="72">
        <v>5.0750000000000002</v>
      </c>
      <c r="E154" s="72">
        <v>95.731666666666698</v>
      </c>
      <c r="F154" s="73">
        <v>249.45</v>
      </c>
      <c r="G154" s="72">
        <v>1443.0008333333301</v>
      </c>
      <c r="H154" s="72">
        <v>136</v>
      </c>
    </row>
    <row r="155" spans="1:8" x14ac:dyDescent="0.25">
      <c r="A155" s="34">
        <f t="shared" si="5"/>
        <v>1</v>
      </c>
      <c r="B155" s="35">
        <v>151</v>
      </c>
      <c r="C155" s="36">
        <f t="shared" si="6"/>
        <v>12.583333333333332</v>
      </c>
      <c r="D155" s="72">
        <v>5.05</v>
      </c>
      <c r="E155" s="72">
        <v>97.99</v>
      </c>
      <c r="F155" s="73">
        <v>249.1</v>
      </c>
      <c r="G155" s="72">
        <v>1437.585</v>
      </c>
      <c r="H155" s="72">
        <v>136</v>
      </c>
    </row>
    <row r="156" spans="1:8" x14ac:dyDescent="0.25">
      <c r="A156" s="34">
        <f t="shared" si="5"/>
        <v>1</v>
      </c>
      <c r="B156" s="35">
        <v>152</v>
      </c>
      <c r="C156" s="36">
        <f t="shared" si="6"/>
        <v>12.666666666666666</v>
      </c>
      <c r="D156" s="72">
        <v>5.0250000000000004</v>
      </c>
      <c r="E156" s="72">
        <v>100.24833333333299</v>
      </c>
      <c r="F156" s="73">
        <v>248.75</v>
      </c>
      <c r="G156" s="72">
        <v>1432.16916666667</v>
      </c>
      <c r="H156" s="72">
        <v>136</v>
      </c>
    </row>
    <row r="157" spans="1:8" x14ac:dyDescent="0.25">
      <c r="A157" s="34">
        <f t="shared" si="5"/>
        <v>1</v>
      </c>
      <c r="B157" s="35">
        <v>153</v>
      </c>
      <c r="C157" s="36">
        <f t="shared" si="6"/>
        <v>12.75</v>
      </c>
      <c r="D157" s="72">
        <v>5</v>
      </c>
      <c r="E157" s="72">
        <v>102.506666666667</v>
      </c>
      <c r="F157" s="73">
        <v>248.4</v>
      </c>
      <c r="G157" s="72">
        <v>1426.7533333333299</v>
      </c>
      <c r="H157" s="72">
        <v>136</v>
      </c>
    </row>
    <row r="158" spans="1:8" x14ac:dyDescent="0.25">
      <c r="A158" s="34">
        <f t="shared" si="5"/>
        <v>1</v>
      </c>
      <c r="B158" s="35">
        <v>154</v>
      </c>
      <c r="C158" s="36">
        <f t="shared" si="6"/>
        <v>12.833333333333332</v>
      </c>
      <c r="D158" s="72">
        <v>4.9749999999999996</v>
      </c>
      <c r="E158" s="72">
        <v>104.765</v>
      </c>
      <c r="F158" s="73">
        <v>248.05</v>
      </c>
      <c r="G158" s="72">
        <v>1421.3375000000001</v>
      </c>
      <c r="H158" s="72">
        <v>136</v>
      </c>
    </row>
    <row r="159" spans="1:8" x14ac:dyDescent="0.25">
      <c r="A159" s="34">
        <f t="shared" si="5"/>
        <v>1</v>
      </c>
      <c r="B159" s="35">
        <v>155</v>
      </c>
      <c r="C159" s="36">
        <f t="shared" si="6"/>
        <v>12.916666666666666</v>
      </c>
      <c r="D159" s="72">
        <v>4.95</v>
      </c>
      <c r="E159" s="72">
        <v>107.023333333333</v>
      </c>
      <c r="F159" s="73">
        <v>247.7</v>
      </c>
      <c r="G159" s="72">
        <v>1415.92166666667</v>
      </c>
      <c r="H159" s="72">
        <v>136</v>
      </c>
    </row>
    <row r="160" spans="1:8" x14ac:dyDescent="0.25">
      <c r="A160" s="34">
        <f t="shared" si="5"/>
        <v>1</v>
      </c>
      <c r="B160" s="35">
        <v>156</v>
      </c>
      <c r="C160" s="36">
        <f t="shared" si="6"/>
        <v>13</v>
      </c>
      <c r="D160" s="72">
        <v>4.9249999999999998</v>
      </c>
      <c r="E160" s="72">
        <v>109.28166666666699</v>
      </c>
      <c r="F160" s="73">
        <v>247.35</v>
      </c>
      <c r="G160" s="72">
        <v>1410.50583333333</v>
      </c>
      <c r="H160" s="72">
        <v>136</v>
      </c>
    </row>
    <row r="161" spans="1:8" x14ac:dyDescent="0.25">
      <c r="A161" s="34">
        <f t="shared" si="5"/>
        <v>1</v>
      </c>
      <c r="B161" s="35">
        <v>157</v>
      </c>
      <c r="C161" s="36">
        <f t="shared" si="6"/>
        <v>13.083333333333332</v>
      </c>
      <c r="D161" s="72">
        <v>4.9000000000000004</v>
      </c>
      <c r="E161" s="72">
        <v>111.54</v>
      </c>
      <c r="F161" s="73">
        <v>247</v>
      </c>
      <c r="G161" s="72">
        <v>1405.09</v>
      </c>
      <c r="H161" s="72">
        <v>136</v>
      </c>
    </row>
    <row r="162" spans="1:8" x14ac:dyDescent="0.25">
      <c r="A162" s="34">
        <f t="shared" si="5"/>
        <v>1</v>
      </c>
      <c r="B162" s="35">
        <v>158</v>
      </c>
      <c r="C162" s="36">
        <f t="shared" si="6"/>
        <v>13.166666666666666</v>
      </c>
      <c r="D162" s="72">
        <v>4.9249999999999998</v>
      </c>
      <c r="E162" s="72">
        <v>116.911666666667</v>
      </c>
      <c r="F162" s="73">
        <v>236.916666666667</v>
      </c>
      <c r="G162" s="72">
        <v>1403.67166666667</v>
      </c>
      <c r="H162" s="72">
        <v>124.666666666667</v>
      </c>
    </row>
    <row r="163" spans="1:8" x14ac:dyDescent="0.25">
      <c r="A163" s="34">
        <f t="shared" si="5"/>
        <v>1</v>
      </c>
      <c r="B163" s="35">
        <v>159</v>
      </c>
      <c r="C163" s="36">
        <f t="shared" si="6"/>
        <v>13.25</v>
      </c>
      <c r="D163" s="72">
        <v>4.95</v>
      </c>
      <c r="E163" s="72">
        <v>122.283333333333</v>
      </c>
      <c r="F163" s="73">
        <v>226.833333333333</v>
      </c>
      <c r="G163" s="72">
        <v>1402.2533333333299</v>
      </c>
      <c r="H163" s="72">
        <v>113.333333333333</v>
      </c>
    </row>
    <row r="164" spans="1:8" x14ac:dyDescent="0.25">
      <c r="A164" s="34">
        <f t="shared" si="5"/>
        <v>1</v>
      </c>
      <c r="B164" s="35">
        <v>160</v>
      </c>
      <c r="C164" s="36">
        <f t="shared" si="6"/>
        <v>13.333333333333332</v>
      </c>
      <c r="D164" s="72">
        <v>4.9749999999999996</v>
      </c>
      <c r="E164" s="72">
        <v>127.655</v>
      </c>
      <c r="F164" s="73">
        <v>216.75</v>
      </c>
      <c r="G164" s="72">
        <v>1400.835</v>
      </c>
      <c r="H164" s="72">
        <v>102</v>
      </c>
    </row>
    <row r="165" spans="1:8" x14ac:dyDescent="0.25">
      <c r="A165" s="34">
        <f t="shared" si="5"/>
        <v>1</v>
      </c>
      <c r="B165" s="35">
        <v>161</v>
      </c>
      <c r="C165" s="36">
        <f t="shared" si="6"/>
        <v>13.416666666666666</v>
      </c>
      <c r="D165" s="72">
        <v>5</v>
      </c>
      <c r="E165" s="72">
        <v>133.02666666666701</v>
      </c>
      <c r="F165" s="73">
        <v>206.666666666667</v>
      </c>
      <c r="G165" s="72">
        <v>1399.4166666666699</v>
      </c>
      <c r="H165" s="72">
        <v>90.6666666666667</v>
      </c>
    </row>
    <row r="166" spans="1:8" x14ac:dyDescent="0.25">
      <c r="A166" s="34">
        <f t="shared" si="5"/>
        <v>1</v>
      </c>
      <c r="B166" s="35">
        <v>162</v>
      </c>
      <c r="C166" s="36">
        <f t="shared" si="6"/>
        <v>13.5</v>
      </c>
      <c r="D166" s="72">
        <v>5.0250000000000004</v>
      </c>
      <c r="E166" s="72">
        <v>138.398333333333</v>
      </c>
      <c r="F166" s="73">
        <v>196.583333333333</v>
      </c>
      <c r="G166" s="72">
        <v>1397.99833333333</v>
      </c>
      <c r="H166" s="72">
        <v>79.3333333333333</v>
      </c>
    </row>
    <row r="167" spans="1:8" x14ac:dyDescent="0.25">
      <c r="A167" s="34">
        <f t="shared" si="5"/>
        <v>1</v>
      </c>
      <c r="B167" s="35">
        <v>163</v>
      </c>
      <c r="C167" s="36">
        <f t="shared" si="6"/>
        <v>13.583333333333332</v>
      </c>
      <c r="D167" s="72">
        <v>5.05</v>
      </c>
      <c r="E167" s="72">
        <v>143.77000000000001</v>
      </c>
      <c r="F167" s="73">
        <v>186.5</v>
      </c>
      <c r="G167" s="72">
        <v>1396.58</v>
      </c>
      <c r="H167" s="72">
        <v>68</v>
      </c>
    </row>
    <row r="168" spans="1:8" x14ac:dyDescent="0.25">
      <c r="A168" s="34">
        <f t="shared" si="5"/>
        <v>1</v>
      </c>
      <c r="B168" s="35">
        <v>164</v>
      </c>
      <c r="C168" s="36">
        <f t="shared" si="6"/>
        <v>13.666666666666666</v>
      </c>
      <c r="D168" s="72">
        <v>5.0750000000000002</v>
      </c>
      <c r="E168" s="72">
        <v>149.14166666666699</v>
      </c>
      <c r="F168" s="73">
        <v>176.416666666667</v>
      </c>
      <c r="G168" s="72">
        <v>1395.16166666667</v>
      </c>
      <c r="H168" s="72">
        <v>56.6666666666667</v>
      </c>
    </row>
    <row r="169" spans="1:8" x14ac:dyDescent="0.25">
      <c r="A169" s="34">
        <f t="shared" si="5"/>
        <v>1</v>
      </c>
      <c r="B169" s="35">
        <v>165</v>
      </c>
      <c r="C169" s="36">
        <f t="shared" si="6"/>
        <v>13.75</v>
      </c>
      <c r="D169" s="72">
        <v>5.0999999999999996</v>
      </c>
      <c r="E169" s="72">
        <v>154.51333333333301</v>
      </c>
      <c r="F169" s="73">
        <v>166.333333333333</v>
      </c>
      <c r="G169" s="72">
        <v>1393.7433333333299</v>
      </c>
      <c r="H169" s="72">
        <v>45.3333333333333</v>
      </c>
    </row>
    <row r="170" spans="1:8" x14ac:dyDescent="0.25">
      <c r="A170" s="34">
        <f t="shared" si="5"/>
        <v>1</v>
      </c>
      <c r="B170" s="35">
        <v>166</v>
      </c>
      <c r="C170" s="36">
        <f t="shared" si="6"/>
        <v>13.833333333333332</v>
      </c>
      <c r="D170" s="72">
        <v>5.125</v>
      </c>
      <c r="E170" s="72">
        <v>159.88499999999999</v>
      </c>
      <c r="F170" s="73">
        <v>156.25</v>
      </c>
      <c r="G170" s="72">
        <v>1392.325</v>
      </c>
      <c r="H170" s="72">
        <v>34</v>
      </c>
    </row>
    <row r="171" spans="1:8" x14ac:dyDescent="0.25">
      <c r="A171" s="34">
        <f t="shared" si="5"/>
        <v>1</v>
      </c>
      <c r="B171" s="35">
        <v>167</v>
      </c>
      <c r="C171" s="36">
        <f t="shared" si="6"/>
        <v>13.916666666666666</v>
      </c>
      <c r="D171" s="72">
        <v>5.15</v>
      </c>
      <c r="E171" s="72">
        <v>165.256666666667</v>
      </c>
      <c r="F171" s="73">
        <v>146.166666666667</v>
      </c>
      <c r="G171" s="72">
        <v>1390.9066666666699</v>
      </c>
      <c r="H171" s="72">
        <v>22.6666666666667</v>
      </c>
    </row>
    <row r="172" spans="1:8" ht="15.75" thickBot="1" x14ac:dyDescent="0.3">
      <c r="A172" s="34">
        <f t="shared" si="5"/>
        <v>1</v>
      </c>
      <c r="B172" s="35">
        <v>168</v>
      </c>
      <c r="C172" s="36">
        <f t="shared" si="6"/>
        <v>14</v>
      </c>
      <c r="D172" s="74">
        <v>5.1749999999999998</v>
      </c>
      <c r="E172" s="74">
        <v>170.62833333333299</v>
      </c>
      <c r="F172" s="75">
        <v>136.083333333333</v>
      </c>
      <c r="G172" s="74">
        <v>1389.48833333333</v>
      </c>
      <c r="H172" s="74">
        <v>11.3333333333333</v>
      </c>
    </row>
    <row r="173" spans="1:8" x14ac:dyDescent="0.25">
      <c r="A173" s="34">
        <f t="shared" si="5"/>
        <v>1</v>
      </c>
      <c r="B173" s="35">
        <v>169</v>
      </c>
      <c r="C173" s="36">
        <f t="shared" si="6"/>
        <v>14.083333333333332</v>
      </c>
      <c r="D173" s="70">
        <v>5.2</v>
      </c>
      <c r="E173" s="70">
        <v>176</v>
      </c>
      <c r="F173" s="71">
        <v>126</v>
      </c>
      <c r="G173" s="70">
        <v>1388.07</v>
      </c>
      <c r="H173" s="70">
        <v>0</v>
      </c>
    </row>
    <row r="174" spans="1:8" x14ac:dyDescent="0.25">
      <c r="A174" s="34">
        <f t="shared" si="5"/>
        <v>1</v>
      </c>
      <c r="B174" s="35">
        <v>170</v>
      </c>
      <c r="C174" s="36">
        <f t="shared" si="6"/>
        <v>14.166666666666666</v>
      </c>
      <c r="D174" s="72">
        <v>5.2666666666666702</v>
      </c>
      <c r="E174" s="72">
        <v>179.78833333333299</v>
      </c>
      <c r="F174" s="73">
        <v>124.25</v>
      </c>
      <c r="G174" s="72">
        <v>1388.07</v>
      </c>
      <c r="H174" s="72">
        <v>0</v>
      </c>
    </row>
    <row r="175" spans="1:8" x14ac:dyDescent="0.25">
      <c r="A175" s="34">
        <f t="shared" si="5"/>
        <v>1</v>
      </c>
      <c r="B175" s="35">
        <v>171</v>
      </c>
      <c r="C175" s="36">
        <f t="shared" si="6"/>
        <v>14.25</v>
      </c>
      <c r="D175" s="72">
        <v>5.3333333333333304</v>
      </c>
      <c r="E175" s="72">
        <v>183.57666666666699</v>
      </c>
      <c r="F175" s="73">
        <v>122.5</v>
      </c>
      <c r="G175" s="72">
        <v>1388.07</v>
      </c>
      <c r="H175" s="72">
        <v>0</v>
      </c>
    </row>
    <row r="176" spans="1:8" x14ac:dyDescent="0.25">
      <c r="A176" s="34">
        <f t="shared" si="5"/>
        <v>1</v>
      </c>
      <c r="B176" s="35">
        <v>172</v>
      </c>
      <c r="C176" s="36">
        <f t="shared" si="6"/>
        <v>14.333333333333332</v>
      </c>
      <c r="D176" s="72">
        <v>5.4</v>
      </c>
      <c r="E176" s="72">
        <v>187.36500000000001</v>
      </c>
      <c r="F176" s="73">
        <v>120.75</v>
      </c>
      <c r="G176" s="72">
        <v>1388.07</v>
      </c>
      <c r="H176" s="72">
        <v>0</v>
      </c>
    </row>
    <row r="177" spans="1:8" x14ac:dyDescent="0.25">
      <c r="A177" s="34">
        <f t="shared" si="5"/>
        <v>1</v>
      </c>
      <c r="B177" s="35">
        <v>173</v>
      </c>
      <c r="C177" s="36">
        <f t="shared" si="6"/>
        <v>14.416666666666666</v>
      </c>
      <c r="D177" s="72">
        <v>5.4666666666666703</v>
      </c>
      <c r="E177" s="72">
        <v>191.15333333333299</v>
      </c>
      <c r="F177" s="73">
        <v>119</v>
      </c>
      <c r="G177" s="72">
        <v>1388.07</v>
      </c>
      <c r="H177" s="72">
        <v>0</v>
      </c>
    </row>
    <row r="178" spans="1:8" x14ac:dyDescent="0.25">
      <c r="A178" s="34">
        <f t="shared" si="5"/>
        <v>1</v>
      </c>
      <c r="B178" s="35">
        <v>174</v>
      </c>
      <c r="C178" s="36">
        <f t="shared" si="6"/>
        <v>14.5</v>
      </c>
      <c r="D178" s="72">
        <v>5.5333333333333297</v>
      </c>
      <c r="E178" s="72">
        <v>194.941666666667</v>
      </c>
      <c r="F178" s="73">
        <v>117.25</v>
      </c>
      <c r="G178" s="72">
        <v>1388.07</v>
      </c>
      <c r="H178" s="72">
        <v>0</v>
      </c>
    </row>
    <row r="179" spans="1:8" x14ac:dyDescent="0.25">
      <c r="A179" s="34">
        <f t="shared" si="5"/>
        <v>1</v>
      </c>
      <c r="B179" s="35">
        <v>175</v>
      </c>
      <c r="C179" s="36">
        <f t="shared" si="6"/>
        <v>14.583333333333332</v>
      </c>
      <c r="D179" s="72">
        <v>5.6</v>
      </c>
      <c r="E179" s="72">
        <v>198.73</v>
      </c>
      <c r="F179" s="73">
        <v>115.5</v>
      </c>
      <c r="G179" s="72">
        <v>1388.07</v>
      </c>
      <c r="H179" s="72">
        <v>0</v>
      </c>
    </row>
    <row r="180" spans="1:8" x14ac:dyDescent="0.25">
      <c r="A180" s="34">
        <f t="shared" si="5"/>
        <v>1</v>
      </c>
      <c r="B180" s="35">
        <v>176</v>
      </c>
      <c r="C180" s="36">
        <f t="shared" si="6"/>
        <v>14.666666666666666</v>
      </c>
      <c r="D180" s="72">
        <v>5.6666666666666696</v>
      </c>
      <c r="E180" s="72">
        <v>202.518333333333</v>
      </c>
      <c r="F180" s="73">
        <v>113.75</v>
      </c>
      <c r="G180" s="72">
        <v>1388.07</v>
      </c>
      <c r="H180" s="72">
        <v>0</v>
      </c>
    </row>
    <row r="181" spans="1:8" x14ac:dyDescent="0.25">
      <c r="A181" s="34">
        <f t="shared" ref="A181:A244" si="7">ROUNDUP(C181/24,0)</f>
        <v>1</v>
      </c>
      <c r="B181" s="35">
        <v>177</v>
      </c>
      <c r="C181" s="36">
        <f t="shared" ref="C181:C244" si="8">B181*$C$1</f>
        <v>14.75</v>
      </c>
      <c r="D181" s="72">
        <v>5.7333333333333298</v>
      </c>
      <c r="E181" s="72">
        <v>206.30666666666701</v>
      </c>
      <c r="F181" s="73">
        <v>112</v>
      </c>
      <c r="G181" s="72">
        <v>1388.07</v>
      </c>
      <c r="H181" s="72">
        <v>0</v>
      </c>
    </row>
    <row r="182" spans="1:8" x14ac:dyDescent="0.25">
      <c r="A182" s="34">
        <f t="shared" si="7"/>
        <v>1</v>
      </c>
      <c r="B182" s="35">
        <v>178</v>
      </c>
      <c r="C182" s="36">
        <f t="shared" si="8"/>
        <v>14.833333333333332</v>
      </c>
      <c r="D182" s="72">
        <v>5.8</v>
      </c>
      <c r="E182" s="72">
        <v>210.095</v>
      </c>
      <c r="F182" s="73">
        <v>110.25</v>
      </c>
      <c r="G182" s="72">
        <v>1388.07</v>
      </c>
      <c r="H182" s="72">
        <v>0</v>
      </c>
    </row>
    <row r="183" spans="1:8" x14ac:dyDescent="0.25">
      <c r="A183" s="34">
        <f t="shared" si="7"/>
        <v>1</v>
      </c>
      <c r="B183" s="35">
        <v>179</v>
      </c>
      <c r="C183" s="36">
        <f t="shared" si="8"/>
        <v>14.916666666666666</v>
      </c>
      <c r="D183" s="72">
        <v>5.8666666666666698</v>
      </c>
      <c r="E183" s="72">
        <v>213.88333333333301</v>
      </c>
      <c r="F183" s="73">
        <v>108.5</v>
      </c>
      <c r="G183" s="72">
        <v>1388.07</v>
      </c>
      <c r="H183" s="72">
        <v>0</v>
      </c>
    </row>
    <row r="184" spans="1:8" x14ac:dyDescent="0.25">
      <c r="A184" s="34">
        <f t="shared" si="7"/>
        <v>1</v>
      </c>
      <c r="B184" s="35">
        <v>180</v>
      </c>
      <c r="C184" s="36">
        <f t="shared" si="8"/>
        <v>15</v>
      </c>
      <c r="D184" s="72">
        <v>5.93333333333333</v>
      </c>
      <c r="E184" s="72">
        <v>217.67166666666699</v>
      </c>
      <c r="F184" s="73">
        <v>106.75</v>
      </c>
      <c r="G184" s="72">
        <v>1388.07</v>
      </c>
      <c r="H184" s="72">
        <v>0</v>
      </c>
    </row>
    <row r="185" spans="1:8" x14ac:dyDescent="0.25">
      <c r="A185" s="34">
        <f t="shared" si="7"/>
        <v>1</v>
      </c>
      <c r="B185" s="35">
        <v>181</v>
      </c>
      <c r="C185" s="36">
        <f t="shared" si="8"/>
        <v>15.083333333333332</v>
      </c>
      <c r="D185" s="72">
        <v>6</v>
      </c>
      <c r="E185" s="72">
        <v>221.46</v>
      </c>
      <c r="F185" s="73">
        <v>105</v>
      </c>
      <c r="G185" s="72">
        <v>1388.07</v>
      </c>
      <c r="H185" s="72">
        <v>0</v>
      </c>
    </row>
    <row r="186" spans="1:8" x14ac:dyDescent="0.25">
      <c r="A186" s="34">
        <f t="shared" si="7"/>
        <v>1</v>
      </c>
      <c r="B186" s="35">
        <v>182</v>
      </c>
      <c r="C186" s="36">
        <f t="shared" si="8"/>
        <v>15.166666666666666</v>
      </c>
      <c r="D186" s="72">
        <v>6.0250000000000004</v>
      </c>
      <c r="E186" s="72">
        <v>213.38333333333301</v>
      </c>
      <c r="F186" s="73">
        <v>107.625</v>
      </c>
      <c r="G186" s="72">
        <v>1390.69166666667</v>
      </c>
      <c r="H186" s="72">
        <v>11.3333333333333</v>
      </c>
    </row>
    <row r="187" spans="1:8" x14ac:dyDescent="0.25">
      <c r="A187" s="34">
        <f t="shared" si="7"/>
        <v>1</v>
      </c>
      <c r="B187" s="35">
        <v>183</v>
      </c>
      <c r="C187" s="36">
        <f t="shared" si="8"/>
        <v>15.25</v>
      </c>
      <c r="D187" s="72">
        <v>6.05</v>
      </c>
      <c r="E187" s="72">
        <v>205.30666666666701</v>
      </c>
      <c r="F187" s="73">
        <v>110.25</v>
      </c>
      <c r="G187" s="72">
        <v>1393.3133333333301</v>
      </c>
      <c r="H187" s="72">
        <v>22.6666666666667</v>
      </c>
    </row>
    <row r="188" spans="1:8" x14ac:dyDescent="0.25">
      <c r="A188" s="34">
        <f t="shared" si="7"/>
        <v>1</v>
      </c>
      <c r="B188" s="35">
        <v>184</v>
      </c>
      <c r="C188" s="36">
        <f t="shared" si="8"/>
        <v>15.333333333333332</v>
      </c>
      <c r="D188" s="72">
        <v>6.0750000000000002</v>
      </c>
      <c r="E188" s="72">
        <v>197.23</v>
      </c>
      <c r="F188" s="73">
        <v>112.875</v>
      </c>
      <c r="G188" s="72">
        <v>1395.9349999999999</v>
      </c>
      <c r="H188" s="72">
        <v>34</v>
      </c>
    </row>
    <row r="189" spans="1:8" x14ac:dyDescent="0.25">
      <c r="A189" s="34">
        <f t="shared" si="7"/>
        <v>1</v>
      </c>
      <c r="B189" s="35">
        <v>185</v>
      </c>
      <c r="C189" s="36">
        <f t="shared" si="8"/>
        <v>15.416666666666666</v>
      </c>
      <c r="D189" s="72">
        <v>6.1</v>
      </c>
      <c r="E189" s="72">
        <v>189.15333333333299</v>
      </c>
      <c r="F189" s="73">
        <v>115.5</v>
      </c>
      <c r="G189" s="72">
        <v>1398.55666666667</v>
      </c>
      <c r="H189" s="72">
        <v>45.3333333333333</v>
      </c>
    </row>
    <row r="190" spans="1:8" x14ac:dyDescent="0.25">
      <c r="A190" s="34">
        <f t="shared" si="7"/>
        <v>1</v>
      </c>
      <c r="B190" s="35">
        <v>186</v>
      </c>
      <c r="C190" s="36">
        <f t="shared" si="8"/>
        <v>15.5</v>
      </c>
      <c r="D190" s="72">
        <v>6.125</v>
      </c>
      <c r="E190" s="72">
        <v>181.07666666666699</v>
      </c>
      <c r="F190" s="73">
        <v>118.125</v>
      </c>
      <c r="G190" s="72">
        <v>1401.1783333333301</v>
      </c>
      <c r="H190" s="72">
        <v>56.6666666666667</v>
      </c>
    </row>
    <row r="191" spans="1:8" x14ac:dyDescent="0.25">
      <c r="A191" s="34">
        <f t="shared" si="7"/>
        <v>1</v>
      </c>
      <c r="B191" s="35">
        <v>187</v>
      </c>
      <c r="C191" s="36">
        <f t="shared" si="8"/>
        <v>15.583333333333332</v>
      </c>
      <c r="D191" s="72">
        <v>6.15</v>
      </c>
      <c r="E191" s="72">
        <v>173</v>
      </c>
      <c r="F191" s="73">
        <v>120.75</v>
      </c>
      <c r="G191" s="72">
        <v>1403.8</v>
      </c>
      <c r="H191" s="72">
        <v>68</v>
      </c>
    </row>
    <row r="192" spans="1:8" x14ac:dyDescent="0.25">
      <c r="A192" s="34">
        <f t="shared" si="7"/>
        <v>1</v>
      </c>
      <c r="B192" s="35">
        <v>188</v>
      </c>
      <c r="C192" s="36">
        <f t="shared" si="8"/>
        <v>15.666666666666666</v>
      </c>
      <c r="D192" s="72">
        <v>6.1749999999999998</v>
      </c>
      <c r="E192" s="72">
        <v>164.92333333333301</v>
      </c>
      <c r="F192" s="73">
        <v>123.375</v>
      </c>
      <c r="G192" s="72">
        <v>1406.42166666667</v>
      </c>
      <c r="H192" s="72">
        <v>79.3333333333333</v>
      </c>
    </row>
    <row r="193" spans="1:8" x14ac:dyDescent="0.25">
      <c r="A193" s="34">
        <f t="shared" si="7"/>
        <v>1</v>
      </c>
      <c r="B193" s="35">
        <v>189</v>
      </c>
      <c r="C193" s="36">
        <f t="shared" si="8"/>
        <v>15.75</v>
      </c>
      <c r="D193" s="72">
        <v>6.2</v>
      </c>
      <c r="E193" s="72">
        <v>156.84666666666701</v>
      </c>
      <c r="F193" s="73">
        <v>126</v>
      </c>
      <c r="G193" s="72">
        <v>1409.0433333333301</v>
      </c>
      <c r="H193" s="72">
        <v>90.6666666666667</v>
      </c>
    </row>
    <row r="194" spans="1:8" x14ac:dyDescent="0.25">
      <c r="A194" s="34">
        <f t="shared" si="7"/>
        <v>1</v>
      </c>
      <c r="B194" s="35">
        <v>190</v>
      </c>
      <c r="C194" s="36">
        <f t="shared" si="8"/>
        <v>15.833333333333332</v>
      </c>
      <c r="D194" s="72">
        <v>6.2249999999999996</v>
      </c>
      <c r="E194" s="72">
        <v>148.77000000000001</v>
      </c>
      <c r="F194" s="73">
        <v>128.625</v>
      </c>
      <c r="G194" s="72">
        <v>1411.665</v>
      </c>
      <c r="H194" s="72">
        <v>102</v>
      </c>
    </row>
    <row r="195" spans="1:8" x14ac:dyDescent="0.25">
      <c r="A195" s="34">
        <f t="shared" si="7"/>
        <v>1</v>
      </c>
      <c r="B195" s="35">
        <v>191</v>
      </c>
      <c r="C195" s="36">
        <f t="shared" si="8"/>
        <v>15.916666666666666</v>
      </c>
      <c r="D195" s="72">
        <v>6.25</v>
      </c>
      <c r="E195" s="72">
        <v>140.69333333333299</v>
      </c>
      <c r="F195" s="73">
        <v>131.25</v>
      </c>
      <c r="G195" s="72">
        <v>1414.28666666667</v>
      </c>
      <c r="H195" s="72">
        <v>113.333333333333</v>
      </c>
    </row>
    <row r="196" spans="1:8" x14ac:dyDescent="0.25">
      <c r="A196" s="34">
        <f t="shared" si="7"/>
        <v>1</v>
      </c>
      <c r="B196" s="35">
        <v>192</v>
      </c>
      <c r="C196" s="36">
        <f t="shared" si="8"/>
        <v>16</v>
      </c>
      <c r="D196" s="76">
        <v>6.2750000000000004</v>
      </c>
      <c r="E196" s="76">
        <v>132.61666666666699</v>
      </c>
      <c r="F196" s="77">
        <v>133.875</v>
      </c>
      <c r="G196" s="77">
        <v>1416.9083333333299</v>
      </c>
      <c r="H196" s="77">
        <v>124.666666666667</v>
      </c>
    </row>
    <row r="197" spans="1:8" x14ac:dyDescent="0.25">
      <c r="A197" s="34">
        <f t="shared" si="7"/>
        <v>1</v>
      </c>
      <c r="B197" s="35">
        <v>193</v>
      </c>
      <c r="C197" s="36">
        <f t="shared" si="8"/>
        <v>16.083333333333332</v>
      </c>
      <c r="D197" s="76">
        <v>6.3</v>
      </c>
      <c r="E197" s="76">
        <v>124.54</v>
      </c>
      <c r="F197" s="77">
        <v>136.5</v>
      </c>
      <c r="G197" s="77">
        <v>1419.53</v>
      </c>
      <c r="H197" s="77">
        <v>136</v>
      </c>
    </row>
    <row r="198" spans="1:8" x14ac:dyDescent="0.25">
      <c r="A198" s="34">
        <f t="shared" si="7"/>
        <v>1</v>
      </c>
      <c r="B198" s="35">
        <v>194</v>
      </c>
      <c r="C198" s="36">
        <f t="shared" si="8"/>
        <v>16.166666666666664</v>
      </c>
      <c r="D198" s="76">
        <v>6.2083333333333304</v>
      </c>
      <c r="E198" s="76">
        <v>114.161666666667</v>
      </c>
      <c r="F198" s="77">
        <v>142.625</v>
      </c>
      <c r="G198" s="77">
        <v>1424.94583333333</v>
      </c>
      <c r="H198" s="77">
        <v>136</v>
      </c>
    </row>
    <row r="199" spans="1:8" x14ac:dyDescent="0.25">
      <c r="A199" s="34">
        <f t="shared" si="7"/>
        <v>1</v>
      </c>
      <c r="B199" s="35">
        <v>195</v>
      </c>
      <c r="C199" s="36">
        <f t="shared" si="8"/>
        <v>16.25</v>
      </c>
      <c r="D199" s="76">
        <v>6.1166666666666698</v>
      </c>
      <c r="E199" s="76">
        <v>103.783333333333</v>
      </c>
      <c r="F199" s="77">
        <v>148.75</v>
      </c>
      <c r="G199" s="77">
        <v>1430.3616666666701</v>
      </c>
      <c r="H199" s="77">
        <v>136</v>
      </c>
    </row>
    <row r="200" spans="1:8" x14ac:dyDescent="0.25">
      <c r="A200" s="34">
        <f t="shared" si="7"/>
        <v>1</v>
      </c>
      <c r="B200" s="35">
        <v>196</v>
      </c>
      <c r="C200" s="36">
        <f t="shared" si="8"/>
        <v>16.333333333333332</v>
      </c>
      <c r="D200" s="76">
        <v>6.0250000000000004</v>
      </c>
      <c r="E200" s="76">
        <v>93.405000000000001</v>
      </c>
      <c r="F200" s="77">
        <v>154.875</v>
      </c>
      <c r="G200" s="77">
        <v>1435.7774999999999</v>
      </c>
      <c r="H200" s="77">
        <v>136</v>
      </c>
    </row>
    <row r="201" spans="1:8" x14ac:dyDescent="0.25">
      <c r="A201" s="34">
        <f t="shared" si="7"/>
        <v>1</v>
      </c>
      <c r="B201" s="35">
        <v>197</v>
      </c>
      <c r="C201" s="36">
        <f t="shared" si="8"/>
        <v>16.416666666666664</v>
      </c>
      <c r="D201" s="76">
        <v>5.93333333333333</v>
      </c>
      <c r="E201" s="76">
        <v>83.026666666666699</v>
      </c>
      <c r="F201" s="77">
        <v>161</v>
      </c>
      <c r="G201" s="77">
        <v>1441.19333333333</v>
      </c>
      <c r="H201" s="77">
        <v>136</v>
      </c>
    </row>
    <row r="202" spans="1:8" x14ac:dyDescent="0.25">
      <c r="A202" s="34">
        <f t="shared" si="7"/>
        <v>1</v>
      </c>
      <c r="B202" s="35">
        <v>198</v>
      </c>
      <c r="C202" s="36">
        <f t="shared" si="8"/>
        <v>16.5</v>
      </c>
      <c r="D202" s="76">
        <v>5.8416666666666703</v>
      </c>
      <c r="E202" s="76">
        <v>72.648333333333298</v>
      </c>
      <c r="F202" s="77">
        <v>167.125</v>
      </c>
      <c r="G202" s="77">
        <v>1446.60916666667</v>
      </c>
      <c r="H202" s="77">
        <v>136</v>
      </c>
    </row>
    <row r="203" spans="1:8" x14ac:dyDescent="0.25">
      <c r="A203" s="34">
        <f t="shared" si="7"/>
        <v>1</v>
      </c>
      <c r="B203" s="35">
        <v>199</v>
      </c>
      <c r="C203" s="36">
        <f t="shared" si="8"/>
        <v>16.583333333333332</v>
      </c>
      <c r="D203" s="76">
        <v>5.75</v>
      </c>
      <c r="E203" s="76">
        <v>62.27</v>
      </c>
      <c r="F203" s="77">
        <v>173.25</v>
      </c>
      <c r="G203" s="77">
        <v>1452.0250000000001</v>
      </c>
      <c r="H203" s="77">
        <v>136</v>
      </c>
    </row>
    <row r="204" spans="1:8" x14ac:dyDescent="0.25">
      <c r="A204" s="34">
        <f t="shared" si="7"/>
        <v>1</v>
      </c>
      <c r="B204" s="35">
        <v>200</v>
      </c>
      <c r="C204" s="36">
        <f t="shared" si="8"/>
        <v>16.666666666666664</v>
      </c>
      <c r="D204" s="76">
        <v>5.6583333333333297</v>
      </c>
      <c r="E204" s="76">
        <v>51.891666666666701</v>
      </c>
      <c r="F204" s="77">
        <v>179.375</v>
      </c>
      <c r="G204" s="77">
        <v>1457.4408333333299</v>
      </c>
      <c r="H204" s="77">
        <v>136</v>
      </c>
    </row>
    <row r="205" spans="1:8" x14ac:dyDescent="0.25">
      <c r="A205" s="34">
        <f t="shared" si="7"/>
        <v>1</v>
      </c>
      <c r="B205" s="35">
        <v>201</v>
      </c>
      <c r="C205" s="36">
        <f t="shared" si="8"/>
        <v>16.75</v>
      </c>
      <c r="D205" s="76">
        <v>5.56666666666667</v>
      </c>
      <c r="E205" s="76">
        <v>41.5133333333333</v>
      </c>
      <c r="F205" s="77">
        <v>185.5</v>
      </c>
      <c r="G205" s="77">
        <v>1462.85666666667</v>
      </c>
      <c r="H205" s="77">
        <v>136</v>
      </c>
    </row>
    <row r="206" spans="1:8" x14ac:dyDescent="0.25">
      <c r="A206" s="34">
        <f t="shared" si="7"/>
        <v>1</v>
      </c>
      <c r="B206" s="35">
        <v>202</v>
      </c>
      <c r="C206" s="36">
        <f t="shared" si="8"/>
        <v>16.833333333333332</v>
      </c>
      <c r="D206" s="76">
        <v>5.4749999999999996</v>
      </c>
      <c r="E206" s="76">
        <v>31.135000000000002</v>
      </c>
      <c r="F206" s="77">
        <v>191.625</v>
      </c>
      <c r="G206" s="77">
        <v>1468.2725</v>
      </c>
      <c r="H206" s="77">
        <v>136</v>
      </c>
    </row>
    <row r="207" spans="1:8" x14ac:dyDescent="0.25">
      <c r="A207" s="34">
        <f t="shared" si="7"/>
        <v>1</v>
      </c>
      <c r="B207" s="35">
        <v>203</v>
      </c>
      <c r="C207" s="36">
        <f t="shared" si="8"/>
        <v>16.916666666666664</v>
      </c>
      <c r="D207" s="76">
        <v>5.3833333333333302</v>
      </c>
      <c r="E207" s="76">
        <v>20.7566666666667</v>
      </c>
      <c r="F207" s="77">
        <v>197.75</v>
      </c>
      <c r="G207" s="77">
        <v>1473.6883333333301</v>
      </c>
      <c r="H207" s="77">
        <v>136</v>
      </c>
    </row>
    <row r="208" spans="1:8" x14ac:dyDescent="0.25">
      <c r="A208" s="34">
        <f t="shared" si="7"/>
        <v>1</v>
      </c>
      <c r="B208" s="35">
        <v>204</v>
      </c>
      <c r="C208" s="36">
        <f t="shared" si="8"/>
        <v>17</v>
      </c>
      <c r="D208" s="76">
        <v>5.2916666666666696</v>
      </c>
      <c r="E208" s="76">
        <v>10.3783333333333</v>
      </c>
      <c r="F208" s="77">
        <v>203.875</v>
      </c>
      <c r="G208" s="77">
        <v>1479.1041666666699</v>
      </c>
      <c r="H208" s="77">
        <v>136</v>
      </c>
    </row>
    <row r="209" spans="1:8" x14ac:dyDescent="0.25">
      <c r="A209" s="34">
        <f t="shared" si="7"/>
        <v>1</v>
      </c>
      <c r="B209" s="35">
        <v>205</v>
      </c>
      <c r="C209" s="36">
        <f t="shared" si="8"/>
        <v>17.083333333333332</v>
      </c>
      <c r="D209" s="76">
        <v>5.2</v>
      </c>
      <c r="E209" s="76">
        <v>0</v>
      </c>
      <c r="F209" s="77">
        <v>210</v>
      </c>
      <c r="G209" s="77">
        <v>1484.52</v>
      </c>
      <c r="H209" s="77">
        <v>136</v>
      </c>
    </row>
    <row r="210" spans="1:8" x14ac:dyDescent="0.25">
      <c r="A210" s="34">
        <f t="shared" si="7"/>
        <v>1</v>
      </c>
      <c r="B210" s="35">
        <v>206</v>
      </c>
      <c r="C210" s="36">
        <f t="shared" si="8"/>
        <v>17.166666666666664</v>
      </c>
      <c r="D210" s="76">
        <v>5.1666666666666696</v>
      </c>
      <c r="E210" s="76">
        <v>0</v>
      </c>
      <c r="F210" s="77">
        <v>253.75</v>
      </c>
      <c r="G210" s="77">
        <v>1601.9166666666699</v>
      </c>
      <c r="H210" s="77">
        <v>147.333333333333</v>
      </c>
    </row>
    <row r="211" spans="1:8" x14ac:dyDescent="0.25">
      <c r="A211" s="34">
        <f t="shared" si="7"/>
        <v>1</v>
      </c>
      <c r="B211" s="35">
        <v>207</v>
      </c>
      <c r="C211" s="36">
        <f t="shared" si="8"/>
        <v>17.25</v>
      </c>
      <c r="D211" s="76">
        <v>5.1333333333333302</v>
      </c>
      <c r="E211" s="76">
        <v>0</v>
      </c>
      <c r="F211" s="77">
        <v>297.5</v>
      </c>
      <c r="G211" s="77">
        <v>1719.3133333333301</v>
      </c>
      <c r="H211" s="77">
        <v>158.666666666667</v>
      </c>
    </row>
    <row r="212" spans="1:8" x14ac:dyDescent="0.25">
      <c r="A212" s="34">
        <f t="shared" si="7"/>
        <v>1</v>
      </c>
      <c r="B212" s="35">
        <v>208</v>
      </c>
      <c r="C212" s="36">
        <f t="shared" si="8"/>
        <v>17.333333333333332</v>
      </c>
      <c r="D212" s="76">
        <v>5.0999999999999996</v>
      </c>
      <c r="E212" s="76">
        <v>0</v>
      </c>
      <c r="F212" s="77">
        <v>341.25</v>
      </c>
      <c r="G212" s="77">
        <v>1836.71</v>
      </c>
      <c r="H212" s="77">
        <v>170</v>
      </c>
    </row>
    <row r="213" spans="1:8" x14ac:dyDescent="0.25">
      <c r="A213" s="34">
        <f t="shared" si="7"/>
        <v>1</v>
      </c>
      <c r="B213" s="35">
        <v>209</v>
      </c>
      <c r="C213" s="36">
        <f t="shared" si="8"/>
        <v>17.416666666666664</v>
      </c>
      <c r="D213" s="76">
        <v>5.06666666666667</v>
      </c>
      <c r="E213" s="76">
        <v>0</v>
      </c>
      <c r="F213" s="77">
        <v>385</v>
      </c>
      <c r="G213" s="77">
        <v>1954.10666666667</v>
      </c>
      <c r="H213" s="77">
        <v>181.333333333333</v>
      </c>
    </row>
    <row r="214" spans="1:8" x14ac:dyDescent="0.25">
      <c r="A214" s="34">
        <f t="shared" si="7"/>
        <v>1</v>
      </c>
      <c r="B214" s="35">
        <v>210</v>
      </c>
      <c r="C214" s="36">
        <f t="shared" si="8"/>
        <v>17.5</v>
      </c>
      <c r="D214" s="76">
        <v>5.0333333333333297</v>
      </c>
      <c r="E214" s="76">
        <v>0</v>
      </c>
      <c r="F214" s="77">
        <v>428.75</v>
      </c>
      <c r="G214" s="77">
        <v>2071.5033333333299</v>
      </c>
      <c r="H214" s="77">
        <v>192.666666666667</v>
      </c>
    </row>
    <row r="215" spans="1:8" x14ac:dyDescent="0.25">
      <c r="A215" s="34">
        <f t="shared" si="7"/>
        <v>1</v>
      </c>
      <c r="B215" s="35">
        <v>211</v>
      </c>
      <c r="C215" s="36">
        <f t="shared" si="8"/>
        <v>17.583333333333332</v>
      </c>
      <c r="D215" s="76">
        <v>5</v>
      </c>
      <c r="E215" s="76">
        <v>0</v>
      </c>
      <c r="F215" s="77">
        <v>472.5</v>
      </c>
      <c r="G215" s="77">
        <v>2188.9</v>
      </c>
      <c r="H215" s="77">
        <v>204</v>
      </c>
    </row>
    <row r="216" spans="1:8" x14ac:dyDescent="0.25">
      <c r="A216" s="34">
        <f t="shared" si="7"/>
        <v>1</v>
      </c>
      <c r="B216" s="35">
        <v>212</v>
      </c>
      <c r="C216" s="36">
        <f t="shared" si="8"/>
        <v>17.666666666666664</v>
      </c>
      <c r="D216" s="76">
        <v>4.9666666666666703</v>
      </c>
      <c r="E216" s="76">
        <v>0</v>
      </c>
      <c r="F216" s="77">
        <v>516.25</v>
      </c>
      <c r="G216" s="77">
        <v>2306.2966666666698</v>
      </c>
      <c r="H216" s="77">
        <v>215.333333333333</v>
      </c>
    </row>
    <row r="217" spans="1:8" x14ac:dyDescent="0.25">
      <c r="A217" s="34">
        <f t="shared" si="7"/>
        <v>1</v>
      </c>
      <c r="B217" s="35">
        <v>213</v>
      </c>
      <c r="C217" s="36">
        <f t="shared" si="8"/>
        <v>17.75</v>
      </c>
      <c r="D217" s="76">
        <v>4.93333333333333</v>
      </c>
      <c r="E217" s="76">
        <v>0</v>
      </c>
      <c r="F217" s="77">
        <v>560</v>
      </c>
      <c r="G217" s="77">
        <v>2423.69333333333</v>
      </c>
      <c r="H217" s="77">
        <v>226.666666666667</v>
      </c>
    </row>
    <row r="218" spans="1:8" x14ac:dyDescent="0.25">
      <c r="A218" s="34">
        <f t="shared" si="7"/>
        <v>1</v>
      </c>
      <c r="B218" s="35">
        <v>214</v>
      </c>
      <c r="C218" s="36">
        <f t="shared" si="8"/>
        <v>17.833333333333332</v>
      </c>
      <c r="D218" s="76">
        <v>4.9000000000000004</v>
      </c>
      <c r="E218" s="76">
        <v>0</v>
      </c>
      <c r="F218" s="77">
        <v>603.75</v>
      </c>
      <c r="G218" s="77">
        <v>2541.09</v>
      </c>
      <c r="H218" s="77">
        <v>238</v>
      </c>
    </row>
    <row r="219" spans="1:8" x14ac:dyDescent="0.25">
      <c r="A219" s="34">
        <f t="shared" si="7"/>
        <v>1</v>
      </c>
      <c r="B219" s="35">
        <v>215</v>
      </c>
      <c r="C219" s="36">
        <f t="shared" si="8"/>
        <v>17.916666666666664</v>
      </c>
      <c r="D219" s="76">
        <v>4.8666666666666698</v>
      </c>
      <c r="E219" s="76">
        <v>0</v>
      </c>
      <c r="F219" s="77">
        <v>647.5</v>
      </c>
      <c r="G219" s="77">
        <v>2658.4866666666699</v>
      </c>
      <c r="H219" s="77">
        <v>249.333333333333</v>
      </c>
    </row>
    <row r="220" spans="1:8" x14ac:dyDescent="0.25">
      <c r="A220" s="34">
        <f t="shared" si="7"/>
        <v>1</v>
      </c>
      <c r="B220" s="35">
        <v>216</v>
      </c>
      <c r="C220" s="36">
        <f t="shared" si="8"/>
        <v>18</v>
      </c>
      <c r="D220" s="76">
        <v>4.8333333333333304</v>
      </c>
      <c r="E220" s="76">
        <v>0</v>
      </c>
      <c r="F220" s="77">
        <v>691.25</v>
      </c>
      <c r="G220" s="77">
        <v>2775.88333333333</v>
      </c>
      <c r="H220" s="77">
        <v>260.66666666666703</v>
      </c>
    </row>
    <row r="221" spans="1:8" x14ac:dyDescent="0.25">
      <c r="A221" s="34">
        <f t="shared" si="7"/>
        <v>1</v>
      </c>
      <c r="B221" s="35">
        <v>217</v>
      </c>
      <c r="C221" s="36">
        <f t="shared" si="8"/>
        <v>18.083333333333332</v>
      </c>
      <c r="D221" s="76">
        <v>4.8</v>
      </c>
      <c r="E221" s="76">
        <v>0</v>
      </c>
      <c r="F221" s="77">
        <v>735</v>
      </c>
      <c r="G221" s="77">
        <v>2893.28</v>
      </c>
      <c r="H221" s="77">
        <v>272</v>
      </c>
    </row>
    <row r="222" spans="1:8" x14ac:dyDescent="0.25">
      <c r="A222" s="34">
        <f t="shared" si="7"/>
        <v>1</v>
      </c>
      <c r="B222" s="35">
        <v>218</v>
      </c>
      <c r="C222" s="36">
        <f t="shared" si="8"/>
        <v>18.166666666666664</v>
      </c>
      <c r="D222" s="76">
        <v>4.7583333333333302</v>
      </c>
      <c r="E222" s="76">
        <v>0</v>
      </c>
      <c r="F222" s="77">
        <v>724.76666666666699</v>
      </c>
      <c r="G222" s="77">
        <v>2822.0491666666699</v>
      </c>
      <c r="H222" s="77">
        <v>339.98333333333301</v>
      </c>
    </row>
    <row r="223" spans="1:8" x14ac:dyDescent="0.25">
      <c r="A223" s="34">
        <f t="shared" si="7"/>
        <v>1</v>
      </c>
      <c r="B223" s="35">
        <v>219</v>
      </c>
      <c r="C223" s="36">
        <f t="shared" si="8"/>
        <v>18.25</v>
      </c>
      <c r="D223" s="76">
        <v>4.7166666666666703</v>
      </c>
      <c r="E223" s="76">
        <v>0</v>
      </c>
      <c r="F223" s="77">
        <v>714.53333333333296</v>
      </c>
      <c r="G223" s="77">
        <v>2750.81833333333</v>
      </c>
      <c r="H223" s="77">
        <v>407.96666666666698</v>
      </c>
    </row>
    <row r="224" spans="1:8" x14ac:dyDescent="0.25">
      <c r="A224" s="34">
        <f t="shared" si="7"/>
        <v>1</v>
      </c>
      <c r="B224" s="35">
        <v>220</v>
      </c>
      <c r="C224" s="36">
        <f t="shared" si="8"/>
        <v>18.333333333333332</v>
      </c>
      <c r="D224" s="76">
        <v>4.6749999999999998</v>
      </c>
      <c r="E224" s="76">
        <v>0</v>
      </c>
      <c r="F224" s="77">
        <v>704.3</v>
      </c>
      <c r="G224" s="77">
        <v>2679.5875000000001</v>
      </c>
      <c r="H224" s="77">
        <v>475.95</v>
      </c>
    </row>
    <row r="225" spans="1:8" x14ac:dyDescent="0.25">
      <c r="A225" s="34">
        <f t="shared" si="7"/>
        <v>1</v>
      </c>
      <c r="B225" s="35">
        <v>221</v>
      </c>
      <c r="C225" s="36">
        <f t="shared" si="8"/>
        <v>18.416666666666664</v>
      </c>
      <c r="D225" s="76">
        <v>4.6333333333333302</v>
      </c>
      <c r="E225" s="76">
        <v>0</v>
      </c>
      <c r="F225" s="77">
        <v>694.06666666666695</v>
      </c>
      <c r="G225" s="77">
        <v>2608.3566666666702</v>
      </c>
      <c r="H225" s="77">
        <v>543.93333333333305</v>
      </c>
    </row>
    <row r="226" spans="1:8" x14ac:dyDescent="0.25">
      <c r="A226" s="34">
        <f t="shared" si="7"/>
        <v>1</v>
      </c>
      <c r="B226" s="35">
        <v>222</v>
      </c>
      <c r="C226" s="36">
        <f t="shared" si="8"/>
        <v>18.5</v>
      </c>
      <c r="D226" s="76">
        <v>4.5916666666666703</v>
      </c>
      <c r="E226" s="76">
        <v>0</v>
      </c>
      <c r="F226" s="77">
        <v>683.83333333333303</v>
      </c>
      <c r="G226" s="77">
        <v>2537.1258333333299</v>
      </c>
      <c r="H226" s="77">
        <v>611.91666666666697</v>
      </c>
    </row>
    <row r="227" spans="1:8" x14ac:dyDescent="0.25">
      <c r="A227" s="34">
        <f t="shared" si="7"/>
        <v>1</v>
      </c>
      <c r="B227" s="35">
        <v>223</v>
      </c>
      <c r="C227" s="36">
        <f t="shared" si="8"/>
        <v>18.583333333333332</v>
      </c>
      <c r="D227" s="76">
        <v>4.55</v>
      </c>
      <c r="E227" s="76">
        <v>0</v>
      </c>
      <c r="F227" s="77">
        <v>673.6</v>
      </c>
      <c r="G227" s="77">
        <v>2465.895</v>
      </c>
      <c r="H227" s="77">
        <v>679.9</v>
      </c>
    </row>
    <row r="228" spans="1:8" x14ac:dyDescent="0.25">
      <c r="A228" s="34">
        <f t="shared" si="7"/>
        <v>1</v>
      </c>
      <c r="B228" s="35">
        <v>224</v>
      </c>
      <c r="C228" s="36">
        <f t="shared" si="8"/>
        <v>18.666666666666664</v>
      </c>
      <c r="D228" s="76">
        <v>4.5083333333333302</v>
      </c>
      <c r="E228" s="76">
        <v>0</v>
      </c>
      <c r="F228" s="77">
        <v>663.36666666666702</v>
      </c>
      <c r="G228" s="77">
        <v>2394.6641666666701</v>
      </c>
      <c r="H228" s="77">
        <v>747.88333333333298</v>
      </c>
    </row>
    <row r="229" spans="1:8" x14ac:dyDescent="0.25">
      <c r="A229" s="34">
        <f t="shared" si="7"/>
        <v>1</v>
      </c>
      <c r="B229" s="35">
        <v>225</v>
      </c>
      <c r="C229" s="36">
        <f t="shared" si="8"/>
        <v>18.75</v>
      </c>
      <c r="D229" s="76">
        <v>4.4666666666666703</v>
      </c>
      <c r="E229" s="76">
        <v>0</v>
      </c>
      <c r="F229" s="77">
        <v>653.13333333333298</v>
      </c>
      <c r="G229" s="77">
        <v>2323.4333333333302</v>
      </c>
      <c r="H229" s="77">
        <v>815.86666666666702</v>
      </c>
    </row>
    <row r="230" spans="1:8" x14ac:dyDescent="0.25">
      <c r="A230" s="34">
        <f t="shared" si="7"/>
        <v>1</v>
      </c>
      <c r="B230" s="35">
        <v>226</v>
      </c>
      <c r="C230" s="36">
        <f t="shared" si="8"/>
        <v>18.833333333333332</v>
      </c>
      <c r="D230" s="76">
        <v>4.4249999999999998</v>
      </c>
      <c r="E230" s="76">
        <v>0</v>
      </c>
      <c r="F230" s="77">
        <v>642.9</v>
      </c>
      <c r="G230" s="77">
        <v>2252.2024999999999</v>
      </c>
      <c r="H230" s="77">
        <v>883.85</v>
      </c>
    </row>
    <row r="231" spans="1:8" x14ac:dyDescent="0.25">
      <c r="A231" s="34">
        <f t="shared" si="7"/>
        <v>1</v>
      </c>
      <c r="B231" s="35">
        <v>227</v>
      </c>
      <c r="C231" s="36">
        <f t="shared" si="8"/>
        <v>18.916666666666664</v>
      </c>
      <c r="D231" s="76">
        <v>4.3833333333333302</v>
      </c>
      <c r="E231" s="76">
        <v>0</v>
      </c>
      <c r="F231" s="77">
        <v>632.66666666666697</v>
      </c>
      <c r="G231" s="77">
        <v>2180.97166666667</v>
      </c>
      <c r="H231" s="77">
        <v>951.83333333333303</v>
      </c>
    </row>
    <row r="232" spans="1:8" x14ac:dyDescent="0.25">
      <c r="A232" s="34">
        <f t="shared" si="7"/>
        <v>1</v>
      </c>
      <c r="B232" s="35">
        <v>228</v>
      </c>
      <c r="C232" s="36">
        <f t="shared" si="8"/>
        <v>19</v>
      </c>
      <c r="D232" s="76">
        <v>4.3416666666666703</v>
      </c>
      <c r="E232" s="76">
        <v>0</v>
      </c>
      <c r="F232" s="77">
        <v>622.43333333333305</v>
      </c>
      <c r="G232" s="77">
        <v>2109.7408333333301</v>
      </c>
      <c r="H232" s="77">
        <v>1019.81666666667</v>
      </c>
    </row>
    <row r="233" spans="1:8" x14ac:dyDescent="0.25">
      <c r="A233" s="34">
        <f t="shared" si="7"/>
        <v>1</v>
      </c>
      <c r="B233" s="35">
        <v>229</v>
      </c>
      <c r="C233" s="36">
        <f t="shared" si="8"/>
        <v>19.083333333333332</v>
      </c>
      <c r="D233" s="76">
        <v>4.3</v>
      </c>
      <c r="E233" s="76">
        <v>0</v>
      </c>
      <c r="F233" s="77">
        <v>612.20000000000005</v>
      </c>
      <c r="G233" s="77">
        <v>2038.51</v>
      </c>
      <c r="H233" s="77">
        <v>1087.8</v>
      </c>
    </row>
    <row r="234" spans="1:8" x14ac:dyDescent="0.25">
      <c r="A234" s="34">
        <f t="shared" si="7"/>
        <v>1</v>
      </c>
      <c r="B234" s="35">
        <v>230</v>
      </c>
      <c r="C234" s="36">
        <f t="shared" si="8"/>
        <v>19.166666666666664</v>
      </c>
      <c r="D234" s="76">
        <v>4.2666666666666702</v>
      </c>
      <c r="E234" s="76">
        <v>0</v>
      </c>
      <c r="F234" s="77">
        <v>701.18333333333305</v>
      </c>
      <c r="G234" s="77">
        <v>1969.4791666666699</v>
      </c>
      <c r="H234" s="77">
        <v>1087.8</v>
      </c>
    </row>
    <row r="235" spans="1:8" x14ac:dyDescent="0.25">
      <c r="A235" s="34">
        <f t="shared" si="7"/>
        <v>1</v>
      </c>
      <c r="B235" s="35">
        <v>231</v>
      </c>
      <c r="C235" s="36">
        <f t="shared" si="8"/>
        <v>19.25</v>
      </c>
      <c r="D235" s="76">
        <v>4.2333333333333298</v>
      </c>
      <c r="E235" s="76">
        <v>0</v>
      </c>
      <c r="F235" s="77">
        <v>790.16666666666697</v>
      </c>
      <c r="G235" s="77">
        <v>1900.4483333333301</v>
      </c>
      <c r="H235" s="77">
        <v>1087.8</v>
      </c>
    </row>
    <row r="236" spans="1:8" x14ac:dyDescent="0.25">
      <c r="A236" s="34">
        <f t="shared" si="7"/>
        <v>1</v>
      </c>
      <c r="B236" s="35">
        <v>232</v>
      </c>
      <c r="C236" s="36">
        <f t="shared" si="8"/>
        <v>19.333333333333332</v>
      </c>
      <c r="D236" s="76">
        <v>4.2</v>
      </c>
      <c r="E236" s="76">
        <v>0</v>
      </c>
      <c r="F236" s="77">
        <v>879.15</v>
      </c>
      <c r="G236" s="77">
        <v>1831.4175</v>
      </c>
      <c r="H236" s="77">
        <v>1087.8</v>
      </c>
    </row>
    <row r="237" spans="1:8" x14ac:dyDescent="0.25">
      <c r="A237" s="34">
        <f t="shared" si="7"/>
        <v>1</v>
      </c>
      <c r="B237" s="35">
        <v>233</v>
      </c>
      <c r="C237" s="36">
        <f t="shared" si="8"/>
        <v>19.416666666666664</v>
      </c>
      <c r="D237" s="76">
        <v>4.1666666666666696</v>
      </c>
      <c r="E237" s="76">
        <v>0</v>
      </c>
      <c r="F237" s="77">
        <v>968.13333333333298</v>
      </c>
      <c r="G237" s="77">
        <v>1762.38666666667</v>
      </c>
      <c r="H237" s="77">
        <v>1087.8</v>
      </c>
    </row>
    <row r="238" spans="1:8" x14ac:dyDescent="0.25">
      <c r="A238" s="34">
        <f t="shared" si="7"/>
        <v>1</v>
      </c>
      <c r="B238" s="35">
        <v>234</v>
      </c>
      <c r="C238" s="36">
        <f t="shared" si="8"/>
        <v>19.5</v>
      </c>
      <c r="D238" s="76">
        <v>4.1333333333333302</v>
      </c>
      <c r="E238" s="76">
        <v>0</v>
      </c>
      <c r="F238" s="77">
        <v>1057.11666666667</v>
      </c>
      <c r="G238" s="77">
        <v>1693.3558333333301</v>
      </c>
      <c r="H238" s="77">
        <v>1087.8</v>
      </c>
    </row>
    <row r="239" spans="1:8" x14ac:dyDescent="0.25">
      <c r="A239" s="34">
        <f t="shared" si="7"/>
        <v>1</v>
      </c>
      <c r="B239" s="35">
        <v>235</v>
      </c>
      <c r="C239" s="36">
        <f t="shared" si="8"/>
        <v>19.583333333333332</v>
      </c>
      <c r="D239" s="76">
        <v>4.0999999999999996</v>
      </c>
      <c r="E239" s="76">
        <v>0</v>
      </c>
      <c r="F239" s="77">
        <v>1146.0999999999999</v>
      </c>
      <c r="G239" s="77">
        <v>1624.325</v>
      </c>
      <c r="H239" s="77">
        <v>1087.8</v>
      </c>
    </row>
    <row r="240" spans="1:8" x14ac:dyDescent="0.25">
      <c r="A240" s="34">
        <f t="shared" si="7"/>
        <v>1</v>
      </c>
      <c r="B240" s="35">
        <v>236</v>
      </c>
      <c r="C240" s="36">
        <f t="shared" si="8"/>
        <v>19.666666666666664</v>
      </c>
      <c r="D240" s="76">
        <v>4.06666666666667</v>
      </c>
      <c r="E240" s="76">
        <v>0</v>
      </c>
      <c r="F240" s="77">
        <v>1235.0833333333301</v>
      </c>
      <c r="G240" s="77">
        <v>1555.29416666667</v>
      </c>
      <c r="H240" s="77">
        <v>1087.8</v>
      </c>
    </row>
    <row r="241" spans="1:8" x14ac:dyDescent="0.25">
      <c r="A241" s="34">
        <f t="shared" si="7"/>
        <v>1</v>
      </c>
      <c r="B241" s="35">
        <v>237</v>
      </c>
      <c r="C241" s="36">
        <f t="shared" si="8"/>
        <v>19.75</v>
      </c>
      <c r="D241" s="76">
        <v>4.0333333333333297</v>
      </c>
      <c r="E241" s="76">
        <v>0</v>
      </c>
      <c r="F241" s="77">
        <v>1324.06666666667</v>
      </c>
      <c r="G241" s="77">
        <v>1486.2633333333299</v>
      </c>
      <c r="H241" s="77">
        <v>1087.8</v>
      </c>
    </row>
    <row r="242" spans="1:8" x14ac:dyDescent="0.25">
      <c r="A242" s="34">
        <f t="shared" si="7"/>
        <v>1</v>
      </c>
      <c r="B242" s="35">
        <v>238</v>
      </c>
      <c r="C242" s="36">
        <f t="shared" si="8"/>
        <v>19.833333333333332</v>
      </c>
      <c r="D242" s="76">
        <v>4</v>
      </c>
      <c r="E242" s="76">
        <v>0</v>
      </c>
      <c r="F242" s="77">
        <v>1413.05</v>
      </c>
      <c r="G242" s="77">
        <v>1417.2325000000001</v>
      </c>
      <c r="H242" s="77">
        <v>1087.8</v>
      </c>
    </row>
    <row r="243" spans="1:8" x14ac:dyDescent="0.25">
      <c r="A243" s="34">
        <f t="shared" si="7"/>
        <v>1</v>
      </c>
      <c r="B243" s="35">
        <v>239</v>
      </c>
      <c r="C243" s="36">
        <f t="shared" si="8"/>
        <v>19.916666666666664</v>
      </c>
      <c r="D243" s="76">
        <v>3.9666666666666699</v>
      </c>
      <c r="E243" s="76">
        <v>0</v>
      </c>
      <c r="F243" s="77">
        <v>1502.0333333333299</v>
      </c>
      <c r="G243" s="77">
        <v>1348.20166666667</v>
      </c>
      <c r="H243" s="77">
        <v>1087.8</v>
      </c>
    </row>
    <row r="244" spans="1:8" x14ac:dyDescent="0.25">
      <c r="A244" s="34">
        <f t="shared" si="7"/>
        <v>1</v>
      </c>
      <c r="B244" s="35">
        <v>240</v>
      </c>
      <c r="C244" s="36">
        <f t="shared" si="8"/>
        <v>20</v>
      </c>
      <c r="D244" s="76">
        <v>3.93333333333333</v>
      </c>
      <c r="E244" s="76">
        <v>0</v>
      </c>
      <c r="F244" s="77">
        <v>1591.0166666666701</v>
      </c>
      <c r="G244" s="77">
        <v>1279.1708333333299</v>
      </c>
      <c r="H244" s="77">
        <v>1087.8</v>
      </c>
    </row>
    <row r="245" spans="1:8" x14ac:dyDescent="0.25">
      <c r="A245" s="34">
        <f t="shared" ref="A245:A308" si="9">ROUNDUP(C245/24,0)</f>
        <v>1</v>
      </c>
      <c r="B245" s="35">
        <v>241</v>
      </c>
      <c r="C245" s="36">
        <f t="shared" ref="C245:C308" si="10">B245*$C$1</f>
        <v>20.083333333333332</v>
      </c>
      <c r="D245" s="76">
        <v>3.9</v>
      </c>
      <c r="E245" s="76">
        <v>0</v>
      </c>
      <c r="F245" s="77">
        <v>1680</v>
      </c>
      <c r="G245" s="77">
        <v>1210.1400000000001</v>
      </c>
      <c r="H245" s="77">
        <v>1087.8</v>
      </c>
    </row>
    <row r="246" spans="1:8" x14ac:dyDescent="0.25">
      <c r="A246" s="34">
        <f t="shared" si="9"/>
        <v>1</v>
      </c>
      <c r="B246" s="35">
        <v>242</v>
      </c>
      <c r="C246" s="36">
        <f t="shared" si="10"/>
        <v>20.166666666666664</v>
      </c>
      <c r="D246" s="76">
        <v>3.8833333333333302</v>
      </c>
      <c r="E246" s="76">
        <v>0</v>
      </c>
      <c r="F246" s="77">
        <v>1677.11666666667</v>
      </c>
      <c r="G246" s="77">
        <v>1197.115</v>
      </c>
      <c r="H246" s="77">
        <v>1019.81666666667</v>
      </c>
    </row>
    <row r="247" spans="1:8" x14ac:dyDescent="0.25">
      <c r="A247" s="34">
        <f t="shared" si="9"/>
        <v>1</v>
      </c>
      <c r="B247" s="35">
        <v>243</v>
      </c>
      <c r="C247" s="36">
        <f t="shared" si="10"/>
        <v>20.25</v>
      </c>
      <c r="D247" s="76">
        <v>3.8666666666666698</v>
      </c>
      <c r="E247" s="76">
        <v>0</v>
      </c>
      <c r="F247" s="77">
        <v>1674.2333333333299</v>
      </c>
      <c r="G247" s="77">
        <v>1184.0899999999999</v>
      </c>
      <c r="H247" s="77">
        <v>951.83333333333303</v>
      </c>
    </row>
    <row r="248" spans="1:8" x14ac:dyDescent="0.25">
      <c r="A248" s="34">
        <f t="shared" si="9"/>
        <v>1</v>
      </c>
      <c r="B248" s="35">
        <v>244</v>
      </c>
      <c r="C248" s="36">
        <f t="shared" si="10"/>
        <v>20.333333333333332</v>
      </c>
      <c r="D248" s="76">
        <v>3.85</v>
      </c>
      <c r="E248" s="76">
        <v>0</v>
      </c>
      <c r="F248" s="77">
        <v>1671.35</v>
      </c>
      <c r="G248" s="77">
        <v>1171.0650000000001</v>
      </c>
      <c r="H248" s="77">
        <v>883.85</v>
      </c>
    </row>
    <row r="249" spans="1:8" x14ac:dyDescent="0.25">
      <c r="A249" s="34">
        <f t="shared" si="9"/>
        <v>1</v>
      </c>
      <c r="B249" s="35">
        <v>245</v>
      </c>
      <c r="C249" s="36">
        <f t="shared" si="10"/>
        <v>20.416666666666664</v>
      </c>
      <c r="D249" s="76">
        <v>3.8333333333333299</v>
      </c>
      <c r="E249" s="76">
        <v>0</v>
      </c>
      <c r="F249" s="77">
        <v>1668.4666666666701</v>
      </c>
      <c r="G249" s="77">
        <v>1158.04</v>
      </c>
      <c r="H249" s="77">
        <v>815.86666666666702</v>
      </c>
    </row>
    <row r="250" spans="1:8" x14ac:dyDescent="0.25">
      <c r="A250" s="34">
        <f t="shared" si="9"/>
        <v>1</v>
      </c>
      <c r="B250" s="35">
        <v>246</v>
      </c>
      <c r="C250" s="36">
        <f t="shared" si="10"/>
        <v>20.5</v>
      </c>
      <c r="D250" s="76">
        <v>3.81666666666667</v>
      </c>
      <c r="E250" s="76">
        <v>0</v>
      </c>
      <c r="F250" s="77">
        <v>1665.5833333333301</v>
      </c>
      <c r="G250" s="77">
        <v>1145.0150000000001</v>
      </c>
      <c r="H250" s="77">
        <v>747.88333333333298</v>
      </c>
    </row>
    <row r="251" spans="1:8" x14ac:dyDescent="0.25">
      <c r="A251" s="34">
        <f t="shared" si="9"/>
        <v>1</v>
      </c>
      <c r="B251" s="35">
        <v>247</v>
      </c>
      <c r="C251" s="36">
        <f t="shared" si="10"/>
        <v>20.583333333333332</v>
      </c>
      <c r="D251" s="76">
        <v>3.8</v>
      </c>
      <c r="E251" s="76">
        <v>0</v>
      </c>
      <c r="F251" s="77">
        <v>1662.7</v>
      </c>
      <c r="G251" s="77">
        <v>1131.99</v>
      </c>
      <c r="H251" s="77">
        <v>679.9</v>
      </c>
    </row>
    <row r="252" spans="1:8" x14ac:dyDescent="0.25">
      <c r="A252" s="34">
        <f t="shared" si="9"/>
        <v>1</v>
      </c>
      <c r="B252" s="35">
        <v>248</v>
      </c>
      <c r="C252" s="36">
        <f t="shared" si="10"/>
        <v>20.666666666666664</v>
      </c>
      <c r="D252" s="76">
        <v>3.7833333333333301</v>
      </c>
      <c r="E252" s="76">
        <v>0</v>
      </c>
      <c r="F252" s="77">
        <v>1659.81666666667</v>
      </c>
      <c r="G252" s="77">
        <v>1118.9649999999999</v>
      </c>
      <c r="H252" s="77">
        <v>611.91666666666697</v>
      </c>
    </row>
    <row r="253" spans="1:8" x14ac:dyDescent="0.25">
      <c r="A253" s="34">
        <f t="shared" si="9"/>
        <v>1</v>
      </c>
      <c r="B253" s="35">
        <v>249</v>
      </c>
      <c r="C253" s="36">
        <f t="shared" si="10"/>
        <v>20.75</v>
      </c>
      <c r="D253" s="76">
        <v>3.7666666666666702</v>
      </c>
      <c r="E253" s="76">
        <v>0</v>
      </c>
      <c r="F253" s="77">
        <v>1656.93333333333</v>
      </c>
      <c r="G253" s="77">
        <v>1105.94</v>
      </c>
      <c r="H253" s="77">
        <v>543.93333333333305</v>
      </c>
    </row>
    <row r="254" spans="1:8" x14ac:dyDescent="0.25">
      <c r="A254" s="34">
        <f t="shared" si="9"/>
        <v>1</v>
      </c>
      <c r="B254" s="35">
        <v>250</v>
      </c>
      <c r="C254" s="36">
        <f t="shared" si="10"/>
        <v>20.833333333333332</v>
      </c>
      <c r="D254" s="76">
        <v>3.75</v>
      </c>
      <c r="E254" s="76">
        <v>0</v>
      </c>
      <c r="F254" s="77">
        <v>1654.05</v>
      </c>
      <c r="G254" s="77">
        <v>1092.915</v>
      </c>
      <c r="H254" s="77">
        <v>475.95</v>
      </c>
    </row>
    <row r="255" spans="1:8" x14ac:dyDescent="0.25">
      <c r="A255" s="34">
        <f t="shared" si="9"/>
        <v>1</v>
      </c>
      <c r="B255" s="35">
        <v>251</v>
      </c>
      <c r="C255" s="36">
        <f t="shared" si="10"/>
        <v>20.916666666666664</v>
      </c>
      <c r="D255" s="76">
        <v>3.7333333333333298</v>
      </c>
      <c r="E255" s="76">
        <v>0</v>
      </c>
      <c r="F255" s="77">
        <v>1651.1666666666699</v>
      </c>
      <c r="G255" s="77">
        <v>1079.8900000000001</v>
      </c>
      <c r="H255" s="77">
        <v>407.96666666666698</v>
      </c>
    </row>
    <row r="256" spans="1:8" x14ac:dyDescent="0.25">
      <c r="A256" s="34">
        <f t="shared" si="9"/>
        <v>1</v>
      </c>
      <c r="B256" s="35">
        <v>252</v>
      </c>
      <c r="C256" s="36">
        <f t="shared" si="10"/>
        <v>21</v>
      </c>
      <c r="D256" s="76">
        <v>3.7166666666666699</v>
      </c>
      <c r="E256" s="76">
        <v>0</v>
      </c>
      <c r="F256" s="77">
        <v>1648.2833333333299</v>
      </c>
      <c r="G256" s="77">
        <v>1066.865</v>
      </c>
      <c r="H256" s="77">
        <v>339.98333333333301</v>
      </c>
    </row>
    <row r="257" spans="1:8" x14ac:dyDescent="0.25">
      <c r="A257" s="34">
        <f t="shared" si="9"/>
        <v>1</v>
      </c>
      <c r="B257" s="35">
        <v>253</v>
      </c>
      <c r="C257" s="36">
        <f t="shared" si="10"/>
        <v>21.083333333333332</v>
      </c>
      <c r="D257" s="76">
        <v>3.7</v>
      </c>
      <c r="E257" s="76">
        <v>0</v>
      </c>
      <c r="F257" s="77">
        <v>1645.4</v>
      </c>
      <c r="G257" s="77">
        <v>1053.8399999999999</v>
      </c>
      <c r="H257" s="77">
        <v>272</v>
      </c>
    </row>
    <row r="258" spans="1:8" x14ac:dyDescent="0.25">
      <c r="A258" s="34">
        <f t="shared" si="9"/>
        <v>1</v>
      </c>
      <c r="B258" s="35">
        <v>254</v>
      </c>
      <c r="C258" s="36">
        <f t="shared" si="10"/>
        <v>21.166666666666664</v>
      </c>
      <c r="D258" s="76">
        <v>3.7</v>
      </c>
      <c r="E258" s="76">
        <v>0</v>
      </c>
      <c r="F258" s="77">
        <v>1538.2083333333301</v>
      </c>
      <c r="G258" s="77">
        <v>1007.03083333333</v>
      </c>
      <c r="H258" s="77">
        <v>255</v>
      </c>
    </row>
    <row r="259" spans="1:8" x14ac:dyDescent="0.25">
      <c r="A259" s="34">
        <f t="shared" si="9"/>
        <v>1</v>
      </c>
      <c r="B259" s="35">
        <v>255</v>
      </c>
      <c r="C259" s="36">
        <f t="shared" si="10"/>
        <v>21.25</v>
      </c>
      <c r="D259" s="76">
        <v>3.7</v>
      </c>
      <c r="E259" s="76">
        <v>0</v>
      </c>
      <c r="F259" s="77">
        <v>1431.0166666666701</v>
      </c>
      <c r="G259" s="77">
        <v>960.22166666666703</v>
      </c>
      <c r="H259" s="77">
        <v>238</v>
      </c>
    </row>
    <row r="260" spans="1:8" x14ac:dyDescent="0.25">
      <c r="A260" s="34">
        <f t="shared" si="9"/>
        <v>1</v>
      </c>
      <c r="B260" s="35">
        <v>256</v>
      </c>
      <c r="C260" s="36">
        <f t="shared" si="10"/>
        <v>21.333333333333332</v>
      </c>
      <c r="D260" s="76">
        <v>3.7</v>
      </c>
      <c r="E260" s="76">
        <v>0</v>
      </c>
      <c r="F260" s="77">
        <v>1323.825</v>
      </c>
      <c r="G260" s="77">
        <v>913.41250000000002</v>
      </c>
      <c r="H260" s="77">
        <v>221</v>
      </c>
    </row>
    <row r="261" spans="1:8" x14ac:dyDescent="0.25">
      <c r="A261" s="34">
        <f t="shared" si="9"/>
        <v>1</v>
      </c>
      <c r="B261" s="35">
        <v>257</v>
      </c>
      <c r="C261" s="36">
        <f t="shared" si="10"/>
        <v>21.416666666666664</v>
      </c>
      <c r="D261" s="76">
        <v>3.7</v>
      </c>
      <c r="E261" s="76">
        <v>0</v>
      </c>
      <c r="F261" s="77">
        <v>1216.63333333333</v>
      </c>
      <c r="G261" s="77">
        <v>866.60333333333301</v>
      </c>
      <c r="H261" s="77">
        <v>204</v>
      </c>
    </row>
    <row r="262" spans="1:8" x14ac:dyDescent="0.25">
      <c r="A262" s="34">
        <f t="shared" si="9"/>
        <v>1</v>
      </c>
      <c r="B262" s="35">
        <v>258</v>
      </c>
      <c r="C262" s="36">
        <f t="shared" si="10"/>
        <v>21.5</v>
      </c>
      <c r="D262" s="76">
        <v>3.7</v>
      </c>
      <c r="E262" s="76">
        <v>0</v>
      </c>
      <c r="F262" s="77">
        <v>1109.44166666667</v>
      </c>
      <c r="G262" s="77">
        <v>819.79416666666702</v>
      </c>
      <c r="H262" s="77">
        <v>187</v>
      </c>
    </row>
    <row r="263" spans="1:8" x14ac:dyDescent="0.25">
      <c r="A263" s="34">
        <f t="shared" si="9"/>
        <v>1</v>
      </c>
      <c r="B263" s="35">
        <v>259</v>
      </c>
      <c r="C263" s="36">
        <f t="shared" si="10"/>
        <v>21.583333333333332</v>
      </c>
      <c r="D263" s="76">
        <v>3.7</v>
      </c>
      <c r="E263" s="76">
        <v>0</v>
      </c>
      <c r="F263" s="77">
        <v>1002.25</v>
      </c>
      <c r="G263" s="77">
        <v>772.98500000000001</v>
      </c>
      <c r="H263" s="77">
        <v>170</v>
      </c>
    </row>
    <row r="264" spans="1:8" x14ac:dyDescent="0.25">
      <c r="A264" s="34">
        <f t="shared" si="9"/>
        <v>1</v>
      </c>
      <c r="B264" s="35">
        <v>260</v>
      </c>
      <c r="C264" s="36">
        <f t="shared" si="10"/>
        <v>21.666666666666664</v>
      </c>
      <c r="D264" s="76">
        <v>3.7</v>
      </c>
      <c r="E264" s="76">
        <v>0</v>
      </c>
      <c r="F264" s="77">
        <v>895.05833333333305</v>
      </c>
      <c r="G264" s="77">
        <v>726.175833333333</v>
      </c>
      <c r="H264" s="77">
        <v>153</v>
      </c>
    </row>
    <row r="265" spans="1:8" x14ac:dyDescent="0.25">
      <c r="A265" s="34">
        <f t="shared" si="9"/>
        <v>1</v>
      </c>
      <c r="B265" s="35">
        <v>261</v>
      </c>
      <c r="C265" s="36">
        <f t="shared" si="10"/>
        <v>21.75</v>
      </c>
      <c r="D265" s="76">
        <v>3.7</v>
      </c>
      <c r="E265" s="76">
        <v>0</v>
      </c>
      <c r="F265" s="77">
        <v>787.86666666666702</v>
      </c>
      <c r="G265" s="77">
        <v>679.36666666666702</v>
      </c>
      <c r="H265" s="77">
        <v>136</v>
      </c>
    </row>
    <row r="266" spans="1:8" x14ac:dyDescent="0.25">
      <c r="A266" s="34">
        <f t="shared" si="9"/>
        <v>1</v>
      </c>
      <c r="B266" s="35">
        <v>262</v>
      </c>
      <c r="C266" s="36">
        <f t="shared" si="10"/>
        <v>21.833333333333332</v>
      </c>
      <c r="D266" s="76">
        <v>3.7</v>
      </c>
      <c r="E266" s="76">
        <v>0</v>
      </c>
      <c r="F266" s="77">
        <v>680.67499999999995</v>
      </c>
      <c r="G266" s="77">
        <v>632.5575</v>
      </c>
      <c r="H266" s="77">
        <v>119</v>
      </c>
    </row>
    <row r="267" spans="1:8" x14ac:dyDescent="0.25">
      <c r="A267" s="34">
        <f t="shared" si="9"/>
        <v>1</v>
      </c>
      <c r="B267" s="35">
        <v>263</v>
      </c>
      <c r="C267" s="36">
        <f t="shared" si="10"/>
        <v>21.916666666666664</v>
      </c>
      <c r="D267" s="76">
        <v>3.7</v>
      </c>
      <c r="E267" s="76">
        <v>0</v>
      </c>
      <c r="F267" s="77">
        <v>573.48333333333301</v>
      </c>
      <c r="G267" s="77">
        <v>585.74833333333299</v>
      </c>
      <c r="H267" s="77">
        <v>102</v>
      </c>
    </row>
    <row r="268" spans="1:8" x14ac:dyDescent="0.25">
      <c r="A268" s="34">
        <f t="shared" si="9"/>
        <v>1</v>
      </c>
      <c r="B268" s="35">
        <v>264</v>
      </c>
      <c r="C268" s="36">
        <f t="shared" si="10"/>
        <v>22</v>
      </c>
      <c r="D268" s="76">
        <v>3.7</v>
      </c>
      <c r="E268" s="76">
        <v>0</v>
      </c>
      <c r="F268" s="77">
        <v>466.29166666666703</v>
      </c>
      <c r="G268" s="77">
        <v>538.93916666666701</v>
      </c>
      <c r="H268" s="77">
        <v>85</v>
      </c>
    </row>
    <row r="269" spans="1:8" x14ac:dyDescent="0.25">
      <c r="A269" s="34">
        <f t="shared" si="9"/>
        <v>1</v>
      </c>
      <c r="B269" s="35">
        <v>265</v>
      </c>
      <c r="C269" s="36">
        <f t="shared" si="10"/>
        <v>22.083333333333332</v>
      </c>
      <c r="D269" s="76">
        <v>3.7</v>
      </c>
      <c r="E269" s="76">
        <v>0</v>
      </c>
      <c r="F269" s="77">
        <v>359.1</v>
      </c>
      <c r="G269" s="77">
        <v>492.13</v>
      </c>
      <c r="H269" s="77">
        <v>68</v>
      </c>
    </row>
    <row r="270" spans="1:8" x14ac:dyDescent="0.25">
      <c r="A270" s="34">
        <f t="shared" si="9"/>
        <v>1</v>
      </c>
      <c r="B270" s="35">
        <v>266</v>
      </c>
      <c r="C270" s="36">
        <f t="shared" si="10"/>
        <v>22.166666666666664</v>
      </c>
      <c r="D270" s="76">
        <v>3.69166666666667</v>
      </c>
      <c r="E270" s="76">
        <v>0</v>
      </c>
      <c r="F270" s="77">
        <v>344.99166666666702</v>
      </c>
      <c r="G270" s="77">
        <v>451.11916666666701</v>
      </c>
      <c r="H270" s="77">
        <v>62.3333333333333</v>
      </c>
    </row>
    <row r="271" spans="1:8" x14ac:dyDescent="0.25">
      <c r="A271" s="34">
        <f t="shared" si="9"/>
        <v>1</v>
      </c>
      <c r="B271" s="35">
        <v>267</v>
      </c>
      <c r="C271" s="36">
        <f t="shared" si="10"/>
        <v>22.25</v>
      </c>
      <c r="D271" s="76">
        <v>3.68333333333333</v>
      </c>
      <c r="E271" s="76">
        <v>0</v>
      </c>
      <c r="F271" s="77">
        <v>330.88333333333298</v>
      </c>
      <c r="G271" s="77">
        <v>410.10833333333301</v>
      </c>
      <c r="H271" s="77">
        <v>56.6666666666667</v>
      </c>
    </row>
    <row r="272" spans="1:8" x14ac:dyDescent="0.25">
      <c r="A272" s="34">
        <f t="shared" si="9"/>
        <v>1</v>
      </c>
      <c r="B272" s="35">
        <v>268</v>
      </c>
      <c r="C272" s="36">
        <f t="shared" si="10"/>
        <v>22.333333333333332</v>
      </c>
      <c r="D272" s="76">
        <v>3.6749999999999998</v>
      </c>
      <c r="E272" s="76">
        <v>0</v>
      </c>
      <c r="F272" s="77">
        <v>316.77499999999998</v>
      </c>
      <c r="G272" s="77">
        <v>369.09750000000003</v>
      </c>
      <c r="H272" s="77">
        <v>51</v>
      </c>
    </row>
    <row r="273" spans="1:8" x14ac:dyDescent="0.25">
      <c r="A273" s="34">
        <f t="shared" si="9"/>
        <v>1</v>
      </c>
      <c r="B273" s="35">
        <v>269</v>
      </c>
      <c r="C273" s="36">
        <f t="shared" si="10"/>
        <v>22.416666666666664</v>
      </c>
      <c r="D273" s="76">
        <v>3.6666666666666701</v>
      </c>
      <c r="E273" s="76">
        <v>0</v>
      </c>
      <c r="F273" s="77">
        <v>302.66666666666703</v>
      </c>
      <c r="G273" s="77">
        <v>328.08666666666699</v>
      </c>
      <c r="H273" s="77">
        <v>45.3333333333333</v>
      </c>
    </row>
    <row r="274" spans="1:8" x14ac:dyDescent="0.25">
      <c r="A274" s="34">
        <f t="shared" si="9"/>
        <v>1</v>
      </c>
      <c r="B274" s="35">
        <v>270</v>
      </c>
      <c r="C274" s="36">
        <f t="shared" si="10"/>
        <v>22.5</v>
      </c>
      <c r="D274" s="76">
        <v>3.6583333333333301</v>
      </c>
      <c r="E274" s="76">
        <v>0</v>
      </c>
      <c r="F274" s="77">
        <v>288.558333333333</v>
      </c>
      <c r="G274" s="77">
        <v>287.07583333333298</v>
      </c>
      <c r="H274" s="77">
        <v>39.6666666666667</v>
      </c>
    </row>
    <row r="275" spans="1:8" x14ac:dyDescent="0.25">
      <c r="A275" s="34">
        <f t="shared" si="9"/>
        <v>1</v>
      </c>
      <c r="B275" s="35">
        <v>271</v>
      </c>
      <c r="C275" s="36">
        <f t="shared" si="10"/>
        <v>22.583333333333332</v>
      </c>
      <c r="D275" s="76">
        <v>3.65</v>
      </c>
      <c r="E275" s="76">
        <v>0</v>
      </c>
      <c r="F275" s="77">
        <v>274.45</v>
      </c>
      <c r="G275" s="77">
        <v>246.065</v>
      </c>
      <c r="H275" s="77">
        <v>34</v>
      </c>
    </row>
    <row r="276" spans="1:8" x14ac:dyDescent="0.25">
      <c r="A276" s="34">
        <f t="shared" si="9"/>
        <v>1</v>
      </c>
      <c r="B276" s="35">
        <v>272</v>
      </c>
      <c r="C276" s="36">
        <f t="shared" si="10"/>
        <v>22.666666666666664</v>
      </c>
      <c r="D276" s="76">
        <v>3.6416666666666702</v>
      </c>
      <c r="E276" s="76">
        <v>0</v>
      </c>
      <c r="F276" s="77">
        <v>260.34166666666698</v>
      </c>
      <c r="G276" s="77">
        <v>205.05416666666699</v>
      </c>
      <c r="H276" s="77">
        <v>28.3333333333333</v>
      </c>
    </row>
    <row r="277" spans="1:8" x14ac:dyDescent="0.25">
      <c r="A277" s="34">
        <f t="shared" si="9"/>
        <v>1</v>
      </c>
      <c r="B277" s="35">
        <v>273</v>
      </c>
      <c r="C277" s="36">
        <f t="shared" si="10"/>
        <v>22.75</v>
      </c>
      <c r="D277" s="76">
        <v>3.6333333333333302</v>
      </c>
      <c r="E277" s="76">
        <v>0</v>
      </c>
      <c r="F277" s="77">
        <v>246.23333333333301</v>
      </c>
      <c r="G277" s="77">
        <v>164.04333333333301</v>
      </c>
      <c r="H277" s="77">
        <v>22.6666666666667</v>
      </c>
    </row>
    <row r="278" spans="1:8" x14ac:dyDescent="0.25">
      <c r="A278" s="34">
        <f t="shared" si="9"/>
        <v>1</v>
      </c>
      <c r="B278" s="35">
        <v>274</v>
      </c>
      <c r="C278" s="36">
        <f t="shared" si="10"/>
        <v>22.833333333333332</v>
      </c>
      <c r="D278" s="76">
        <v>3.625</v>
      </c>
      <c r="E278" s="76">
        <v>0</v>
      </c>
      <c r="F278" s="77">
        <v>232.125</v>
      </c>
      <c r="G278" s="77">
        <v>123.0325</v>
      </c>
      <c r="H278" s="77">
        <v>17</v>
      </c>
    </row>
    <row r="279" spans="1:8" x14ac:dyDescent="0.25">
      <c r="A279" s="34">
        <f t="shared" si="9"/>
        <v>1</v>
      </c>
      <c r="B279" s="35">
        <v>275</v>
      </c>
      <c r="C279" s="36">
        <f t="shared" si="10"/>
        <v>22.916666666666664</v>
      </c>
      <c r="D279" s="76">
        <v>3.6166666666666698</v>
      </c>
      <c r="E279" s="76">
        <v>0</v>
      </c>
      <c r="F279" s="77">
        <v>218.01666666666699</v>
      </c>
      <c r="G279" s="77">
        <v>82.021666666666704</v>
      </c>
      <c r="H279" s="77">
        <v>11.3333333333333</v>
      </c>
    </row>
    <row r="280" spans="1:8" x14ac:dyDescent="0.25">
      <c r="A280" s="34">
        <f t="shared" si="9"/>
        <v>1</v>
      </c>
      <c r="B280" s="35">
        <v>276</v>
      </c>
      <c r="C280" s="36">
        <f t="shared" si="10"/>
        <v>23</v>
      </c>
      <c r="D280" s="76">
        <v>3.6083333333333298</v>
      </c>
      <c r="E280" s="76">
        <v>0</v>
      </c>
      <c r="F280" s="77">
        <v>203.90833333333299</v>
      </c>
      <c r="G280" s="77">
        <v>41.010833333333402</v>
      </c>
      <c r="H280" s="77">
        <v>5.6666666666666696</v>
      </c>
    </row>
    <row r="281" spans="1:8" x14ac:dyDescent="0.25">
      <c r="A281" s="34">
        <f t="shared" si="9"/>
        <v>1</v>
      </c>
      <c r="B281" s="35">
        <v>277</v>
      </c>
      <c r="C281" s="36">
        <f t="shared" si="10"/>
        <v>23.083333333333332</v>
      </c>
      <c r="D281" s="76">
        <v>3.6</v>
      </c>
      <c r="E281" s="76">
        <v>0</v>
      </c>
      <c r="F281" s="77">
        <v>189.8</v>
      </c>
      <c r="G281" s="77">
        <v>0</v>
      </c>
      <c r="H281" s="77">
        <v>0</v>
      </c>
    </row>
    <row r="282" spans="1:8" x14ac:dyDescent="0.25">
      <c r="A282" s="34">
        <f t="shared" si="9"/>
        <v>1</v>
      </c>
      <c r="B282" s="35">
        <v>278</v>
      </c>
      <c r="C282" s="36">
        <f t="shared" si="10"/>
        <v>23.166666666666664</v>
      </c>
      <c r="D282" s="76">
        <v>3.6083333333333298</v>
      </c>
      <c r="E282" s="76">
        <v>0</v>
      </c>
      <c r="F282" s="77">
        <v>187.74166666666699</v>
      </c>
      <c r="G282" s="77">
        <v>0</v>
      </c>
      <c r="H282" s="77">
        <v>0</v>
      </c>
    </row>
    <row r="283" spans="1:8" x14ac:dyDescent="0.25">
      <c r="A283" s="34">
        <f t="shared" si="9"/>
        <v>1</v>
      </c>
      <c r="B283" s="35">
        <v>279</v>
      </c>
      <c r="C283" s="36">
        <f t="shared" si="10"/>
        <v>23.25</v>
      </c>
      <c r="D283" s="76">
        <v>3.6166666666666698</v>
      </c>
      <c r="E283" s="76">
        <v>0</v>
      </c>
      <c r="F283" s="77">
        <v>185.683333333333</v>
      </c>
      <c r="G283" s="77">
        <v>0</v>
      </c>
      <c r="H283" s="77">
        <v>0</v>
      </c>
    </row>
    <row r="284" spans="1:8" x14ac:dyDescent="0.25">
      <c r="A284" s="34">
        <f t="shared" si="9"/>
        <v>1</v>
      </c>
      <c r="B284" s="35">
        <v>280</v>
      </c>
      <c r="C284" s="36">
        <f t="shared" si="10"/>
        <v>23.333333333333332</v>
      </c>
      <c r="D284" s="76">
        <v>3.625</v>
      </c>
      <c r="E284" s="76">
        <v>0</v>
      </c>
      <c r="F284" s="77">
        <v>183.625</v>
      </c>
      <c r="G284" s="77">
        <v>0</v>
      </c>
      <c r="H284" s="77">
        <v>0</v>
      </c>
    </row>
    <row r="285" spans="1:8" x14ac:dyDescent="0.25">
      <c r="A285" s="34">
        <f t="shared" si="9"/>
        <v>1</v>
      </c>
      <c r="B285" s="35">
        <v>281</v>
      </c>
      <c r="C285" s="36">
        <f t="shared" si="10"/>
        <v>23.416666666666664</v>
      </c>
      <c r="D285" s="76">
        <v>3.6333333333333302</v>
      </c>
      <c r="E285" s="76">
        <v>0</v>
      </c>
      <c r="F285" s="77">
        <v>181.566666666667</v>
      </c>
      <c r="G285" s="77">
        <v>0</v>
      </c>
      <c r="H285" s="77">
        <v>0</v>
      </c>
    </row>
    <row r="286" spans="1:8" x14ac:dyDescent="0.25">
      <c r="A286" s="34">
        <f t="shared" si="9"/>
        <v>1</v>
      </c>
      <c r="B286" s="35">
        <v>282</v>
      </c>
      <c r="C286" s="36">
        <f t="shared" si="10"/>
        <v>23.5</v>
      </c>
      <c r="D286" s="76">
        <v>3.6416666666666702</v>
      </c>
      <c r="E286" s="76">
        <v>0</v>
      </c>
      <c r="F286" s="77">
        <v>179.50833333333301</v>
      </c>
      <c r="G286" s="77">
        <v>0</v>
      </c>
      <c r="H286" s="77">
        <v>0</v>
      </c>
    </row>
    <row r="287" spans="1:8" x14ac:dyDescent="0.25">
      <c r="A287" s="34">
        <f t="shared" si="9"/>
        <v>1</v>
      </c>
      <c r="B287" s="35">
        <v>283</v>
      </c>
      <c r="C287" s="36">
        <f t="shared" si="10"/>
        <v>23.583333333333332</v>
      </c>
      <c r="D287" s="76">
        <v>3.65</v>
      </c>
      <c r="E287" s="76">
        <v>0</v>
      </c>
      <c r="F287" s="77">
        <v>177.45</v>
      </c>
      <c r="G287" s="77">
        <v>0</v>
      </c>
      <c r="H287" s="77">
        <v>0</v>
      </c>
    </row>
    <row r="288" spans="1:8" x14ac:dyDescent="0.25">
      <c r="A288" s="34">
        <f t="shared" si="9"/>
        <v>1</v>
      </c>
      <c r="B288" s="35">
        <v>284</v>
      </c>
      <c r="C288" s="36">
        <f t="shared" si="10"/>
        <v>23.666666666666664</v>
      </c>
      <c r="D288" s="76">
        <v>3.6583333333333301</v>
      </c>
      <c r="E288" s="76">
        <v>0</v>
      </c>
      <c r="F288" s="77">
        <v>175.39166666666699</v>
      </c>
      <c r="G288" s="77">
        <v>0</v>
      </c>
      <c r="H288" s="77">
        <v>0</v>
      </c>
    </row>
    <row r="289" spans="1:8" x14ac:dyDescent="0.25">
      <c r="A289" s="34">
        <f t="shared" si="9"/>
        <v>1</v>
      </c>
      <c r="B289" s="35">
        <v>285</v>
      </c>
      <c r="C289" s="36">
        <f t="shared" si="10"/>
        <v>23.75</v>
      </c>
      <c r="D289" s="76">
        <v>3.6666666666666701</v>
      </c>
      <c r="E289" s="76">
        <v>0</v>
      </c>
      <c r="F289" s="77">
        <v>173.333333333333</v>
      </c>
      <c r="G289" s="77">
        <v>0</v>
      </c>
      <c r="H289" s="77">
        <v>0</v>
      </c>
    </row>
    <row r="290" spans="1:8" x14ac:dyDescent="0.25">
      <c r="A290" s="34">
        <f t="shared" si="9"/>
        <v>1</v>
      </c>
      <c r="B290" s="35">
        <v>286</v>
      </c>
      <c r="C290" s="36">
        <f t="shared" si="10"/>
        <v>23.833333333333332</v>
      </c>
      <c r="D290" s="76">
        <v>3.6749999999999998</v>
      </c>
      <c r="E290" s="76">
        <v>0</v>
      </c>
      <c r="F290" s="77">
        <v>171.27500000000001</v>
      </c>
      <c r="G290" s="77">
        <v>0</v>
      </c>
      <c r="H290" s="77">
        <v>0</v>
      </c>
    </row>
    <row r="291" spans="1:8" x14ac:dyDescent="0.25">
      <c r="A291" s="34">
        <f t="shared" si="9"/>
        <v>1</v>
      </c>
      <c r="B291" s="35">
        <v>287</v>
      </c>
      <c r="C291" s="36">
        <f t="shared" si="10"/>
        <v>23.916666666666664</v>
      </c>
      <c r="D291" s="76">
        <v>3.68333333333333</v>
      </c>
      <c r="E291" s="76">
        <v>0</v>
      </c>
      <c r="F291" s="77">
        <v>169.21666666666701</v>
      </c>
      <c r="G291" s="77">
        <v>0</v>
      </c>
      <c r="H291" s="77">
        <v>0</v>
      </c>
    </row>
    <row r="292" spans="1:8" x14ac:dyDescent="0.25">
      <c r="A292" s="34">
        <f t="shared" si="9"/>
        <v>1</v>
      </c>
      <c r="B292" s="35">
        <v>288</v>
      </c>
      <c r="C292" s="36">
        <f t="shared" si="10"/>
        <v>24</v>
      </c>
      <c r="D292" s="76">
        <v>3.69166666666667</v>
      </c>
      <c r="E292" s="76">
        <v>0</v>
      </c>
      <c r="F292" s="77">
        <v>167.15833333333299</v>
      </c>
      <c r="G292" s="77">
        <v>0</v>
      </c>
      <c r="H292" s="77">
        <v>0</v>
      </c>
    </row>
    <row r="293" spans="1:8" x14ac:dyDescent="0.25">
      <c r="A293" s="34">
        <f t="shared" si="9"/>
        <v>2</v>
      </c>
      <c r="B293" s="35">
        <v>289</v>
      </c>
      <c r="C293" s="36">
        <f t="shared" si="10"/>
        <v>24.083333333333332</v>
      </c>
      <c r="D293" s="76">
        <v>3.7</v>
      </c>
      <c r="E293" s="76">
        <v>0</v>
      </c>
      <c r="F293" s="77">
        <v>165.1</v>
      </c>
      <c r="G293" s="77">
        <v>0</v>
      </c>
      <c r="H293" s="77">
        <v>0</v>
      </c>
    </row>
    <row r="294" spans="1:8" x14ac:dyDescent="0.25">
      <c r="A294" s="34">
        <f t="shared" si="9"/>
        <v>2</v>
      </c>
      <c r="B294" s="35">
        <v>290</v>
      </c>
      <c r="C294" s="36">
        <f t="shared" si="10"/>
        <v>24.166666666666664</v>
      </c>
      <c r="D294" s="76">
        <v>3.7083333333333299</v>
      </c>
      <c r="E294" s="76">
        <v>0</v>
      </c>
      <c r="F294" s="77">
        <v>162.125</v>
      </c>
      <c r="G294" s="77">
        <v>0</v>
      </c>
      <c r="H294" s="77">
        <v>0</v>
      </c>
    </row>
    <row r="295" spans="1:8" x14ac:dyDescent="0.25">
      <c r="A295" s="34">
        <f t="shared" si="9"/>
        <v>2</v>
      </c>
      <c r="B295" s="35">
        <v>291</v>
      </c>
      <c r="C295" s="36">
        <f t="shared" si="10"/>
        <v>24.25</v>
      </c>
      <c r="D295" s="76">
        <v>3.7166666666666699</v>
      </c>
      <c r="E295" s="76">
        <v>0</v>
      </c>
      <c r="F295" s="77">
        <v>159.15</v>
      </c>
      <c r="G295" s="77">
        <v>0</v>
      </c>
      <c r="H295" s="77">
        <v>0</v>
      </c>
    </row>
    <row r="296" spans="1:8" x14ac:dyDescent="0.25">
      <c r="A296" s="34">
        <f t="shared" si="9"/>
        <v>2</v>
      </c>
      <c r="B296" s="35">
        <v>292</v>
      </c>
      <c r="C296" s="36">
        <f t="shared" si="10"/>
        <v>24.333333333333332</v>
      </c>
      <c r="D296" s="76">
        <v>3.7250000000000001</v>
      </c>
      <c r="E296" s="76">
        <v>0</v>
      </c>
      <c r="F296" s="77">
        <v>156.17500000000001</v>
      </c>
      <c r="G296" s="77">
        <v>0</v>
      </c>
      <c r="H296" s="77">
        <v>0</v>
      </c>
    </row>
    <row r="297" spans="1:8" x14ac:dyDescent="0.25">
      <c r="A297" s="34">
        <f t="shared" si="9"/>
        <v>2</v>
      </c>
      <c r="B297" s="35">
        <v>293</v>
      </c>
      <c r="C297" s="36">
        <f t="shared" si="10"/>
        <v>24.416666666666664</v>
      </c>
      <c r="D297" s="76">
        <v>3.7333333333333298</v>
      </c>
      <c r="E297" s="76">
        <v>0</v>
      </c>
      <c r="F297" s="77">
        <v>153.19999999999999</v>
      </c>
      <c r="G297" s="77">
        <v>0</v>
      </c>
      <c r="H297" s="77">
        <v>0</v>
      </c>
    </row>
    <row r="298" spans="1:8" x14ac:dyDescent="0.25">
      <c r="A298" s="34">
        <f t="shared" si="9"/>
        <v>2</v>
      </c>
      <c r="B298" s="35">
        <v>294</v>
      </c>
      <c r="C298" s="36">
        <f t="shared" si="10"/>
        <v>24.5</v>
      </c>
      <c r="D298" s="76">
        <v>3.7416666666666698</v>
      </c>
      <c r="E298" s="76">
        <v>0</v>
      </c>
      <c r="F298" s="77">
        <v>150.22499999999999</v>
      </c>
      <c r="G298" s="77">
        <v>0</v>
      </c>
      <c r="H298" s="77">
        <v>0</v>
      </c>
    </row>
    <row r="299" spans="1:8" x14ac:dyDescent="0.25">
      <c r="A299" s="34">
        <f t="shared" si="9"/>
        <v>2</v>
      </c>
      <c r="B299" s="35">
        <v>295</v>
      </c>
      <c r="C299" s="36">
        <f t="shared" si="10"/>
        <v>24.583333333333332</v>
      </c>
      <c r="D299" s="76">
        <v>3.75</v>
      </c>
      <c r="E299" s="76">
        <v>0</v>
      </c>
      <c r="F299" s="77">
        <v>147.25</v>
      </c>
      <c r="G299" s="77">
        <v>0</v>
      </c>
      <c r="H299" s="77">
        <v>0</v>
      </c>
    </row>
    <row r="300" spans="1:8" x14ac:dyDescent="0.25">
      <c r="A300" s="34">
        <f t="shared" si="9"/>
        <v>2</v>
      </c>
      <c r="B300" s="35">
        <v>296</v>
      </c>
      <c r="C300" s="36">
        <f t="shared" si="10"/>
        <v>24.666666666666664</v>
      </c>
      <c r="D300" s="76">
        <v>3.7583333333333302</v>
      </c>
      <c r="E300" s="76">
        <v>0</v>
      </c>
      <c r="F300" s="77">
        <v>144.27500000000001</v>
      </c>
      <c r="G300" s="77">
        <v>0</v>
      </c>
      <c r="H300" s="77">
        <v>0</v>
      </c>
    </row>
    <row r="301" spans="1:8" x14ac:dyDescent="0.25">
      <c r="A301" s="34">
        <f t="shared" si="9"/>
        <v>2</v>
      </c>
      <c r="B301" s="35">
        <v>297</v>
      </c>
      <c r="C301" s="36">
        <f t="shared" si="10"/>
        <v>24.75</v>
      </c>
      <c r="D301" s="76">
        <v>3.7666666666666702</v>
      </c>
      <c r="E301" s="76">
        <v>0</v>
      </c>
      <c r="F301" s="77">
        <v>141.30000000000001</v>
      </c>
      <c r="G301" s="77">
        <v>0</v>
      </c>
      <c r="H301" s="77">
        <v>0</v>
      </c>
    </row>
    <row r="302" spans="1:8" x14ac:dyDescent="0.25">
      <c r="A302" s="34">
        <f t="shared" si="9"/>
        <v>2</v>
      </c>
      <c r="B302" s="35">
        <v>298</v>
      </c>
      <c r="C302" s="36">
        <f t="shared" si="10"/>
        <v>24.833333333333332</v>
      </c>
      <c r="D302" s="76">
        <v>3.7749999999999999</v>
      </c>
      <c r="E302" s="76">
        <v>0</v>
      </c>
      <c r="F302" s="77">
        <v>138.32499999999999</v>
      </c>
      <c r="G302" s="77">
        <v>0</v>
      </c>
      <c r="H302" s="77">
        <v>0</v>
      </c>
    </row>
    <row r="303" spans="1:8" x14ac:dyDescent="0.25">
      <c r="A303" s="34">
        <f t="shared" si="9"/>
        <v>2</v>
      </c>
      <c r="B303" s="35">
        <v>299</v>
      </c>
      <c r="C303" s="36">
        <f t="shared" si="10"/>
        <v>24.916666666666664</v>
      </c>
      <c r="D303" s="76">
        <v>3.7833333333333301</v>
      </c>
      <c r="E303" s="76">
        <v>0</v>
      </c>
      <c r="F303" s="77">
        <v>135.35</v>
      </c>
      <c r="G303" s="77">
        <v>0</v>
      </c>
      <c r="H303" s="77">
        <v>0</v>
      </c>
    </row>
    <row r="304" spans="1:8" x14ac:dyDescent="0.25">
      <c r="A304" s="34">
        <f t="shared" si="9"/>
        <v>2</v>
      </c>
      <c r="B304" s="35">
        <v>300</v>
      </c>
      <c r="C304" s="36">
        <f t="shared" si="10"/>
        <v>25</v>
      </c>
      <c r="D304" s="76">
        <v>3.7916666666666701</v>
      </c>
      <c r="E304" s="76">
        <v>0</v>
      </c>
      <c r="F304" s="77">
        <v>132.375</v>
      </c>
      <c r="G304" s="77">
        <v>0</v>
      </c>
      <c r="H304" s="77">
        <v>0</v>
      </c>
    </row>
    <row r="305" spans="1:8" x14ac:dyDescent="0.25">
      <c r="A305" s="34">
        <f t="shared" si="9"/>
        <v>2</v>
      </c>
      <c r="B305" s="35">
        <v>301</v>
      </c>
      <c r="C305" s="36">
        <f t="shared" si="10"/>
        <v>25.083333333333332</v>
      </c>
      <c r="D305" s="76">
        <v>3.8</v>
      </c>
      <c r="E305" s="76">
        <v>0</v>
      </c>
      <c r="F305" s="77">
        <v>129.4</v>
      </c>
      <c r="G305" s="77">
        <v>0</v>
      </c>
      <c r="H305" s="77">
        <v>0</v>
      </c>
    </row>
    <row r="306" spans="1:8" x14ac:dyDescent="0.25">
      <c r="A306" s="34">
        <f t="shared" si="9"/>
        <v>2</v>
      </c>
      <c r="B306" s="35">
        <v>302</v>
      </c>
      <c r="C306" s="36">
        <f t="shared" si="10"/>
        <v>25.166666666666664</v>
      </c>
      <c r="D306" s="76">
        <v>3.81666666666667</v>
      </c>
      <c r="E306" s="76">
        <v>0</v>
      </c>
      <c r="F306" s="77">
        <v>128.96666666666701</v>
      </c>
      <c r="G306" s="77">
        <v>0</v>
      </c>
      <c r="H306" s="77">
        <v>0</v>
      </c>
    </row>
    <row r="307" spans="1:8" x14ac:dyDescent="0.25">
      <c r="A307" s="34">
        <f t="shared" si="9"/>
        <v>2</v>
      </c>
      <c r="B307" s="35">
        <v>303</v>
      </c>
      <c r="C307" s="36">
        <f t="shared" si="10"/>
        <v>25.25</v>
      </c>
      <c r="D307" s="76">
        <v>3.8333333333333299</v>
      </c>
      <c r="E307" s="76">
        <v>0</v>
      </c>
      <c r="F307" s="77">
        <v>128.53333333333299</v>
      </c>
      <c r="G307" s="77">
        <v>0</v>
      </c>
      <c r="H307" s="77">
        <v>0</v>
      </c>
    </row>
    <row r="308" spans="1:8" x14ac:dyDescent="0.25">
      <c r="A308" s="34">
        <f t="shared" si="9"/>
        <v>2</v>
      </c>
      <c r="B308" s="35">
        <v>304</v>
      </c>
      <c r="C308" s="36">
        <f t="shared" si="10"/>
        <v>25.333333333333332</v>
      </c>
      <c r="D308" s="76">
        <v>3.85</v>
      </c>
      <c r="E308" s="76">
        <v>0</v>
      </c>
      <c r="F308" s="77">
        <v>128.1</v>
      </c>
      <c r="G308" s="77">
        <v>0</v>
      </c>
      <c r="H308" s="77">
        <v>0</v>
      </c>
    </row>
    <row r="309" spans="1:8" x14ac:dyDescent="0.25">
      <c r="A309" s="34">
        <f t="shared" ref="A309:A372" si="11">ROUNDUP(C309/24,0)</f>
        <v>2</v>
      </c>
      <c r="B309" s="35">
        <v>305</v>
      </c>
      <c r="C309" s="36">
        <f t="shared" ref="C309:C372" si="12">B309*$C$1</f>
        <v>25.416666666666664</v>
      </c>
      <c r="D309" s="76">
        <v>3.8666666666666698</v>
      </c>
      <c r="E309" s="76">
        <v>0</v>
      </c>
      <c r="F309" s="77">
        <v>127.666666666667</v>
      </c>
      <c r="G309" s="77">
        <v>0</v>
      </c>
      <c r="H309" s="77">
        <v>0</v>
      </c>
    </row>
    <row r="310" spans="1:8" x14ac:dyDescent="0.25">
      <c r="A310" s="34">
        <f t="shared" si="11"/>
        <v>2</v>
      </c>
      <c r="B310" s="35">
        <v>306</v>
      </c>
      <c r="C310" s="36">
        <f t="shared" si="12"/>
        <v>25.5</v>
      </c>
      <c r="D310" s="76">
        <v>3.8833333333333302</v>
      </c>
      <c r="E310" s="76">
        <v>0</v>
      </c>
      <c r="F310" s="77">
        <v>127.23333333333299</v>
      </c>
      <c r="G310" s="77">
        <v>0</v>
      </c>
      <c r="H310" s="77">
        <v>0</v>
      </c>
    </row>
    <row r="311" spans="1:8" x14ac:dyDescent="0.25">
      <c r="A311" s="34">
        <f t="shared" si="11"/>
        <v>2</v>
      </c>
      <c r="B311" s="35">
        <v>307</v>
      </c>
      <c r="C311" s="36">
        <f t="shared" si="12"/>
        <v>25.583333333333332</v>
      </c>
      <c r="D311" s="76">
        <v>3.9</v>
      </c>
      <c r="E311" s="76">
        <v>0</v>
      </c>
      <c r="F311" s="77">
        <v>126.8</v>
      </c>
      <c r="G311" s="77">
        <v>0</v>
      </c>
      <c r="H311" s="77">
        <v>0</v>
      </c>
    </row>
    <row r="312" spans="1:8" x14ac:dyDescent="0.25">
      <c r="A312" s="34">
        <f t="shared" si="11"/>
        <v>2</v>
      </c>
      <c r="B312" s="35">
        <v>308</v>
      </c>
      <c r="C312" s="36">
        <f t="shared" si="12"/>
        <v>25.666666666666664</v>
      </c>
      <c r="D312" s="76">
        <v>3.9166666666666701</v>
      </c>
      <c r="E312" s="76">
        <v>0</v>
      </c>
      <c r="F312" s="77">
        <v>126.366666666667</v>
      </c>
      <c r="G312" s="77">
        <v>0</v>
      </c>
      <c r="H312" s="77">
        <v>0</v>
      </c>
    </row>
    <row r="313" spans="1:8" x14ac:dyDescent="0.25">
      <c r="A313" s="34">
        <f t="shared" si="11"/>
        <v>2</v>
      </c>
      <c r="B313" s="35">
        <v>309</v>
      </c>
      <c r="C313" s="36">
        <f t="shared" si="12"/>
        <v>25.75</v>
      </c>
      <c r="D313" s="76">
        <v>3.93333333333333</v>
      </c>
      <c r="E313" s="76">
        <v>0</v>
      </c>
      <c r="F313" s="77">
        <v>125.933333333333</v>
      </c>
      <c r="G313" s="77">
        <v>0</v>
      </c>
      <c r="H313" s="77">
        <v>0</v>
      </c>
    </row>
    <row r="314" spans="1:8" x14ac:dyDescent="0.25">
      <c r="A314" s="34">
        <f t="shared" si="11"/>
        <v>2</v>
      </c>
      <c r="B314" s="35">
        <v>310</v>
      </c>
      <c r="C314" s="36">
        <f t="shared" si="12"/>
        <v>25.833333333333332</v>
      </c>
      <c r="D314" s="76">
        <v>3.95</v>
      </c>
      <c r="E314" s="76">
        <v>0</v>
      </c>
      <c r="F314" s="77">
        <v>125.5</v>
      </c>
      <c r="G314" s="77">
        <v>0</v>
      </c>
      <c r="H314" s="77">
        <v>0</v>
      </c>
    </row>
    <row r="315" spans="1:8" x14ac:dyDescent="0.25">
      <c r="A315" s="34">
        <f t="shared" si="11"/>
        <v>2</v>
      </c>
      <c r="B315" s="35">
        <v>311</v>
      </c>
      <c r="C315" s="36">
        <f t="shared" si="12"/>
        <v>25.916666666666664</v>
      </c>
      <c r="D315" s="76">
        <v>3.9666666666666699</v>
      </c>
      <c r="E315" s="76">
        <v>0</v>
      </c>
      <c r="F315" s="77">
        <v>125.066666666667</v>
      </c>
      <c r="G315" s="77">
        <v>0</v>
      </c>
      <c r="H315" s="77">
        <v>0</v>
      </c>
    </row>
    <row r="316" spans="1:8" x14ac:dyDescent="0.25">
      <c r="A316" s="34">
        <f t="shared" si="11"/>
        <v>2</v>
      </c>
      <c r="B316" s="35">
        <v>312</v>
      </c>
      <c r="C316" s="36">
        <f t="shared" si="12"/>
        <v>26</v>
      </c>
      <c r="D316" s="76">
        <v>3.9833333333333298</v>
      </c>
      <c r="E316" s="76">
        <v>0</v>
      </c>
      <c r="F316" s="77">
        <v>124.633333333333</v>
      </c>
      <c r="G316" s="77">
        <v>0</v>
      </c>
      <c r="H316" s="77">
        <v>0</v>
      </c>
    </row>
    <row r="317" spans="1:8" x14ac:dyDescent="0.25">
      <c r="A317" s="34">
        <f t="shared" si="11"/>
        <v>2</v>
      </c>
      <c r="B317" s="35">
        <v>313</v>
      </c>
      <c r="C317" s="36">
        <f t="shared" si="12"/>
        <v>26.083333333333332</v>
      </c>
      <c r="D317" s="76">
        <v>4</v>
      </c>
      <c r="E317" s="76">
        <v>0</v>
      </c>
      <c r="F317" s="77">
        <v>124.2</v>
      </c>
      <c r="G317" s="77">
        <v>0</v>
      </c>
      <c r="H317" s="77">
        <v>0</v>
      </c>
    </row>
    <row r="318" spans="1:8" x14ac:dyDescent="0.25">
      <c r="A318" s="34">
        <f t="shared" si="11"/>
        <v>2</v>
      </c>
      <c r="B318" s="35">
        <v>314</v>
      </c>
      <c r="C318" s="36">
        <f t="shared" si="12"/>
        <v>26.166666666666664</v>
      </c>
      <c r="D318" s="76">
        <v>3.9916666666666698</v>
      </c>
      <c r="E318" s="76">
        <v>0</v>
      </c>
      <c r="F318" s="77">
        <v>124.283333333333</v>
      </c>
      <c r="G318" s="77">
        <v>0</v>
      </c>
      <c r="H318" s="77">
        <v>0</v>
      </c>
    </row>
    <row r="319" spans="1:8" x14ac:dyDescent="0.25">
      <c r="A319" s="34">
        <f t="shared" si="11"/>
        <v>2</v>
      </c>
      <c r="B319" s="35">
        <v>315</v>
      </c>
      <c r="C319" s="36">
        <f t="shared" si="12"/>
        <v>26.25</v>
      </c>
      <c r="D319" s="76">
        <v>3.9833333333333298</v>
      </c>
      <c r="E319" s="76">
        <v>0</v>
      </c>
      <c r="F319" s="77">
        <v>124.366666666667</v>
      </c>
      <c r="G319" s="77">
        <v>0</v>
      </c>
      <c r="H319" s="77">
        <v>0</v>
      </c>
    </row>
    <row r="320" spans="1:8" x14ac:dyDescent="0.25">
      <c r="A320" s="34">
        <f t="shared" si="11"/>
        <v>2</v>
      </c>
      <c r="B320" s="35">
        <v>316</v>
      </c>
      <c r="C320" s="36">
        <f t="shared" si="12"/>
        <v>26.333333333333332</v>
      </c>
      <c r="D320" s="76">
        <v>3.9750000000000001</v>
      </c>
      <c r="E320" s="76">
        <v>0</v>
      </c>
      <c r="F320" s="77">
        <v>124.45</v>
      </c>
      <c r="G320" s="77">
        <v>0</v>
      </c>
      <c r="H320" s="77">
        <v>0</v>
      </c>
    </row>
    <row r="321" spans="1:8" x14ac:dyDescent="0.25">
      <c r="A321" s="34">
        <f t="shared" si="11"/>
        <v>2</v>
      </c>
      <c r="B321" s="35">
        <v>317</v>
      </c>
      <c r="C321" s="36">
        <f t="shared" si="12"/>
        <v>26.416666666666664</v>
      </c>
      <c r="D321" s="76">
        <v>3.9666666666666699</v>
      </c>
      <c r="E321" s="76">
        <v>0</v>
      </c>
      <c r="F321" s="77">
        <v>124.533333333333</v>
      </c>
      <c r="G321" s="77">
        <v>0</v>
      </c>
      <c r="H321" s="77">
        <v>0</v>
      </c>
    </row>
    <row r="322" spans="1:8" x14ac:dyDescent="0.25">
      <c r="A322" s="34">
        <f t="shared" si="11"/>
        <v>2</v>
      </c>
      <c r="B322" s="35">
        <v>318</v>
      </c>
      <c r="C322" s="36">
        <f t="shared" si="12"/>
        <v>26.5</v>
      </c>
      <c r="D322" s="76">
        <v>3.9583333333333299</v>
      </c>
      <c r="E322" s="76">
        <v>0</v>
      </c>
      <c r="F322" s="77">
        <v>124.616666666667</v>
      </c>
      <c r="G322" s="77">
        <v>0</v>
      </c>
      <c r="H322" s="77">
        <v>0</v>
      </c>
    </row>
    <row r="323" spans="1:8" x14ac:dyDescent="0.25">
      <c r="A323" s="34">
        <f t="shared" si="11"/>
        <v>2</v>
      </c>
      <c r="B323" s="35">
        <v>319</v>
      </c>
      <c r="C323" s="36">
        <f t="shared" si="12"/>
        <v>26.583333333333332</v>
      </c>
      <c r="D323" s="76">
        <v>3.95</v>
      </c>
      <c r="E323" s="76">
        <v>0</v>
      </c>
      <c r="F323" s="77">
        <v>124.7</v>
      </c>
      <c r="G323" s="77">
        <v>0</v>
      </c>
      <c r="H323" s="77">
        <v>0</v>
      </c>
    </row>
    <row r="324" spans="1:8" x14ac:dyDescent="0.25">
      <c r="A324" s="34">
        <f t="shared" si="11"/>
        <v>2</v>
      </c>
      <c r="B324" s="35">
        <v>320</v>
      </c>
      <c r="C324" s="36">
        <f t="shared" si="12"/>
        <v>26.666666666666664</v>
      </c>
      <c r="D324" s="76">
        <v>3.94166666666667</v>
      </c>
      <c r="E324" s="76">
        <v>0</v>
      </c>
      <c r="F324" s="77">
        <v>124.783333333333</v>
      </c>
      <c r="G324" s="77">
        <v>0</v>
      </c>
      <c r="H324" s="77">
        <v>0</v>
      </c>
    </row>
    <row r="325" spans="1:8" x14ac:dyDescent="0.25">
      <c r="A325" s="34">
        <f t="shared" si="11"/>
        <v>2</v>
      </c>
      <c r="B325" s="35">
        <v>321</v>
      </c>
      <c r="C325" s="36">
        <f t="shared" si="12"/>
        <v>26.75</v>
      </c>
      <c r="D325" s="76">
        <v>3.93333333333333</v>
      </c>
      <c r="E325" s="76">
        <v>0</v>
      </c>
      <c r="F325" s="77">
        <v>124.866666666667</v>
      </c>
      <c r="G325" s="77">
        <v>0</v>
      </c>
      <c r="H325" s="77">
        <v>0</v>
      </c>
    </row>
    <row r="326" spans="1:8" x14ac:dyDescent="0.25">
      <c r="A326" s="34">
        <f t="shared" si="11"/>
        <v>2</v>
      </c>
      <c r="B326" s="35">
        <v>322</v>
      </c>
      <c r="C326" s="36">
        <f t="shared" si="12"/>
        <v>26.833333333333332</v>
      </c>
      <c r="D326" s="76">
        <v>3.9249999999999998</v>
      </c>
      <c r="E326" s="76">
        <v>0</v>
      </c>
      <c r="F326" s="77">
        <v>124.95</v>
      </c>
      <c r="G326" s="77">
        <v>0</v>
      </c>
      <c r="H326" s="77">
        <v>0</v>
      </c>
    </row>
    <row r="327" spans="1:8" x14ac:dyDescent="0.25">
      <c r="A327" s="34">
        <f t="shared" si="11"/>
        <v>2</v>
      </c>
      <c r="B327" s="35">
        <v>323</v>
      </c>
      <c r="C327" s="36">
        <f t="shared" si="12"/>
        <v>26.916666666666664</v>
      </c>
      <c r="D327" s="76">
        <v>3.9166666666666701</v>
      </c>
      <c r="E327" s="76">
        <v>0</v>
      </c>
      <c r="F327" s="77">
        <v>125.033333333333</v>
      </c>
      <c r="G327" s="77">
        <v>0</v>
      </c>
      <c r="H327" s="77">
        <v>0</v>
      </c>
    </row>
    <row r="328" spans="1:8" x14ac:dyDescent="0.25">
      <c r="A328" s="34">
        <f t="shared" si="11"/>
        <v>2</v>
      </c>
      <c r="B328" s="35">
        <v>324</v>
      </c>
      <c r="C328" s="36">
        <f t="shared" si="12"/>
        <v>27</v>
      </c>
      <c r="D328" s="76">
        <v>3.9083333333333301</v>
      </c>
      <c r="E328" s="76">
        <v>0</v>
      </c>
      <c r="F328" s="77">
        <v>125.116666666667</v>
      </c>
      <c r="G328" s="77">
        <v>0</v>
      </c>
      <c r="H328" s="77">
        <v>0</v>
      </c>
    </row>
    <row r="329" spans="1:8" x14ac:dyDescent="0.25">
      <c r="A329" s="34">
        <f t="shared" si="11"/>
        <v>2</v>
      </c>
      <c r="B329" s="35">
        <v>325</v>
      </c>
      <c r="C329" s="36">
        <f t="shared" si="12"/>
        <v>27.083333333333332</v>
      </c>
      <c r="D329" s="76">
        <v>3.9</v>
      </c>
      <c r="E329" s="76">
        <v>0</v>
      </c>
      <c r="F329" s="77">
        <v>125.2</v>
      </c>
      <c r="G329" s="77">
        <v>0</v>
      </c>
      <c r="H329" s="77">
        <v>0</v>
      </c>
    </row>
    <row r="330" spans="1:8" x14ac:dyDescent="0.25">
      <c r="A330" s="34">
        <f t="shared" si="11"/>
        <v>2</v>
      </c>
      <c r="B330" s="35">
        <v>326</v>
      </c>
      <c r="C330" s="36">
        <f t="shared" si="12"/>
        <v>27.166666666666664</v>
      </c>
      <c r="D330" s="76">
        <v>3.9083333333333301</v>
      </c>
      <c r="E330" s="76">
        <v>0</v>
      </c>
      <c r="F330" s="77">
        <v>124.85</v>
      </c>
      <c r="G330" s="77">
        <v>0</v>
      </c>
      <c r="H330" s="77">
        <v>0</v>
      </c>
    </row>
    <row r="331" spans="1:8" x14ac:dyDescent="0.25">
      <c r="A331" s="34">
        <f t="shared" si="11"/>
        <v>2</v>
      </c>
      <c r="B331" s="35">
        <v>327</v>
      </c>
      <c r="C331" s="36">
        <f t="shared" si="12"/>
        <v>27.25</v>
      </c>
      <c r="D331" s="76">
        <v>3.9166666666666701</v>
      </c>
      <c r="E331" s="76">
        <v>0</v>
      </c>
      <c r="F331" s="77">
        <v>124.5</v>
      </c>
      <c r="G331" s="77">
        <v>0</v>
      </c>
      <c r="H331" s="77">
        <v>0</v>
      </c>
    </row>
    <row r="332" spans="1:8" x14ac:dyDescent="0.25">
      <c r="A332" s="34">
        <f t="shared" si="11"/>
        <v>2</v>
      </c>
      <c r="B332" s="35">
        <v>328</v>
      </c>
      <c r="C332" s="36">
        <f t="shared" si="12"/>
        <v>27.333333333333332</v>
      </c>
      <c r="D332" s="76">
        <v>3.9249999999999998</v>
      </c>
      <c r="E332" s="76">
        <v>0</v>
      </c>
      <c r="F332" s="77">
        <v>124.15</v>
      </c>
      <c r="G332" s="77">
        <v>0</v>
      </c>
      <c r="H332" s="77">
        <v>0</v>
      </c>
    </row>
    <row r="333" spans="1:8" x14ac:dyDescent="0.25">
      <c r="A333" s="34">
        <f t="shared" si="11"/>
        <v>2</v>
      </c>
      <c r="B333" s="35">
        <v>329</v>
      </c>
      <c r="C333" s="36">
        <f t="shared" si="12"/>
        <v>27.416666666666664</v>
      </c>
      <c r="D333" s="76">
        <v>3.93333333333333</v>
      </c>
      <c r="E333" s="76">
        <v>0</v>
      </c>
      <c r="F333" s="77">
        <v>123.8</v>
      </c>
      <c r="G333" s="77">
        <v>0</v>
      </c>
      <c r="H333" s="77">
        <v>0</v>
      </c>
    </row>
    <row r="334" spans="1:8" x14ac:dyDescent="0.25">
      <c r="A334" s="34">
        <f t="shared" si="11"/>
        <v>2</v>
      </c>
      <c r="B334" s="35">
        <v>330</v>
      </c>
      <c r="C334" s="36">
        <f t="shared" si="12"/>
        <v>27.5</v>
      </c>
      <c r="D334" s="76">
        <v>3.94166666666667</v>
      </c>
      <c r="E334" s="76">
        <v>0</v>
      </c>
      <c r="F334" s="77">
        <v>123.45</v>
      </c>
      <c r="G334" s="77">
        <v>0</v>
      </c>
      <c r="H334" s="77">
        <v>0</v>
      </c>
    </row>
    <row r="335" spans="1:8" x14ac:dyDescent="0.25">
      <c r="A335" s="34">
        <f t="shared" si="11"/>
        <v>2</v>
      </c>
      <c r="B335" s="35">
        <v>331</v>
      </c>
      <c r="C335" s="36">
        <f t="shared" si="12"/>
        <v>27.583333333333332</v>
      </c>
      <c r="D335" s="76">
        <v>3.95</v>
      </c>
      <c r="E335" s="76">
        <v>0</v>
      </c>
      <c r="F335" s="77">
        <v>123.1</v>
      </c>
      <c r="G335" s="77">
        <v>0</v>
      </c>
      <c r="H335" s="77">
        <v>0</v>
      </c>
    </row>
    <row r="336" spans="1:8" x14ac:dyDescent="0.25">
      <c r="A336" s="34">
        <f t="shared" si="11"/>
        <v>2</v>
      </c>
      <c r="B336" s="35">
        <v>332</v>
      </c>
      <c r="C336" s="36">
        <f t="shared" si="12"/>
        <v>27.666666666666664</v>
      </c>
      <c r="D336" s="76">
        <v>3.9583333333333299</v>
      </c>
      <c r="E336" s="76">
        <v>0</v>
      </c>
      <c r="F336" s="77">
        <v>122.75</v>
      </c>
      <c r="G336" s="77">
        <v>0</v>
      </c>
      <c r="H336" s="77">
        <v>0</v>
      </c>
    </row>
    <row r="337" spans="1:8" x14ac:dyDescent="0.25">
      <c r="A337" s="34">
        <f t="shared" si="11"/>
        <v>2</v>
      </c>
      <c r="B337" s="35">
        <v>333</v>
      </c>
      <c r="C337" s="36">
        <f t="shared" si="12"/>
        <v>27.75</v>
      </c>
      <c r="D337" s="76">
        <v>3.9666666666666699</v>
      </c>
      <c r="E337" s="76">
        <v>0</v>
      </c>
      <c r="F337" s="77">
        <v>122.4</v>
      </c>
      <c r="G337" s="77">
        <v>0</v>
      </c>
      <c r="H337" s="77">
        <v>0</v>
      </c>
    </row>
    <row r="338" spans="1:8" x14ac:dyDescent="0.25">
      <c r="A338" s="34">
        <f t="shared" si="11"/>
        <v>2</v>
      </c>
      <c r="B338" s="35">
        <v>334</v>
      </c>
      <c r="C338" s="36">
        <f t="shared" si="12"/>
        <v>27.833333333333332</v>
      </c>
      <c r="D338" s="76">
        <v>3.9750000000000001</v>
      </c>
      <c r="E338" s="76">
        <v>0</v>
      </c>
      <c r="F338" s="77">
        <v>122.05</v>
      </c>
      <c r="G338" s="77">
        <v>0</v>
      </c>
      <c r="H338" s="77">
        <v>0</v>
      </c>
    </row>
    <row r="339" spans="1:8" x14ac:dyDescent="0.25">
      <c r="A339" s="34">
        <f t="shared" si="11"/>
        <v>2</v>
      </c>
      <c r="B339" s="35">
        <v>335</v>
      </c>
      <c r="C339" s="36">
        <f t="shared" si="12"/>
        <v>27.916666666666664</v>
      </c>
      <c r="D339" s="76">
        <v>3.9833333333333298</v>
      </c>
      <c r="E339" s="76">
        <v>0</v>
      </c>
      <c r="F339" s="77">
        <v>121.7</v>
      </c>
      <c r="G339" s="77">
        <v>0</v>
      </c>
      <c r="H339" s="77">
        <v>0</v>
      </c>
    </row>
    <row r="340" spans="1:8" x14ac:dyDescent="0.25">
      <c r="A340" s="34">
        <f t="shared" si="11"/>
        <v>2</v>
      </c>
      <c r="B340" s="35">
        <v>336</v>
      </c>
      <c r="C340" s="36">
        <f t="shared" si="12"/>
        <v>28</v>
      </c>
      <c r="D340" s="76">
        <v>3.9916666666666698</v>
      </c>
      <c r="E340" s="76">
        <v>0</v>
      </c>
      <c r="F340" s="77">
        <v>121.35</v>
      </c>
      <c r="G340" s="77">
        <v>0</v>
      </c>
      <c r="H340" s="77">
        <v>0</v>
      </c>
    </row>
    <row r="341" spans="1:8" x14ac:dyDescent="0.25">
      <c r="A341" s="34">
        <f t="shared" si="11"/>
        <v>2</v>
      </c>
      <c r="B341" s="35">
        <v>337</v>
      </c>
      <c r="C341" s="36">
        <f t="shared" si="12"/>
        <v>28.083333333333332</v>
      </c>
      <c r="D341" s="76">
        <v>4</v>
      </c>
      <c r="E341" s="76">
        <v>0</v>
      </c>
      <c r="F341" s="77">
        <v>121</v>
      </c>
      <c r="G341" s="77">
        <v>0</v>
      </c>
      <c r="H341" s="77">
        <v>0</v>
      </c>
    </row>
    <row r="342" spans="1:8" x14ac:dyDescent="0.25">
      <c r="A342" s="34">
        <f t="shared" si="11"/>
        <v>2</v>
      </c>
      <c r="B342" s="35">
        <v>338</v>
      </c>
      <c r="C342" s="36">
        <f t="shared" si="12"/>
        <v>28.166666666666664</v>
      </c>
      <c r="D342" s="76">
        <v>3.9583333333333299</v>
      </c>
      <c r="E342" s="76">
        <v>0</v>
      </c>
      <c r="F342" s="77">
        <v>121.7</v>
      </c>
      <c r="G342" s="77">
        <v>39.149166666666702</v>
      </c>
      <c r="H342" s="77">
        <v>0</v>
      </c>
    </row>
    <row r="343" spans="1:8" x14ac:dyDescent="0.25">
      <c r="A343" s="34">
        <f t="shared" si="11"/>
        <v>2</v>
      </c>
      <c r="B343" s="35">
        <v>339</v>
      </c>
      <c r="C343" s="36">
        <f t="shared" si="12"/>
        <v>28.25</v>
      </c>
      <c r="D343" s="76">
        <v>3.9166666666666701</v>
      </c>
      <c r="E343" s="76">
        <v>0</v>
      </c>
      <c r="F343" s="77">
        <v>122.4</v>
      </c>
      <c r="G343" s="77">
        <v>78.298333333333304</v>
      </c>
      <c r="H343" s="77">
        <v>0</v>
      </c>
    </row>
    <row r="344" spans="1:8" x14ac:dyDescent="0.25">
      <c r="A344" s="34">
        <f t="shared" si="11"/>
        <v>2</v>
      </c>
      <c r="B344" s="35">
        <v>340</v>
      </c>
      <c r="C344" s="36">
        <f t="shared" si="12"/>
        <v>28.333333333333332</v>
      </c>
      <c r="D344" s="76">
        <v>3.875</v>
      </c>
      <c r="E344" s="76">
        <v>0</v>
      </c>
      <c r="F344" s="77">
        <v>123.1</v>
      </c>
      <c r="G344" s="77">
        <v>117.44750000000001</v>
      </c>
      <c r="H344" s="77">
        <v>0</v>
      </c>
    </row>
    <row r="345" spans="1:8" x14ac:dyDescent="0.25">
      <c r="A345" s="34">
        <f t="shared" si="11"/>
        <v>2</v>
      </c>
      <c r="B345" s="35">
        <v>341</v>
      </c>
      <c r="C345" s="36">
        <f t="shared" si="12"/>
        <v>28.416666666666664</v>
      </c>
      <c r="D345" s="76">
        <v>3.8333333333333299</v>
      </c>
      <c r="E345" s="76">
        <v>0</v>
      </c>
      <c r="F345" s="77">
        <v>123.8</v>
      </c>
      <c r="G345" s="77">
        <v>156.59666666666701</v>
      </c>
      <c r="H345" s="77">
        <v>0</v>
      </c>
    </row>
    <row r="346" spans="1:8" x14ac:dyDescent="0.25">
      <c r="A346" s="34">
        <f t="shared" si="11"/>
        <v>2</v>
      </c>
      <c r="B346" s="35">
        <v>342</v>
      </c>
      <c r="C346" s="36">
        <f t="shared" si="12"/>
        <v>28.5</v>
      </c>
      <c r="D346" s="76">
        <v>3.7916666666666701</v>
      </c>
      <c r="E346" s="76">
        <v>0</v>
      </c>
      <c r="F346" s="77">
        <v>124.5</v>
      </c>
      <c r="G346" s="77">
        <v>195.745833333333</v>
      </c>
      <c r="H346" s="77">
        <v>0</v>
      </c>
    </row>
    <row r="347" spans="1:8" x14ac:dyDescent="0.25">
      <c r="A347" s="34">
        <f t="shared" si="11"/>
        <v>2</v>
      </c>
      <c r="B347" s="35">
        <v>343</v>
      </c>
      <c r="C347" s="36">
        <f t="shared" si="12"/>
        <v>28.583333333333332</v>
      </c>
      <c r="D347" s="76">
        <v>3.75</v>
      </c>
      <c r="E347" s="76">
        <v>0</v>
      </c>
      <c r="F347" s="77">
        <v>125.2</v>
      </c>
      <c r="G347" s="77">
        <v>234.89500000000001</v>
      </c>
      <c r="H347" s="77">
        <v>0</v>
      </c>
    </row>
    <row r="348" spans="1:8" x14ac:dyDescent="0.25">
      <c r="A348" s="34">
        <f t="shared" si="11"/>
        <v>2</v>
      </c>
      <c r="B348" s="35">
        <v>344</v>
      </c>
      <c r="C348" s="36">
        <f t="shared" si="12"/>
        <v>28.666666666666664</v>
      </c>
      <c r="D348" s="76">
        <v>3.7083333333333299</v>
      </c>
      <c r="E348" s="76">
        <v>0</v>
      </c>
      <c r="F348" s="77">
        <v>125.9</v>
      </c>
      <c r="G348" s="77">
        <v>274.04416666666702</v>
      </c>
      <c r="H348" s="77">
        <v>0</v>
      </c>
    </row>
    <row r="349" spans="1:8" x14ac:dyDescent="0.25">
      <c r="A349" s="34">
        <f t="shared" si="11"/>
        <v>2</v>
      </c>
      <c r="B349" s="35">
        <v>345</v>
      </c>
      <c r="C349" s="36">
        <f t="shared" si="12"/>
        <v>28.75</v>
      </c>
      <c r="D349" s="76">
        <v>3.6666666666666701</v>
      </c>
      <c r="E349" s="76">
        <v>0</v>
      </c>
      <c r="F349" s="77">
        <v>126.6</v>
      </c>
      <c r="G349" s="77">
        <v>313.19333333333299</v>
      </c>
      <c r="H349" s="77">
        <v>0</v>
      </c>
    </row>
    <row r="350" spans="1:8" x14ac:dyDescent="0.25">
      <c r="A350" s="34">
        <f t="shared" si="11"/>
        <v>2</v>
      </c>
      <c r="B350" s="35">
        <v>346</v>
      </c>
      <c r="C350" s="36">
        <f t="shared" si="12"/>
        <v>28.833333333333332</v>
      </c>
      <c r="D350" s="76">
        <v>3.625</v>
      </c>
      <c r="E350" s="76">
        <v>0</v>
      </c>
      <c r="F350" s="77">
        <v>127.3</v>
      </c>
      <c r="G350" s="77">
        <v>352.34249999999997</v>
      </c>
      <c r="H350" s="77">
        <v>0</v>
      </c>
    </row>
    <row r="351" spans="1:8" x14ac:dyDescent="0.25">
      <c r="A351" s="34">
        <f t="shared" si="11"/>
        <v>2</v>
      </c>
      <c r="B351" s="35">
        <v>347</v>
      </c>
      <c r="C351" s="36">
        <f t="shared" si="12"/>
        <v>28.916666666666664</v>
      </c>
      <c r="D351" s="76">
        <v>3.5833333333333299</v>
      </c>
      <c r="E351" s="76">
        <v>0</v>
      </c>
      <c r="F351" s="77">
        <v>128</v>
      </c>
      <c r="G351" s="77">
        <v>391.49166666666702</v>
      </c>
      <c r="H351" s="77">
        <v>0</v>
      </c>
    </row>
    <row r="352" spans="1:8" x14ac:dyDescent="0.25">
      <c r="A352" s="34">
        <f t="shared" si="11"/>
        <v>2</v>
      </c>
      <c r="B352" s="35">
        <v>348</v>
      </c>
      <c r="C352" s="36">
        <f t="shared" si="12"/>
        <v>29</v>
      </c>
      <c r="D352" s="76">
        <v>3.5416666666666701</v>
      </c>
      <c r="E352" s="76">
        <v>0</v>
      </c>
      <c r="F352" s="77">
        <v>128.69999999999999</v>
      </c>
      <c r="G352" s="77">
        <v>430.64083333333298</v>
      </c>
      <c r="H352" s="77">
        <v>0</v>
      </c>
    </row>
    <row r="353" spans="1:8" x14ac:dyDescent="0.25">
      <c r="A353" s="34">
        <f t="shared" si="11"/>
        <v>2</v>
      </c>
      <c r="B353" s="35">
        <v>349</v>
      </c>
      <c r="C353" s="36">
        <f t="shared" si="12"/>
        <v>29.083333333333332</v>
      </c>
      <c r="D353" s="76">
        <v>3.5</v>
      </c>
      <c r="E353" s="76">
        <v>0</v>
      </c>
      <c r="F353" s="77">
        <v>129.4</v>
      </c>
      <c r="G353" s="77">
        <v>469.79</v>
      </c>
      <c r="H353" s="77">
        <v>0</v>
      </c>
    </row>
    <row r="354" spans="1:8" x14ac:dyDescent="0.25">
      <c r="A354" s="34">
        <f t="shared" si="11"/>
        <v>2</v>
      </c>
      <c r="B354" s="35">
        <v>350</v>
      </c>
      <c r="C354" s="36">
        <f t="shared" si="12"/>
        <v>29.166666666666664</v>
      </c>
      <c r="D354" s="76">
        <v>3.4916666666666698</v>
      </c>
      <c r="E354" s="76">
        <v>0</v>
      </c>
      <c r="F354" s="77">
        <v>144.86666666666699</v>
      </c>
      <c r="G354" s="77">
        <v>640.52333333333297</v>
      </c>
      <c r="H354" s="77">
        <v>22.6666666666667</v>
      </c>
    </row>
    <row r="355" spans="1:8" x14ac:dyDescent="0.25">
      <c r="A355" s="34">
        <f t="shared" si="11"/>
        <v>2</v>
      </c>
      <c r="B355" s="35">
        <v>351</v>
      </c>
      <c r="C355" s="36">
        <f t="shared" si="12"/>
        <v>29.25</v>
      </c>
      <c r="D355" s="76">
        <v>3.4833333333333298</v>
      </c>
      <c r="E355" s="76">
        <v>0</v>
      </c>
      <c r="F355" s="77">
        <v>160.333333333333</v>
      </c>
      <c r="G355" s="77">
        <v>811.256666666667</v>
      </c>
      <c r="H355" s="77">
        <v>45.3333333333333</v>
      </c>
    </row>
    <row r="356" spans="1:8" x14ac:dyDescent="0.25">
      <c r="A356" s="34">
        <f t="shared" si="11"/>
        <v>2</v>
      </c>
      <c r="B356" s="35">
        <v>352</v>
      </c>
      <c r="C356" s="36">
        <f t="shared" si="12"/>
        <v>29.333333333333332</v>
      </c>
      <c r="D356" s="76">
        <v>3.4750000000000001</v>
      </c>
      <c r="E356" s="76">
        <v>0</v>
      </c>
      <c r="F356" s="77">
        <v>175.8</v>
      </c>
      <c r="G356" s="77">
        <v>981.99</v>
      </c>
      <c r="H356" s="77">
        <v>68</v>
      </c>
    </row>
    <row r="357" spans="1:8" x14ac:dyDescent="0.25">
      <c r="A357" s="34">
        <f t="shared" si="11"/>
        <v>2</v>
      </c>
      <c r="B357" s="35">
        <v>353</v>
      </c>
      <c r="C357" s="36">
        <f t="shared" si="12"/>
        <v>29.416666666666664</v>
      </c>
      <c r="D357" s="76">
        <v>3.4666666666666699</v>
      </c>
      <c r="E357" s="76">
        <v>0</v>
      </c>
      <c r="F357" s="77">
        <v>191.26666666666699</v>
      </c>
      <c r="G357" s="77">
        <v>1152.7233333333299</v>
      </c>
      <c r="H357" s="77">
        <v>90.6666666666667</v>
      </c>
    </row>
    <row r="358" spans="1:8" x14ac:dyDescent="0.25">
      <c r="A358" s="34">
        <f t="shared" si="11"/>
        <v>2</v>
      </c>
      <c r="B358" s="35">
        <v>354</v>
      </c>
      <c r="C358" s="36">
        <f t="shared" si="12"/>
        <v>29.5</v>
      </c>
      <c r="D358" s="76">
        <v>3.4583333333333299</v>
      </c>
      <c r="E358" s="76">
        <v>0</v>
      </c>
      <c r="F358" s="77">
        <v>206.73333333333301</v>
      </c>
      <c r="G358" s="77">
        <v>1323.4566666666699</v>
      </c>
      <c r="H358" s="77">
        <v>113.333333333333</v>
      </c>
    </row>
    <row r="359" spans="1:8" x14ac:dyDescent="0.25">
      <c r="A359" s="34">
        <f t="shared" si="11"/>
        <v>2</v>
      </c>
      <c r="B359" s="35">
        <v>355</v>
      </c>
      <c r="C359" s="36">
        <f t="shared" si="12"/>
        <v>29.583333333333332</v>
      </c>
      <c r="D359" s="76">
        <v>3.45</v>
      </c>
      <c r="E359" s="76">
        <v>0</v>
      </c>
      <c r="F359" s="77">
        <v>222.2</v>
      </c>
      <c r="G359" s="77">
        <v>1494.19</v>
      </c>
      <c r="H359" s="77">
        <v>136</v>
      </c>
    </row>
    <row r="360" spans="1:8" x14ac:dyDescent="0.25">
      <c r="A360" s="34">
        <f t="shared" si="11"/>
        <v>2</v>
      </c>
      <c r="B360" s="35">
        <v>356</v>
      </c>
      <c r="C360" s="36">
        <f t="shared" si="12"/>
        <v>29.666666666666664</v>
      </c>
      <c r="D360" s="76">
        <v>3.44166666666667</v>
      </c>
      <c r="E360" s="76">
        <v>0</v>
      </c>
      <c r="F360" s="77">
        <v>237.666666666667</v>
      </c>
      <c r="G360" s="77">
        <v>1664.92333333333</v>
      </c>
      <c r="H360" s="77">
        <v>158.666666666667</v>
      </c>
    </row>
    <row r="361" spans="1:8" x14ac:dyDescent="0.25">
      <c r="A361" s="34">
        <f t="shared" si="11"/>
        <v>2</v>
      </c>
      <c r="B361" s="35">
        <v>357</v>
      </c>
      <c r="C361" s="36">
        <f t="shared" si="12"/>
        <v>29.75</v>
      </c>
      <c r="D361" s="76">
        <v>3.43333333333333</v>
      </c>
      <c r="E361" s="76">
        <v>0</v>
      </c>
      <c r="F361" s="77">
        <v>253.13333333333301</v>
      </c>
      <c r="G361" s="77">
        <v>1835.6566666666699</v>
      </c>
      <c r="H361" s="77">
        <v>181.333333333333</v>
      </c>
    </row>
    <row r="362" spans="1:8" x14ac:dyDescent="0.25">
      <c r="A362" s="34">
        <f t="shared" si="11"/>
        <v>2</v>
      </c>
      <c r="B362" s="35">
        <v>358</v>
      </c>
      <c r="C362" s="36">
        <f t="shared" si="12"/>
        <v>29.833333333333332</v>
      </c>
      <c r="D362" s="76">
        <v>3.4249999999999998</v>
      </c>
      <c r="E362" s="76">
        <v>0</v>
      </c>
      <c r="F362" s="77">
        <v>268.60000000000002</v>
      </c>
      <c r="G362" s="77">
        <v>2006.39</v>
      </c>
      <c r="H362" s="77">
        <v>204</v>
      </c>
    </row>
    <row r="363" spans="1:8" x14ac:dyDescent="0.25">
      <c r="A363" s="34">
        <f t="shared" si="11"/>
        <v>2</v>
      </c>
      <c r="B363" s="35">
        <v>359</v>
      </c>
      <c r="C363" s="36">
        <f t="shared" si="12"/>
        <v>29.916666666666664</v>
      </c>
      <c r="D363" s="76">
        <v>3.4166666666666701</v>
      </c>
      <c r="E363" s="76">
        <v>0</v>
      </c>
      <c r="F363" s="77">
        <v>284.066666666667</v>
      </c>
      <c r="G363" s="77">
        <v>2177.1233333333298</v>
      </c>
      <c r="H363" s="77">
        <v>226.666666666667</v>
      </c>
    </row>
    <row r="364" spans="1:8" x14ac:dyDescent="0.25">
      <c r="A364" s="34">
        <f t="shared" si="11"/>
        <v>2</v>
      </c>
      <c r="B364" s="35">
        <v>360</v>
      </c>
      <c r="C364" s="36">
        <f t="shared" si="12"/>
        <v>30</v>
      </c>
      <c r="D364" s="76">
        <v>3.4083333333333301</v>
      </c>
      <c r="E364" s="76">
        <v>0</v>
      </c>
      <c r="F364" s="77">
        <v>299.53333333333302</v>
      </c>
      <c r="G364" s="77">
        <v>2347.8566666666702</v>
      </c>
      <c r="H364" s="77">
        <v>249.333333333333</v>
      </c>
    </row>
    <row r="365" spans="1:8" x14ac:dyDescent="0.25">
      <c r="A365" s="34">
        <f t="shared" si="11"/>
        <v>2</v>
      </c>
      <c r="B365" s="35">
        <v>361</v>
      </c>
      <c r="C365" s="36">
        <f t="shared" si="12"/>
        <v>30.083333333333332</v>
      </c>
      <c r="D365" s="76">
        <v>3.4</v>
      </c>
      <c r="E365" s="76">
        <v>0</v>
      </c>
      <c r="F365" s="77">
        <v>315</v>
      </c>
      <c r="G365" s="77">
        <v>2518.59</v>
      </c>
      <c r="H365" s="77">
        <v>272</v>
      </c>
    </row>
    <row r="366" spans="1:8" x14ac:dyDescent="0.25">
      <c r="A366" s="34">
        <f t="shared" si="11"/>
        <v>2</v>
      </c>
      <c r="B366" s="35">
        <v>362</v>
      </c>
      <c r="C366" s="36">
        <f t="shared" si="12"/>
        <v>30.166666666666664</v>
      </c>
      <c r="D366" s="76">
        <v>3.43333333333333</v>
      </c>
      <c r="E366" s="76">
        <v>0</v>
      </c>
      <c r="F366" s="77">
        <v>325.32499999999999</v>
      </c>
      <c r="G366" s="77">
        <v>2564.29833333333</v>
      </c>
      <c r="H366" s="77">
        <v>294.65833333333302</v>
      </c>
    </row>
    <row r="367" spans="1:8" x14ac:dyDescent="0.25">
      <c r="A367" s="34">
        <f t="shared" si="11"/>
        <v>2</v>
      </c>
      <c r="B367" s="35">
        <v>363</v>
      </c>
      <c r="C367" s="36">
        <f t="shared" si="12"/>
        <v>30.25</v>
      </c>
      <c r="D367" s="76">
        <v>3.4666666666666699</v>
      </c>
      <c r="E367" s="76">
        <v>0</v>
      </c>
      <c r="F367" s="77">
        <v>335.65</v>
      </c>
      <c r="G367" s="77">
        <v>2610.0066666666698</v>
      </c>
      <c r="H367" s="77">
        <v>317.316666666667</v>
      </c>
    </row>
    <row r="368" spans="1:8" x14ac:dyDescent="0.25">
      <c r="A368" s="34">
        <f t="shared" si="11"/>
        <v>2</v>
      </c>
      <c r="B368" s="35">
        <v>364</v>
      </c>
      <c r="C368" s="36">
        <f t="shared" si="12"/>
        <v>30.333333333333332</v>
      </c>
      <c r="D368" s="76">
        <v>3.5</v>
      </c>
      <c r="E368" s="76">
        <v>0</v>
      </c>
      <c r="F368" s="77">
        <v>345.97500000000002</v>
      </c>
      <c r="G368" s="77">
        <v>2655.7150000000001</v>
      </c>
      <c r="H368" s="77">
        <v>339.97500000000002</v>
      </c>
    </row>
    <row r="369" spans="1:8" x14ac:dyDescent="0.25">
      <c r="A369" s="34">
        <f t="shared" si="11"/>
        <v>2</v>
      </c>
      <c r="B369" s="35">
        <v>365</v>
      </c>
      <c r="C369" s="36">
        <f t="shared" si="12"/>
        <v>30.416666666666664</v>
      </c>
      <c r="D369" s="76">
        <v>3.5333333333333301</v>
      </c>
      <c r="E369" s="76">
        <v>0</v>
      </c>
      <c r="F369" s="77">
        <v>356.3</v>
      </c>
      <c r="G369" s="77">
        <v>2701.42333333333</v>
      </c>
      <c r="H369" s="77">
        <v>362.63333333333298</v>
      </c>
    </row>
    <row r="370" spans="1:8" x14ac:dyDescent="0.25">
      <c r="A370" s="34">
        <f t="shared" si="11"/>
        <v>2</v>
      </c>
      <c r="B370" s="35">
        <v>366</v>
      </c>
      <c r="C370" s="36">
        <f t="shared" si="12"/>
        <v>30.5</v>
      </c>
      <c r="D370" s="76">
        <v>3.56666666666667</v>
      </c>
      <c r="E370" s="76">
        <v>0</v>
      </c>
      <c r="F370" s="77">
        <v>366.625</v>
      </c>
      <c r="G370" s="77">
        <v>2747.1316666666698</v>
      </c>
      <c r="H370" s="77">
        <v>385.29166666666703</v>
      </c>
    </row>
    <row r="371" spans="1:8" x14ac:dyDescent="0.25">
      <c r="A371" s="34">
        <f t="shared" si="11"/>
        <v>2</v>
      </c>
      <c r="B371" s="35">
        <v>367</v>
      </c>
      <c r="C371" s="36">
        <f t="shared" si="12"/>
        <v>30.583333333333332</v>
      </c>
      <c r="D371" s="76">
        <v>3.6</v>
      </c>
      <c r="E371" s="76">
        <v>0</v>
      </c>
      <c r="F371" s="77">
        <v>376.95</v>
      </c>
      <c r="G371" s="77">
        <v>2792.84</v>
      </c>
      <c r="H371" s="77">
        <v>407.95</v>
      </c>
    </row>
    <row r="372" spans="1:8" x14ac:dyDescent="0.25">
      <c r="A372" s="34">
        <f t="shared" si="11"/>
        <v>2</v>
      </c>
      <c r="B372" s="35">
        <v>368</v>
      </c>
      <c r="C372" s="36">
        <f t="shared" si="12"/>
        <v>30.666666666666664</v>
      </c>
      <c r="D372" s="76">
        <v>3.6333333333333302</v>
      </c>
      <c r="E372" s="76">
        <v>0</v>
      </c>
      <c r="F372" s="77">
        <v>387.27499999999998</v>
      </c>
      <c r="G372" s="77">
        <v>2838.54833333333</v>
      </c>
      <c r="H372" s="77">
        <v>430.60833333333301</v>
      </c>
    </row>
    <row r="373" spans="1:8" x14ac:dyDescent="0.25">
      <c r="A373" s="34">
        <f t="shared" ref="A373:A436" si="13">ROUNDUP(C373/24,0)</f>
        <v>2</v>
      </c>
      <c r="B373" s="35">
        <v>369</v>
      </c>
      <c r="C373" s="36">
        <f t="shared" ref="C373:C436" si="14">B373*$C$1</f>
        <v>30.75</v>
      </c>
      <c r="D373" s="76">
        <v>3.6666666666666701</v>
      </c>
      <c r="E373" s="76">
        <v>0</v>
      </c>
      <c r="F373" s="77">
        <v>397.6</v>
      </c>
      <c r="G373" s="77">
        <v>2884.2566666666698</v>
      </c>
      <c r="H373" s="77">
        <v>453.26666666666699</v>
      </c>
    </row>
    <row r="374" spans="1:8" x14ac:dyDescent="0.25">
      <c r="A374" s="34">
        <f t="shared" si="13"/>
        <v>2</v>
      </c>
      <c r="B374" s="35">
        <v>370</v>
      </c>
      <c r="C374" s="36">
        <f t="shared" si="14"/>
        <v>30.833333333333332</v>
      </c>
      <c r="D374" s="76">
        <v>3.7</v>
      </c>
      <c r="E374" s="76">
        <v>0</v>
      </c>
      <c r="F374" s="77">
        <v>407.92500000000001</v>
      </c>
      <c r="G374" s="77">
        <v>2929.9650000000001</v>
      </c>
      <c r="H374" s="77">
        <v>475.92500000000001</v>
      </c>
    </row>
    <row r="375" spans="1:8" x14ac:dyDescent="0.25">
      <c r="A375" s="34">
        <f t="shared" si="13"/>
        <v>2</v>
      </c>
      <c r="B375" s="35">
        <v>371</v>
      </c>
      <c r="C375" s="36">
        <f t="shared" si="14"/>
        <v>30.916666666666664</v>
      </c>
      <c r="D375" s="76">
        <v>3.7333333333333298</v>
      </c>
      <c r="E375" s="76">
        <v>0</v>
      </c>
      <c r="F375" s="77">
        <v>418.25</v>
      </c>
      <c r="G375" s="77">
        <v>2975.67333333333</v>
      </c>
      <c r="H375" s="77">
        <v>498.58333333333297</v>
      </c>
    </row>
    <row r="376" spans="1:8" x14ac:dyDescent="0.25">
      <c r="A376" s="34">
        <f t="shared" si="13"/>
        <v>2</v>
      </c>
      <c r="B376" s="35">
        <v>372</v>
      </c>
      <c r="C376" s="36">
        <f t="shared" si="14"/>
        <v>31</v>
      </c>
      <c r="D376" s="76">
        <v>3.7666666666666702</v>
      </c>
      <c r="E376" s="76">
        <v>0</v>
      </c>
      <c r="F376" s="77">
        <v>428.57499999999999</v>
      </c>
      <c r="G376" s="77">
        <v>3021.3816666666698</v>
      </c>
      <c r="H376" s="77">
        <v>521.24166666666702</v>
      </c>
    </row>
    <row r="377" spans="1:8" x14ac:dyDescent="0.25">
      <c r="A377" s="34">
        <f t="shared" si="13"/>
        <v>2</v>
      </c>
      <c r="B377" s="35">
        <v>373</v>
      </c>
      <c r="C377" s="36">
        <f t="shared" si="14"/>
        <v>31.083333333333332</v>
      </c>
      <c r="D377" s="76">
        <v>3.8</v>
      </c>
      <c r="E377" s="76">
        <v>0</v>
      </c>
      <c r="F377" s="77">
        <v>438.9</v>
      </c>
      <c r="G377" s="77">
        <v>3067.09</v>
      </c>
      <c r="H377" s="77">
        <v>543.9</v>
      </c>
    </row>
    <row r="378" spans="1:8" x14ac:dyDescent="0.25">
      <c r="A378" s="34">
        <f t="shared" si="13"/>
        <v>2</v>
      </c>
      <c r="B378" s="35">
        <v>374</v>
      </c>
      <c r="C378" s="36">
        <f t="shared" si="14"/>
        <v>31.166666666666664</v>
      </c>
      <c r="D378" s="76">
        <v>3.8</v>
      </c>
      <c r="E378" s="76">
        <v>9.83333333333333E-2</v>
      </c>
      <c r="F378" s="77">
        <v>432.95</v>
      </c>
      <c r="G378" s="77">
        <v>2920.0666666666698</v>
      </c>
      <c r="H378" s="77">
        <v>611.89166666666699</v>
      </c>
    </row>
    <row r="379" spans="1:8" x14ac:dyDescent="0.25">
      <c r="A379" s="34">
        <f t="shared" si="13"/>
        <v>2</v>
      </c>
      <c r="B379" s="35">
        <v>375</v>
      </c>
      <c r="C379" s="36">
        <f t="shared" si="14"/>
        <v>31.25</v>
      </c>
      <c r="D379" s="76">
        <v>3.8</v>
      </c>
      <c r="E379" s="76">
        <v>0.19666666666666699</v>
      </c>
      <c r="F379" s="77">
        <v>427</v>
      </c>
      <c r="G379" s="77">
        <v>2773.0433333333299</v>
      </c>
      <c r="H379" s="77">
        <v>679.88333333333298</v>
      </c>
    </row>
    <row r="380" spans="1:8" x14ac:dyDescent="0.25">
      <c r="A380" s="34">
        <f t="shared" si="13"/>
        <v>2</v>
      </c>
      <c r="B380" s="35">
        <v>376</v>
      </c>
      <c r="C380" s="36">
        <f t="shared" si="14"/>
        <v>31.333333333333332</v>
      </c>
      <c r="D380" s="76">
        <v>3.8</v>
      </c>
      <c r="E380" s="76">
        <v>0.29499999999999998</v>
      </c>
      <c r="F380" s="77">
        <v>421.05</v>
      </c>
      <c r="G380" s="77">
        <v>2626.02</v>
      </c>
      <c r="H380" s="77">
        <v>747.875</v>
      </c>
    </row>
    <row r="381" spans="1:8" x14ac:dyDescent="0.25">
      <c r="A381" s="34">
        <f t="shared" si="13"/>
        <v>2</v>
      </c>
      <c r="B381" s="35">
        <v>377</v>
      </c>
      <c r="C381" s="36">
        <f t="shared" si="14"/>
        <v>31.416666666666664</v>
      </c>
      <c r="D381" s="76">
        <v>3.8</v>
      </c>
      <c r="E381" s="76">
        <v>0.39333333333333298</v>
      </c>
      <c r="F381" s="77">
        <v>415.1</v>
      </c>
      <c r="G381" s="77">
        <v>2478.9966666666701</v>
      </c>
      <c r="H381" s="77">
        <v>815.86666666666702</v>
      </c>
    </row>
    <row r="382" spans="1:8" x14ac:dyDescent="0.25">
      <c r="A382" s="34">
        <f t="shared" si="13"/>
        <v>2</v>
      </c>
      <c r="B382" s="35">
        <v>378</v>
      </c>
      <c r="C382" s="36">
        <f t="shared" si="14"/>
        <v>31.5</v>
      </c>
      <c r="D382" s="76">
        <v>3.8</v>
      </c>
      <c r="E382" s="76">
        <v>0.49166666666666697</v>
      </c>
      <c r="F382" s="77">
        <v>409.15</v>
      </c>
      <c r="G382" s="77">
        <v>2331.9733333333302</v>
      </c>
      <c r="H382" s="77">
        <v>883.85833333333301</v>
      </c>
    </row>
    <row r="383" spans="1:8" x14ac:dyDescent="0.25">
      <c r="A383" s="34">
        <f t="shared" si="13"/>
        <v>2</v>
      </c>
      <c r="B383" s="35">
        <v>379</v>
      </c>
      <c r="C383" s="36">
        <f t="shared" si="14"/>
        <v>31.583333333333332</v>
      </c>
      <c r="D383" s="76">
        <v>3.8</v>
      </c>
      <c r="E383" s="76">
        <v>0.59</v>
      </c>
      <c r="F383" s="77">
        <v>403.2</v>
      </c>
      <c r="G383" s="77">
        <v>2184.9499999999998</v>
      </c>
      <c r="H383" s="77">
        <v>951.85</v>
      </c>
    </row>
    <row r="384" spans="1:8" x14ac:dyDescent="0.25">
      <c r="A384" s="34">
        <f t="shared" si="13"/>
        <v>2</v>
      </c>
      <c r="B384" s="35">
        <v>380</v>
      </c>
      <c r="C384" s="36">
        <f t="shared" si="14"/>
        <v>31.666666666666664</v>
      </c>
      <c r="D384" s="76">
        <v>3.8</v>
      </c>
      <c r="E384" s="76">
        <v>0.68833333333333302</v>
      </c>
      <c r="F384" s="77">
        <v>397.25</v>
      </c>
      <c r="G384" s="77">
        <v>2037.9266666666699</v>
      </c>
      <c r="H384" s="77">
        <v>1019.84166666667</v>
      </c>
    </row>
    <row r="385" spans="1:8" x14ac:dyDescent="0.25">
      <c r="A385" s="34">
        <f t="shared" si="13"/>
        <v>2</v>
      </c>
      <c r="B385" s="35">
        <v>381</v>
      </c>
      <c r="C385" s="36">
        <f t="shared" si="14"/>
        <v>31.75</v>
      </c>
      <c r="D385" s="76">
        <v>3.8</v>
      </c>
      <c r="E385" s="76">
        <v>0.78666666666666696</v>
      </c>
      <c r="F385" s="77">
        <v>391.3</v>
      </c>
      <c r="G385" s="77">
        <v>1890.90333333333</v>
      </c>
      <c r="H385" s="77">
        <v>1087.8333333333301</v>
      </c>
    </row>
    <row r="386" spans="1:8" x14ac:dyDescent="0.25">
      <c r="A386" s="34">
        <f t="shared" si="13"/>
        <v>2</v>
      </c>
      <c r="B386" s="35">
        <v>382</v>
      </c>
      <c r="C386" s="36">
        <f t="shared" si="14"/>
        <v>31.833333333333332</v>
      </c>
      <c r="D386" s="76">
        <v>3.8</v>
      </c>
      <c r="E386" s="76">
        <v>0.88500000000000001</v>
      </c>
      <c r="F386" s="77">
        <v>385.35</v>
      </c>
      <c r="G386" s="77">
        <v>1743.88</v>
      </c>
      <c r="H386" s="77">
        <v>1155.825</v>
      </c>
    </row>
    <row r="387" spans="1:8" x14ac:dyDescent="0.25">
      <c r="A387" s="34">
        <f t="shared" si="13"/>
        <v>2</v>
      </c>
      <c r="B387" s="35">
        <v>383</v>
      </c>
      <c r="C387" s="36">
        <f t="shared" si="14"/>
        <v>31.916666666666664</v>
      </c>
      <c r="D387" s="76">
        <v>3.8</v>
      </c>
      <c r="E387" s="76">
        <v>0.98333333333333295</v>
      </c>
      <c r="F387" s="77">
        <v>379.4</v>
      </c>
      <c r="G387" s="77">
        <v>1596.85666666667</v>
      </c>
      <c r="H387" s="77">
        <v>1223.81666666667</v>
      </c>
    </row>
    <row r="388" spans="1:8" x14ac:dyDescent="0.25">
      <c r="A388" s="34">
        <f t="shared" si="13"/>
        <v>2</v>
      </c>
      <c r="B388" s="35">
        <v>384</v>
      </c>
      <c r="C388" s="36">
        <f t="shared" si="14"/>
        <v>32</v>
      </c>
      <c r="D388" s="76">
        <v>3.8</v>
      </c>
      <c r="E388" s="76">
        <v>1.0816666666666701</v>
      </c>
      <c r="F388" s="77">
        <v>373.45</v>
      </c>
      <c r="G388" s="77">
        <v>1449.8333333333301</v>
      </c>
      <c r="H388" s="77">
        <v>1291.80833333333</v>
      </c>
    </row>
    <row r="389" spans="1:8" x14ac:dyDescent="0.25">
      <c r="A389" s="34">
        <f t="shared" si="13"/>
        <v>2</v>
      </c>
      <c r="B389" s="35">
        <v>385</v>
      </c>
      <c r="C389" s="36">
        <f t="shared" si="14"/>
        <v>32.083333333333329</v>
      </c>
      <c r="D389" s="76">
        <v>3.8</v>
      </c>
      <c r="E389" s="76">
        <v>1.18</v>
      </c>
      <c r="F389" s="77">
        <v>367.5</v>
      </c>
      <c r="G389" s="77">
        <v>1302.81</v>
      </c>
      <c r="H389" s="77">
        <v>1359.8</v>
      </c>
    </row>
    <row r="390" spans="1:8" x14ac:dyDescent="0.25">
      <c r="A390" s="34">
        <f t="shared" si="13"/>
        <v>2</v>
      </c>
      <c r="B390" s="35">
        <v>386</v>
      </c>
      <c r="C390" s="36">
        <f t="shared" si="14"/>
        <v>32.166666666666664</v>
      </c>
      <c r="D390" s="76">
        <v>3.81666666666667</v>
      </c>
      <c r="E390" s="76">
        <v>1.5275000000000001</v>
      </c>
      <c r="F390" s="77">
        <v>349.15</v>
      </c>
      <c r="G390" s="77">
        <v>1295.34083333333</v>
      </c>
      <c r="H390" s="77">
        <v>1291.80833333333</v>
      </c>
    </row>
    <row r="391" spans="1:8" x14ac:dyDescent="0.25">
      <c r="A391" s="34">
        <f t="shared" si="13"/>
        <v>2</v>
      </c>
      <c r="B391" s="35">
        <v>387</v>
      </c>
      <c r="C391" s="36">
        <f t="shared" si="14"/>
        <v>32.25</v>
      </c>
      <c r="D391" s="76">
        <v>3.8333333333333299</v>
      </c>
      <c r="E391" s="76">
        <v>1.875</v>
      </c>
      <c r="F391" s="77">
        <v>330.8</v>
      </c>
      <c r="G391" s="77">
        <v>1287.8716666666701</v>
      </c>
      <c r="H391" s="77">
        <v>1223.81666666667</v>
      </c>
    </row>
    <row r="392" spans="1:8" x14ac:dyDescent="0.25">
      <c r="A392" s="34">
        <f t="shared" si="13"/>
        <v>2</v>
      </c>
      <c r="B392" s="35">
        <v>388</v>
      </c>
      <c r="C392" s="36">
        <f t="shared" si="14"/>
        <v>32.333333333333329</v>
      </c>
      <c r="D392" s="76">
        <v>3.85</v>
      </c>
      <c r="E392" s="76">
        <v>2.2225000000000001</v>
      </c>
      <c r="F392" s="77">
        <v>312.45</v>
      </c>
      <c r="G392" s="77">
        <v>1280.4024999999999</v>
      </c>
      <c r="H392" s="77">
        <v>1155.825</v>
      </c>
    </row>
    <row r="393" spans="1:8" x14ac:dyDescent="0.25">
      <c r="A393" s="34">
        <f t="shared" si="13"/>
        <v>2</v>
      </c>
      <c r="B393" s="35">
        <v>389</v>
      </c>
      <c r="C393" s="36">
        <f t="shared" si="14"/>
        <v>32.416666666666664</v>
      </c>
      <c r="D393" s="76">
        <v>3.8666666666666698</v>
      </c>
      <c r="E393" s="76">
        <v>2.57</v>
      </c>
      <c r="F393" s="77">
        <v>294.10000000000002</v>
      </c>
      <c r="G393" s="77">
        <v>1272.93333333333</v>
      </c>
      <c r="H393" s="77">
        <v>1087.8333333333301</v>
      </c>
    </row>
    <row r="394" spans="1:8" x14ac:dyDescent="0.25">
      <c r="A394" s="34">
        <f t="shared" si="13"/>
        <v>2</v>
      </c>
      <c r="B394" s="35">
        <v>390</v>
      </c>
      <c r="C394" s="36">
        <f t="shared" si="14"/>
        <v>32.5</v>
      </c>
      <c r="D394" s="76">
        <v>3.8833333333333302</v>
      </c>
      <c r="E394" s="76">
        <v>2.9175</v>
      </c>
      <c r="F394" s="77">
        <v>275.75</v>
      </c>
      <c r="G394" s="77">
        <v>1265.4641666666701</v>
      </c>
      <c r="H394" s="77">
        <v>1019.84166666667</v>
      </c>
    </row>
    <row r="395" spans="1:8" x14ac:dyDescent="0.25">
      <c r="A395" s="34">
        <f t="shared" si="13"/>
        <v>2</v>
      </c>
      <c r="B395" s="35">
        <v>391</v>
      </c>
      <c r="C395" s="36">
        <f t="shared" si="14"/>
        <v>32.583333333333329</v>
      </c>
      <c r="D395" s="76">
        <v>3.9</v>
      </c>
      <c r="E395" s="76">
        <v>3.2650000000000001</v>
      </c>
      <c r="F395" s="77">
        <v>257.39999999999998</v>
      </c>
      <c r="G395" s="77">
        <v>1257.9949999999999</v>
      </c>
      <c r="H395" s="77">
        <v>951.85</v>
      </c>
    </row>
    <row r="396" spans="1:8" x14ac:dyDescent="0.25">
      <c r="A396" s="34">
        <f t="shared" si="13"/>
        <v>2</v>
      </c>
      <c r="B396" s="35">
        <v>392</v>
      </c>
      <c r="C396" s="36">
        <f t="shared" si="14"/>
        <v>32.666666666666664</v>
      </c>
      <c r="D396" s="76">
        <v>3.9166666666666701</v>
      </c>
      <c r="E396" s="76">
        <v>3.6124999999999998</v>
      </c>
      <c r="F396" s="77">
        <v>239.05</v>
      </c>
      <c r="G396" s="77">
        <v>1250.52583333333</v>
      </c>
      <c r="H396" s="77">
        <v>883.85833333333301</v>
      </c>
    </row>
    <row r="397" spans="1:8" x14ac:dyDescent="0.25">
      <c r="A397" s="34">
        <f t="shared" si="13"/>
        <v>2</v>
      </c>
      <c r="B397" s="35">
        <v>393</v>
      </c>
      <c r="C397" s="36">
        <f t="shared" si="14"/>
        <v>32.75</v>
      </c>
      <c r="D397" s="76">
        <v>3.93333333333333</v>
      </c>
      <c r="E397" s="76">
        <v>3.96</v>
      </c>
      <c r="F397" s="77">
        <v>220.7</v>
      </c>
      <c r="G397" s="77">
        <v>1243.05666666667</v>
      </c>
      <c r="H397" s="77">
        <v>815.86666666666702</v>
      </c>
    </row>
    <row r="398" spans="1:8" x14ac:dyDescent="0.25">
      <c r="A398" s="34">
        <f t="shared" si="13"/>
        <v>2</v>
      </c>
      <c r="B398" s="35">
        <v>394</v>
      </c>
      <c r="C398" s="36">
        <f t="shared" si="14"/>
        <v>32.833333333333329</v>
      </c>
      <c r="D398" s="76">
        <v>3.95</v>
      </c>
      <c r="E398" s="76">
        <v>4.3075000000000001</v>
      </c>
      <c r="F398" s="77">
        <v>202.35</v>
      </c>
      <c r="G398" s="77">
        <v>1235.5875000000001</v>
      </c>
      <c r="H398" s="77">
        <v>747.875</v>
      </c>
    </row>
    <row r="399" spans="1:8" x14ac:dyDescent="0.25">
      <c r="A399" s="34">
        <f t="shared" si="13"/>
        <v>2</v>
      </c>
      <c r="B399" s="35">
        <v>395</v>
      </c>
      <c r="C399" s="36">
        <f t="shared" si="14"/>
        <v>32.916666666666664</v>
      </c>
      <c r="D399" s="76">
        <v>3.9666666666666699</v>
      </c>
      <c r="E399" s="76">
        <v>4.6550000000000002</v>
      </c>
      <c r="F399" s="77">
        <v>184</v>
      </c>
      <c r="G399" s="77">
        <v>1228.1183333333299</v>
      </c>
      <c r="H399" s="77">
        <v>679.88333333333298</v>
      </c>
    </row>
    <row r="400" spans="1:8" x14ac:dyDescent="0.25">
      <c r="A400" s="34">
        <f t="shared" si="13"/>
        <v>2</v>
      </c>
      <c r="B400" s="35">
        <v>396</v>
      </c>
      <c r="C400" s="36">
        <f t="shared" si="14"/>
        <v>33</v>
      </c>
      <c r="D400" s="76">
        <v>3.9833333333333298</v>
      </c>
      <c r="E400" s="76">
        <v>5.0025000000000004</v>
      </c>
      <c r="F400" s="77">
        <v>165.65</v>
      </c>
      <c r="G400" s="77">
        <v>1220.64916666667</v>
      </c>
      <c r="H400" s="77">
        <v>611.89166666666699</v>
      </c>
    </row>
    <row r="401" spans="1:8" x14ac:dyDescent="0.25">
      <c r="A401" s="34">
        <f t="shared" si="13"/>
        <v>2</v>
      </c>
      <c r="B401" s="35">
        <v>397</v>
      </c>
      <c r="C401" s="36">
        <f t="shared" si="14"/>
        <v>33.083333333333329</v>
      </c>
      <c r="D401" s="76">
        <v>4</v>
      </c>
      <c r="E401" s="76">
        <v>5.35</v>
      </c>
      <c r="F401" s="77">
        <v>147.30000000000001</v>
      </c>
      <c r="G401" s="77">
        <v>1213.18</v>
      </c>
      <c r="H401" s="77">
        <v>543.9</v>
      </c>
    </row>
    <row r="402" spans="1:8" x14ac:dyDescent="0.25">
      <c r="A402" s="34">
        <f t="shared" si="13"/>
        <v>2</v>
      </c>
      <c r="B402" s="35">
        <v>398</v>
      </c>
      <c r="C402" s="36">
        <f t="shared" si="14"/>
        <v>33.166666666666664</v>
      </c>
      <c r="D402" s="76">
        <v>4.0416666666666696</v>
      </c>
      <c r="E402" s="76">
        <v>6.4358333333333304</v>
      </c>
      <c r="F402" s="77">
        <v>146.683333333333</v>
      </c>
      <c r="G402" s="77">
        <v>1166.5591666666701</v>
      </c>
      <c r="H402" s="77">
        <v>510.58333333333297</v>
      </c>
    </row>
    <row r="403" spans="1:8" x14ac:dyDescent="0.25">
      <c r="A403" s="34">
        <f t="shared" si="13"/>
        <v>2</v>
      </c>
      <c r="B403" s="35">
        <v>399</v>
      </c>
      <c r="C403" s="36">
        <f t="shared" si="14"/>
        <v>33.25</v>
      </c>
      <c r="D403" s="76">
        <v>4.0833333333333304</v>
      </c>
      <c r="E403" s="76">
        <v>7.5216666666666701</v>
      </c>
      <c r="F403" s="77">
        <v>146.066666666667</v>
      </c>
      <c r="G403" s="77">
        <v>1119.9383333333301</v>
      </c>
      <c r="H403" s="77">
        <v>477.26666666666699</v>
      </c>
    </row>
    <row r="404" spans="1:8" x14ac:dyDescent="0.25">
      <c r="A404" s="34">
        <f t="shared" si="13"/>
        <v>2</v>
      </c>
      <c r="B404" s="35">
        <v>400</v>
      </c>
      <c r="C404" s="36">
        <f t="shared" si="14"/>
        <v>33.333333333333329</v>
      </c>
      <c r="D404" s="76">
        <v>4.125</v>
      </c>
      <c r="E404" s="76">
        <v>8.6074999999999999</v>
      </c>
      <c r="F404" s="77">
        <v>145.44999999999999</v>
      </c>
      <c r="G404" s="77">
        <v>1073.3175000000001</v>
      </c>
      <c r="H404" s="77">
        <v>443.95</v>
      </c>
    </row>
    <row r="405" spans="1:8" x14ac:dyDescent="0.25">
      <c r="A405" s="34">
        <f t="shared" si="13"/>
        <v>2</v>
      </c>
      <c r="B405" s="35">
        <v>401</v>
      </c>
      <c r="C405" s="36">
        <f t="shared" si="14"/>
        <v>33.416666666666664</v>
      </c>
      <c r="D405" s="76">
        <v>4.1666666666666696</v>
      </c>
      <c r="E405" s="76">
        <v>9.6933333333333298</v>
      </c>
      <c r="F405" s="77">
        <v>144.833333333333</v>
      </c>
      <c r="G405" s="77">
        <v>1026.6966666666699</v>
      </c>
      <c r="H405" s="77">
        <v>410.63333333333298</v>
      </c>
    </row>
    <row r="406" spans="1:8" x14ac:dyDescent="0.25">
      <c r="A406" s="34">
        <f t="shared" si="13"/>
        <v>2</v>
      </c>
      <c r="B406" s="35">
        <v>402</v>
      </c>
      <c r="C406" s="36">
        <f t="shared" si="14"/>
        <v>33.5</v>
      </c>
      <c r="D406" s="76">
        <v>4.2083333333333304</v>
      </c>
      <c r="E406" s="76">
        <v>10.779166666666701</v>
      </c>
      <c r="F406" s="77">
        <v>144.21666666666701</v>
      </c>
      <c r="G406" s="77">
        <v>980.07583333333298</v>
      </c>
      <c r="H406" s="77">
        <v>377.316666666667</v>
      </c>
    </row>
    <row r="407" spans="1:8" x14ac:dyDescent="0.25">
      <c r="A407" s="34">
        <f t="shared" si="13"/>
        <v>2</v>
      </c>
      <c r="B407" s="35">
        <v>403</v>
      </c>
      <c r="C407" s="36">
        <f t="shared" si="14"/>
        <v>33.583333333333329</v>
      </c>
      <c r="D407" s="76">
        <v>4.25</v>
      </c>
      <c r="E407" s="76">
        <v>11.865</v>
      </c>
      <c r="F407" s="77">
        <v>143.6</v>
      </c>
      <c r="G407" s="77">
        <v>933.45500000000004</v>
      </c>
      <c r="H407" s="77">
        <v>344</v>
      </c>
    </row>
    <row r="408" spans="1:8" x14ac:dyDescent="0.25">
      <c r="A408" s="34">
        <f t="shared" si="13"/>
        <v>2</v>
      </c>
      <c r="B408" s="35">
        <v>404</v>
      </c>
      <c r="C408" s="36">
        <f t="shared" si="14"/>
        <v>33.666666666666664</v>
      </c>
      <c r="D408" s="76">
        <v>4.2916666666666696</v>
      </c>
      <c r="E408" s="76">
        <v>12.9508333333333</v>
      </c>
      <c r="F408" s="77">
        <v>142.98333333333301</v>
      </c>
      <c r="G408" s="77">
        <v>886.83416666666699</v>
      </c>
      <c r="H408" s="77">
        <v>310.683333333333</v>
      </c>
    </row>
    <row r="409" spans="1:8" x14ac:dyDescent="0.25">
      <c r="A409" s="34">
        <f t="shared" si="13"/>
        <v>2</v>
      </c>
      <c r="B409" s="35">
        <v>405</v>
      </c>
      <c r="C409" s="36">
        <f t="shared" si="14"/>
        <v>33.75</v>
      </c>
      <c r="D409" s="76">
        <v>4.3333333333333304</v>
      </c>
      <c r="E409" s="76">
        <v>14.036666666666701</v>
      </c>
      <c r="F409" s="77">
        <v>142.36666666666699</v>
      </c>
      <c r="G409" s="77">
        <v>840.21333333333303</v>
      </c>
      <c r="H409" s="77">
        <v>277.36666666666702</v>
      </c>
    </row>
    <row r="410" spans="1:8" x14ac:dyDescent="0.25">
      <c r="A410" s="34">
        <f t="shared" si="13"/>
        <v>2</v>
      </c>
      <c r="B410" s="35">
        <v>406</v>
      </c>
      <c r="C410" s="36">
        <f t="shared" si="14"/>
        <v>33.833333333333329</v>
      </c>
      <c r="D410" s="76">
        <v>4.375</v>
      </c>
      <c r="E410" s="76">
        <v>15.1225</v>
      </c>
      <c r="F410" s="77">
        <v>141.75</v>
      </c>
      <c r="G410" s="77">
        <v>793.59249999999997</v>
      </c>
      <c r="H410" s="77">
        <v>244.05</v>
      </c>
    </row>
    <row r="411" spans="1:8" x14ac:dyDescent="0.25">
      <c r="A411" s="34">
        <f t="shared" si="13"/>
        <v>2</v>
      </c>
      <c r="B411" s="35">
        <v>407</v>
      </c>
      <c r="C411" s="36">
        <f t="shared" si="14"/>
        <v>33.916666666666664</v>
      </c>
      <c r="D411" s="76">
        <v>4.4166666666666696</v>
      </c>
      <c r="E411" s="76">
        <v>16.2083333333333</v>
      </c>
      <c r="F411" s="77">
        <v>141.13333333333301</v>
      </c>
      <c r="G411" s="77">
        <v>746.97166666666703</v>
      </c>
      <c r="H411" s="77">
        <v>210.73333333333301</v>
      </c>
    </row>
    <row r="412" spans="1:8" x14ac:dyDescent="0.25">
      <c r="A412" s="34">
        <f t="shared" si="13"/>
        <v>2</v>
      </c>
      <c r="B412" s="35">
        <v>408</v>
      </c>
      <c r="C412" s="36">
        <f t="shared" si="14"/>
        <v>34</v>
      </c>
      <c r="D412" s="76">
        <v>4.4583333333333304</v>
      </c>
      <c r="E412" s="76">
        <v>17.294166666666701</v>
      </c>
      <c r="F412" s="77">
        <v>140.51666666666699</v>
      </c>
      <c r="G412" s="77">
        <v>700.35083333333296</v>
      </c>
      <c r="H412" s="77">
        <v>177.416666666667</v>
      </c>
    </row>
    <row r="413" spans="1:8" x14ac:dyDescent="0.25">
      <c r="A413" s="34">
        <f t="shared" si="13"/>
        <v>2</v>
      </c>
      <c r="B413" s="35">
        <v>409</v>
      </c>
      <c r="C413" s="36">
        <f t="shared" si="14"/>
        <v>34.083333333333329</v>
      </c>
      <c r="D413" s="76">
        <v>4.5</v>
      </c>
      <c r="E413" s="76">
        <v>18.38</v>
      </c>
      <c r="F413" s="77">
        <v>139.9</v>
      </c>
      <c r="G413" s="77">
        <v>653.73</v>
      </c>
      <c r="H413" s="77">
        <v>144.1</v>
      </c>
    </row>
    <row r="414" spans="1:8" x14ac:dyDescent="0.25">
      <c r="A414" s="34">
        <f t="shared" si="13"/>
        <v>2</v>
      </c>
      <c r="B414" s="35">
        <v>410</v>
      </c>
      <c r="C414" s="36">
        <f t="shared" si="14"/>
        <v>34.166666666666664</v>
      </c>
      <c r="D414" s="76">
        <v>4.5166666666666702</v>
      </c>
      <c r="E414" s="76">
        <v>20.434166666666702</v>
      </c>
      <c r="F414" s="77">
        <v>143.50833333333301</v>
      </c>
      <c r="G414" s="77">
        <v>672.72749999999996</v>
      </c>
      <c r="H414" s="77">
        <v>143.42500000000001</v>
      </c>
    </row>
    <row r="415" spans="1:8" x14ac:dyDescent="0.25">
      <c r="A415" s="34">
        <f t="shared" si="13"/>
        <v>2</v>
      </c>
      <c r="B415" s="35">
        <v>411</v>
      </c>
      <c r="C415" s="36">
        <f t="shared" si="14"/>
        <v>34.25</v>
      </c>
      <c r="D415" s="76">
        <v>4.5333333333333297</v>
      </c>
      <c r="E415" s="76">
        <v>22.488333333333301</v>
      </c>
      <c r="F415" s="77">
        <v>147.11666666666699</v>
      </c>
      <c r="G415" s="77">
        <v>691.72500000000002</v>
      </c>
      <c r="H415" s="77">
        <v>142.75</v>
      </c>
    </row>
    <row r="416" spans="1:8" x14ac:dyDescent="0.25">
      <c r="A416" s="34">
        <f t="shared" si="13"/>
        <v>2</v>
      </c>
      <c r="B416" s="35">
        <v>412</v>
      </c>
      <c r="C416" s="36">
        <f t="shared" si="14"/>
        <v>34.333333333333329</v>
      </c>
      <c r="D416" s="76">
        <v>4.55</v>
      </c>
      <c r="E416" s="76">
        <v>24.5425</v>
      </c>
      <c r="F416" s="77">
        <v>150.72499999999999</v>
      </c>
      <c r="G416" s="77">
        <v>710.72249999999997</v>
      </c>
      <c r="H416" s="77">
        <v>142.07499999999999</v>
      </c>
    </row>
    <row r="417" spans="1:8" x14ac:dyDescent="0.25">
      <c r="A417" s="34">
        <f t="shared" si="13"/>
        <v>2</v>
      </c>
      <c r="B417" s="35">
        <v>413</v>
      </c>
      <c r="C417" s="36">
        <f t="shared" si="14"/>
        <v>34.416666666666664</v>
      </c>
      <c r="D417" s="76">
        <v>4.56666666666667</v>
      </c>
      <c r="E417" s="76">
        <v>26.5966666666667</v>
      </c>
      <c r="F417" s="77">
        <v>154.333333333333</v>
      </c>
      <c r="G417" s="77">
        <v>729.72</v>
      </c>
      <c r="H417" s="77">
        <v>141.4</v>
      </c>
    </row>
    <row r="418" spans="1:8" x14ac:dyDescent="0.25">
      <c r="A418" s="34">
        <f t="shared" si="13"/>
        <v>2</v>
      </c>
      <c r="B418" s="35">
        <v>414</v>
      </c>
      <c r="C418" s="36">
        <f t="shared" si="14"/>
        <v>34.5</v>
      </c>
      <c r="D418" s="76">
        <v>4.5833333333333304</v>
      </c>
      <c r="E418" s="76">
        <v>28.650833333333299</v>
      </c>
      <c r="F418" s="77">
        <v>157.941666666667</v>
      </c>
      <c r="G418" s="77">
        <v>748.71749999999997</v>
      </c>
      <c r="H418" s="77">
        <v>140.72499999999999</v>
      </c>
    </row>
    <row r="419" spans="1:8" x14ac:dyDescent="0.25">
      <c r="A419" s="34">
        <f t="shared" si="13"/>
        <v>2</v>
      </c>
      <c r="B419" s="35">
        <v>415</v>
      </c>
      <c r="C419" s="36">
        <f t="shared" si="14"/>
        <v>34.583333333333329</v>
      </c>
      <c r="D419" s="76">
        <v>4.5999999999999996</v>
      </c>
      <c r="E419" s="76">
        <v>30.704999999999998</v>
      </c>
      <c r="F419" s="77">
        <v>161.55000000000001</v>
      </c>
      <c r="G419" s="77">
        <v>767.71500000000003</v>
      </c>
      <c r="H419" s="77">
        <v>140.05000000000001</v>
      </c>
    </row>
    <row r="420" spans="1:8" x14ac:dyDescent="0.25">
      <c r="A420" s="34">
        <f t="shared" si="13"/>
        <v>2</v>
      </c>
      <c r="B420" s="35">
        <v>416</v>
      </c>
      <c r="C420" s="36">
        <f t="shared" si="14"/>
        <v>34.666666666666664</v>
      </c>
      <c r="D420" s="76">
        <v>4.6166666666666698</v>
      </c>
      <c r="E420" s="76">
        <v>32.759166666666701</v>
      </c>
      <c r="F420" s="77">
        <v>165.15833333333299</v>
      </c>
      <c r="G420" s="77">
        <v>786.71249999999998</v>
      </c>
      <c r="H420" s="77">
        <v>139.375</v>
      </c>
    </row>
    <row r="421" spans="1:8" x14ac:dyDescent="0.25">
      <c r="A421" s="34">
        <f t="shared" si="13"/>
        <v>2</v>
      </c>
      <c r="B421" s="35">
        <v>417</v>
      </c>
      <c r="C421" s="36">
        <f t="shared" si="14"/>
        <v>34.75</v>
      </c>
      <c r="D421" s="76">
        <v>4.6333333333333302</v>
      </c>
      <c r="E421" s="76">
        <v>34.813333333333297</v>
      </c>
      <c r="F421" s="77">
        <v>168.76666666666699</v>
      </c>
      <c r="G421" s="77">
        <v>805.71</v>
      </c>
      <c r="H421" s="77">
        <v>138.69999999999999</v>
      </c>
    </row>
    <row r="422" spans="1:8" x14ac:dyDescent="0.25">
      <c r="A422" s="34">
        <f t="shared" si="13"/>
        <v>2</v>
      </c>
      <c r="B422" s="35">
        <v>418</v>
      </c>
      <c r="C422" s="36">
        <f t="shared" si="14"/>
        <v>34.833333333333329</v>
      </c>
      <c r="D422" s="76">
        <v>4.6500000000000004</v>
      </c>
      <c r="E422" s="76">
        <v>36.8675</v>
      </c>
      <c r="F422" s="77">
        <v>172.375</v>
      </c>
      <c r="G422" s="77">
        <v>824.70749999999998</v>
      </c>
      <c r="H422" s="77">
        <v>138.02500000000001</v>
      </c>
    </row>
    <row r="423" spans="1:8" x14ac:dyDescent="0.25">
      <c r="A423" s="34">
        <f t="shared" si="13"/>
        <v>2</v>
      </c>
      <c r="B423" s="35">
        <v>419</v>
      </c>
      <c r="C423" s="36">
        <f t="shared" si="14"/>
        <v>34.916666666666664</v>
      </c>
      <c r="D423" s="76">
        <v>4.6666666666666696</v>
      </c>
      <c r="E423" s="76">
        <v>38.921666666666702</v>
      </c>
      <c r="F423" s="77">
        <v>175.98333333333301</v>
      </c>
      <c r="G423" s="77">
        <v>843.70500000000004</v>
      </c>
      <c r="H423" s="77">
        <v>137.35</v>
      </c>
    </row>
    <row r="424" spans="1:8" x14ac:dyDescent="0.25">
      <c r="A424" s="34">
        <f t="shared" si="13"/>
        <v>2</v>
      </c>
      <c r="B424" s="35">
        <v>420</v>
      </c>
      <c r="C424" s="36">
        <f t="shared" si="14"/>
        <v>35</v>
      </c>
      <c r="D424" s="76">
        <v>4.68333333333333</v>
      </c>
      <c r="E424" s="76">
        <v>40.975833333333298</v>
      </c>
      <c r="F424" s="77">
        <v>179.59166666666701</v>
      </c>
      <c r="G424" s="77">
        <v>862.70249999999999</v>
      </c>
      <c r="H424" s="77">
        <v>136.67500000000001</v>
      </c>
    </row>
    <row r="425" spans="1:8" x14ac:dyDescent="0.25">
      <c r="A425" s="34">
        <f t="shared" si="13"/>
        <v>2</v>
      </c>
      <c r="B425" s="35">
        <v>421</v>
      </c>
      <c r="C425" s="36">
        <f t="shared" si="14"/>
        <v>35.083333333333329</v>
      </c>
      <c r="D425" s="76">
        <v>4.7</v>
      </c>
      <c r="E425" s="76">
        <v>43.03</v>
      </c>
      <c r="F425" s="77">
        <v>183.2</v>
      </c>
      <c r="G425" s="77">
        <v>881.7</v>
      </c>
      <c r="H425" s="77">
        <v>136</v>
      </c>
    </row>
    <row r="426" spans="1:8" x14ac:dyDescent="0.25">
      <c r="A426" s="34">
        <f t="shared" si="13"/>
        <v>2</v>
      </c>
      <c r="B426" s="35">
        <v>422</v>
      </c>
      <c r="C426" s="36">
        <f t="shared" si="14"/>
        <v>35.166666666666664</v>
      </c>
      <c r="D426" s="76">
        <v>4.7166666666666703</v>
      </c>
      <c r="E426" s="76">
        <v>43.014166666666704</v>
      </c>
      <c r="F426" s="77">
        <v>188.86666666666699</v>
      </c>
      <c r="G426" s="77">
        <v>937.75333333333299</v>
      </c>
      <c r="H426" s="77">
        <v>136</v>
      </c>
    </row>
    <row r="427" spans="1:8" x14ac:dyDescent="0.25">
      <c r="A427" s="34">
        <f t="shared" si="13"/>
        <v>2</v>
      </c>
      <c r="B427" s="35">
        <v>423</v>
      </c>
      <c r="C427" s="36">
        <f t="shared" si="14"/>
        <v>35.25</v>
      </c>
      <c r="D427" s="76">
        <v>4.7333333333333298</v>
      </c>
      <c r="E427" s="76">
        <v>42.998333333333299</v>
      </c>
      <c r="F427" s="77">
        <v>194.53333333333299</v>
      </c>
      <c r="G427" s="77">
        <v>993.80666666666696</v>
      </c>
      <c r="H427" s="77">
        <v>136</v>
      </c>
    </row>
    <row r="428" spans="1:8" x14ac:dyDescent="0.25">
      <c r="A428" s="34">
        <f t="shared" si="13"/>
        <v>2</v>
      </c>
      <c r="B428" s="35">
        <v>424</v>
      </c>
      <c r="C428" s="36">
        <f t="shared" si="14"/>
        <v>35.333333333333329</v>
      </c>
      <c r="D428" s="76">
        <v>4.75</v>
      </c>
      <c r="E428" s="76">
        <v>42.982500000000002</v>
      </c>
      <c r="F428" s="77">
        <v>200.2</v>
      </c>
      <c r="G428" s="77">
        <v>1049.8599999999999</v>
      </c>
      <c r="H428" s="77">
        <v>136</v>
      </c>
    </row>
    <row r="429" spans="1:8" x14ac:dyDescent="0.25">
      <c r="A429" s="34">
        <f t="shared" si="13"/>
        <v>2</v>
      </c>
      <c r="B429" s="35">
        <v>425</v>
      </c>
      <c r="C429" s="36">
        <f t="shared" si="14"/>
        <v>35.416666666666664</v>
      </c>
      <c r="D429" s="76">
        <v>4.7666666666666702</v>
      </c>
      <c r="E429" s="76">
        <v>42.966666666666697</v>
      </c>
      <c r="F429" s="77">
        <v>205.86666666666699</v>
      </c>
      <c r="G429" s="77">
        <v>1105.91333333333</v>
      </c>
      <c r="H429" s="77">
        <v>136</v>
      </c>
    </row>
    <row r="430" spans="1:8" x14ac:dyDescent="0.25">
      <c r="A430" s="34">
        <f t="shared" si="13"/>
        <v>2</v>
      </c>
      <c r="B430" s="35">
        <v>426</v>
      </c>
      <c r="C430" s="36">
        <f t="shared" si="14"/>
        <v>35.5</v>
      </c>
      <c r="D430" s="76">
        <v>4.7833333333333297</v>
      </c>
      <c r="E430" s="76">
        <v>42.9508333333333</v>
      </c>
      <c r="F430" s="77">
        <v>211.53333333333299</v>
      </c>
      <c r="G430" s="77">
        <v>1161.9666666666701</v>
      </c>
      <c r="H430" s="77">
        <v>136</v>
      </c>
    </row>
    <row r="431" spans="1:8" x14ac:dyDescent="0.25">
      <c r="A431" s="34">
        <f t="shared" si="13"/>
        <v>2</v>
      </c>
      <c r="B431" s="35">
        <v>427</v>
      </c>
      <c r="C431" s="36">
        <f t="shared" si="14"/>
        <v>35.583333333333329</v>
      </c>
      <c r="D431" s="76">
        <v>4.8</v>
      </c>
      <c r="E431" s="76">
        <v>42.935000000000002</v>
      </c>
      <c r="F431" s="77">
        <v>217.2</v>
      </c>
      <c r="G431" s="77">
        <v>1218.02</v>
      </c>
      <c r="H431" s="77">
        <v>136</v>
      </c>
    </row>
    <row r="432" spans="1:8" x14ac:dyDescent="0.25">
      <c r="A432" s="34">
        <f t="shared" si="13"/>
        <v>2</v>
      </c>
      <c r="B432" s="35">
        <v>428</v>
      </c>
      <c r="C432" s="36">
        <f t="shared" si="14"/>
        <v>35.666666666666664</v>
      </c>
      <c r="D432" s="76">
        <v>4.81666666666667</v>
      </c>
      <c r="E432" s="76">
        <v>42.919166666666698</v>
      </c>
      <c r="F432" s="77">
        <v>222.86666666666699</v>
      </c>
      <c r="G432" s="77">
        <v>1274.0733333333301</v>
      </c>
      <c r="H432" s="77">
        <v>136</v>
      </c>
    </row>
    <row r="433" spans="1:8" x14ac:dyDescent="0.25">
      <c r="A433" s="34">
        <f t="shared" si="13"/>
        <v>2</v>
      </c>
      <c r="B433" s="35">
        <v>429</v>
      </c>
      <c r="C433" s="36">
        <f t="shared" si="14"/>
        <v>35.75</v>
      </c>
      <c r="D433" s="76">
        <v>4.8333333333333304</v>
      </c>
      <c r="E433" s="76">
        <v>42.9033333333333</v>
      </c>
      <c r="F433" s="77">
        <v>228.53333333333299</v>
      </c>
      <c r="G433" s="77">
        <v>1330.12666666667</v>
      </c>
      <c r="H433" s="77">
        <v>136</v>
      </c>
    </row>
    <row r="434" spans="1:8" x14ac:dyDescent="0.25">
      <c r="A434" s="34">
        <f t="shared" si="13"/>
        <v>2</v>
      </c>
      <c r="B434" s="35">
        <v>430</v>
      </c>
      <c r="C434" s="36">
        <f t="shared" si="14"/>
        <v>35.833333333333329</v>
      </c>
      <c r="D434" s="76">
        <v>4.8499999999999996</v>
      </c>
      <c r="E434" s="76">
        <v>42.887500000000003</v>
      </c>
      <c r="F434" s="77">
        <v>234.2</v>
      </c>
      <c r="G434" s="77">
        <v>1386.18</v>
      </c>
      <c r="H434" s="77">
        <v>136</v>
      </c>
    </row>
    <row r="435" spans="1:8" x14ac:dyDescent="0.25">
      <c r="A435" s="34">
        <f t="shared" si="13"/>
        <v>2</v>
      </c>
      <c r="B435" s="35">
        <v>431</v>
      </c>
      <c r="C435" s="36">
        <f t="shared" si="14"/>
        <v>35.916666666666664</v>
      </c>
      <c r="D435" s="76">
        <v>4.8666666666666698</v>
      </c>
      <c r="E435" s="76">
        <v>42.871666666666698</v>
      </c>
      <c r="F435" s="77">
        <v>239.86666666666699</v>
      </c>
      <c r="G435" s="77">
        <v>1442.2333333333299</v>
      </c>
      <c r="H435" s="77">
        <v>136</v>
      </c>
    </row>
    <row r="436" spans="1:8" x14ac:dyDescent="0.25">
      <c r="A436" s="34">
        <f t="shared" si="13"/>
        <v>2</v>
      </c>
      <c r="B436" s="35">
        <v>432</v>
      </c>
      <c r="C436" s="36">
        <f t="shared" si="14"/>
        <v>36</v>
      </c>
      <c r="D436" s="76">
        <v>4.8833333333333302</v>
      </c>
      <c r="E436" s="76">
        <v>42.855833333333301</v>
      </c>
      <c r="F436" s="77">
        <v>245.53333333333299</v>
      </c>
      <c r="G436" s="77">
        <v>1498.28666666667</v>
      </c>
      <c r="H436" s="77">
        <v>136</v>
      </c>
    </row>
    <row r="437" spans="1:8" x14ac:dyDescent="0.25">
      <c r="A437" s="34">
        <f t="shared" ref="A437:A500" si="15">ROUNDUP(C437/24,0)</f>
        <v>2</v>
      </c>
      <c r="B437" s="35">
        <v>433</v>
      </c>
      <c r="C437" s="36">
        <f t="shared" ref="C437:C500" si="16">B437*$C$1</f>
        <v>36.083333333333329</v>
      </c>
      <c r="D437" s="76">
        <v>4.9000000000000004</v>
      </c>
      <c r="E437" s="76">
        <v>42.84</v>
      </c>
      <c r="F437" s="77">
        <v>251.2</v>
      </c>
      <c r="G437" s="77">
        <v>1554.34</v>
      </c>
      <c r="H437" s="77">
        <v>136</v>
      </c>
    </row>
    <row r="438" spans="1:8" x14ac:dyDescent="0.25">
      <c r="A438" s="34">
        <f t="shared" si="15"/>
        <v>2</v>
      </c>
      <c r="B438" s="35">
        <v>434</v>
      </c>
      <c r="C438" s="36">
        <f t="shared" si="16"/>
        <v>36.166666666666664</v>
      </c>
      <c r="D438" s="76">
        <v>4.9083333333333297</v>
      </c>
      <c r="E438" s="76">
        <v>42.039166666666702</v>
      </c>
      <c r="F438" s="77">
        <v>250.85</v>
      </c>
      <c r="G438" s="77">
        <v>1548.61333333333</v>
      </c>
      <c r="H438" s="77">
        <v>136</v>
      </c>
    </row>
    <row r="439" spans="1:8" x14ac:dyDescent="0.25">
      <c r="A439" s="34">
        <f t="shared" si="15"/>
        <v>2</v>
      </c>
      <c r="B439" s="35">
        <v>435</v>
      </c>
      <c r="C439" s="36">
        <f t="shared" si="16"/>
        <v>36.25</v>
      </c>
      <c r="D439" s="76">
        <v>4.9166666666666696</v>
      </c>
      <c r="E439" s="76">
        <v>41.238333333333301</v>
      </c>
      <c r="F439" s="77">
        <v>250.5</v>
      </c>
      <c r="G439" s="77">
        <v>1542.88666666667</v>
      </c>
      <c r="H439" s="77">
        <v>136</v>
      </c>
    </row>
    <row r="440" spans="1:8" x14ac:dyDescent="0.25">
      <c r="A440" s="34">
        <f t="shared" si="15"/>
        <v>2</v>
      </c>
      <c r="B440" s="35">
        <v>436</v>
      </c>
      <c r="C440" s="36">
        <f t="shared" si="16"/>
        <v>36.333333333333329</v>
      </c>
      <c r="D440" s="76">
        <v>4.9249999999999998</v>
      </c>
      <c r="E440" s="76">
        <v>40.4375</v>
      </c>
      <c r="F440" s="77">
        <v>250.15</v>
      </c>
      <c r="G440" s="77">
        <v>1537.16</v>
      </c>
      <c r="H440" s="77">
        <v>136</v>
      </c>
    </row>
    <row r="441" spans="1:8" x14ac:dyDescent="0.25">
      <c r="A441" s="34">
        <f t="shared" si="15"/>
        <v>2</v>
      </c>
      <c r="B441" s="35">
        <v>437</v>
      </c>
      <c r="C441" s="36">
        <f t="shared" si="16"/>
        <v>36.416666666666664</v>
      </c>
      <c r="D441" s="76">
        <v>4.93333333333333</v>
      </c>
      <c r="E441" s="76">
        <v>39.636666666666699</v>
      </c>
      <c r="F441" s="77">
        <v>249.8</v>
      </c>
      <c r="G441" s="77">
        <v>1531.43333333333</v>
      </c>
      <c r="H441" s="77">
        <v>136</v>
      </c>
    </row>
    <row r="442" spans="1:8" x14ac:dyDescent="0.25">
      <c r="A442" s="34">
        <f t="shared" si="15"/>
        <v>2</v>
      </c>
      <c r="B442" s="35">
        <v>438</v>
      </c>
      <c r="C442" s="36">
        <f t="shared" si="16"/>
        <v>36.5</v>
      </c>
      <c r="D442" s="76">
        <v>4.94166666666667</v>
      </c>
      <c r="E442" s="76">
        <v>38.835833333333298</v>
      </c>
      <c r="F442" s="77">
        <v>249.45</v>
      </c>
      <c r="G442" s="77">
        <v>1525.7066666666699</v>
      </c>
      <c r="H442" s="77">
        <v>136</v>
      </c>
    </row>
    <row r="443" spans="1:8" x14ac:dyDescent="0.25">
      <c r="A443" s="34">
        <f t="shared" si="15"/>
        <v>2</v>
      </c>
      <c r="B443" s="35">
        <v>439</v>
      </c>
      <c r="C443" s="36">
        <f t="shared" si="16"/>
        <v>36.583333333333329</v>
      </c>
      <c r="D443" s="76">
        <v>4.95</v>
      </c>
      <c r="E443" s="76">
        <v>38.034999999999997</v>
      </c>
      <c r="F443" s="77">
        <v>249.1</v>
      </c>
      <c r="G443" s="77">
        <v>1519.98</v>
      </c>
      <c r="H443" s="77">
        <v>136</v>
      </c>
    </row>
    <row r="444" spans="1:8" x14ac:dyDescent="0.25">
      <c r="A444" s="34">
        <f t="shared" si="15"/>
        <v>2</v>
      </c>
      <c r="B444" s="35">
        <v>440</v>
      </c>
      <c r="C444" s="36">
        <f t="shared" si="16"/>
        <v>36.666666666666664</v>
      </c>
      <c r="D444" s="76">
        <v>4.9583333333333304</v>
      </c>
      <c r="E444" s="76">
        <v>37.234166666666702</v>
      </c>
      <c r="F444" s="77">
        <v>248.75</v>
      </c>
      <c r="G444" s="77">
        <v>1514.2533333333299</v>
      </c>
      <c r="H444" s="77">
        <v>136</v>
      </c>
    </row>
    <row r="445" spans="1:8" x14ac:dyDescent="0.25">
      <c r="A445" s="34">
        <f t="shared" si="15"/>
        <v>2</v>
      </c>
      <c r="B445" s="35">
        <v>441</v>
      </c>
      <c r="C445" s="36">
        <f t="shared" si="16"/>
        <v>36.75</v>
      </c>
      <c r="D445" s="76">
        <v>4.9666666666666703</v>
      </c>
      <c r="E445" s="76">
        <v>36.433333333333302</v>
      </c>
      <c r="F445" s="77">
        <v>248.4</v>
      </c>
      <c r="G445" s="77">
        <v>1508.5266666666701</v>
      </c>
      <c r="H445" s="77">
        <v>136</v>
      </c>
    </row>
    <row r="446" spans="1:8" x14ac:dyDescent="0.25">
      <c r="A446" s="34">
        <f t="shared" si="15"/>
        <v>2</v>
      </c>
      <c r="B446" s="35">
        <v>442</v>
      </c>
      <c r="C446" s="36">
        <f t="shared" si="16"/>
        <v>36.833333333333329</v>
      </c>
      <c r="D446" s="76">
        <v>4.9749999999999996</v>
      </c>
      <c r="E446" s="76">
        <v>35.6325</v>
      </c>
      <c r="F446" s="77">
        <v>248.05</v>
      </c>
      <c r="G446" s="77">
        <v>1502.8</v>
      </c>
      <c r="H446" s="77">
        <v>136</v>
      </c>
    </row>
    <row r="447" spans="1:8" x14ac:dyDescent="0.25">
      <c r="A447" s="34">
        <f t="shared" si="15"/>
        <v>2</v>
      </c>
      <c r="B447" s="35">
        <v>443</v>
      </c>
      <c r="C447" s="36">
        <f t="shared" si="16"/>
        <v>36.916666666666664</v>
      </c>
      <c r="D447" s="76">
        <v>4.9833333333333298</v>
      </c>
      <c r="E447" s="76">
        <v>34.831666666666699</v>
      </c>
      <c r="F447" s="77">
        <v>247.7</v>
      </c>
      <c r="G447" s="77">
        <v>1497.0733333333301</v>
      </c>
      <c r="H447" s="77">
        <v>136</v>
      </c>
    </row>
    <row r="448" spans="1:8" x14ac:dyDescent="0.25">
      <c r="A448" s="34">
        <f t="shared" si="15"/>
        <v>2</v>
      </c>
      <c r="B448" s="35">
        <v>444</v>
      </c>
      <c r="C448" s="36">
        <f t="shared" si="16"/>
        <v>37</v>
      </c>
      <c r="D448" s="76">
        <v>4.9916666666666698</v>
      </c>
      <c r="E448" s="76">
        <v>34.030833333333298</v>
      </c>
      <c r="F448" s="77">
        <v>247.35</v>
      </c>
      <c r="G448" s="77">
        <v>1491.34666666667</v>
      </c>
      <c r="H448" s="77">
        <v>136</v>
      </c>
    </row>
    <row r="449" spans="1:8" x14ac:dyDescent="0.25">
      <c r="A449" s="34">
        <f t="shared" si="15"/>
        <v>2</v>
      </c>
      <c r="B449" s="35">
        <v>445</v>
      </c>
      <c r="C449" s="36">
        <f t="shared" si="16"/>
        <v>37.083333333333329</v>
      </c>
      <c r="D449" s="76">
        <v>5</v>
      </c>
      <c r="E449" s="76">
        <v>33.229999999999997</v>
      </c>
      <c r="F449" s="77">
        <v>247</v>
      </c>
      <c r="G449" s="77">
        <v>1485.62</v>
      </c>
      <c r="H449" s="77">
        <v>136</v>
      </c>
    </row>
    <row r="450" spans="1:8" x14ac:dyDescent="0.25">
      <c r="A450" s="34">
        <f t="shared" si="15"/>
        <v>2</v>
      </c>
      <c r="B450" s="35">
        <v>446</v>
      </c>
      <c r="C450" s="36">
        <f t="shared" si="16"/>
        <v>37.166666666666664</v>
      </c>
      <c r="D450" s="76">
        <v>5</v>
      </c>
      <c r="E450" s="76">
        <v>32.908333333333303</v>
      </c>
      <c r="F450" s="77">
        <v>236.916666666667</v>
      </c>
      <c r="G450" s="77">
        <v>1484.12</v>
      </c>
      <c r="H450" s="77">
        <v>124.666666666667</v>
      </c>
    </row>
    <row r="451" spans="1:8" x14ac:dyDescent="0.25">
      <c r="A451" s="34">
        <f t="shared" si="15"/>
        <v>2</v>
      </c>
      <c r="B451" s="35">
        <v>447</v>
      </c>
      <c r="C451" s="36">
        <f t="shared" si="16"/>
        <v>37.25</v>
      </c>
      <c r="D451" s="76">
        <v>5</v>
      </c>
      <c r="E451" s="76">
        <v>32.586666666666702</v>
      </c>
      <c r="F451" s="77">
        <v>226.833333333333</v>
      </c>
      <c r="G451" s="77">
        <v>1482.62</v>
      </c>
      <c r="H451" s="77">
        <v>113.333333333333</v>
      </c>
    </row>
    <row r="452" spans="1:8" x14ac:dyDescent="0.25">
      <c r="A452" s="34">
        <f t="shared" si="15"/>
        <v>2</v>
      </c>
      <c r="B452" s="35">
        <v>448</v>
      </c>
      <c r="C452" s="36">
        <f t="shared" si="16"/>
        <v>37.333333333333329</v>
      </c>
      <c r="D452" s="76">
        <v>5</v>
      </c>
      <c r="E452" s="76">
        <v>32.265000000000001</v>
      </c>
      <c r="F452" s="77">
        <v>216.75</v>
      </c>
      <c r="G452" s="77">
        <v>1481.12</v>
      </c>
      <c r="H452" s="77">
        <v>102</v>
      </c>
    </row>
    <row r="453" spans="1:8" x14ac:dyDescent="0.25">
      <c r="A453" s="34">
        <f t="shared" si="15"/>
        <v>2</v>
      </c>
      <c r="B453" s="35">
        <v>449</v>
      </c>
      <c r="C453" s="36">
        <f t="shared" si="16"/>
        <v>37.416666666666664</v>
      </c>
      <c r="D453" s="76">
        <v>5</v>
      </c>
      <c r="E453" s="76">
        <v>31.9433333333333</v>
      </c>
      <c r="F453" s="77">
        <v>206.666666666667</v>
      </c>
      <c r="G453" s="77">
        <v>1479.62</v>
      </c>
      <c r="H453" s="77">
        <v>90.6666666666667</v>
      </c>
    </row>
    <row r="454" spans="1:8" x14ac:dyDescent="0.25">
      <c r="A454" s="34">
        <f t="shared" si="15"/>
        <v>2</v>
      </c>
      <c r="B454" s="35">
        <v>450</v>
      </c>
      <c r="C454" s="36">
        <f t="shared" si="16"/>
        <v>37.5</v>
      </c>
      <c r="D454" s="76">
        <v>5</v>
      </c>
      <c r="E454" s="76">
        <v>31.621666666666702</v>
      </c>
      <c r="F454" s="77">
        <v>196.583333333333</v>
      </c>
      <c r="G454" s="77">
        <v>1478.12</v>
      </c>
      <c r="H454" s="77">
        <v>79.3333333333333</v>
      </c>
    </row>
    <row r="455" spans="1:8" x14ac:dyDescent="0.25">
      <c r="A455" s="34">
        <f t="shared" si="15"/>
        <v>2</v>
      </c>
      <c r="B455" s="35">
        <v>451</v>
      </c>
      <c r="C455" s="36">
        <f t="shared" si="16"/>
        <v>37.583333333333329</v>
      </c>
      <c r="D455" s="76">
        <v>5</v>
      </c>
      <c r="E455" s="76">
        <v>31.3</v>
      </c>
      <c r="F455" s="77">
        <v>186.5</v>
      </c>
      <c r="G455" s="77">
        <v>1476.62</v>
      </c>
      <c r="H455" s="77">
        <v>68</v>
      </c>
    </row>
    <row r="456" spans="1:8" x14ac:dyDescent="0.25">
      <c r="A456" s="34">
        <f t="shared" si="15"/>
        <v>2</v>
      </c>
      <c r="B456" s="35">
        <v>452</v>
      </c>
      <c r="C456" s="36">
        <f t="shared" si="16"/>
        <v>37.666666666666664</v>
      </c>
      <c r="D456" s="76">
        <v>5</v>
      </c>
      <c r="E456" s="76">
        <v>30.9783333333333</v>
      </c>
      <c r="F456" s="77">
        <v>176.416666666667</v>
      </c>
      <c r="G456" s="77">
        <v>1475.12</v>
      </c>
      <c r="H456" s="77">
        <v>56.6666666666667</v>
      </c>
    </row>
    <row r="457" spans="1:8" x14ac:dyDescent="0.25">
      <c r="A457" s="34">
        <f t="shared" si="15"/>
        <v>2</v>
      </c>
      <c r="B457" s="35">
        <v>453</v>
      </c>
      <c r="C457" s="36">
        <f t="shared" si="16"/>
        <v>37.75</v>
      </c>
      <c r="D457" s="76">
        <v>5</v>
      </c>
      <c r="E457" s="76">
        <v>30.656666666666698</v>
      </c>
      <c r="F457" s="77">
        <v>166.333333333333</v>
      </c>
      <c r="G457" s="77">
        <v>1473.62</v>
      </c>
      <c r="H457" s="77">
        <v>45.3333333333333</v>
      </c>
    </row>
    <row r="458" spans="1:8" x14ac:dyDescent="0.25">
      <c r="A458" s="34">
        <f t="shared" si="15"/>
        <v>2</v>
      </c>
      <c r="B458" s="35">
        <v>454</v>
      </c>
      <c r="C458" s="36">
        <f t="shared" si="16"/>
        <v>37.833333333333329</v>
      </c>
      <c r="D458" s="76">
        <v>5</v>
      </c>
      <c r="E458" s="76">
        <v>30.335000000000001</v>
      </c>
      <c r="F458" s="77">
        <v>156.25</v>
      </c>
      <c r="G458" s="77">
        <v>1472.12</v>
      </c>
      <c r="H458" s="77">
        <v>34</v>
      </c>
    </row>
    <row r="459" spans="1:8" x14ac:dyDescent="0.25">
      <c r="A459" s="34">
        <f t="shared" si="15"/>
        <v>2</v>
      </c>
      <c r="B459" s="35">
        <v>455</v>
      </c>
      <c r="C459" s="36">
        <f t="shared" si="16"/>
        <v>37.916666666666664</v>
      </c>
      <c r="D459" s="76">
        <v>5</v>
      </c>
      <c r="E459" s="76">
        <v>30.0133333333333</v>
      </c>
      <c r="F459" s="77">
        <v>146.166666666667</v>
      </c>
      <c r="G459" s="77">
        <v>1470.62</v>
      </c>
      <c r="H459" s="77">
        <v>22.6666666666667</v>
      </c>
    </row>
    <row r="460" spans="1:8" x14ac:dyDescent="0.25">
      <c r="A460" s="34">
        <f t="shared" si="15"/>
        <v>2</v>
      </c>
      <c r="B460" s="35">
        <v>456</v>
      </c>
      <c r="C460" s="36">
        <f t="shared" si="16"/>
        <v>38</v>
      </c>
      <c r="D460" s="76">
        <v>5</v>
      </c>
      <c r="E460" s="76">
        <v>29.691666666666698</v>
      </c>
      <c r="F460" s="77">
        <v>136.083333333333</v>
      </c>
      <c r="G460" s="77">
        <v>1469.12</v>
      </c>
      <c r="H460" s="77">
        <v>11.3333333333333</v>
      </c>
    </row>
    <row r="461" spans="1:8" x14ac:dyDescent="0.25">
      <c r="A461" s="34">
        <f t="shared" si="15"/>
        <v>2</v>
      </c>
      <c r="B461" s="35">
        <v>457</v>
      </c>
      <c r="C461" s="36">
        <f t="shared" si="16"/>
        <v>38.083333333333329</v>
      </c>
      <c r="D461" s="76">
        <v>5</v>
      </c>
      <c r="E461" s="76">
        <v>29.37</v>
      </c>
      <c r="F461" s="77">
        <v>126</v>
      </c>
      <c r="G461" s="77">
        <v>1467.62</v>
      </c>
      <c r="H461" s="77">
        <v>0</v>
      </c>
    </row>
    <row r="462" spans="1:8" x14ac:dyDescent="0.25">
      <c r="A462" s="34">
        <f t="shared" si="15"/>
        <v>2</v>
      </c>
      <c r="B462" s="35">
        <v>458</v>
      </c>
      <c r="C462" s="36">
        <f t="shared" si="16"/>
        <v>38.166666666666664</v>
      </c>
      <c r="D462" s="76">
        <v>5.0083333333333302</v>
      </c>
      <c r="E462" s="76">
        <v>28.658333333333299</v>
      </c>
      <c r="F462" s="77">
        <v>124.25</v>
      </c>
      <c r="G462" s="77">
        <v>1467.62</v>
      </c>
      <c r="H462" s="77">
        <v>0</v>
      </c>
    </row>
    <row r="463" spans="1:8" x14ac:dyDescent="0.25">
      <c r="A463" s="34">
        <f t="shared" si="15"/>
        <v>2</v>
      </c>
      <c r="B463" s="35">
        <v>459</v>
      </c>
      <c r="C463" s="36">
        <f t="shared" si="16"/>
        <v>38.25</v>
      </c>
      <c r="D463" s="76">
        <v>5.0166666666666702</v>
      </c>
      <c r="E463" s="76">
        <v>27.946666666666701</v>
      </c>
      <c r="F463" s="77">
        <v>122.5</v>
      </c>
      <c r="G463" s="77">
        <v>1467.62</v>
      </c>
      <c r="H463" s="77">
        <v>0</v>
      </c>
    </row>
    <row r="464" spans="1:8" x14ac:dyDescent="0.25">
      <c r="A464" s="34">
        <f t="shared" si="15"/>
        <v>2</v>
      </c>
      <c r="B464" s="35">
        <v>460</v>
      </c>
      <c r="C464" s="36">
        <f t="shared" si="16"/>
        <v>38.333333333333329</v>
      </c>
      <c r="D464" s="76">
        <v>5.0250000000000004</v>
      </c>
      <c r="E464" s="76">
        <v>27.234999999999999</v>
      </c>
      <c r="F464" s="77">
        <v>120.75</v>
      </c>
      <c r="G464" s="77">
        <v>1467.62</v>
      </c>
      <c r="H464" s="77">
        <v>0</v>
      </c>
    </row>
    <row r="465" spans="1:8" x14ac:dyDescent="0.25">
      <c r="A465" s="34">
        <f t="shared" si="15"/>
        <v>2</v>
      </c>
      <c r="B465" s="35">
        <v>461</v>
      </c>
      <c r="C465" s="36">
        <f t="shared" si="16"/>
        <v>38.416666666666664</v>
      </c>
      <c r="D465" s="76">
        <v>5.0333333333333297</v>
      </c>
      <c r="E465" s="76">
        <v>26.523333333333301</v>
      </c>
      <c r="F465" s="77">
        <v>119</v>
      </c>
      <c r="G465" s="77">
        <v>1467.62</v>
      </c>
      <c r="H465" s="77">
        <v>0</v>
      </c>
    </row>
    <row r="466" spans="1:8" x14ac:dyDescent="0.25">
      <c r="A466" s="34">
        <f t="shared" si="15"/>
        <v>2</v>
      </c>
      <c r="B466" s="35">
        <v>462</v>
      </c>
      <c r="C466" s="36">
        <f t="shared" si="16"/>
        <v>38.5</v>
      </c>
      <c r="D466" s="76">
        <v>5.0416666666666696</v>
      </c>
      <c r="E466" s="76">
        <v>25.811666666666699</v>
      </c>
      <c r="F466" s="77">
        <v>117.25</v>
      </c>
      <c r="G466" s="77">
        <v>1467.62</v>
      </c>
      <c r="H466" s="77">
        <v>0</v>
      </c>
    </row>
    <row r="467" spans="1:8" x14ac:dyDescent="0.25">
      <c r="A467" s="34">
        <f t="shared" si="15"/>
        <v>2</v>
      </c>
      <c r="B467" s="35">
        <v>463</v>
      </c>
      <c r="C467" s="36">
        <f t="shared" si="16"/>
        <v>38.583333333333329</v>
      </c>
      <c r="D467" s="76">
        <v>5.05</v>
      </c>
      <c r="E467" s="76">
        <v>25.1</v>
      </c>
      <c r="F467" s="77">
        <v>115.5</v>
      </c>
      <c r="G467" s="77">
        <v>1467.62</v>
      </c>
      <c r="H467" s="77">
        <v>0</v>
      </c>
    </row>
    <row r="468" spans="1:8" x14ac:dyDescent="0.25">
      <c r="A468" s="34">
        <f t="shared" si="15"/>
        <v>2</v>
      </c>
      <c r="B468" s="35">
        <v>464</v>
      </c>
      <c r="C468" s="36">
        <f t="shared" si="16"/>
        <v>38.666666666666664</v>
      </c>
      <c r="D468" s="76">
        <v>5.05833333333333</v>
      </c>
      <c r="E468" s="76">
        <v>24.3883333333333</v>
      </c>
      <c r="F468" s="77">
        <v>113.75</v>
      </c>
      <c r="G468" s="77">
        <v>1467.62</v>
      </c>
      <c r="H468" s="77">
        <v>0</v>
      </c>
    </row>
    <row r="469" spans="1:8" x14ac:dyDescent="0.25">
      <c r="A469" s="34">
        <f t="shared" si="15"/>
        <v>2</v>
      </c>
      <c r="B469" s="35">
        <v>465</v>
      </c>
      <c r="C469" s="36">
        <f t="shared" si="16"/>
        <v>38.75</v>
      </c>
      <c r="D469" s="76">
        <v>5.06666666666667</v>
      </c>
      <c r="E469" s="76">
        <v>23.676666666666701</v>
      </c>
      <c r="F469" s="77">
        <v>112</v>
      </c>
      <c r="G469" s="77">
        <v>1467.62</v>
      </c>
      <c r="H469" s="77">
        <v>0</v>
      </c>
    </row>
    <row r="470" spans="1:8" x14ac:dyDescent="0.25">
      <c r="A470" s="34">
        <f t="shared" si="15"/>
        <v>2</v>
      </c>
      <c r="B470" s="35">
        <v>466</v>
      </c>
      <c r="C470" s="36">
        <f t="shared" si="16"/>
        <v>38.833333333333329</v>
      </c>
      <c r="D470" s="76">
        <v>5.0750000000000002</v>
      </c>
      <c r="E470" s="76">
        <v>22.965</v>
      </c>
      <c r="F470" s="77">
        <v>110.25</v>
      </c>
      <c r="G470" s="77">
        <v>1467.62</v>
      </c>
      <c r="H470" s="77">
        <v>0</v>
      </c>
    </row>
    <row r="471" spans="1:8" x14ac:dyDescent="0.25">
      <c r="A471" s="34">
        <f t="shared" si="15"/>
        <v>2</v>
      </c>
      <c r="B471" s="35">
        <v>467</v>
      </c>
      <c r="C471" s="36">
        <f t="shared" si="16"/>
        <v>38.916666666666664</v>
      </c>
      <c r="D471" s="76">
        <v>5.0833333333333304</v>
      </c>
      <c r="E471" s="76">
        <v>22.253333333333298</v>
      </c>
      <c r="F471" s="77">
        <v>108.5</v>
      </c>
      <c r="G471" s="77">
        <v>1467.62</v>
      </c>
      <c r="H471" s="77">
        <v>0</v>
      </c>
    </row>
    <row r="472" spans="1:8" x14ac:dyDescent="0.25">
      <c r="A472" s="34">
        <f t="shared" si="15"/>
        <v>2</v>
      </c>
      <c r="B472" s="35">
        <v>468</v>
      </c>
      <c r="C472" s="36">
        <f t="shared" si="16"/>
        <v>39</v>
      </c>
      <c r="D472" s="76">
        <v>5.0916666666666703</v>
      </c>
      <c r="E472" s="76">
        <v>21.5416666666667</v>
      </c>
      <c r="F472" s="77">
        <v>106.75</v>
      </c>
      <c r="G472" s="77">
        <v>1467.62</v>
      </c>
      <c r="H472" s="77">
        <v>0</v>
      </c>
    </row>
    <row r="473" spans="1:8" x14ac:dyDescent="0.25">
      <c r="A473" s="34">
        <f t="shared" si="15"/>
        <v>2</v>
      </c>
      <c r="B473" s="35">
        <v>469</v>
      </c>
      <c r="C473" s="36">
        <f t="shared" si="16"/>
        <v>39.083333333333329</v>
      </c>
      <c r="D473" s="76">
        <v>5.0999999999999996</v>
      </c>
      <c r="E473" s="76">
        <v>20.83</v>
      </c>
      <c r="F473" s="77">
        <v>105</v>
      </c>
      <c r="G473" s="77">
        <v>1467.62</v>
      </c>
      <c r="H473" s="77">
        <v>0</v>
      </c>
    </row>
    <row r="474" spans="1:8" x14ac:dyDescent="0.25">
      <c r="A474" s="34">
        <f t="shared" si="15"/>
        <v>2</v>
      </c>
      <c r="B474" s="35">
        <v>470</v>
      </c>
      <c r="C474" s="36">
        <f t="shared" si="16"/>
        <v>39.166666666666664</v>
      </c>
      <c r="D474" s="76">
        <v>5.0833333333333304</v>
      </c>
      <c r="E474" s="76">
        <v>19.8325</v>
      </c>
      <c r="F474" s="77">
        <v>107.625</v>
      </c>
      <c r="G474" s="77">
        <v>1470.3924999999999</v>
      </c>
      <c r="H474" s="77">
        <v>11.3333333333333</v>
      </c>
    </row>
    <row r="475" spans="1:8" x14ac:dyDescent="0.25">
      <c r="A475" s="34">
        <f t="shared" si="15"/>
        <v>2</v>
      </c>
      <c r="B475" s="35">
        <v>471</v>
      </c>
      <c r="C475" s="36">
        <f t="shared" si="16"/>
        <v>39.25</v>
      </c>
      <c r="D475" s="76">
        <v>5.06666666666667</v>
      </c>
      <c r="E475" s="76">
        <v>18.835000000000001</v>
      </c>
      <c r="F475" s="77">
        <v>110.25</v>
      </c>
      <c r="G475" s="77">
        <v>1473.165</v>
      </c>
      <c r="H475" s="77">
        <v>22.6666666666667</v>
      </c>
    </row>
    <row r="476" spans="1:8" x14ac:dyDescent="0.25">
      <c r="A476" s="34">
        <f t="shared" si="15"/>
        <v>2</v>
      </c>
      <c r="B476" s="35">
        <v>472</v>
      </c>
      <c r="C476" s="36">
        <f t="shared" si="16"/>
        <v>39.333333333333329</v>
      </c>
      <c r="D476" s="76">
        <v>5.05</v>
      </c>
      <c r="E476" s="76">
        <v>17.837499999999999</v>
      </c>
      <c r="F476" s="77">
        <v>112.875</v>
      </c>
      <c r="G476" s="77">
        <v>1475.9375</v>
      </c>
      <c r="H476" s="77">
        <v>34</v>
      </c>
    </row>
    <row r="477" spans="1:8" x14ac:dyDescent="0.25">
      <c r="A477" s="34">
        <f t="shared" si="15"/>
        <v>2</v>
      </c>
      <c r="B477" s="35">
        <v>473</v>
      </c>
      <c r="C477" s="36">
        <f t="shared" si="16"/>
        <v>39.416666666666664</v>
      </c>
      <c r="D477" s="76">
        <v>5.0333333333333297</v>
      </c>
      <c r="E477" s="76">
        <v>16.84</v>
      </c>
      <c r="F477" s="77">
        <v>115.5</v>
      </c>
      <c r="G477" s="77">
        <v>1478.71</v>
      </c>
      <c r="H477" s="77">
        <v>45.3333333333333</v>
      </c>
    </row>
    <row r="478" spans="1:8" x14ac:dyDescent="0.25">
      <c r="A478" s="34">
        <f t="shared" si="15"/>
        <v>2</v>
      </c>
      <c r="B478" s="35">
        <v>474</v>
      </c>
      <c r="C478" s="36">
        <f t="shared" si="16"/>
        <v>39.5</v>
      </c>
      <c r="D478" s="76">
        <v>5.0166666666666702</v>
      </c>
      <c r="E478" s="76">
        <v>15.842499999999999</v>
      </c>
      <c r="F478" s="77">
        <v>118.125</v>
      </c>
      <c r="G478" s="77">
        <v>1481.4825000000001</v>
      </c>
      <c r="H478" s="77">
        <v>56.6666666666667</v>
      </c>
    </row>
    <row r="479" spans="1:8" x14ac:dyDescent="0.25">
      <c r="A479" s="34">
        <f t="shared" si="15"/>
        <v>2</v>
      </c>
      <c r="B479" s="35">
        <v>475</v>
      </c>
      <c r="C479" s="36">
        <f t="shared" si="16"/>
        <v>39.583333333333329</v>
      </c>
      <c r="D479" s="76">
        <v>5</v>
      </c>
      <c r="E479" s="76">
        <v>14.845000000000001</v>
      </c>
      <c r="F479" s="77">
        <v>120.75</v>
      </c>
      <c r="G479" s="77">
        <v>1484.2550000000001</v>
      </c>
      <c r="H479" s="77">
        <v>68</v>
      </c>
    </row>
    <row r="480" spans="1:8" x14ac:dyDescent="0.25">
      <c r="A480" s="34">
        <f t="shared" si="15"/>
        <v>2</v>
      </c>
      <c r="B480" s="35">
        <v>476</v>
      </c>
      <c r="C480" s="36">
        <f t="shared" si="16"/>
        <v>39.666666666666664</v>
      </c>
      <c r="D480" s="76">
        <v>4.9833333333333298</v>
      </c>
      <c r="E480" s="76">
        <v>13.8475</v>
      </c>
      <c r="F480" s="77">
        <v>123.375</v>
      </c>
      <c r="G480" s="77">
        <v>1487.0274999999999</v>
      </c>
      <c r="H480" s="77">
        <v>79.3333333333333</v>
      </c>
    </row>
    <row r="481" spans="1:8" x14ac:dyDescent="0.25">
      <c r="A481" s="34">
        <f t="shared" si="15"/>
        <v>2</v>
      </c>
      <c r="B481" s="35">
        <v>477</v>
      </c>
      <c r="C481" s="36">
        <f t="shared" si="16"/>
        <v>39.75</v>
      </c>
      <c r="D481" s="76">
        <v>4.9666666666666703</v>
      </c>
      <c r="E481" s="76">
        <v>12.85</v>
      </c>
      <c r="F481" s="77">
        <v>126</v>
      </c>
      <c r="G481" s="77">
        <v>1489.8</v>
      </c>
      <c r="H481" s="77">
        <v>90.6666666666667</v>
      </c>
    </row>
    <row r="482" spans="1:8" x14ac:dyDescent="0.25">
      <c r="A482" s="34">
        <f t="shared" si="15"/>
        <v>2</v>
      </c>
      <c r="B482" s="35">
        <v>478</v>
      </c>
      <c r="C482" s="36">
        <f t="shared" si="16"/>
        <v>39.833333333333329</v>
      </c>
      <c r="D482" s="76">
        <v>4.95</v>
      </c>
      <c r="E482" s="76">
        <v>11.852499999999999</v>
      </c>
      <c r="F482" s="77">
        <v>128.625</v>
      </c>
      <c r="G482" s="77">
        <v>1492.5725</v>
      </c>
      <c r="H482" s="77">
        <v>102</v>
      </c>
    </row>
    <row r="483" spans="1:8" x14ac:dyDescent="0.25">
      <c r="A483" s="34">
        <f t="shared" si="15"/>
        <v>2</v>
      </c>
      <c r="B483" s="35">
        <v>479</v>
      </c>
      <c r="C483" s="36">
        <f t="shared" si="16"/>
        <v>39.916666666666664</v>
      </c>
      <c r="D483" s="76">
        <v>4.93333333333333</v>
      </c>
      <c r="E483" s="76">
        <v>10.855</v>
      </c>
      <c r="F483" s="77">
        <v>131.25</v>
      </c>
      <c r="G483" s="77">
        <v>1495.345</v>
      </c>
      <c r="H483" s="77">
        <v>113.333333333333</v>
      </c>
    </row>
    <row r="484" spans="1:8" x14ac:dyDescent="0.25">
      <c r="A484" s="34">
        <f t="shared" si="15"/>
        <v>2</v>
      </c>
      <c r="B484" s="35">
        <v>480</v>
      </c>
      <c r="C484" s="36">
        <f t="shared" si="16"/>
        <v>40</v>
      </c>
      <c r="D484" s="76">
        <v>4.9166666666666696</v>
      </c>
      <c r="E484" s="76">
        <v>9.8574999999999999</v>
      </c>
      <c r="F484" s="77">
        <v>133.875</v>
      </c>
      <c r="G484" s="77">
        <v>1498.1175000000001</v>
      </c>
      <c r="H484" s="77">
        <v>124.666666666667</v>
      </c>
    </row>
    <row r="485" spans="1:8" x14ac:dyDescent="0.25">
      <c r="A485" s="34">
        <f t="shared" si="15"/>
        <v>2</v>
      </c>
      <c r="B485" s="35">
        <v>481</v>
      </c>
      <c r="C485" s="36">
        <f t="shared" si="16"/>
        <v>40.083333333333329</v>
      </c>
      <c r="D485" s="76">
        <v>4.9000000000000004</v>
      </c>
      <c r="E485" s="76">
        <v>8.86</v>
      </c>
      <c r="F485" s="77">
        <v>136.5</v>
      </c>
      <c r="G485" s="77">
        <v>1500.89</v>
      </c>
      <c r="H485" s="77">
        <v>136</v>
      </c>
    </row>
    <row r="486" spans="1:8" x14ac:dyDescent="0.25">
      <c r="A486" s="34">
        <f t="shared" si="15"/>
        <v>2</v>
      </c>
      <c r="B486" s="35">
        <v>482</v>
      </c>
      <c r="C486" s="36">
        <f t="shared" si="16"/>
        <v>40.166666666666664</v>
      </c>
      <c r="D486" s="76">
        <v>4.9083333333333297</v>
      </c>
      <c r="E486" s="76">
        <v>8.1216666666666697</v>
      </c>
      <c r="F486" s="77">
        <v>142.625</v>
      </c>
      <c r="G486" s="77">
        <v>1506.61666666667</v>
      </c>
      <c r="H486" s="77">
        <v>136</v>
      </c>
    </row>
    <row r="487" spans="1:8" x14ac:dyDescent="0.25">
      <c r="A487" s="34">
        <f t="shared" si="15"/>
        <v>2</v>
      </c>
      <c r="B487" s="35">
        <v>483</v>
      </c>
      <c r="C487" s="36">
        <f t="shared" si="16"/>
        <v>40.25</v>
      </c>
      <c r="D487" s="76">
        <v>4.9166666666666696</v>
      </c>
      <c r="E487" s="76">
        <v>7.3833333333333302</v>
      </c>
      <c r="F487" s="77">
        <v>148.75</v>
      </c>
      <c r="G487" s="77">
        <v>1512.3433333333301</v>
      </c>
      <c r="H487" s="77">
        <v>136</v>
      </c>
    </row>
    <row r="488" spans="1:8" x14ac:dyDescent="0.25">
      <c r="A488" s="34">
        <f t="shared" si="15"/>
        <v>2</v>
      </c>
      <c r="B488" s="35">
        <v>484</v>
      </c>
      <c r="C488" s="36">
        <f t="shared" si="16"/>
        <v>40.333333333333329</v>
      </c>
      <c r="D488" s="76">
        <v>4.9249999999999998</v>
      </c>
      <c r="E488" s="76">
        <v>6.6449999999999996</v>
      </c>
      <c r="F488" s="77">
        <v>154.875</v>
      </c>
      <c r="G488" s="77">
        <v>1518.07</v>
      </c>
      <c r="H488" s="77">
        <v>136</v>
      </c>
    </row>
    <row r="489" spans="1:8" x14ac:dyDescent="0.25">
      <c r="A489" s="34">
        <f t="shared" si="15"/>
        <v>2</v>
      </c>
      <c r="B489" s="35">
        <v>485</v>
      </c>
      <c r="C489" s="36">
        <f t="shared" si="16"/>
        <v>40.416666666666664</v>
      </c>
      <c r="D489" s="76">
        <v>4.93333333333333</v>
      </c>
      <c r="E489" s="76">
        <v>5.9066666666666698</v>
      </c>
      <c r="F489" s="77">
        <v>161</v>
      </c>
      <c r="G489" s="77">
        <v>1523.79666666667</v>
      </c>
      <c r="H489" s="77">
        <v>136</v>
      </c>
    </row>
    <row r="490" spans="1:8" x14ac:dyDescent="0.25">
      <c r="A490" s="34">
        <f t="shared" si="15"/>
        <v>2</v>
      </c>
      <c r="B490" s="35">
        <v>486</v>
      </c>
      <c r="C490" s="36">
        <f t="shared" si="16"/>
        <v>40.5</v>
      </c>
      <c r="D490" s="76">
        <v>4.94166666666667</v>
      </c>
      <c r="E490" s="76">
        <v>5.1683333333333303</v>
      </c>
      <c r="F490" s="77">
        <v>167.125</v>
      </c>
      <c r="G490" s="77">
        <v>1529.5233333333299</v>
      </c>
      <c r="H490" s="77">
        <v>136</v>
      </c>
    </row>
    <row r="491" spans="1:8" x14ac:dyDescent="0.25">
      <c r="A491" s="34">
        <f t="shared" si="15"/>
        <v>2</v>
      </c>
      <c r="B491" s="35">
        <v>487</v>
      </c>
      <c r="C491" s="36">
        <f t="shared" si="16"/>
        <v>40.583333333333329</v>
      </c>
      <c r="D491" s="76">
        <v>4.95</v>
      </c>
      <c r="E491" s="76">
        <v>4.43</v>
      </c>
      <c r="F491" s="77">
        <v>173.25</v>
      </c>
      <c r="G491" s="77">
        <v>1535.25</v>
      </c>
      <c r="H491" s="77">
        <v>136</v>
      </c>
    </row>
    <row r="492" spans="1:8" x14ac:dyDescent="0.25">
      <c r="A492" s="34">
        <f t="shared" si="15"/>
        <v>2</v>
      </c>
      <c r="B492" s="35">
        <v>488</v>
      </c>
      <c r="C492" s="36">
        <f t="shared" si="16"/>
        <v>40.666666666666664</v>
      </c>
      <c r="D492" s="76">
        <v>4.9583333333333304</v>
      </c>
      <c r="E492" s="76">
        <v>3.69166666666667</v>
      </c>
      <c r="F492" s="77">
        <v>179.375</v>
      </c>
      <c r="G492" s="77">
        <v>1540.9766666666701</v>
      </c>
      <c r="H492" s="77">
        <v>136</v>
      </c>
    </row>
    <row r="493" spans="1:8" x14ac:dyDescent="0.25">
      <c r="A493" s="34">
        <f t="shared" si="15"/>
        <v>2</v>
      </c>
      <c r="B493" s="35">
        <v>489</v>
      </c>
      <c r="C493" s="36">
        <f t="shared" si="16"/>
        <v>40.75</v>
      </c>
      <c r="D493" s="76">
        <v>4.9666666666666703</v>
      </c>
      <c r="E493" s="76">
        <v>2.95333333333333</v>
      </c>
      <c r="F493" s="77">
        <v>185.5</v>
      </c>
      <c r="G493" s="77">
        <v>1546.70333333333</v>
      </c>
      <c r="H493" s="77">
        <v>136</v>
      </c>
    </row>
    <row r="494" spans="1:8" x14ac:dyDescent="0.25">
      <c r="A494" s="34">
        <f t="shared" si="15"/>
        <v>2</v>
      </c>
      <c r="B494" s="35">
        <v>490</v>
      </c>
      <c r="C494" s="36">
        <f t="shared" si="16"/>
        <v>40.833333333333329</v>
      </c>
      <c r="D494" s="76">
        <v>4.9749999999999996</v>
      </c>
      <c r="E494" s="76">
        <v>2.2149999999999999</v>
      </c>
      <c r="F494" s="77">
        <v>191.625</v>
      </c>
      <c r="G494" s="77">
        <v>1552.43</v>
      </c>
      <c r="H494" s="77">
        <v>136</v>
      </c>
    </row>
    <row r="495" spans="1:8" x14ac:dyDescent="0.25">
      <c r="A495" s="34">
        <f t="shared" si="15"/>
        <v>2</v>
      </c>
      <c r="B495" s="35">
        <v>491</v>
      </c>
      <c r="C495" s="36">
        <f t="shared" si="16"/>
        <v>40.916666666666664</v>
      </c>
      <c r="D495" s="76">
        <v>4.9833333333333298</v>
      </c>
      <c r="E495" s="76">
        <v>1.4766666666666699</v>
      </c>
      <c r="F495" s="77">
        <v>197.75</v>
      </c>
      <c r="G495" s="77">
        <v>1558.1566666666699</v>
      </c>
      <c r="H495" s="77">
        <v>136</v>
      </c>
    </row>
    <row r="496" spans="1:8" x14ac:dyDescent="0.25">
      <c r="A496" s="34">
        <f t="shared" si="15"/>
        <v>2</v>
      </c>
      <c r="B496" s="35">
        <v>492</v>
      </c>
      <c r="C496" s="36">
        <f t="shared" si="16"/>
        <v>41</v>
      </c>
      <c r="D496" s="76">
        <v>4.9916666666666698</v>
      </c>
      <c r="E496" s="76">
        <v>0.73833333333333395</v>
      </c>
      <c r="F496" s="77">
        <v>203.875</v>
      </c>
      <c r="G496" s="77">
        <v>1563.88333333333</v>
      </c>
      <c r="H496" s="77">
        <v>136</v>
      </c>
    </row>
    <row r="497" spans="1:8" x14ac:dyDescent="0.25">
      <c r="A497" s="34">
        <f t="shared" si="15"/>
        <v>2</v>
      </c>
      <c r="B497" s="35">
        <v>493</v>
      </c>
      <c r="C497" s="36">
        <f t="shared" si="16"/>
        <v>41.083333333333329</v>
      </c>
      <c r="D497" s="76">
        <v>5</v>
      </c>
      <c r="E497" s="76">
        <v>0</v>
      </c>
      <c r="F497" s="77">
        <v>210</v>
      </c>
      <c r="G497" s="77">
        <v>1569.61</v>
      </c>
      <c r="H497" s="77">
        <v>136</v>
      </c>
    </row>
    <row r="498" spans="1:8" x14ac:dyDescent="0.25">
      <c r="A498" s="34">
        <f t="shared" si="15"/>
        <v>2</v>
      </c>
      <c r="B498" s="35">
        <v>494</v>
      </c>
      <c r="C498" s="36">
        <f t="shared" si="16"/>
        <v>41.166666666666664</v>
      </c>
      <c r="D498" s="76">
        <v>4.9583333333333304</v>
      </c>
      <c r="E498" s="76">
        <v>0</v>
      </c>
      <c r="F498" s="77">
        <v>253.75</v>
      </c>
      <c r="G498" s="77">
        <v>1693.7349999999999</v>
      </c>
      <c r="H498" s="77">
        <v>147.333333333333</v>
      </c>
    </row>
    <row r="499" spans="1:8" x14ac:dyDescent="0.25">
      <c r="A499" s="34">
        <f t="shared" si="15"/>
        <v>2</v>
      </c>
      <c r="B499" s="35">
        <v>495</v>
      </c>
      <c r="C499" s="36">
        <f t="shared" si="16"/>
        <v>41.25</v>
      </c>
      <c r="D499" s="76">
        <v>4.9166666666666696</v>
      </c>
      <c r="E499" s="76">
        <v>0</v>
      </c>
      <c r="F499" s="77">
        <v>297.5</v>
      </c>
      <c r="G499" s="77">
        <v>1817.86</v>
      </c>
      <c r="H499" s="77">
        <v>158.666666666667</v>
      </c>
    </row>
    <row r="500" spans="1:8" x14ac:dyDescent="0.25">
      <c r="A500" s="34">
        <f t="shared" si="15"/>
        <v>2</v>
      </c>
      <c r="B500" s="35">
        <v>496</v>
      </c>
      <c r="C500" s="36">
        <f t="shared" si="16"/>
        <v>41.333333333333329</v>
      </c>
      <c r="D500" s="76">
        <v>4.875</v>
      </c>
      <c r="E500" s="76">
        <v>0</v>
      </c>
      <c r="F500" s="77">
        <v>341.25</v>
      </c>
      <c r="G500" s="77">
        <v>1941.9849999999999</v>
      </c>
      <c r="H500" s="77">
        <v>170</v>
      </c>
    </row>
    <row r="501" spans="1:8" x14ac:dyDescent="0.25">
      <c r="A501" s="34">
        <f t="shared" ref="A501:A564" si="17">ROUNDUP(C501/24,0)</f>
        <v>2</v>
      </c>
      <c r="B501" s="35">
        <v>497</v>
      </c>
      <c r="C501" s="36">
        <f t="shared" ref="C501:C564" si="18">B501*$C$1</f>
        <v>41.416666666666664</v>
      </c>
      <c r="D501" s="76">
        <v>4.8333333333333304</v>
      </c>
      <c r="E501" s="76">
        <v>0</v>
      </c>
      <c r="F501" s="77">
        <v>385</v>
      </c>
      <c r="G501" s="77">
        <v>2066.11</v>
      </c>
      <c r="H501" s="77">
        <v>181.333333333333</v>
      </c>
    </row>
    <row r="502" spans="1:8" x14ac:dyDescent="0.25">
      <c r="A502" s="34">
        <f t="shared" si="17"/>
        <v>2</v>
      </c>
      <c r="B502" s="35">
        <v>498</v>
      </c>
      <c r="C502" s="36">
        <f t="shared" si="18"/>
        <v>41.5</v>
      </c>
      <c r="D502" s="76">
        <v>4.7916666666666696</v>
      </c>
      <c r="E502" s="76">
        <v>0</v>
      </c>
      <c r="F502" s="77">
        <v>428.75</v>
      </c>
      <c r="G502" s="77">
        <v>2190.2350000000001</v>
      </c>
      <c r="H502" s="77">
        <v>192.666666666667</v>
      </c>
    </row>
    <row r="503" spans="1:8" x14ac:dyDescent="0.25">
      <c r="A503" s="34">
        <f t="shared" si="17"/>
        <v>2</v>
      </c>
      <c r="B503" s="35">
        <v>499</v>
      </c>
      <c r="C503" s="36">
        <f t="shared" si="18"/>
        <v>41.583333333333329</v>
      </c>
      <c r="D503" s="76">
        <v>4.75</v>
      </c>
      <c r="E503" s="76">
        <v>0</v>
      </c>
      <c r="F503" s="77">
        <v>472.5</v>
      </c>
      <c r="G503" s="77">
        <v>2314.36</v>
      </c>
      <c r="H503" s="77">
        <v>204</v>
      </c>
    </row>
    <row r="504" spans="1:8" x14ac:dyDescent="0.25">
      <c r="A504" s="34">
        <f t="shared" si="17"/>
        <v>2</v>
      </c>
      <c r="B504" s="35">
        <v>500</v>
      </c>
      <c r="C504" s="36">
        <f t="shared" si="18"/>
        <v>41.666666666666664</v>
      </c>
      <c r="D504" s="76">
        <v>4.7083333333333304</v>
      </c>
      <c r="E504" s="76">
        <v>0</v>
      </c>
      <c r="F504" s="77">
        <v>516.25</v>
      </c>
      <c r="G504" s="77">
        <v>2438.4850000000001</v>
      </c>
      <c r="H504" s="77">
        <v>215.333333333333</v>
      </c>
    </row>
    <row r="505" spans="1:8" x14ac:dyDescent="0.25">
      <c r="A505" s="34">
        <f t="shared" si="17"/>
        <v>2</v>
      </c>
      <c r="B505" s="35">
        <v>501</v>
      </c>
      <c r="C505" s="36">
        <f t="shared" si="18"/>
        <v>41.75</v>
      </c>
      <c r="D505" s="76">
        <v>4.6666666666666696</v>
      </c>
      <c r="E505" s="76">
        <v>0</v>
      </c>
      <c r="F505" s="77">
        <v>560</v>
      </c>
      <c r="G505" s="77">
        <v>2562.61</v>
      </c>
      <c r="H505" s="77">
        <v>226.666666666667</v>
      </c>
    </row>
    <row r="506" spans="1:8" x14ac:dyDescent="0.25">
      <c r="A506" s="34">
        <f t="shared" si="17"/>
        <v>2</v>
      </c>
      <c r="B506" s="35">
        <v>502</v>
      </c>
      <c r="C506" s="36">
        <f t="shared" si="18"/>
        <v>41.833333333333329</v>
      </c>
      <c r="D506" s="76">
        <v>4.625</v>
      </c>
      <c r="E506" s="76">
        <v>0</v>
      </c>
      <c r="F506" s="77">
        <v>603.75</v>
      </c>
      <c r="G506" s="77">
        <v>2686.7350000000001</v>
      </c>
      <c r="H506" s="77">
        <v>238</v>
      </c>
    </row>
    <row r="507" spans="1:8" x14ac:dyDescent="0.25">
      <c r="A507" s="34">
        <f t="shared" si="17"/>
        <v>2</v>
      </c>
      <c r="B507" s="35">
        <v>503</v>
      </c>
      <c r="C507" s="36">
        <f t="shared" si="18"/>
        <v>41.916666666666664</v>
      </c>
      <c r="D507" s="76">
        <v>4.5833333333333304</v>
      </c>
      <c r="E507" s="76">
        <v>0</v>
      </c>
      <c r="F507" s="77">
        <v>647.5</v>
      </c>
      <c r="G507" s="77">
        <v>2810.86</v>
      </c>
      <c r="H507" s="77">
        <v>249.333333333333</v>
      </c>
    </row>
    <row r="508" spans="1:8" x14ac:dyDescent="0.25">
      <c r="A508" s="34">
        <f t="shared" si="17"/>
        <v>2</v>
      </c>
      <c r="B508" s="35">
        <v>504</v>
      </c>
      <c r="C508" s="36">
        <f t="shared" si="18"/>
        <v>42</v>
      </c>
      <c r="D508" s="76">
        <v>4.5416666666666696</v>
      </c>
      <c r="E508" s="76">
        <v>0</v>
      </c>
      <c r="F508" s="77">
        <v>691.25</v>
      </c>
      <c r="G508" s="77">
        <v>2934.9850000000001</v>
      </c>
      <c r="H508" s="77">
        <v>260.66666666666703</v>
      </c>
    </row>
    <row r="509" spans="1:8" x14ac:dyDescent="0.25">
      <c r="A509" s="34">
        <f t="shared" si="17"/>
        <v>2</v>
      </c>
      <c r="B509" s="35">
        <v>505</v>
      </c>
      <c r="C509" s="36">
        <f t="shared" si="18"/>
        <v>42.083333333333329</v>
      </c>
      <c r="D509" s="76">
        <v>4.5</v>
      </c>
      <c r="E509" s="76">
        <v>0</v>
      </c>
      <c r="F509" s="77">
        <v>735</v>
      </c>
      <c r="G509" s="77">
        <v>3059.11</v>
      </c>
      <c r="H509" s="77">
        <v>272</v>
      </c>
    </row>
    <row r="510" spans="1:8" x14ac:dyDescent="0.25">
      <c r="A510" s="34">
        <f t="shared" si="17"/>
        <v>2</v>
      </c>
      <c r="B510" s="35">
        <v>506</v>
      </c>
      <c r="C510" s="36">
        <f t="shared" si="18"/>
        <v>42.166666666666664</v>
      </c>
      <c r="D510" s="76">
        <v>4.4916666666666698</v>
      </c>
      <c r="E510" s="76">
        <v>0</v>
      </c>
      <c r="F510" s="77">
        <v>724.76666666666699</v>
      </c>
      <c r="G510" s="77">
        <v>2983.7966666666698</v>
      </c>
      <c r="H510" s="77">
        <v>339.98333333333301</v>
      </c>
    </row>
    <row r="511" spans="1:8" x14ac:dyDescent="0.25">
      <c r="A511" s="34">
        <f t="shared" si="17"/>
        <v>2</v>
      </c>
      <c r="B511" s="35">
        <v>507</v>
      </c>
      <c r="C511" s="36">
        <f t="shared" si="18"/>
        <v>42.25</v>
      </c>
      <c r="D511" s="76">
        <v>4.4833333333333298</v>
      </c>
      <c r="E511" s="76">
        <v>0</v>
      </c>
      <c r="F511" s="77">
        <v>714.53333333333296</v>
      </c>
      <c r="G511" s="77">
        <v>2908.4833333333299</v>
      </c>
      <c r="H511" s="77">
        <v>407.96666666666698</v>
      </c>
    </row>
    <row r="512" spans="1:8" x14ac:dyDescent="0.25">
      <c r="A512" s="34">
        <f t="shared" si="17"/>
        <v>2</v>
      </c>
      <c r="B512" s="35">
        <v>508</v>
      </c>
      <c r="C512" s="36">
        <f t="shared" si="18"/>
        <v>42.333333333333329</v>
      </c>
      <c r="D512" s="76">
        <v>4.4749999999999996</v>
      </c>
      <c r="E512" s="76">
        <v>0</v>
      </c>
      <c r="F512" s="77">
        <v>704.3</v>
      </c>
      <c r="G512" s="77">
        <v>2833.17</v>
      </c>
      <c r="H512" s="77">
        <v>475.95</v>
      </c>
    </row>
    <row r="513" spans="1:8" x14ac:dyDescent="0.25">
      <c r="A513" s="34">
        <f t="shared" si="17"/>
        <v>2</v>
      </c>
      <c r="B513" s="35">
        <v>509</v>
      </c>
      <c r="C513" s="36">
        <f t="shared" si="18"/>
        <v>42.416666666666664</v>
      </c>
      <c r="D513" s="76">
        <v>4.4666666666666703</v>
      </c>
      <c r="E513" s="76">
        <v>0</v>
      </c>
      <c r="F513" s="77">
        <v>694.06666666666695</v>
      </c>
      <c r="G513" s="77">
        <v>2757.8566666666702</v>
      </c>
      <c r="H513" s="77">
        <v>543.93333333333305</v>
      </c>
    </row>
    <row r="514" spans="1:8" x14ac:dyDescent="0.25">
      <c r="A514" s="34">
        <f t="shared" si="17"/>
        <v>2</v>
      </c>
      <c r="B514" s="35">
        <v>510</v>
      </c>
      <c r="C514" s="36">
        <f t="shared" si="18"/>
        <v>42.5</v>
      </c>
      <c r="D514" s="76">
        <v>4.4583333333333304</v>
      </c>
      <c r="E514" s="76">
        <v>0</v>
      </c>
      <c r="F514" s="77">
        <v>683.83333333333303</v>
      </c>
      <c r="G514" s="77">
        <v>2682.5433333333299</v>
      </c>
      <c r="H514" s="77">
        <v>611.91666666666697</v>
      </c>
    </row>
    <row r="515" spans="1:8" x14ac:dyDescent="0.25">
      <c r="A515" s="34">
        <f t="shared" si="17"/>
        <v>2</v>
      </c>
      <c r="B515" s="35">
        <v>511</v>
      </c>
      <c r="C515" s="36">
        <f t="shared" si="18"/>
        <v>42.583333333333329</v>
      </c>
      <c r="D515" s="76">
        <v>4.45</v>
      </c>
      <c r="E515" s="76">
        <v>0</v>
      </c>
      <c r="F515" s="77">
        <v>673.6</v>
      </c>
      <c r="G515" s="77">
        <v>2607.23</v>
      </c>
      <c r="H515" s="77">
        <v>679.9</v>
      </c>
    </row>
    <row r="516" spans="1:8" x14ac:dyDescent="0.25">
      <c r="A516" s="34">
        <f t="shared" si="17"/>
        <v>2</v>
      </c>
      <c r="B516" s="35">
        <v>512</v>
      </c>
      <c r="C516" s="36">
        <f t="shared" si="18"/>
        <v>42.666666666666664</v>
      </c>
      <c r="D516" s="76">
        <v>4.44166666666667</v>
      </c>
      <c r="E516" s="76">
        <v>0</v>
      </c>
      <c r="F516" s="77">
        <v>663.36666666666702</v>
      </c>
      <c r="G516" s="77">
        <v>2531.9166666666702</v>
      </c>
      <c r="H516" s="77">
        <v>747.88333333333298</v>
      </c>
    </row>
    <row r="517" spans="1:8" x14ac:dyDescent="0.25">
      <c r="A517" s="34">
        <f t="shared" si="17"/>
        <v>2</v>
      </c>
      <c r="B517" s="35">
        <v>513</v>
      </c>
      <c r="C517" s="36">
        <f t="shared" si="18"/>
        <v>42.75</v>
      </c>
      <c r="D517" s="76">
        <v>4.43333333333333</v>
      </c>
      <c r="E517" s="76">
        <v>0</v>
      </c>
      <c r="F517" s="77">
        <v>653.13333333333298</v>
      </c>
      <c r="G517" s="77">
        <v>2456.6033333333298</v>
      </c>
      <c r="H517" s="77">
        <v>815.86666666666702</v>
      </c>
    </row>
    <row r="518" spans="1:8" x14ac:dyDescent="0.25">
      <c r="A518" s="34">
        <f t="shared" si="17"/>
        <v>2</v>
      </c>
      <c r="B518" s="35">
        <v>514</v>
      </c>
      <c r="C518" s="36">
        <f t="shared" si="18"/>
        <v>42.833333333333329</v>
      </c>
      <c r="D518" s="76">
        <v>4.4249999999999998</v>
      </c>
      <c r="E518" s="76">
        <v>0</v>
      </c>
      <c r="F518" s="77">
        <v>642.9</v>
      </c>
      <c r="G518" s="77">
        <v>2381.29</v>
      </c>
      <c r="H518" s="77">
        <v>883.85</v>
      </c>
    </row>
    <row r="519" spans="1:8" x14ac:dyDescent="0.25">
      <c r="A519" s="34">
        <f t="shared" si="17"/>
        <v>2</v>
      </c>
      <c r="B519" s="35">
        <v>515</v>
      </c>
      <c r="C519" s="36">
        <f t="shared" si="18"/>
        <v>42.916666666666664</v>
      </c>
      <c r="D519" s="76">
        <v>4.4166666666666696</v>
      </c>
      <c r="E519" s="76">
        <v>0</v>
      </c>
      <c r="F519" s="77">
        <v>632.66666666666697</v>
      </c>
      <c r="G519" s="77">
        <v>2305.9766666666701</v>
      </c>
      <c r="H519" s="77">
        <v>951.83333333333303</v>
      </c>
    </row>
    <row r="520" spans="1:8" x14ac:dyDescent="0.25">
      <c r="A520" s="34">
        <f t="shared" si="17"/>
        <v>2</v>
      </c>
      <c r="B520" s="35">
        <v>516</v>
      </c>
      <c r="C520" s="36">
        <f t="shared" si="18"/>
        <v>43</v>
      </c>
      <c r="D520" s="76">
        <v>4.4083333333333297</v>
      </c>
      <c r="E520" s="76">
        <v>0</v>
      </c>
      <c r="F520" s="77">
        <v>622.43333333333305</v>
      </c>
      <c r="G520" s="77">
        <v>2230.6633333333298</v>
      </c>
      <c r="H520" s="77">
        <v>1019.81666666667</v>
      </c>
    </row>
    <row r="521" spans="1:8" x14ac:dyDescent="0.25">
      <c r="A521" s="34">
        <f t="shared" si="17"/>
        <v>2</v>
      </c>
      <c r="B521" s="35">
        <v>517</v>
      </c>
      <c r="C521" s="36">
        <f t="shared" si="18"/>
        <v>43.083333333333329</v>
      </c>
      <c r="D521" s="76">
        <v>4.4000000000000004</v>
      </c>
      <c r="E521" s="76">
        <v>0</v>
      </c>
      <c r="F521" s="77">
        <v>612.20000000000005</v>
      </c>
      <c r="G521" s="77">
        <v>2155.35</v>
      </c>
      <c r="H521" s="77">
        <v>1087.8</v>
      </c>
    </row>
    <row r="522" spans="1:8" x14ac:dyDescent="0.25">
      <c r="A522" s="34">
        <f t="shared" si="17"/>
        <v>2</v>
      </c>
      <c r="B522" s="35">
        <v>518</v>
      </c>
      <c r="C522" s="36">
        <f t="shared" si="18"/>
        <v>43.166666666666664</v>
      </c>
      <c r="D522" s="76">
        <v>4.4083333333333297</v>
      </c>
      <c r="E522" s="76">
        <v>0</v>
      </c>
      <c r="F522" s="77">
        <v>701.18333333333305</v>
      </c>
      <c r="G522" s="77">
        <v>2082.3625000000002</v>
      </c>
      <c r="H522" s="77">
        <v>1087.8</v>
      </c>
    </row>
    <row r="523" spans="1:8" x14ac:dyDescent="0.25">
      <c r="A523" s="34">
        <f t="shared" si="17"/>
        <v>2</v>
      </c>
      <c r="B523" s="35">
        <v>519</v>
      </c>
      <c r="C523" s="36">
        <f t="shared" si="18"/>
        <v>43.25</v>
      </c>
      <c r="D523" s="76">
        <v>4.4166666666666696</v>
      </c>
      <c r="E523" s="76">
        <v>0</v>
      </c>
      <c r="F523" s="77">
        <v>790.16666666666697</v>
      </c>
      <c r="G523" s="77">
        <v>2009.375</v>
      </c>
      <c r="H523" s="77">
        <v>1087.8</v>
      </c>
    </row>
    <row r="524" spans="1:8" x14ac:dyDescent="0.25">
      <c r="A524" s="34">
        <f t="shared" si="17"/>
        <v>2</v>
      </c>
      <c r="B524" s="35">
        <v>520</v>
      </c>
      <c r="C524" s="36">
        <f t="shared" si="18"/>
        <v>43.333333333333329</v>
      </c>
      <c r="D524" s="76">
        <v>4.4249999999999998</v>
      </c>
      <c r="E524" s="76">
        <v>0</v>
      </c>
      <c r="F524" s="77">
        <v>879.15</v>
      </c>
      <c r="G524" s="77">
        <v>1936.3875</v>
      </c>
      <c r="H524" s="77">
        <v>1087.8</v>
      </c>
    </row>
    <row r="525" spans="1:8" x14ac:dyDescent="0.25">
      <c r="A525" s="34">
        <f t="shared" si="17"/>
        <v>2</v>
      </c>
      <c r="B525" s="35">
        <v>521</v>
      </c>
      <c r="C525" s="36">
        <f t="shared" si="18"/>
        <v>43.416666666666664</v>
      </c>
      <c r="D525" s="76">
        <v>4.43333333333333</v>
      </c>
      <c r="E525" s="76">
        <v>0</v>
      </c>
      <c r="F525" s="77">
        <v>968.13333333333298</v>
      </c>
      <c r="G525" s="77">
        <v>1863.4</v>
      </c>
      <c r="H525" s="77">
        <v>1087.8</v>
      </c>
    </row>
    <row r="526" spans="1:8" x14ac:dyDescent="0.25">
      <c r="A526" s="34">
        <f t="shared" si="17"/>
        <v>2</v>
      </c>
      <c r="B526" s="35">
        <v>522</v>
      </c>
      <c r="C526" s="36">
        <f t="shared" si="18"/>
        <v>43.5</v>
      </c>
      <c r="D526" s="76">
        <v>4.44166666666667</v>
      </c>
      <c r="E526" s="76">
        <v>0</v>
      </c>
      <c r="F526" s="77">
        <v>1057.11666666667</v>
      </c>
      <c r="G526" s="77">
        <v>1790.4124999999999</v>
      </c>
      <c r="H526" s="77">
        <v>1087.8</v>
      </c>
    </row>
    <row r="527" spans="1:8" x14ac:dyDescent="0.25">
      <c r="A527" s="34">
        <f t="shared" si="17"/>
        <v>2</v>
      </c>
      <c r="B527" s="35">
        <v>523</v>
      </c>
      <c r="C527" s="36">
        <f t="shared" si="18"/>
        <v>43.583333333333329</v>
      </c>
      <c r="D527" s="76">
        <v>4.45</v>
      </c>
      <c r="E527" s="76">
        <v>0</v>
      </c>
      <c r="F527" s="77">
        <v>1146.0999999999999</v>
      </c>
      <c r="G527" s="77">
        <v>1717.425</v>
      </c>
      <c r="H527" s="77">
        <v>1087.8</v>
      </c>
    </row>
    <row r="528" spans="1:8" x14ac:dyDescent="0.25">
      <c r="A528" s="34">
        <f t="shared" si="17"/>
        <v>2</v>
      </c>
      <c r="B528" s="35">
        <v>524</v>
      </c>
      <c r="C528" s="36">
        <f t="shared" si="18"/>
        <v>43.666666666666664</v>
      </c>
      <c r="D528" s="76">
        <v>4.4583333333333304</v>
      </c>
      <c r="E528" s="76">
        <v>0</v>
      </c>
      <c r="F528" s="77">
        <v>1235.0833333333301</v>
      </c>
      <c r="G528" s="77">
        <v>1644.4375</v>
      </c>
      <c r="H528" s="77">
        <v>1087.8</v>
      </c>
    </row>
    <row r="529" spans="1:8" x14ac:dyDescent="0.25">
      <c r="A529" s="34">
        <f t="shared" si="17"/>
        <v>2</v>
      </c>
      <c r="B529" s="35">
        <v>525</v>
      </c>
      <c r="C529" s="36">
        <f t="shared" si="18"/>
        <v>43.75</v>
      </c>
      <c r="D529" s="76">
        <v>4.4666666666666703</v>
      </c>
      <c r="E529" s="76">
        <v>0</v>
      </c>
      <c r="F529" s="77">
        <v>1324.06666666667</v>
      </c>
      <c r="G529" s="77">
        <v>1571.45</v>
      </c>
      <c r="H529" s="77">
        <v>1087.8</v>
      </c>
    </row>
    <row r="530" spans="1:8" x14ac:dyDescent="0.25">
      <c r="A530" s="34">
        <f t="shared" si="17"/>
        <v>2</v>
      </c>
      <c r="B530" s="35">
        <v>526</v>
      </c>
      <c r="C530" s="36">
        <f t="shared" si="18"/>
        <v>43.833333333333329</v>
      </c>
      <c r="D530" s="76">
        <v>4.4749999999999996</v>
      </c>
      <c r="E530" s="76">
        <v>0</v>
      </c>
      <c r="F530" s="77">
        <v>1413.05</v>
      </c>
      <c r="G530" s="77">
        <v>1498.4625000000001</v>
      </c>
      <c r="H530" s="77">
        <v>1087.8</v>
      </c>
    </row>
    <row r="531" spans="1:8" x14ac:dyDescent="0.25">
      <c r="A531" s="34">
        <f t="shared" si="17"/>
        <v>2</v>
      </c>
      <c r="B531" s="35">
        <v>527</v>
      </c>
      <c r="C531" s="36">
        <f t="shared" si="18"/>
        <v>43.916666666666664</v>
      </c>
      <c r="D531" s="76">
        <v>4.4833333333333298</v>
      </c>
      <c r="E531" s="76">
        <v>0</v>
      </c>
      <c r="F531" s="77">
        <v>1502.0333333333299</v>
      </c>
      <c r="G531" s="77">
        <v>1425.4749999999999</v>
      </c>
      <c r="H531" s="77">
        <v>1087.8</v>
      </c>
    </row>
    <row r="532" spans="1:8" x14ac:dyDescent="0.25">
      <c r="A532" s="34">
        <f t="shared" si="17"/>
        <v>2</v>
      </c>
      <c r="B532" s="35">
        <v>528</v>
      </c>
      <c r="C532" s="36">
        <f t="shared" si="18"/>
        <v>44</v>
      </c>
      <c r="D532" s="76">
        <v>4.4916666666666698</v>
      </c>
      <c r="E532" s="76">
        <v>0</v>
      </c>
      <c r="F532" s="77">
        <v>1591.0166666666701</v>
      </c>
      <c r="G532" s="77">
        <v>1352.4875</v>
      </c>
      <c r="H532" s="77">
        <v>1087.8</v>
      </c>
    </row>
    <row r="533" spans="1:8" x14ac:dyDescent="0.25">
      <c r="A533" s="34">
        <f t="shared" si="17"/>
        <v>2</v>
      </c>
      <c r="B533" s="35">
        <v>529</v>
      </c>
      <c r="C533" s="36">
        <f t="shared" si="18"/>
        <v>44.083333333333329</v>
      </c>
      <c r="D533" s="76">
        <v>4.5</v>
      </c>
      <c r="E533" s="76">
        <v>0</v>
      </c>
      <c r="F533" s="77">
        <v>1680</v>
      </c>
      <c r="G533" s="77">
        <v>1279.5</v>
      </c>
      <c r="H533" s="77">
        <v>1087.8</v>
      </c>
    </row>
    <row r="534" spans="1:8" x14ac:dyDescent="0.25">
      <c r="A534" s="34">
        <f t="shared" si="17"/>
        <v>2</v>
      </c>
      <c r="B534" s="35">
        <v>530</v>
      </c>
      <c r="C534" s="36">
        <f t="shared" si="18"/>
        <v>44.166666666666664</v>
      </c>
      <c r="D534" s="76">
        <v>4.4833333333333298</v>
      </c>
      <c r="E534" s="76">
        <v>0</v>
      </c>
      <c r="F534" s="77">
        <v>1677.11666666667</v>
      </c>
      <c r="G534" s="77">
        <v>1265.7283333333301</v>
      </c>
      <c r="H534" s="77">
        <v>1019.81666666667</v>
      </c>
    </row>
    <row r="535" spans="1:8" x14ac:dyDescent="0.25">
      <c r="A535" s="34">
        <f t="shared" si="17"/>
        <v>2</v>
      </c>
      <c r="B535" s="35">
        <v>531</v>
      </c>
      <c r="C535" s="36">
        <f t="shared" si="18"/>
        <v>44.25</v>
      </c>
      <c r="D535" s="76">
        <v>4.4666666666666703</v>
      </c>
      <c r="E535" s="76">
        <v>0</v>
      </c>
      <c r="F535" s="77">
        <v>1674.2333333333299</v>
      </c>
      <c r="G535" s="77">
        <v>1251.9566666666699</v>
      </c>
      <c r="H535" s="77">
        <v>951.83333333333303</v>
      </c>
    </row>
    <row r="536" spans="1:8" x14ac:dyDescent="0.25">
      <c r="A536" s="34">
        <f t="shared" si="17"/>
        <v>2</v>
      </c>
      <c r="B536" s="35">
        <v>532</v>
      </c>
      <c r="C536" s="36">
        <f t="shared" si="18"/>
        <v>44.333333333333329</v>
      </c>
      <c r="D536" s="76">
        <v>4.45</v>
      </c>
      <c r="E536" s="76">
        <v>0</v>
      </c>
      <c r="F536" s="77">
        <v>1671.35</v>
      </c>
      <c r="G536" s="77">
        <v>1238.1849999999999</v>
      </c>
      <c r="H536" s="77">
        <v>883.85</v>
      </c>
    </row>
    <row r="537" spans="1:8" x14ac:dyDescent="0.25">
      <c r="A537" s="34">
        <f t="shared" si="17"/>
        <v>2</v>
      </c>
      <c r="B537" s="35">
        <v>533</v>
      </c>
      <c r="C537" s="36">
        <f t="shared" si="18"/>
        <v>44.416666666666664</v>
      </c>
      <c r="D537" s="76">
        <v>4.43333333333333</v>
      </c>
      <c r="E537" s="76">
        <v>0</v>
      </c>
      <c r="F537" s="77">
        <v>1668.4666666666701</v>
      </c>
      <c r="G537" s="77">
        <v>1224.41333333333</v>
      </c>
      <c r="H537" s="77">
        <v>815.86666666666702</v>
      </c>
    </row>
    <row r="538" spans="1:8" x14ac:dyDescent="0.25">
      <c r="A538" s="34">
        <f t="shared" si="17"/>
        <v>2</v>
      </c>
      <c r="B538" s="35">
        <v>534</v>
      </c>
      <c r="C538" s="36">
        <f t="shared" si="18"/>
        <v>44.5</v>
      </c>
      <c r="D538" s="76">
        <v>4.4166666666666696</v>
      </c>
      <c r="E538" s="76">
        <v>0</v>
      </c>
      <c r="F538" s="77">
        <v>1665.5833333333301</v>
      </c>
      <c r="G538" s="77">
        <v>1210.6416666666701</v>
      </c>
      <c r="H538" s="77">
        <v>747.88333333333298</v>
      </c>
    </row>
    <row r="539" spans="1:8" x14ac:dyDescent="0.25">
      <c r="A539" s="34">
        <f t="shared" si="17"/>
        <v>2</v>
      </c>
      <c r="B539" s="35">
        <v>535</v>
      </c>
      <c r="C539" s="36">
        <f t="shared" si="18"/>
        <v>44.583333333333329</v>
      </c>
      <c r="D539" s="76">
        <v>4.4000000000000004</v>
      </c>
      <c r="E539" s="76">
        <v>0</v>
      </c>
      <c r="F539" s="77">
        <v>1662.7</v>
      </c>
      <c r="G539" s="77">
        <v>1196.8699999999999</v>
      </c>
      <c r="H539" s="77">
        <v>679.9</v>
      </c>
    </row>
    <row r="540" spans="1:8" x14ac:dyDescent="0.25">
      <c r="A540" s="34">
        <f t="shared" si="17"/>
        <v>2</v>
      </c>
      <c r="B540" s="35">
        <v>536</v>
      </c>
      <c r="C540" s="36">
        <f t="shared" si="18"/>
        <v>44.666666666666664</v>
      </c>
      <c r="D540" s="76">
        <v>4.3833333333333302</v>
      </c>
      <c r="E540" s="76">
        <v>0</v>
      </c>
      <c r="F540" s="77">
        <v>1659.81666666667</v>
      </c>
      <c r="G540" s="77">
        <v>1183.0983333333299</v>
      </c>
      <c r="H540" s="77">
        <v>611.91666666666697</v>
      </c>
    </row>
    <row r="541" spans="1:8" x14ac:dyDescent="0.25">
      <c r="A541" s="34">
        <f t="shared" si="17"/>
        <v>2</v>
      </c>
      <c r="B541" s="35">
        <v>537</v>
      </c>
      <c r="C541" s="36">
        <f t="shared" si="18"/>
        <v>44.75</v>
      </c>
      <c r="D541" s="76">
        <v>4.3666666666666698</v>
      </c>
      <c r="E541" s="76">
        <v>0</v>
      </c>
      <c r="F541" s="77">
        <v>1656.93333333333</v>
      </c>
      <c r="G541" s="77">
        <v>1169.32666666667</v>
      </c>
      <c r="H541" s="77">
        <v>543.93333333333305</v>
      </c>
    </row>
    <row r="542" spans="1:8" x14ac:dyDescent="0.25">
      <c r="A542" s="34">
        <f t="shared" si="17"/>
        <v>2</v>
      </c>
      <c r="B542" s="35">
        <v>538</v>
      </c>
      <c r="C542" s="36">
        <f t="shared" si="18"/>
        <v>44.833333333333329</v>
      </c>
      <c r="D542" s="76">
        <v>4.3499999999999996</v>
      </c>
      <c r="E542" s="76">
        <v>0</v>
      </c>
      <c r="F542" s="77">
        <v>1654.05</v>
      </c>
      <c r="G542" s="77">
        <v>1155.5550000000001</v>
      </c>
      <c r="H542" s="77">
        <v>475.95</v>
      </c>
    </row>
    <row r="543" spans="1:8" x14ac:dyDescent="0.25">
      <c r="A543" s="34">
        <f t="shared" si="17"/>
        <v>2</v>
      </c>
      <c r="B543" s="35">
        <v>539</v>
      </c>
      <c r="C543" s="36">
        <f t="shared" si="18"/>
        <v>44.916666666666664</v>
      </c>
      <c r="D543" s="76">
        <v>4.3333333333333304</v>
      </c>
      <c r="E543" s="76">
        <v>0</v>
      </c>
      <c r="F543" s="77">
        <v>1651.1666666666699</v>
      </c>
      <c r="G543" s="77">
        <v>1141.7833333333299</v>
      </c>
      <c r="H543" s="77">
        <v>407.96666666666698</v>
      </c>
    </row>
    <row r="544" spans="1:8" x14ac:dyDescent="0.25">
      <c r="A544" s="34">
        <f t="shared" si="17"/>
        <v>2</v>
      </c>
      <c r="B544" s="35">
        <v>540</v>
      </c>
      <c r="C544" s="36">
        <f t="shared" si="18"/>
        <v>45</v>
      </c>
      <c r="D544" s="76">
        <v>4.31666666666667</v>
      </c>
      <c r="E544" s="76">
        <v>0</v>
      </c>
      <c r="F544" s="77">
        <v>1648.2833333333299</v>
      </c>
      <c r="G544" s="77">
        <v>1128.01166666667</v>
      </c>
      <c r="H544" s="77">
        <v>339.98333333333301</v>
      </c>
    </row>
    <row r="545" spans="1:8" x14ac:dyDescent="0.25">
      <c r="A545" s="34">
        <f t="shared" si="17"/>
        <v>2</v>
      </c>
      <c r="B545" s="35">
        <v>541</v>
      </c>
      <c r="C545" s="36">
        <f t="shared" si="18"/>
        <v>45.083333333333329</v>
      </c>
      <c r="D545" s="76">
        <v>4.3</v>
      </c>
      <c r="E545" s="76">
        <v>0</v>
      </c>
      <c r="F545" s="77">
        <v>1645.4</v>
      </c>
      <c r="G545" s="77">
        <v>1114.24</v>
      </c>
      <c r="H545" s="77">
        <v>272</v>
      </c>
    </row>
    <row r="546" spans="1:8" x14ac:dyDescent="0.25">
      <c r="A546" s="34">
        <f t="shared" si="17"/>
        <v>2</v>
      </c>
      <c r="B546" s="35">
        <v>542</v>
      </c>
      <c r="C546" s="36">
        <f t="shared" si="18"/>
        <v>45.166666666666664</v>
      </c>
      <c r="D546" s="76">
        <v>4.30833333333333</v>
      </c>
      <c r="E546" s="76">
        <v>0</v>
      </c>
      <c r="F546" s="77">
        <v>1538.2083333333301</v>
      </c>
      <c r="G546" s="77">
        <v>1064.74833333333</v>
      </c>
      <c r="H546" s="77">
        <v>255</v>
      </c>
    </row>
    <row r="547" spans="1:8" x14ac:dyDescent="0.25">
      <c r="A547" s="34">
        <f t="shared" si="17"/>
        <v>2</v>
      </c>
      <c r="B547" s="35">
        <v>543</v>
      </c>
      <c r="C547" s="36">
        <f t="shared" si="18"/>
        <v>45.25</v>
      </c>
      <c r="D547" s="76">
        <v>4.31666666666667</v>
      </c>
      <c r="E547" s="76">
        <v>0</v>
      </c>
      <c r="F547" s="77">
        <v>1431.0166666666701</v>
      </c>
      <c r="G547" s="77">
        <v>1015.25666666667</v>
      </c>
      <c r="H547" s="77">
        <v>238</v>
      </c>
    </row>
    <row r="548" spans="1:8" x14ac:dyDescent="0.25">
      <c r="A548" s="34">
        <f t="shared" si="17"/>
        <v>2</v>
      </c>
      <c r="B548" s="35">
        <v>544</v>
      </c>
      <c r="C548" s="36">
        <f t="shared" si="18"/>
        <v>45.333333333333329</v>
      </c>
      <c r="D548" s="76">
        <v>4.3250000000000002</v>
      </c>
      <c r="E548" s="76">
        <v>0</v>
      </c>
      <c r="F548" s="77">
        <v>1323.825</v>
      </c>
      <c r="G548" s="77">
        <v>965.76499999999999</v>
      </c>
      <c r="H548" s="77">
        <v>221</v>
      </c>
    </row>
    <row r="549" spans="1:8" x14ac:dyDescent="0.25">
      <c r="A549" s="34">
        <f t="shared" si="17"/>
        <v>2</v>
      </c>
      <c r="B549" s="35">
        <v>545</v>
      </c>
      <c r="C549" s="36">
        <f t="shared" si="18"/>
        <v>45.416666666666664</v>
      </c>
      <c r="D549" s="76">
        <v>4.3333333333333304</v>
      </c>
      <c r="E549" s="76">
        <v>0</v>
      </c>
      <c r="F549" s="77">
        <v>1216.63333333333</v>
      </c>
      <c r="G549" s="77">
        <v>916.27333333333297</v>
      </c>
      <c r="H549" s="77">
        <v>204</v>
      </c>
    </row>
    <row r="550" spans="1:8" x14ac:dyDescent="0.25">
      <c r="A550" s="34">
        <f t="shared" si="17"/>
        <v>2</v>
      </c>
      <c r="B550" s="35">
        <v>546</v>
      </c>
      <c r="C550" s="36">
        <f t="shared" si="18"/>
        <v>45.5</v>
      </c>
      <c r="D550" s="76">
        <v>4.3416666666666703</v>
      </c>
      <c r="E550" s="76">
        <v>0</v>
      </c>
      <c r="F550" s="77">
        <v>1109.44166666667</v>
      </c>
      <c r="G550" s="77">
        <v>866.78166666666698</v>
      </c>
      <c r="H550" s="77">
        <v>187</v>
      </c>
    </row>
    <row r="551" spans="1:8" x14ac:dyDescent="0.25">
      <c r="A551" s="34">
        <f t="shared" si="17"/>
        <v>2</v>
      </c>
      <c r="B551" s="35">
        <v>547</v>
      </c>
      <c r="C551" s="36">
        <f t="shared" si="18"/>
        <v>45.583333333333329</v>
      </c>
      <c r="D551" s="76">
        <v>4.3499999999999996</v>
      </c>
      <c r="E551" s="76">
        <v>0</v>
      </c>
      <c r="F551" s="77">
        <v>1002.25</v>
      </c>
      <c r="G551" s="77">
        <v>817.29</v>
      </c>
      <c r="H551" s="77">
        <v>170</v>
      </c>
    </row>
    <row r="552" spans="1:8" x14ac:dyDescent="0.25">
      <c r="A552" s="34">
        <f t="shared" si="17"/>
        <v>2</v>
      </c>
      <c r="B552" s="35">
        <v>548</v>
      </c>
      <c r="C552" s="36">
        <f t="shared" si="18"/>
        <v>45.666666666666664</v>
      </c>
      <c r="D552" s="76">
        <v>4.3583333333333298</v>
      </c>
      <c r="E552" s="76">
        <v>0</v>
      </c>
      <c r="F552" s="77">
        <v>895.05833333333305</v>
      </c>
      <c r="G552" s="77">
        <v>767.79833333333295</v>
      </c>
      <c r="H552" s="77">
        <v>153</v>
      </c>
    </row>
    <row r="553" spans="1:8" x14ac:dyDescent="0.25">
      <c r="A553" s="34">
        <f t="shared" si="17"/>
        <v>2</v>
      </c>
      <c r="B553" s="35">
        <v>549</v>
      </c>
      <c r="C553" s="36">
        <f t="shared" si="18"/>
        <v>45.75</v>
      </c>
      <c r="D553" s="76">
        <v>4.3666666666666698</v>
      </c>
      <c r="E553" s="76">
        <v>0</v>
      </c>
      <c r="F553" s="77">
        <v>787.86666666666702</v>
      </c>
      <c r="G553" s="77">
        <v>718.30666666666696</v>
      </c>
      <c r="H553" s="77">
        <v>136</v>
      </c>
    </row>
    <row r="554" spans="1:8" x14ac:dyDescent="0.25">
      <c r="A554" s="34">
        <f t="shared" si="17"/>
        <v>2</v>
      </c>
      <c r="B554" s="35">
        <v>550</v>
      </c>
      <c r="C554" s="36">
        <f t="shared" si="18"/>
        <v>45.833333333333329</v>
      </c>
      <c r="D554" s="76">
        <v>4.375</v>
      </c>
      <c r="E554" s="76">
        <v>0</v>
      </c>
      <c r="F554" s="77">
        <v>680.67499999999995</v>
      </c>
      <c r="G554" s="77">
        <v>668.81500000000005</v>
      </c>
      <c r="H554" s="77">
        <v>119</v>
      </c>
    </row>
    <row r="555" spans="1:8" x14ac:dyDescent="0.25">
      <c r="A555" s="34">
        <f t="shared" si="17"/>
        <v>2</v>
      </c>
      <c r="B555" s="35">
        <v>551</v>
      </c>
      <c r="C555" s="36">
        <f t="shared" si="18"/>
        <v>45.916666666666664</v>
      </c>
      <c r="D555" s="76">
        <v>4.3833333333333302</v>
      </c>
      <c r="E555" s="76">
        <v>0</v>
      </c>
      <c r="F555" s="77">
        <v>573.48333333333301</v>
      </c>
      <c r="G555" s="77">
        <v>619.32333333333304</v>
      </c>
      <c r="H555" s="77">
        <v>102</v>
      </c>
    </row>
    <row r="556" spans="1:8" x14ac:dyDescent="0.25">
      <c r="A556" s="34">
        <f t="shared" si="17"/>
        <v>2</v>
      </c>
      <c r="B556" s="35">
        <v>552</v>
      </c>
      <c r="C556" s="36">
        <f t="shared" si="18"/>
        <v>46</v>
      </c>
      <c r="D556" s="76">
        <v>4.3916666666666702</v>
      </c>
      <c r="E556" s="76">
        <v>0</v>
      </c>
      <c r="F556" s="77">
        <v>466.29166666666703</v>
      </c>
      <c r="G556" s="77">
        <v>569.83166666666705</v>
      </c>
      <c r="H556" s="77">
        <v>85</v>
      </c>
    </row>
    <row r="557" spans="1:8" x14ac:dyDescent="0.25">
      <c r="A557" s="34">
        <f t="shared" si="17"/>
        <v>2</v>
      </c>
      <c r="B557" s="35">
        <v>553</v>
      </c>
      <c r="C557" s="36">
        <f t="shared" si="18"/>
        <v>46.083333333333329</v>
      </c>
      <c r="D557" s="76">
        <v>4.4000000000000004</v>
      </c>
      <c r="E557" s="76">
        <v>0</v>
      </c>
      <c r="F557" s="77">
        <v>359.1</v>
      </c>
      <c r="G557" s="77">
        <v>520.34</v>
      </c>
      <c r="H557" s="77">
        <v>68</v>
      </c>
    </row>
    <row r="558" spans="1:8" x14ac:dyDescent="0.25">
      <c r="A558" s="34">
        <f t="shared" si="17"/>
        <v>2</v>
      </c>
      <c r="B558" s="35">
        <v>554</v>
      </c>
      <c r="C558" s="36">
        <f t="shared" si="18"/>
        <v>46.166666666666664</v>
      </c>
      <c r="D558" s="76">
        <v>4.4083333333333297</v>
      </c>
      <c r="E558" s="76">
        <v>0</v>
      </c>
      <c r="F558" s="77">
        <v>344.99166666666702</v>
      </c>
      <c r="G558" s="77">
        <v>476.97833333333301</v>
      </c>
      <c r="H558" s="77">
        <v>62.3333333333333</v>
      </c>
    </row>
    <row r="559" spans="1:8" x14ac:dyDescent="0.25">
      <c r="A559" s="34">
        <f t="shared" si="17"/>
        <v>2</v>
      </c>
      <c r="B559" s="35">
        <v>555</v>
      </c>
      <c r="C559" s="36">
        <f t="shared" si="18"/>
        <v>46.25</v>
      </c>
      <c r="D559" s="76">
        <v>4.4166666666666696</v>
      </c>
      <c r="E559" s="76">
        <v>0</v>
      </c>
      <c r="F559" s="77">
        <v>330.88333333333298</v>
      </c>
      <c r="G559" s="77">
        <v>433.61666666666702</v>
      </c>
      <c r="H559" s="77">
        <v>56.6666666666667</v>
      </c>
    </row>
    <row r="560" spans="1:8" x14ac:dyDescent="0.25">
      <c r="A560" s="34">
        <f t="shared" si="17"/>
        <v>2</v>
      </c>
      <c r="B560" s="35">
        <v>556</v>
      </c>
      <c r="C560" s="36">
        <f t="shared" si="18"/>
        <v>46.333333333333329</v>
      </c>
      <c r="D560" s="76">
        <v>4.4249999999999998</v>
      </c>
      <c r="E560" s="76">
        <v>0</v>
      </c>
      <c r="F560" s="77">
        <v>316.77499999999998</v>
      </c>
      <c r="G560" s="77">
        <v>390.255</v>
      </c>
      <c r="H560" s="77">
        <v>51</v>
      </c>
    </row>
    <row r="561" spans="1:8" x14ac:dyDescent="0.25">
      <c r="A561" s="34">
        <f t="shared" si="17"/>
        <v>2</v>
      </c>
      <c r="B561" s="35">
        <v>557</v>
      </c>
      <c r="C561" s="36">
        <f t="shared" si="18"/>
        <v>46.416666666666664</v>
      </c>
      <c r="D561" s="76">
        <v>4.43333333333333</v>
      </c>
      <c r="E561" s="76">
        <v>0</v>
      </c>
      <c r="F561" s="77">
        <v>302.66666666666703</v>
      </c>
      <c r="G561" s="77">
        <v>346.89333333333298</v>
      </c>
      <c r="H561" s="77">
        <v>45.3333333333333</v>
      </c>
    </row>
    <row r="562" spans="1:8" x14ac:dyDescent="0.25">
      <c r="A562" s="34">
        <f t="shared" si="17"/>
        <v>2</v>
      </c>
      <c r="B562" s="35">
        <v>558</v>
      </c>
      <c r="C562" s="36">
        <f t="shared" si="18"/>
        <v>46.5</v>
      </c>
      <c r="D562" s="76">
        <v>4.44166666666667</v>
      </c>
      <c r="E562" s="76">
        <v>0</v>
      </c>
      <c r="F562" s="77">
        <v>288.558333333333</v>
      </c>
      <c r="G562" s="77">
        <v>303.53166666666698</v>
      </c>
      <c r="H562" s="77">
        <v>39.6666666666667</v>
      </c>
    </row>
    <row r="563" spans="1:8" x14ac:dyDescent="0.25">
      <c r="A563" s="34">
        <f t="shared" si="17"/>
        <v>2</v>
      </c>
      <c r="B563" s="35">
        <v>559</v>
      </c>
      <c r="C563" s="36">
        <f t="shared" si="18"/>
        <v>46.583333333333329</v>
      </c>
      <c r="D563" s="76">
        <v>4.45</v>
      </c>
      <c r="E563" s="76">
        <v>0</v>
      </c>
      <c r="F563" s="77">
        <v>274.45</v>
      </c>
      <c r="G563" s="77">
        <v>260.17</v>
      </c>
      <c r="H563" s="77">
        <v>34</v>
      </c>
    </row>
    <row r="564" spans="1:8" x14ac:dyDescent="0.25">
      <c r="A564" s="34">
        <f t="shared" si="17"/>
        <v>2</v>
      </c>
      <c r="B564" s="35">
        <v>560</v>
      </c>
      <c r="C564" s="36">
        <f t="shared" si="18"/>
        <v>46.666666666666664</v>
      </c>
      <c r="D564" s="76">
        <v>4.4583333333333304</v>
      </c>
      <c r="E564" s="76">
        <v>0</v>
      </c>
      <c r="F564" s="77">
        <v>260.34166666666698</v>
      </c>
      <c r="G564" s="77">
        <v>216.808333333333</v>
      </c>
      <c r="H564" s="77">
        <v>28.3333333333333</v>
      </c>
    </row>
    <row r="565" spans="1:8" x14ac:dyDescent="0.25">
      <c r="A565" s="34">
        <f t="shared" ref="A565:A628" si="19">ROUNDUP(C565/24,0)</f>
        <v>2</v>
      </c>
      <c r="B565" s="35">
        <v>561</v>
      </c>
      <c r="C565" s="36">
        <f t="shared" ref="C565:C628" si="20">B565*$C$1</f>
        <v>46.75</v>
      </c>
      <c r="D565" s="76">
        <v>4.4666666666666703</v>
      </c>
      <c r="E565" s="76">
        <v>0</v>
      </c>
      <c r="F565" s="77">
        <v>246.23333333333301</v>
      </c>
      <c r="G565" s="77">
        <v>173.446666666667</v>
      </c>
      <c r="H565" s="77">
        <v>22.6666666666667</v>
      </c>
    </row>
    <row r="566" spans="1:8" x14ac:dyDescent="0.25">
      <c r="A566" s="34">
        <f t="shared" si="19"/>
        <v>2</v>
      </c>
      <c r="B566" s="35">
        <v>562</v>
      </c>
      <c r="C566" s="36">
        <f t="shared" si="20"/>
        <v>46.833333333333329</v>
      </c>
      <c r="D566" s="76">
        <v>4.4749999999999996</v>
      </c>
      <c r="E566" s="76">
        <v>0</v>
      </c>
      <c r="F566" s="77">
        <v>232.125</v>
      </c>
      <c r="G566" s="77">
        <v>130.08500000000001</v>
      </c>
      <c r="H566" s="77">
        <v>17</v>
      </c>
    </row>
    <row r="567" spans="1:8" x14ac:dyDescent="0.25">
      <c r="A567" s="34">
        <f t="shared" si="19"/>
        <v>2</v>
      </c>
      <c r="B567" s="35">
        <v>563</v>
      </c>
      <c r="C567" s="36">
        <f t="shared" si="20"/>
        <v>46.916666666666664</v>
      </c>
      <c r="D567" s="76">
        <v>4.4833333333333298</v>
      </c>
      <c r="E567" s="76">
        <v>0</v>
      </c>
      <c r="F567" s="77">
        <v>218.01666666666699</v>
      </c>
      <c r="G567" s="77">
        <v>86.723333333333301</v>
      </c>
      <c r="H567" s="77">
        <v>11.3333333333333</v>
      </c>
    </row>
    <row r="568" spans="1:8" x14ac:dyDescent="0.25">
      <c r="A568" s="34">
        <f t="shared" si="19"/>
        <v>2</v>
      </c>
      <c r="B568" s="35">
        <v>564</v>
      </c>
      <c r="C568" s="36">
        <f t="shared" si="20"/>
        <v>47</v>
      </c>
      <c r="D568" s="76">
        <v>4.4916666666666698</v>
      </c>
      <c r="E568" s="76">
        <v>0</v>
      </c>
      <c r="F568" s="77">
        <v>203.90833333333299</v>
      </c>
      <c r="G568" s="77">
        <v>43.3616666666667</v>
      </c>
      <c r="H568" s="77">
        <v>5.6666666666666696</v>
      </c>
    </row>
    <row r="569" spans="1:8" x14ac:dyDescent="0.25">
      <c r="A569" s="34">
        <f t="shared" si="19"/>
        <v>2</v>
      </c>
      <c r="B569" s="35">
        <v>565</v>
      </c>
      <c r="C569" s="36">
        <f t="shared" si="20"/>
        <v>47.083333333333329</v>
      </c>
      <c r="D569" s="76">
        <v>4.5</v>
      </c>
      <c r="E569" s="76">
        <v>0</v>
      </c>
      <c r="F569" s="77">
        <v>189.8</v>
      </c>
      <c r="G569" s="77">
        <v>0</v>
      </c>
      <c r="H569" s="77">
        <v>0</v>
      </c>
    </row>
    <row r="570" spans="1:8" x14ac:dyDescent="0.25">
      <c r="A570" s="34">
        <f t="shared" si="19"/>
        <v>2</v>
      </c>
      <c r="B570" s="35">
        <v>566</v>
      </c>
      <c r="C570" s="36">
        <f t="shared" si="20"/>
        <v>47.166666666666664</v>
      </c>
      <c r="D570" s="76">
        <v>4.5333333333333297</v>
      </c>
      <c r="E570" s="76">
        <v>0</v>
      </c>
      <c r="F570" s="77">
        <v>187.74166666666699</v>
      </c>
      <c r="G570" s="77">
        <v>0</v>
      </c>
      <c r="H570" s="77">
        <v>0</v>
      </c>
    </row>
    <row r="571" spans="1:8" x14ac:dyDescent="0.25">
      <c r="A571" s="34">
        <f t="shared" si="19"/>
        <v>2</v>
      </c>
      <c r="B571" s="35">
        <v>567</v>
      </c>
      <c r="C571" s="36">
        <f t="shared" si="20"/>
        <v>47.25</v>
      </c>
      <c r="D571" s="76">
        <v>4.56666666666667</v>
      </c>
      <c r="E571" s="76">
        <v>0</v>
      </c>
      <c r="F571" s="77">
        <v>185.683333333333</v>
      </c>
      <c r="G571" s="77">
        <v>0</v>
      </c>
      <c r="H571" s="77">
        <v>0</v>
      </c>
    </row>
    <row r="572" spans="1:8" x14ac:dyDescent="0.25">
      <c r="A572" s="34">
        <f t="shared" si="19"/>
        <v>2</v>
      </c>
      <c r="B572" s="35">
        <v>568</v>
      </c>
      <c r="C572" s="36">
        <f t="shared" si="20"/>
        <v>47.333333333333329</v>
      </c>
      <c r="D572" s="76">
        <v>4.5999999999999996</v>
      </c>
      <c r="E572" s="76">
        <v>0</v>
      </c>
      <c r="F572" s="77">
        <v>183.625</v>
      </c>
      <c r="G572" s="77">
        <v>0</v>
      </c>
      <c r="H572" s="77">
        <v>0</v>
      </c>
    </row>
    <row r="573" spans="1:8" x14ac:dyDescent="0.25">
      <c r="A573" s="34">
        <f t="shared" si="19"/>
        <v>2</v>
      </c>
      <c r="B573" s="35">
        <v>569</v>
      </c>
      <c r="C573" s="36">
        <f t="shared" si="20"/>
        <v>47.416666666666664</v>
      </c>
      <c r="D573" s="76">
        <v>4.6333333333333302</v>
      </c>
      <c r="E573" s="76">
        <v>0</v>
      </c>
      <c r="F573" s="77">
        <v>181.566666666667</v>
      </c>
      <c r="G573" s="77">
        <v>0</v>
      </c>
      <c r="H573" s="77">
        <v>0</v>
      </c>
    </row>
    <row r="574" spans="1:8" x14ac:dyDescent="0.25">
      <c r="A574" s="34">
        <f t="shared" si="19"/>
        <v>2</v>
      </c>
      <c r="B574" s="35">
        <v>570</v>
      </c>
      <c r="C574" s="36">
        <f t="shared" si="20"/>
        <v>47.5</v>
      </c>
      <c r="D574" s="76">
        <v>4.6666666666666696</v>
      </c>
      <c r="E574" s="76">
        <v>0</v>
      </c>
      <c r="F574" s="77">
        <v>179.50833333333301</v>
      </c>
      <c r="G574" s="77">
        <v>0</v>
      </c>
      <c r="H574" s="77">
        <v>0</v>
      </c>
    </row>
    <row r="575" spans="1:8" x14ac:dyDescent="0.25">
      <c r="A575" s="34">
        <f t="shared" si="19"/>
        <v>2</v>
      </c>
      <c r="B575" s="35">
        <v>571</v>
      </c>
      <c r="C575" s="36">
        <f t="shared" si="20"/>
        <v>47.583333333333329</v>
      </c>
      <c r="D575" s="76">
        <v>4.7</v>
      </c>
      <c r="E575" s="76">
        <v>0</v>
      </c>
      <c r="F575" s="77">
        <v>177.45</v>
      </c>
      <c r="G575" s="77">
        <v>0</v>
      </c>
      <c r="H575" s="77">
        <v>0</v>
      </c>
    </row>
    <row r="576" spans="1:8" x14ac:dyDescent="0.25">
      <c r="A576" s="34">
        <f t="shared" si="19"/>
        <v>2</v>
      </c>
      <c r="B576" s="35">
        <v>572</v>
      </c>
      <c r="C576" s="36">
        <f t="shared" si="20"/>
        <v>47.666666666666664</v>
      </c>
      <c r="D576" s="76">
        <v>4.7333333333333298</v>
      </c>
      <c r="E576" s="76">
        <v>0</v>
      </c>
      <c r="F576" s="77">
        <v>175.39166666666699</v>
      </c>
      <c r="G576" s="77">
        <v>0</v>
      </c>
      <c r="H576" s="77">
        <v>0</v>
      </c>
    </row>
    <row r="577" spans="1:8" x14ac:dyDescent="0.25">
      <c r="A577" s="34">
        <f t="shared" si="19"/>
        <v>2</v>
      </c>
      <c r="B577" s="35">
        <v>573</v>
      </c>
      <c r="C577" s="36">
        <f t="shared" si="20"/>
        <v>47.75</v>
      </c>
      <c r="D577" s="76">
        <v>4.7666666666666702</v>
      </c>
      <c r="E577" s="76">
        <v>0</v>
      </c>
      <c r="F577" s="77">
        <v>173.333333333333</v>
      </c>
      <c r="G577" s="77">
        <v>0</v>
      </c>
      <c r="H577" s="77">
        <v>0</v>
      </c>
    </row>
    <row r="578" spans="1:8" x14ac:dyDescent="0.25">
      <c r="A578" s="34">
        <f t="shared" si="19"/>
        <v>2</v>
      </c>
      <c r="B578" s="35">
        <v>574</v>
      </c>
      <c r="C578" s="36">
        <f t="shared" si="20"/>
        <v>47.833333333333329</v>
      </c>
      <c r="D578" s="76">
        <v>4.8</v>
      </c>
      <c r="E578" s="76">
        <v>0</v>
      </c>
      <c r="F578" s="77">
        <v>171.27500000000001</v>
      </c>
      <c r="G578" s="77">
        <v>0</v>
      </c>
      <c r="H578" s="77">
        <v>0</v>
      </c>
    </row>
    <row r="579" spans="1:8" x14ac:dyDescent="0.25">
      <c r="A579" s="34">
        <f t="shared" si="19"/>
        <v>2</v>
      </c>
      <c r="B579" s="35">
        <v>575</v>
      </c>
      <c r="C579" s="36">
        <f t="shared" si="20"/>
        <v>47.916666666666664</v>
      </c>
      <c r="D579" s="76">
        <v>4.8333333333333304</v>
      </c>
      <c r="E579" s="76">
        <v>0</v>
      </c>
      <c r="F579" s="77">
        <v>169.21666666666701</v>
      </c>
      <c r="G579" s="77">
        <v>0</v>
      </c>
      <c r="H579" s="77">
        <v>0</v>
      </c>
    </row>
    <row r="580" spans="1:8" x14ac:dyDescent="0.25">
      <c r="A580" s="34">
        <f t="shared" si="19"/>
        <v>2</v>
      </c>
      <c r="B580" s="35">
        <v>576</v>
      </c>
      <c r="C580" s="36">
        <f t="shared" si="20"/>
        <v>48</v>
      </c>
      <c r="D580" s="76">
        <v>4.8666666666666698</v>
      </c>
      <c r="E580" s="76">
        <v>0</v>
      </c>
      <c r="F580" s="77">
        <v>167.15833333333299</v>
      </c>
      <c r="G580" s="77">
        <v>0</v>
      </c>
      <c r="H580" s="77">
        <v>0</v>
      </c>
    </row>
    <row r="581" spans="1:8" x14ac:dyDescent="0.25">
      <c r="A581" s="34">
        <f t="shared" si="19"/>
        <v>3</v>
      </c>
      <c r="B581" s="35">
        <v>577</v>
      </c>
      <c r="C581" s="36">
        <f t="shared" si="20"/>
        <v>48.083333333333329</v>
      </c>
      <c r="D581" s="76">
        <v>4.9000000000000004</v>
      </c>
      <c r="E581" s="76">
        <v>0</v>
      </c>
      <c r="F581" s="77">
        <v>165.1</v>
      </c>
      <c r="G581" s="77">
        <v>0</v>
      </c>
      <c r="H581" s="77">
        <v>0</v>
      </c>
    </row>
    <row r="582" spans="1:8" x14ac:dyDescent="0.25">
      <c r="A582" s="34">
        <f t="shared" si="19"/>
        <v>3</v>
      </c>
      <c r="B582" s="35">
        <v>578</v>
      </c>
      <c r="C582" s="36">
        <f t="shared" si="20"/>
        <v>48.166666666666664</v>
      </c>
      <c r="D582" s="76">
        <v>4.9083333333333297</v>
      </c>
      <c r="E582" s="76">
        <v>0</v>
      </c>
      <c r="F582" s="77">
        <v>162.125</v>
      </c>
      <c r="G582" s="77">
        <v>0</v>
      </c>
      <c r="H582" s="77">
        <v>0</v>
      </c>
    </row>
    <row r="583" spans="1:8" x14ac:dyDescent="0.25">
      <c r="A583" s="34">
        <f t="shared" si="19"/>
        <v>3</v>
      </c>
      <c r="B583" s="35">
        <v>579</v>
      </c>
      <c r="C583" s="36">
        <f t="shared" si="20"/>
        <v>48.25</v>
      </c>
      <c r="D583" s="76">
        <v>4.9166666666666696</v>
      </c>
      <c r="E583" s="76">
        <v>0</v>
      </c>
      <c r="F583" s="77">
        <v>159.15</v>
      </c>
      <c r="G583" s="77">
        <v>0</v>
      </c>
      <c r="H583" s="77">
        <v>0</v>
      </c>
    </row>
    <row r="584" spans="1:8" x14ac:dyDescent="0.25">
      <c r="A584" s="34">
        <f t="shared" si="19"/>
        <v>3</v>
      </c>
      <c r="B584" s="35">
        <v>580</v>
      </c>
      <c r="C584" s="36">
        <f t="shared" si="20"/>
        <v>48.333333333333329</v>
      </c>
      <c r="D584" s="76">
        <v>4.9249999999999998</v>
      </c>
      <c r="E584" s="76">
        <v>0</v>
      </c>
      <c r="F584" s="77">
        <v>156.17500000000001</v>
      </c>
      <c r="G584" s="77">
        <v>0</v>
      </c>
      <c r="H584" s="77">
        <v>0</v>
      </c>
    </row>
    <row r="585" spans="1:8" x14ac:dyDescent="0.25">
      <c r="A585" s="34">
        <f t="shared" si="19"/>
        <v>3</v>
      </c>
      <c r="B585" s="35">
        <v>581</v>
      </c>
      <c r="C585" s="36">
        <f t="shared" si="20"/>
        <v>48.416666666666664</v>
      </c>
      <c r="D585" s="76">
        <v>4.93333333333333</v>
      </c>
      <c r="E585" s="76">
        <v>0</v>
      </c>
      <c r="F585" s="77">
        <v>153.19999999999999</v>
      </c>
      <c r="G585" s="77">
        <v>0</v>
      </c>
      <c r="H585" s="77">
        <v>0</v>
      </c>
    </row>
    <row r="586" spans="1:8" x14ac:dyDescent="0.25">
      <c r="A586" s="34">
        <f t="shared" si="19"/>
        <v>3</v>
      </c>
      <c r="B586" s="35">
        <v>582</v>
      </c>
      <c r="C586" s="36">
        <f t="shared" si="20"/>
        <v>48.5</v>
      </c>
      <c r="D586" s="76">
        <v>4.94166666666667</v>
      </c>
      <c r="E586" s="76">
        <v>0</v>
      </c>
      <c r="F586" s="77">
        <v>150.22499999999999</v>
      </c>
      <c r="G586" s="77">
        <v>0</v>
      </c>
      <c r="H586" s="77">
        <v>0</v>
      </c>
    </row>
    <row r="587" spans="1:8" x14ac:dyDescent="0.25">
      <c r="A587" s="34">
        <f t="shared" si="19"/>
        <v>3</v>
      </c>
      <c r="B587" s="35">
        <v>583</v>
      </c>
      <c r="C587" s="36">
        <f t="shared" si="20"/>
        <v>48.583333333333329</v>
      </c>
      <c r="D587" s="76">
        <v>4.95</v>
      </c>
      <c r="E587" s="76">
        <v>0</v>
      </c>
      <c r="F587" s="77">
        <v>147.25</v>
      </c>
      <c r="G587" s="77">
        <v>0</v>
      </c>
      <c r="H587" s="77">
        <v>0</v>
      </c>
    </row>
    <row r="588" spans="1:8" x14ac:dyDescent="0.25">
      <c r="A588" s="34">
        <f t="shared" si="19"/>
        <v>3</v>
      </c>
      <c r="B588" s="35">
        <v>584</v>
      </c>
      <c r="C588" s="36">
        <f t="shared" si="20"/>
        <v>48.666666666666664</v>
      </c>
      <c r="D588" s="76">
        <v>4.9583333333333304</v>
      </c>
      <c r="E588" s="76">
        <v>0</v>
      </c>
      <c r="F588" s="77">
        <v>144.27500000000001</v>
      </c>
      <c r="G588" s="77">
        <v>0</v>
      </c>
      <c r="H588" s="77">
        <v>0</v>
      </c>
    </row>
    <row r="589" spans="1:8" x14ac:dyDescent="0.25">
      <c r="A589" s="34">
        <f t="shared" si="19"/>
        <v>3</v>
      </c>
      <c r="B589" s="35">
        <v>585</v>
      </c>
      <c r="C589" s="36">
        <f t="shared" si="20"/>
        <v>48.75</v>
      </c>
      <c r="D589" s="76">
        <v>4.9666666666666703</v>
      </c>
      <c r="E589" s="76">
        <v>0</v>
      </c>
      <c r="F589" s="77">
        <v>141.30000000000001</v>
      </c>
      <c r="G589" s="77">
        <v>0</v>
      </c>
      <c r="H589" s="77">
        <v>0</v>
      </c>
    </row>
    <row r="590" spans="1:8" x14ac:dyDescent="0.25">
      <c r="A590" s="34">
        <f t="shared" si="19"/>
        <v>3</v>
      </c>
      <c r="B590" s="35">
        <v>586</v>
      </c>
      <c r="C590" s="36">
        <f t="shared" si="20"/>
        <v>48.833333333333329</v>
      </c>
      <c r="D590" s="76">
        <v>4.9749999999999996</v>
      </c>
      <c r="E590" s="76">
        <v>0</v>
      </c>
      <c r="F590" s="77">
        <v>138.32499999999999</v>
      </c>
      <c r="G590" s="77">
        <v>0</v>
      </c>
      <c r="H590" s="77">
        <v>0</v>
      </c>
    </row>
    <row r="591" spans="1:8" x14ac:dyDescent="0.25">
      <c r="A591" s="34">
        <f t="shared" si="19"/>
        <v>3</v>
      </c>
      <c r="B591" s="35">
        <v>587</v>
      </c>
      <c r="C591" s="36">
        <f t="shared" si="20"/>
        <v>48.916666666666664</v>
      </c>
      <c r="D591" s="76">
        <v>4.9833333333333298</v>
      </c>
      <c r="E591" s="76">
        <v>0</v>
      </c>
      <c r="F591" s="77">
        <v>135.35</v>
      </c>
      <c r="G591" s="77">
        <v>0</v>
      </c>
      <c r="H591" s="77">
        <v>0</v>
      </c>
    </row>
    <row r="592" spans="1:8" x14ac:dyDescent="0.25">
      <c r="A592" s="34">
        <f t="shared" si="19"/>
        <v>3</v>
      </c>
      <c r="B592" s="35">
        <v>588</v>
      </c>
      <c r="C592" s="36">
        <f t="shared" si="20"/>
        <v>49</v>
      </c>
      <c r="D592" s="76">
        <v>4.9916666666666698</v>
      </c>
      <c r="E592" s="76">
        <v>0</v>
      </c>
      <c r="F592" s="77">
        <v>132.375</v>
      </c>
      <c r="G592" s="77">
        <v>0</v>
      </c>
      <c r="H592" s="77">
        <v>0</v>
      </c>
    </row>
    <row r="593" spans="1:8" x14ac:dyDescent="0.25">
      <c r="A593" s="34">
        <f t="shared" si="19"/>
        <v>3</v>
      </c>
      <c r="B593" s="35">
        <v>589</v>
      </c>
      <c r="C593" s="36">
        <f t="shared" si="20"/>
        <v>49.083333333333329</v>
      </c>
      <c r="D593" s="76">
        <v>5</v>
      </c>
      <c r="E593" s="76">
        <v>0</v>
      </c>
      <c r="F593" s="77">
        <v>129.4</v>
      </c>
      <c r="G593" s="77">
        <v>0</v>
      </c>
      <c r="H593" s="77">
        <v>0</v>
      </c>
    </row>
    <row r="594" spans="1:8" x14ac:dyDescent="0.25">
      <c r="A594" s="34">
        <f t="shared" si="19"/>
        <v>3</v>
      </c>
      <c r="B594" s="35">
        <v>590</v>
      </c>
      <c r="C594" s="36">
        <f t="shared" si="20"/>
        <v>49.166666666666664</v>
      </c>
      <c r="D594" s="76">
        <v>4.9749999999999996</v>
      </c>
      <c r="E594" s="76">
        <v>0</v>
      </c>
      <c r="F594" s="77">
        <v>128.96666666666701</v>
      </c>
      <c r="G594" s="77">
        <v>0</v>
      </c>
      <c r="H594" s="77">
        <v>0</v>
      </c>
    </row>
    <row r="595" spans="1:8" x14ac:dyDescent="0.25">
      <c r="A595" s="34">
        <f t="shared" si="19"/>
        <v>3</v>
      </c>
      <c r="B595" s="35">
        <v>591</v>
      </c>
      <c r="C595" s="36">
        <f t="shared" si="20"/>
        <v>49.25</v>
      </c>
      <c r="D595" s="76">
        <v>4.95</v>
      </c>
      <c r="E595" s="76">
        <v>0</v>
      </c>
      <c r="F595" s="77">
        <v>128.53333333333299</v>
      </c>
      <c r="G595" s="77">
        <v>0</v>
      </c>
      <c r="H595" s="77">
        <v>0</v>
      </c>
    </row>
    <row r="596" spans="1:8" x14ac:dyDescent="0.25">
      <c r="A596" s="34">
        <f t="shared" si="19"/>
        <v>3</v>
      </c>
      <c r="B596" s="35">
        <v>592</v>
      </c>
      <c r="C596" s="36">
        <f t="shared" si="20"/>
        <v>49.333333333333329</v>
      </c>
      <c r="D596" s="76">
        <v>4.9249999999999998</v>
      </c>
      <c r="E596" s="76">
        <v>0</v>
      </c>
      <c r="F596" s="77">
        <v>128.1</v>
      </c>
      <c r="G596" s="77">
        <v>0</v>
      </c>
      <c r="H596" s="77">
        <v>0</v>
      </c>
    </row>
    <row r="597" spans="1:8" x14ac:dyDescent="0.25">
      <c r="A597" s="34">
        <f t="shared" si="19"/>
        <v>3</v>
      </c>
      <c r="B597" s="35">
        <v>593</v>
      </c>
      <c r="C597" s="36">
        <f t="shared" si="20"/>
        <v>49.416666666666664</v>
      </c>
      <c r="D597" s="76">
        <v>4.9000000000000004</v>
      </c>
      <c r="E597" s="76">
        <v>0</v>
      </c>
      <c r="F597" s="77">
        <v>127.666666666667</v>
      </c>
      <c r="G597" s="77">
        <v>0</v>
      </c>
      <c r="H597" s="77">
        <v>0</v>
      </c>
    </row>
    <row r="598" spans="1:8" x14ac:dyDescent="0.25">
      <c r="A598" s="34">
        <f t="shared" si="19"/>
        <v>3</v>
      </c>
      <c r="B598" s="35">
        <v>594</v>
      </c>
      <c r="C598" s="36">
        <f t="shared" si="20"/>
        <v>49.5</v>
      </c>
      <c r="D598" s="76">
        <v>4.875</v>
      </c>
      <c r="E598" s="76">
        <v>0</v>
      </c>
      <c r="F598" s="77">
        <v>127.23333333333299</v>
      </c>
      <c r="G598" s="77">
        <v>0</v>
      </c>
      <c r="H598" s="77">
        <v>0</v>
      </c>
    </row>
    <row r="599" spans="1:8" x14ac:dyDescent="0.25">
      <c r="A599" s="34">
        <f t="shared" si="19"/>
        <v>3</v>
      </c>
      <c r="B599" s="35">
        <v>595</v>
      </c>
      <c r="C599" s="36">
        <f t="shared" si="20"/>
        <v>49.583333333333329</v>
      </c>
      <c r="D599" s="76">
        <v>4.8499999999999996</v>
      </c>
      <c r="E599" s="76">
        <v>0</v>
      </c>
      <c r="F599" s="77">
        <v>126.8</v>
      </c>
      <c r="G599" s="77">
        <v>0</v>
      </c>
      <c r="H599" s="77">
        <v>0</v>
      </c>
    </row>
    <row r="600" spans="1:8" x14ac:dyDescent="0.25">
      <c r="A600" s="34">
        <f t="shared" si="19"/>
        <v>3</v>
      </c>
      <c r="B600" s="35">
        <v>596</v>
      </c>
      <c r="C600" s="36">
        <f t="shared" si="20"/>
        <v>49.666666666666664</v>
      </c>
      <c r="D600" s="76">
        <v>4.8250000000000002</v>
      </c>
      <c r="E600" s="76">
        <v>0</v>
      </c>
      <c r="F600" s="77">
        <v>126.366666666667</v>
      </c>
      <c r="G600" s="77">
        <v>0</v>
      </c>
      <c r="H600" s="77">
        <v>0</v>
      </c>
    </row>
    <row r="601" spans="1:8" x14ac:dyDescent="0.25">
      <c r="A601" s="34">
        <f t="shared" si="19"/>
        <v>3</v>
      </c>
      <c r="B601" s="35">
        <v>597</v>
      </c>
      <c r="C601" s="36">
        <f t="shared" si="20"/>
        <v>49.75</v>
      </c>
      <c r="D601" s="76">
        <v>4.8</v>
      </c>
      <c r="E601" s="76">
        <v>0</v>
      </c>
      <c r="F601" s="77">
        <v>125.933333333333</v>
      </c>
      <c r="G601" s="77">
        <v>0</v>
      </c>
      <c r="H601" s="77">
        <v>0</v>
      </c>
    </row>
    <row r="602" spans="1:8" x14ac:dyDescent="0.25">
      <c r="A602" s="34">
        <f t="shared" si="19"/>
        <v>3</v>
      </c>
      <c r="B602" s="35">
        <v>598</v>
      </c>
      <c r="C602" s="36">
        <f t="shared" si="20"/>
        <v>49.833333333333329</v>
      </c>
      <c r="D602" s="76">
        <v>4.7750000000000004</v>
      </c>
      <c r="E602" s="76">
        <v>0</v>
      </c>
      <c r="F602" s="77">
        <v>125.5</v>
      </c>
      <c r="G602" s="77">
        <v>0</v>
      </c>
      <c r="H602" s="77">
        <v>0</v>
      </c>
    </row>
    <row r="603" spans="1:8" x14ac:dyDescent="0.25">
      <c r="A603" s="34">
        <f t="shared" si="19"/>
        <v>3</v>
      </c>
      <c r="B603" s="35">
        <v>599</v>
      </c>
      <c r="C603" s="36">
        <f t="shared" si="20"/>
        <v>49.916666666666664</v>
      </c>
      <c r="D603" s="76">
        <v>4.75</v>
      </c>
      <c r="E603" s="76">
        <v>0</v>
      </c>
      <c r="F603" s="77">
        <v>125.066666666667</v>
      </c>
      <c r="G603" s="77">
        <v>0</v>
      </c>
      <c r="H603" s="77">
        <v>0</v>
      </c>
    </row>
    <row r="604" spans="1:8" x14ac:dyDescent="0.25">
      <c r="A604" s="34">
        <f t="shared" si="19"/>
        <v>3</v>
      </c>
      <c r="B604" s="35">
        <v>600</v>
      </c>
      <c r="C604" s="36">
        <f t="shared" si="20"/>
        <v>50</v>
      </c>
      <c r="D604" s="76">
        <v>4.7249999999999996</v>
      </c>
      <c r="E604" s="76">
        <v>0</v>
      </c>
      <c r="F604" s="77">
        <v>124.633333333333</v>
      </c>
      <c r="G604" s="77">
        <v>0</v>
      </c>
      <c r="H604" s="77">
        <v>0</v>
      </c>
    </row>
    <row r="605" spans="1:8" x14ac:dyDescent="0.25">
      <c r="A605" s="34">
        <f t="shared" si="19"/>
        <v>3</v>
      </c>
      <c r="B605" s="35">
        <v>601</v>
      </c>
      <c r="C605" s="36">
        <f t="shared" si="20"/>
        <v>50.083333333333329</v>
      </c>
      <c r="D605" s="76">
        <v>4.7</v>
      </c>
      <c r="E605" s="76">
        <v>0</v>
      </c>
      <c r="F605" s="77">
        <v>124.2</v>
      </c>
      <c r="G605" s="77">
        <v>0</v>
      </c>
      <c r="H605" s="77">
        <v>0</v>
      </c>
    </row>
    <row r="606" spans="1:8" x14ac:dyDescent="0.25">
      <c r="A606" s="34">
        <f t="shared" si="19"/>
        <v>3</v>
      </c>
      <c r="B606" s="35">
        <v>602</v>
      </c>
      <c r="C606" s="36">
        <f t="shared" si="20"/>
        <v>50.166666666666664</v>
      </c>
      <c r="D606" s="76">
        <v>4.6749999999999998</v>
      </c>
      <c r="E606" s="76">
        <v>0</v>
      </c>
      <c r="F606" s="77">
        <v>124.283333333333</v>
      </c>
      <c r="G606" s="77">
        <v>0</v>
      </c>
      <c r="H606" s="77">
        <v>0</v>
      </c>
    </row>
    <row r="607" spans="1:8" x14ac:dyDescent="0.25">
      <c r="A607" s="34">
        <f t="shared" si="19"/>
        <v>3</v>
      </c>
      <c r="B607" s="35">
        <v>603</v>
      </c>
      <c r="C607" s="36">
        <f t="shared" si="20"/>
        <v>50.25</v>
      </c>
      <c r="D607" s="76">
        <v>4.6500000000000004</v>
      </c>
      <c r="E607" s="76">
        <v>0</v>
      </c>
      <c r="F607" s="77">
        <v>124.366666666667</v>
      </c>
      <c r="G607" s="77">
        <v>0</v>
      </c>
      <c r="H607" s="77">
        <v>0</v>
      </c>
    </row>
    <row r="608" spans="1:8" x14ac:dyDescent="0.25">
      <c r="A608" s="34">
        <f t="shared" si="19"/>
        <v>3</v>
      </c>
      <c r="B608" s="35">
        <v>604</v>
      </c>
      <c r="C608" s="36">
        <f t="shared" si="20"/>
        <v>50.333333333333329</v>
      </c>
      <c r="D608" s="76">
        <v>4.625</v>
      </c>
      <c r="E608" s="76">
        <v>0</v>
      </c>
      <c r="F608" s="77">
        <v>124.45</v>
      </c>
      <c r="G608" s="77">
        <v>0</v>
      </c>
      <c r="H608" s="77">
        <v>0</v>
      </c>
    </row>
    <row r="609" spans="1:8" x14ac:dyDescent="0.25">
      <c r="A609" s="34">
        <f t="shared" si="19"/>
        <v>3</v>
      </c>
      <c r="B609" s="35">
        <v>605</v>
      </c>
      <c r="C609" s="36">
        <f t="shared" si="20"/>
        <v>50.416666666666664</v>
      </c>
      <c r="D609" s="76">
        <v>4.5999999999999996</v>
      </c>
      <c r="E609" s="76">
        <v>0</v>
      </c>
      <c r="F609" s="77">
        <v>124.533333333333</v>
      </c>
      <c r="G609" s="77">
        <v>0</v>
      </c>
      <c r="H609" s="77">
        <v>0</v>
      </c>
    </row>
    <row r="610" spans="1:8" x14ac:dyDescent="0.25">
      <c r="A610" s="34">
        <f t="shared" si="19"/>
        <v>3</v>
      </c>
      <c r="B610" s="35">
        <v>606</v>
      </c>
      <c r="C610" s="36">
        <f t="shared" si="20"/>
        <v>50.5</v>
      </c>
      <c r="D610" s="76">
        <v>4.5750000000000002</v>
      </c>
      <c r="E610" s="76">
        <v>0</v>
      </c>
      <c r="F610" s="77">
        <v>124.616666666667</v>
      </c>
      <c r="G610" s="77">
        <v>0</v>
      </c>
      <c r="H610" s="77">
        <v>0</v>
      </c>
    </row>
    <row r="611" spans="1:8" x14ac:dyDescent="0.25">
      <c r="A611" s="34">
        <f t="shared" si="19"/>
        <v>3</v>
      </c>
      <c r="B611" s="35">
        <v>607</v>
      </c>
      <c r="C611" s="36">
        <f t="shared" si="20"/>
        <v>50.583333333333329</v>
      </c>
      <c r="D611" s="76">
        <v>4.55</v>
      </c>
      <c r="E611" s="76">
        <v>0</v>
      </c>
      <c r="F611" s="77">
        <v>124.7</v>
      </c>
      <c r="G611" s="77">
        <v>0</v>
      </c>
      <c r="H611" s="77">
        <v>0</v>
      </c>
    </row>
    <row r="612" spans="1:8" x14ac:dyDescent="0.25">
      <c r="A612" s="34">
        <f t="shared" si="19"/>
        <v>3</v>
      </c>
      <c r="B612" s="35">
        <v>608</v>
      </c>
      <c r="C612" s="36">
        <f t="shared" si="20"/>
        <v>50.666666666666664</v>
      </c>
      <c r="D612" s="76">
        <v>4.5250000000000004</v>
      </c>
      <c r="E612" s="76">
        <v>0</v>
      </c>
      <c r="F612" s="77">
        <v>124.783333333333</v>
      </c>
      <c r="G612" s="77">
        <v>0</v>
      </c>
      <c r="H612" s="77">
        <v>0</v>
      </c>
    </row>
    <row r="613" spans="1:8" x14ac:dyDescent="0.25">
      <c r="A613" s="34">
        <f t="shared" si="19"/>
        <v>3</v>
      </c>
      <c r="B613" s="35">
        <v>609</v>
      </c>
      <c r="C613" s="36">
        <f t="shared" si="20"/>
        <v>50.75</v>
      </c>
      <c r="D613" s="76">
        <v>4.5</v>
      </c>
      <c r="E613" s="76">
        <v>0</v>
      </c>
      <c r="F613" s="77">
        <v>124.866666666667</v>
      </c>
      <c r="G613" s="77">
        <v>0</v>
      </c>
      <c r="H613" s="77">
        <v>0</v>
      </c>
    </row>
    <row r="614" spans="1:8" x14ac:dyDescent="0.25">
      <c r="A614" s="34">
        <f t="shared" si="19"/>
        <v>3</v>
      </c>
      <c r="B614" s="35">
        <v>610</v>
      </c>
      <c r="C614" s="36">
        <f t="shared" si="20"/>
        <v>50.833333333333329</v>
      </c>
      <c r="D614" s="76">
        <v>4.4749999999999996</v>
      </c>
      <c r="E614" s="76">
        <v>0</v>
      </c>
      <c r="F614" s="77">
        <v>124.95</v>
      </c>
      <c r="G614" s="77">
        <v>0</v>
      </c>
      <c r="H614" s="77">
        <v>0</v>
      </c>
    </row>
    <row r="615" spans="1:8" x14ac:dyDescent="0.25">
      <c r="A615" s="34">
        <f t="shared" si="19"/>
        <v>3</v>
      </c>
      <c r="B615" s="35">
        <v>611</v>
      </c>
      <c r="C615" s="36">
        <f t="shared" si="20"/>
        <v>50.916666666666664</v>
      </c>
      <c r="D615" s="76">
        <v>4.45</v>
      </c>
      <c r="E615" s="76">
        <v>0</v>
      </c>
      <c r="F615" s="77">
        <v>125.033333333333</v>
      </c>
      <c r="G615" s="77">
        <v>0</v>
      </c>
      <c r="H615" s="77">
        <v>0</v>
      </c>
    </row>
    <row r="616" spans="1:8" x14ac:dyDescent="0.25">
      <c r="A616" s="34">
        <f t="shared" si="19"/>
        <v>3</v>
      </c>
      <c r="B616" s="35">
        <v>612</v>
      </c>
      <c r="C616" s="36">
        <f t="shared" si="20"/>
        <v>51</v>
      </c>
      <c r="D616" s="76">
        <v>4.4249999999999998</v>
      </c>
      <c r="E616" s="76">
        <v>0</v>
      </c>
      <c r="F616" s="77">
        <v>125.116666666667</v>
      </c>
      <c r="G616" s="77">
        <v>0</v>
      </c>
      <c r="H616" s="77">
        <v>0</v>
      </c>
    </row>
    <row r="617" spans="1:8" x14ac:dyDescent="0.25">
      <c r="A617" s="34">
        <f t="shared" si="19"/>
        <v>3</v>
      </c>
      <c r="B617" s="35">
        <v>613</v>
      </c>
      <c r="C617" s="36">
        <f t="shared" si="20"/>
        <v>51.083333333333329</v>
      </c>
      <c r="D617" s="76">
        <v>4.4000000000000004</v>
      </c>
      <c r="E617" s="76">
        <v>0</v>
      </c>
      <c r="F617" s="77">
        <v>125.2</v>
      </c>
      <c r="G617" s="77">
        <v>0</v>
      </c>
      <c r="H617" s="77">
        <v>0</v>
      </c>
    </row>
    <row r="618" spans="1:8" x14ac:dyDescent="0.25">
      <c r="A618" s="34">
        <f t="shared" si="19"/>
        <v>3</v>
      </c>
      <c r="B618" s="35">
        <v>614</v>
      </c>
      <c r="C618" s="36">
        <f t="shared" si="20"/>
        <v>51.166666666666664</v>
      </c>
      <c r="D618" s="76">
        <v>4.3833333333333302</v>
      </c>
      <c r="E618" s="76">
        <v>0</v>
      </c>
      <c r="F618" s="77">
        <v>124.85</v>
      </c>
      <c r="G618" s="77">
        <v>0</v>
      </c>
      <c r="H618" s="77">
        <v>0</v>
      </c>
    </row>
    <row r="619" spans="1:8" x14ac:dyDescent="0.25">
      <c r="A619" s="34">
        <f t="shared" si="19"/>
        <v>3</v>
      </c>
      <c r="B619" s="35">
        <v>615</v>
      </c>
      <c r="C619" s="36">
        <f t="shared" si="20"/>
        <v>51.25</v>
      </c>
      <c r="D619" s="76">
        <v>4.3666666666666698</v>
      </c>
      <c r="E619" s="76">
        <v>0</v>
      </c>
      <c r="F619" s="77">
        <v>124.5</v>
      </c>
      <c r="G619" s="77">
        <v>0</v>
      </c>
      <c r="H619" s="77">
        <v>0</v>
      </c>
    </row>
    <row r="620" spans="1:8" x14ac:dyDescent="0.25">
      <c r="A620" s="34">
        <f t="shared" si="19"/>
        <v>3</v>
      </c>
      <c r="B620" s="35">
        <v>616</v>
      </c>
      <c r="C620" s="36">
        <f t="shared" si="20"/>
        <v>51.333333333333329</v>
      </c>
      <c r="D620" s="76">
        <v>4.3499999999999996</v>
      </c>
      <c r="E620" s="76">
        <v>0</v>
      </c>
      <c r="F620" s="77">
        <v>124.15</v>
      </c>
      <c r="G620" s="77">
        <v>0</v>
      </c>
      <c r="H620" s="77">
        <v>0</v>
      </c>
    </row>
    <row r="621" spans="1:8" x14ac:dyDescent="0.25">
      <c r="A621" s="34">
        <f t="shared" si="19"/>
        <v>3</v>
      </c>
      <c r="B621" s="35">
        <v>617</v>
      </c>
      <c r="C621" s="36">
        <f t="shared" si="20"/>
        <v>51.416666666666664</v>
      </c>
      <c r="D621" s="76">
        <v>4.3333333333333304</v>
      </c>
      <c r="E621" s="76">
        <v>0</v>
      </c>
      <c r="F621" s="77">
        <v>123.8</v>
      </c>
      <c r="G621" s="77">
        <v>0</v>
      </c>
      <c r="H621" s="77">
        <v>0</v>
      </c>
    </row>
    <row r="622" spans="1:8" x14ac:dyDescent="0.25">
      <c r="A622" s="34">
        <f t="shared" si="19"/>
        <v>3</v>
      </c>
      <c r="B622" s="35">
        <v>618</v>
      </c>
      <c r="C622" s="36">
        <f t="shared" si="20"/>
        <v>51.5</v>
      </c>
      <c r="D622" s="76">
        <v>4.31666666666667</v>
      </c>
      <c r="E622" s="76">
        <v>0</v>
      </c>
      <c r="F622" s="77">
        <v>123.45</v>
      </c>
      <c r="G622" s="77">
        <v>0</v>
      </c>
      <c r="H622" s="77">
        <v>0</v>
      </c>
    </row>
    <row r="623" spans="1:8" x14ac:dyDescent="0.25">
      <c r="A623" s="34">
        <f t="shared" si="19"/>
        <v>3</v>
      </c>
      <c r="B623" s="35">
        <v>619</v>
      </c>
      <c r="C623" s="36">
        <f t="shared" si="20"/>
        <v>51.583333333333329</v>
      </c>
      <c r="D623" s="76">
        <v>4.3</v>
      </c>
      <c r="E623" s="76">
        <v>0</v>
      </c>
      <c r="F623" s="77">
        <v>123.1</v>
      </c>
      <c r="G623" s="77">
        <v>0</v>
      </c>
      <c r="H623" s="77">
        <v>0</v>
      </c>
    </row>
    <row r="624" spans="1:8" x14ac:dyDescent="0.25">
      <c r="A624" s="34">
        <f t="shared" si="19"/>
        <v>3</v>
      </c>
      <c r="B624" s="35">
        <v>620</v>
      </c>
      <c r="C624" s="36">
        <f t="shared" si="20"/>
        <v>51.666666666666664</v>
      </c>
      <c r="D624" s="76">
        <v>4.2833333333333297</v>
      </c>
      <c r="E624" s="76">
        <v>0</v>
      </c>
      <c r="F624" s="77">
        <v>122.75</v>
      </c>
      <c r="G624" s="77">
        <v>0</v>
      </c>
      <c r="H624" s="77">
        <v>0</v>
      </c>
    </row>
    <row r="625" spans="1:8" x14ac:dyDescent="0.25">
      <c r="A625" s="34">
        <f t="shared" si="19"/>
        <v>3</v>
      </c>
      <c r="B625" s="35">
        <v>621</v>
      </c>
      <c r="C625" s="36">
        <f t="shared" si="20"/>
        <v>51.75</v>
      </c>
      <c r="D625" s="76">
        <v>4.2666666666666702</v>
      </c>
      <c r="E625" s="76">
        <v>0</v>
      </c>
      <c r="F625" s="77">
        <v>122.4</v>
      </c>
      <c r="G625" s="77">
        <v>0</v>
      </c>
      <c r="H625" s="77">
        <v>0</v>
      </c>
    </row>
    <row r="626" spans="1:8" x14ac:dyDescent="0.25">
      <c r="A626" s="34">
        <f t="shared" si="19"/>
        <v>3</v>
      </c>
      <c r="B626" s="35">
        <v>622</v>
      </c>
      <c r="C626" s="36">
        <f t="shared" si="20"/>
        <v>51.833333333333329</v>
      </c>
      <c r="D626" s="76">
        <v>4.25</v>
      </c>
      <c r="E626" s="76">
        <v>0</v>
      </c>
      <c r="F626" s="77">
        <v>122.05</v>
      </c>
      <c r="G626" s="77">
        <v>0</v>
      </c>
      <c r="H626" s="77">
        <v>0</v>
      </c>
    </row>
    <row r="627" spans="1:8" x14ac:dyDescent="0.25">
      <c r="A627" s="34">
        <f t="shared" si="19"/>
        <v>3</v>
      </c>
      <c r="B627" s="35">
        <v>623</v>
      </c>
      <c r="C627" s="36">
        <f t="shared" si="20"/>
        <v>51.916666666666664</v>
      </c>
      <c r="D627" s="76">
        <v>4.2333333333333298</v>
      </c>
      <c r="E627" s="76">
        <v>0</v>
      </c>
      <c r="F627" s="77">
        <v>121.7</v>
      </c>
      <c r="G627" s="77">
        <v>0</v>
      </c>
      <c r="H627" s="77">
        <v>0</v>
      </c>
    </row>
    <row r="628" spans="1:8" x14ac:dyDescent="0.25">
      <c r="A628" s="34">
        <f t="shared" si="19"/>
        <v>3</v>
      </c>
      <c r="B628" s="35">
        <v>624</v>
      </c>
      <c r="C628" s="36">
        <f t="shared" si="20"/>
        <v>52</v>
      </c>
      <c r="D628" s="76">
        <v>4.2166666666666703</v>
      </c>
      <c r="E628" s="76">
        <v>0</v>
      </c>
      <c r="F628" s="77">
        <v>121.35</v>
      </c>
      <c r="G628" s="77">
        <v>0</v>
      </c>
      <c r="H628" s="77">
        <v>0</v>
      </c>
    </row>
    <row r="629" spans="1:8" x14ac:dyDescent="0.25">
      <c r="A629" s="34">
        <f t="shared" ref="A629:A692" si="21">ROUNDUP(C629/24,0)</f>
        <v>3</v>
      </c>
      <c r="B629" s="35">
        <v>625</v>
      </c>
      <c r="C629" s="36">
        <f t="shared" ref="C629:C692" si="22">B629*$C$1</f>
        <v>52.083333333333329</v>
      </c>
      <c r="D629" s="76">
        <v>4.2</v>
      </c>
      <c r="E629" s="76">
        <v>0</v>
      </c>
      <c r="F629" s="77">
        <v>121</v>
      </c>
      <c r="G629" s="77">
        <v>0</v>
      </c>
      <c r="H629" s="77">
        <v>0</v>
      </c>
    </row>
    <row r="630" spans="1:8" x14ac:dyDescent="0.25">
      <c r="A630" s="34">
        <f t="shared" si="21"/>
        <v>3</v>
      </c>
      <c r="B630" s="35">
        <v>626</v>
      </c>
      <c r="C630" s="36">
        <f t="shared" si="22"/>
        <v>52.166666666666664</v>
      </c>
      <c r="D630" s="76">
        <v>4.1749999999999998</v>
      </c>
      <c r="E630" s="76">
        <v>0</v>
      </c>
      <c r="F630" s="77">
        <v>121.7</v>
      </c>
      <c r="G630" s="77">
        <v>30.5208333333333</v>
      </c>
      <c r="H630" s="77">
        <v>0</v>
      </c>
    </row>
    <row r="631" spans="1:8" x14ac:dyDescent="0.25">
      <c r="A631" s="34">
        <f t="shared" si="21"/>
        <v>3</v>
      </c>
      <c r="B631" s="35">
        <v>627</v>
      </c>
      <c r="C631" s="36">
        <f t="shared" si="22"/>
        <v>52.25</v>
      </c>
      <c r="D631" s="76">
        <v>4.1500000000000004</v>
      </c>
      <c r="E631" s="76">
        <v>0</v>
      </c>
      <c r="F631" s="77">
        <v>122.4</v>
      </c>
      <c r="G631" s="77">
        <v>61.0416666666667</v>
      </c>
      <c r="H631" s="77">
        <v>0</v>
      </c>
    </row>
    <row r="632" spans="1:8" x14ac:dyDescent="0.25">
      <c r="A632" s="34">
        <f t="shared" si="21"/>
        <v>3</v>
      </c>
      <c r="B632" s="35">
        <v>628</v>
      </c>
      <c r="C632" s="36">
        <f t="shared" si="22"/>
        <v>52.333333333333329</v>
      </c>
      <c r="D632" s="76">
        <v>4.125</v>
      </c>
      <c r="E632" s="76">
        <v>0</v>
      </c>
      <c r="F632" s="77">
        <v>123.1</v>
      </c>
      <c r="G632" s="77">
        <v>91.5625</v>
      </c>
      <c r="H632" s="77">
        <v>0</v>
      </c>
    </row>
    <row r="633" spans="1:8" x14ac:dyDescent="0.25">
      <c r="A633" s="34">
        <f t="shared" si="21"/>
        <v>3</v>
      </c>
      <c r="B633" s="35">
        <v>629</v>
      </c>
      <c r="C633" s="36">
        <f t="shared" si="22"/>
        <v>52.416666666666664</v>
      </c>
      <c r="D633" s="76">
        <v>4.0999999999999996</v>
      </c>
      <c r="E633" s="76">
        <v>0</v>
      </c>
      <c r="F633" s="77">
        <v>123.8</v>
      </c>
      <c r="G633" s="77">
        <v>122.083333333333</v>
      </c>
      <c r="H633" s="77">
        <v>0</v>
      </c>
    </row>
    <row r="634" spans="1:8" x14ac:dyDescent="0.25">
      <c r="A634" s="34">
        <f t="shared" si="21"/>
        <v>3</v>
      </c>
      <c r="B634" s="35">
        <v>630</v>
      </c>
      <c r="C634" s="36">
        <f t="shared" si="22"/>
        <v>52.5</v>
      </c>
      <c r="D634" s="76">
        <v>4.0750000000000002</v>
      </c>
      <c r="E634" s="76">
        <v>0</v>
      </c>
      <c r="F634" s="77">
        <v>124.5</v>
      </c>
      <c r="G634" s="77">
        <v>152.604166666667</v>
      </c>
      <c r="H634" s="77">
        <v>0</v>
      </c>
    </row>
    <row r="635" spans="1:8" x14ac:dyDescent="0.25">
      <c r="A635" s="34">
        <f t="shared" si="21"/>
        <v>3</v>
      </c>
      <c r="B635" s="35">
        <v>631</v>
      </c>
      <c r="C635" s="36">
        <f t="shared" si="22"/>
        <v>52.583333333333329</v>
      </c>
      <c r="D635" s="76">
        <v>4.05</v>
      </c>
      <c r="E635" s="76">
        <v>0</v>
      </c>
      <c r="F635" s="77">
        <v>125.2</v>
      </c>
      <c r="G635" s="77">
        <v>183.125</v>
      </c>
      <c r="H635" s="77">
        <v>0</v>
      </c>
    </row>
    <row r="636" spans="1:8" x14ac:dyDescent="0.25">
      <c r="A636" s="34">
        <f t="shared" si="21"/>
        <v>3</v>
      </c>
      <c r="B636" s="35">
        <v>632</v>
      </c>
      <c r="C636" s="36">
        <f t="shared" si="22"/>
        <v>52.666666666666664</v>
      </c>
      <c r="D636" s="76">
        <v>4.0250000000000004</v>
      </c>
      <c r="E636" s="76">
        <v>0</v>
      </c>
      <c r="F636" s="77">
        <v>125.9</v>
      </c>
      <c r="G636" s="77">
        <v>213.645833333333</v>
      </c>
      <c r="H636" s="77">
        <v>0</v>
      </c>
    </row>
    <row r="637" spans="1:8" x14ac:dyDescent="0.25">
      <c r="A637" s="34">
        <f t="shared" si="21"/>
        <v>3</v>
      </c>
      <c r="B637" s="35">
        <v>633</v>
      </c>
      <c r="C637" s="36">
        <f t="shared" si="22"/>
        <v>52.75</v>
      </c>
      <c r="D637" s="76">
        <v>4</v>
      </c>
      <c r="E637" s="76">
        <v>0</v>
      </c>
      <c r="F637" s="77">
        <v>126.6</v>
      </c>
      <c r="G637" s="77">
        <v>244.166666666667</v>
      </c>
      <c r="H637" s="77">
        <v>0</v>
      </c>
    </row>
    <row r="638" spans="1:8" x14ac:dyDescent="0.25">
      <c r="A638" s="34">
        <f t="shared" si="21"/>
        <v>3</v>
      </c>
      <c r="B638" s="35">
        <v>634</v>
      </c>
      <c r="C638" s="36">
        <f t="shared" si="22"/>
        <v>52.833333333333329</v>
      </c>
      <c r="D638" s="76">
        <v>3.9750000000000001</v>
      </c>
      <c r="E638" s="76">
        <v>0</v>
      </c>
      <c r="F638" s="77">
        <v>127.3</v>
      </c>
      <c r="G638" s="77">
        <v>274.6875</v>
      </c>
      <c r="H638" s="77">
        <v>0</v>
      </c>
    </row>
    <row r="639" spans="1:8" x14ac:dyDescent="0.25">
      <c r="A639" s="34">
        <f t="shared" si="21"/>
        <v>3</v>
      </c>
      <c r="B639" s="35">
        <v>635</v>
      </c>
      <c r="C639" s="36">
        <f t="shared" si="22"/>
        <v>52.916666666666664</v>
      </c>
      <c r="D639" s="76">
        <v>3.95</v>
      </c>
      <c r="E639" s="76">
        <v>0</v>
      </c>
      <c r="F639" s="77">
        <v>128</v>
      </c>
      <c r="G639" s="77">
        <v>305.20833333333297</v>
      </c>
      <c r="H639" s="77">
        <v>0</v>
      </c>
    </row>
    <row r="640" spans="1:8" x14ac:dyDescent="0.25">
      <c r="A640" s="34">
        <f t="shared" si="21"/>
        <v>3</v>
      </c>
      <c r="B640" s="35">
        <v>636</v>
      </c>
      <c r="C640" s="36">
        <f t="shared" si="22"/>
        <v>53</v>
      </c>
      <c r="D640" s="76">
        <v>3.9249999999999998</v>
      </c>
      <c r="E640" s="76">
        <v>0</v>
      </c>
      <c r="F640" s="77">
        <v>128.69999999999999</v>
      </c>
      <c r="G640" s="77">
        <v>335.72916666666703</v>
      </c>
      <c r="H640" s="77">
        <v>0</v>
      </c>
    </row>
    <row r="641" spans="1:8" x14ac:dyDescent="0.25">
      <c r="A641" s="34">
        <f t="shared" si="21"/>
        <v>3</v>
      </c>
      <c r="B641" s="35">
        <v>637</v>
      </c>
      <c r="C641" s="36">
        <f t="shared" si="22"/>
        <v>53.083333333333329</v>
      </c>
      <c r="D641" s="76">
        <v>3.9</v>
      </c>
      <c r="E641" s="76">
        <v>0</v>
      </c>
      <c r="F641" s="77">
        <v>129.4</v>
      </c>
      <c r="G641" s="77">
        <v>366.25</v>
      </c>
      <c r="H641" s="77">
        <v>0</v>
      </c>
    </row>
    <row r="642" spans="1:8" x14ac:dyDescent="0.25">
      <c r="A642" s="34">
        <f t="shared" si="21"/>
        <v>3</v>
      </c>
      <c r="B642" s="35">
        <v>638</v>
      </c>
      <c r="C642" s="36">
        <f t="shared" si="22"/>
        <v>53.166666666666664</v>
      </c>
      <c r="D642" s="76">
        <v>3.8666666666666698</v>
      </c>
      <c r="E642" s="76">
        <v>0</v>
      </c>
      <c r="F642" s="77">
        <v>144.86666666666699</v>
      </c>
      <c r="G642" s="77">
        <v>499.35416666666703</v>
      </c>
      <c r="H642" s="77">
        <v>22.6666666666667</v>
      </c>
    </row>
    <row r="643" spans="1:8" x14ac:dyDescent="0.25">
      <c r="A643" s="34">
        <f t="shared" si="21"/>
        <v>3</v>
      </c>
      <c r="B643" s="35">
        <v>639</v>
      </c>
      <c r="C643" s="36">
        <f t="shared" si="22"/>
        <v>53.25</v>
      </c>
      <c r="D643" s="76">
        <v>3.8333333333333299</v>
      </c>
      <c r="E643" s="76">
        <v>0</v>
      </c>
      <c r="F643" s="77">
        <v>160.333333333333</v>
      </c>
      <c r="G643" s="77">
        <v>632.45833333333303</v>
      </c>
      <c r="H643" s="77">
        <v>45.3333333333333</v>
      </c>
    </row>
    <row r="644" spans="1:8" x14ac:dyDescent="0.25">
      <c r="A644" s="34">
        <f t="shared" si="21"/>
        <v>3</v>
      </c>
      <c r="B644" s="35">
        <v>640</v>
      </c>
      <c r="C644" s="36">
        <f t="shared" si="22"/>
        <v>53.333333333333329</v>
      </c>
      <c r="D644" s="76">
        <v>3.8</v>
      </c>
      <c r="E644" s="76">
        <v>0</v>
      </c>
      <c r="F644" s="77">
        <v>175.8</v>
      </c>
      <c r="G644" s="77">
        <v>765.5625</v>
      </c>
      <c r="H644" s="77">
        <v>68</v>
      </c>
    </row>
    <row r="645" spans="1:8" x14ac:dyDescent="0.25">
      <c r="A645" s="34">
        <f t="shared" si="21"/>
        <v>3</v>
      </c>
      <c r="B645" s="35">
        <v>641</v>
      </c>
      <c r="C645" s="36">
        <f t="shared" si="22"/>
        <v>53.416666666666664</v>
      </c>
      <c r="D645" s="76">
        <v>3.7666666666666702</v>
      </c>
      <c r="E645" s="76">
        <v>0</v>
      </c>
      <c r="F645" s="77">
        <v>191.26666666666699</v>
      </c>
      <c r="G645" s="77">
        <v>898.66666666666697</v>
      </c>
      <c r="H645" s="77">
        <v>90.6666666666667</v>
      </c>
    </row>
    <row r="646" spans="1:8" x14ac:dyDescent="0.25">
      <c r="A646" s="34">
        <f t="shared" si="21"/>
        <v>3</v>
      </c>
      <c r="B646" s="35">
        <v>642</v>
      </c>
      <c r="C646" s="36">
        <f t="shared" si="22"/>
        <v>53.5</v>
      </c>
      <c r="D646" s="76">
        <v>3.7333333333333298</v>
      </c>
      <c r="E646" s="76">
        <v>0</v>
      </c>
      <c r="F646" s="77">
        <v>206.73333333333301</v>
      </c>
      <c r="G646" s="77">
        <v>1031.7708333333301</v>
      </c>
      <c r="H646" s="77">
        <v>113.333333333333</v>
      </c>
    </row>
    <row r="647" spans="1:8" x14ac:dyDescent="0.25">
      <c r="A647" s="34">
        <f t="shared" si="21"/>
        <v>3</v>
      </c>
      <c r="B647" s="35">
        <v>643</v>
      </c>
      <c r="C647" s="36">
        <f t="shared" si="22"/>
        <v>53.583333333333329</v>
      </c>
      <c r="D647" s="76">
        <v>3.7</v>
      </c>
      <c r="E647" s="76">
        <v>0</v>
      </c>
      <c r="F647" s="77">
        <v>222.2</v>
      </c>
      <c r="G647" s="77">
        <v>1164.875</v>
      </c>
      <c r="H647" s="77">
        <v>136</v>
      </c>
    </row>
    <row r="648" spans="1:8" x14ac:dyDescent="0.25">
      <c r="A648" s="34">
        <f t="shared" si="21"/>
        <v>3</v>
      </c>
      <c r="B648" s="35">
        <v>644</v>
      </c>
      <c r="C648" s="36">
        <f t="shared" si="22"/>
        <v>53.666666666666664</v>
      </c>
      <c r="D648" s="76">
        <v>3.6666666666666701</v>
      </c>
      <c r="E648" s="76">
        <v>0</v>
      </c>
      <c r="F648" s="77">
        <v>237.666666666667</v>
      </c>
      <c r="G648" s="77">
        <v>1297.9791666666699</v>
      </c>
      <c r="H648" s="77">
        <v>158.666666666667</v>
      </c>
    </row>
    <row r="649" spans="1:8" x14ac:dyDescent="0.25">
      <c r="A649" s="34">
        <f t="shared" si="21"/>
        <v>3</v>
      </c>
      <c r="B649" s="35">
        <v>645</v>
      </c>
      <c r="C649" s="36">
        <f t="shared" si="22"/>
        <v>53.75</v>
      </c>
      <c r="D649" s="76">
        <v>3.6333333333333302</v>
      </c>
      <c r="E649" s="76">
        <v>0</v>
      </c>
      <c r="F649" s="77">
        <v>253.13333333333301</v>
      </c>
      <c r="G649" s="77">
        <v>1431.0833333333301</v>
      </c>
      <c r="H649" s="77">
        <v>181.333333333333</v>
      </c>
    </row>
    <row r="650" spans="1:8" x14ac:dyDescent="0.25">
      <c r="A650" s="34">
        <f t="shared" si="21"/>
        <v>3</v>
      </c>
      <c r="B650" s="35">
        <v>646</v>
      </c>
      <c r="C650" s="36">
        <f t="shared" si="22"/>
        <v>53.833333333333329</v>
      </c>
      <c r="D650" s="76">
        <v>3.6</v>
      </c>
      <c r="E650" s="76">
        <v>0</v>
      </c>
      <c r="F650" s="77">
        <v>268.60000000000002</v>
      </c>
      <c r="G650" s="77">
        <v>1564.1875</v>
      </c>
      <c r="H650" s="77">
        <v>204</v>
      </c>
    </row>
    <row r="651" spans="1:8" x14ac:dyDescent="0.25">
      <c r="A651" s="34">
        <f t="shared" si="21"/>
        <v>3</v>
      </c>
      <c r="B651" s="35">
        <v>647</v>
      </c>
      <c r="C651" s="36">
        <f t="shared" si="22"/>
        <v>53.916666666666664</v>
      </c>
      <c r="D651" s="76">
        <v>3.56666666666667</v>
      </c>
      <c r="E651" s="76">
        <v>0</v>
      </c>
      <c r="F651" s="77">
        <v>284.066666666667</v>
      </c>
      <c r="G651" s="77">
        <v>1697.2916666666699</v>
      </c>
      <c r="H651" s="77">
        <v>226.666666666667</v>
      </c>
    </row>
    <row r="652" spans="1:8" x14ac:dyDescent="0.25">
      <c r="A652" s="34">
        <f t="shared" si="21"/>
        <v>3</v>
      </c>
      <c r="B652" s="35">
        <v>648</v>
      </c>
      <c r="C652" s="36">
        <f t="shared" si="22"/>
        <v>54</v>
      </c>
      <c r="D652" s="76">
        <v>3.5333333333333301</v>
      </c>
      <c r="E652" s="76">
        <v>0</v>
      </c>
      <c r="F652" s="77">
        <v>299.53333333333302</v>
      </c>
      <c r="G652" s="77">
        <v>1830.3958333333301</v>
      </c>
      <c r="H652" s="77">
        <v>249.333333333333</v>
      </c>
    </row>
    <row r="653" spans="1:8" x14ac:dyDescent="0.25">
      <c r="A653" s="34">
        <f t="shared" si="21"/>
        <v>3</v>
      </c>
      <c r="B653" s="35">
        <v>649</v>
      </c>
      <c r="C653" s="36">
        <f t="shared" si="22"/>
        <v>54.083333333333329</v>
      </c>
      <c r="D653" s="76">
        <v>3.5</v>
      </c>
      <c r="E653" s="76">
        <v>0</v>
      </c>
      <c r="F653" s="77">
        <v>315</v>
      </c>
      <c r="G653" s="77">
        <v>1963.5</v>
      </c>
      <c r="H653" s="77">
        <v>272</v>
      </c>
    </row>
    <row r="654" spans="1:8" x14ac:dyDescent="0.25">
      <c r="A654" s="34">
        <f t="shared" si="21"/>
        <v>3</v>
      </c>
      <c r="B654" s="35">
        <v>650</v>
      </c>
      <c r="C654" s="36">
        <f t="shared" si="22"/>
        <v>54.166666666666664</v>
      </c>
      <c r="D654" s="76">
        <v>3.4750000000000001</v>
      </c>
      <c r="E654" s="76">
        <v>0</v>
      </c>
      <c r="F654" s="77">
        <v>325.32499999999999</v>
      </c>
      <c r="G654" s="77">
        <v>1999.1341666666699</v>
      </c>
      <c r="H654" s="77">
        <v>294.65833333333302</v>
      </c>
    </row>
    <row r="655" spans="1:8" x14ac:dyDescent="0.25">
      <c r="A655" s="34">
        <f t="shared" si="21"/>
        <v>3</v>
      </c>
      <c r="B655" s="35">
        <v>651</v>
      </c>
      <c r="C655" s="36">
        <f t="shared" si="22"/>
        <v>54.25</v>
      </c>
      <c r="D655" s="76">
        <v>3.45</v>
      </c>
      <c r="E655" s="76">
        <v>0</v>
      </c>
      <c r="F655" s="77">
        <v>335.65</v>
      </c>
      <c r="G655" s="77">
        <v>2034.76833333333</v>
      </c>
      <c r="H655" s="77">
        <v>317.316666666667</v>
      </c>
    </row>
    <row r="656" spans="1:8" x14ac:dyDescent="0.25">
      <c r="A656" s="34">
        <f t="shared" si="21"/>
        <v>3</v>
      </c>
      <c r="B656" s="35">
        <v>652</v>
      </c>
      <c r="C656" s="36">
        <f t="shared" si="22"/>
        <v>54.333333333333329</v>
      </c>
      <c r="D656" s="76">
        <v>3.4249999999999998</v>
      </c>
      <c r="E656" s="76">
        <v>0</v>
      </c>
      <c r="F656" s="77">
        <v>345.97500000000002</v>
      </c>
      <c r="G656" s="77">
        <v>2070.4025000000001</v>
      </c>
      <c r="H656" s="77">
        <v>339.97500000000002</v>
      </c>
    </row>
    <row r="657" spans="1:8" x14ac:dyDescent="0.25">
      <c r="A657" s="34">
        <f t="shared" si="21"/>
        <v>3</v>
      </c>
      <c r="B657" s="35">
        <v>653</v>
      </c>
      <c r="C657" s="36">
        <f t="shared" si="22"/>
        <v>54.416666666666664</v>
      </c>
      <c r="D657" s="76">
        <v>3.4</v>
      </c>
      <c r="E657" s="76">
        <v>0</v>
      </c>
      <c r="F657" s="77">
        <v>356.3</v>
      </c>
      <c r="G657" s="77">
        <v>2106.03666666667</v>
      </c>
      <c r="H657" s="77">
        <v>362.63333333333298</v>
      </c>
    </row>
    <row r="658" spans="1:8" x14ac:dyDescent="0.25">
      <c r="A658" s="34">
        <f t="shared" si="21"/>
        <v>3</v>
      </c>
      <c r="B658" s="35">
        <v>654</v>
      </c>
      <c r="C658" s="36">
        <f t="shared" si="22"/>
        <v>54.5</v>
      </c>
      <c r="D658" s="76">
        <v>3.375</v>
      </c>
      <c r="E658" s="76">
        <v>0</v>
      </c>
      <c r="F658" s="77">
        <v>366.625</v>
      </c>
      <c r="G658" s="77">
        <v>2141.6708333333299</v>
      </c>
      <c r="H658" s="77">
        <v>385.29166666666703</v>
      </c>
    </row>
    <row r="659" spans="1:8" x14ac:dyDescent="0.25">
      <c r="A659" s="34">
        <f t="shared" si="21"/>
        <v>3</v>
      </c>
      <c r="B659" s="35">
        <v>655</v>
      </c>
      <c r="C659" s="36">
        <f t="shared" si="22"/>
        <v>54.583333333333329</v>
      </c>
      <c r="D659" s="76">
        <v>3.35</v>
      </c>
      <c r="E659" s="76">
        <v>0</v>
      </c>
      <c r="F659" s="77">
        <v>376.95</v>
      </c>
      <c r="G659" s="77">
        <v>2177.3049999999998</v>
      </c>
      <c r="H659" s="77">
        <v>407.95</v>
      </c>
    </row>
    <row r="660" spans="1:8" x14ac:dyDescent="0.25">
      <c r="A660" s="34">
        <f t="shared" si="21"/>
        <v>3</v>
      </c>
      <c r="B660" s="35">
        <v>656</v>
      </c>
      <c r="C660" s="36">
        <f t="shared" si="22"/>
        <v>54.666666666666664</v>
      </c>
      <c r="D660" s="76">
        <v>3.3250000000000002</v>
      </c>
      <c r="E660" s="76">
        <v>0</v>
      </c>
      <c r="F660" s="77">
        <v>387.27499999999998</v>
      </c>
      <c r="G660" s="77">
        <v>2212.9391666666702</v>
      </c>
      <c r="H660" s="77">
        <v>430.60833333333301</v>
      </c>
    </row>
    <row r="661" spans="1:8" x14ac:dyDescent="0.25">
      <c r="A661" s="34">
        <f t="shared" si="21"/>
        <v>3</v>
      </c>
      <c r="B661" s="35">
        <v>657</v>
      </c>
      <c r="C661" s="36">
        <f t="shared" si="22"/>
        <v>54.75</v>
      </c>
      <c r="D661" s="76">
        <v>3.3</v>
      </c>
      <c r="E661" s="76">
        <v>0</v>
      </c>
      <c r="F661" s="77">
        <v>397.6</v>
      </c>
      <c r="G661" s="77">
        <v>2248.5733333333301</v>
      </c>
      <c r="H661" s="77">
        <v>453.26666666666699</v>
      </c>
    </row>
    <row r="662" spans="1:8" x14ac:dyDescent="0.25">
      <c r="A662" s="34">
        <f t="shared" si="21"/>
        <v>3</v>
      </c>
      <c r="B662" s="35">
        <v>658</v>
      </c>
      <c r="C662" s="36">
        <f t="shared" si="22"/>
        <v>54.833333333333329</v>
      </c>
      <c r="D662" s="76">
        <v>3.2749999999999999</v>
      </c>
      <c r="E662" s="76">
        <v>0</v>
      </c>
      <c r="F662" s="77">
        <v>407.92500000000001</v>
      </c>
      <c r="G662" s="77">
        <v>2284.2075</v>
      </c>
      <c r="H662" s="77">
        <v>475.92500000000001</v>
      </c>
    </row>
    <row r="663" spans="1:8" x14ac:dyDescent="0.25">
      <c r="A663" s="34">
        <f t="shared" si="21"/>
        <v>3</v>
      </c>
      <c r="B663" s="35">
        <v>659</v>
      </c>
      <c r="C663" s="36">
        <f t="shared" si="22"/>
        <v>54.916666666666664</v>
      </c>
      <c r="D663" s="76">
        <v>3.25</v>
      </c>
      <c r="E663" s="76">
        <v>0</v>
      </c>
      <c r="F663" s="77">
        <v>418.25</v>
      </c>
      <c r="G663" s="77">
        <v>2319.8416666666699</v>
      </c>
      <c r="H663" s="77">
        <v>498.58333333333297</v>
      </c>
    </row>
    <row r="664" spans="1:8" x14ac:dyDescent="0.25">
      <c r="A664" s="34">
        <f t="shared" si="21"/>
        <v>3</v>
      </c>
      <c r="B664" s="35">
        <v>660</v>
      </c>
      <c r="C664" s="36">
        <f t="shared" si="22"/>
        <v>55</v>
      </c>
      <c r="D664" s="76">
        <v>3.2250000000000001</v>
      </c>
      <c r="E664" s="76">
        <v>0</v>
      </c>
      <c r="F664" s="77">
        <v>428.57499999999999</v>
      </c>
      <c r="G664" s="77">
        <v>2355.4758333333298</v>
      </c>
      <c r="H664" s="77">
        <v>521.24166666666702</v>
      </c>
    </row>
    <row r="665" spans="1:8" x14ac:dyDescent="0.25">
      <c r="A665" s="34">
        <f t="shared" si="21"/>
        <v>3</v>
      </c>
      <c r="B665" s="35">
        <v>661</v>
      </c>
      <c r="C665" s="36">
        <f t="shared" si="22"/>
        <v>55.083333333333329</v>
      </c>
      <c r="D665" s="76">
        <v>3.2</v>
      </c>
      <c r="E665" s="76">
        <v>0</v>
      </c>
      <c r="F665" s="77">
        <v>438.9</v>
      </c>
      <c r="G665" s="77">
        <v>2391.11</v>
      </c>
      <c r="H665" s="77">
        <v>543.9</v>
      </c>
    </row>
    <row r="666" spans="1:8" x14ac:dyDescent="0.25">
      <c r="A666" s="34">
        <f t="shared" si="21"/>
        <v>3</v>
      </c>
      <c r="B666" s="35">
        <v>662</v>
      </c>
      <c r="C666" s="36">
        <f t="shared" si="22"/>
        <v>55.166666666666664</v>
      </c>
      <c r="D666" s="76">
        <v>3.2083333333333299</v>
      </c>
      <c r="E666" s="76">
        <v>0</v>
      </c>
      <c r="F666" s="77">
        <v>432.95</v>
      </c>
      <c r="G666" s="77">
        <v>2276.4899999999998</v>
      </c>
      <c r="H666" s="77">
        <v>611.89166666666699</v>
      </c>
    </row>
    <row r="667" spans="1:8" x14ac:dyDescent="0.25">
      <c r="A667" s="34">
        <f t="shared" si="21"/>
        <v>3</v>
      </c>
      <c r="B667" s="35">
        <v>663</v>
      </c>
      <c r="C667" s="36">
        <f t="shared" si="22"/>
        <v>55.25</v>
      </c>
      <c r="D667" s="76">
        <v>3.2166666666666699</v>
      </c>
      <c r="E667" s="76">
        <v>0</v>
      </c>
      <c r="F667" s="77">
        <v>427</v>
      </c>
      <c r="G667" s="77">
        <v>2161.87</v>
      </c>
      <c r="H667" s="77">
        <v>679.88333333333298</v>
      </c>
    </row>
    <row r="668" spans="1:8" x14ac:dyDescent="0.25">
      <c r="A668" s="34">
        <f t="shared" si="21"/>
        <v>3</v>
      </c>
      <c r="B668" s="35">
        <v>664</v>
      </c>
      <c r="C668" s="36">
        <f t="shared" si="22"/>
        <v>55.333333333333329</v>
      </c>
      <c r="D668" s="76">
        <v>3.2250000000000001</v>
      </c>
      <c r="E668" s="76">
        <v>0</v>
      </c>
      <c r="F668" s="77">
        <v>421.05</v>
      </c>
      <c r="G668" s="77">
        <v>2047.25</v>
      </c>
      <c r="H668" s="77">
        <v>747.875</v>
      </c>
    </row>
    <row r="669" spans="1:8" x14ac:dyDescent="0.25">
      <c r="A669" s="34">
        <f t="shared" si="21"/>
        <v>3</v>
      </c>
      <c r="B669" s="35">
        <v>665</v>
      </c>
      <c r="C669" s="36">
        <f t="shared" si="22"/>
        <v>55.416666666666664</v>
      </c>
      <c r="D669" s="76">
        <v>3.2333333333333298</v>
      </c>
      <c r="E669" s="76">
        <v>0</v>
      </c>
      <c r="F669" s="77">
        <v>415.1</v>
      </c>
      <c r="G669" s="77">
        <v>1932.63</v>
      </c>
      <c r="H669" s="77">
        <v>815.86666666666702</v>
      </c>
    </row>
    <row r="670" spans="1:8" x14ac:dyDescent="0.25">
      <c r="A670" s="34">
        <f t="shared" si="21"/>
        <v>3</v>
      </c>
      <c r="B670" s="35">
        <v>666</v>
      </c>
      <c r="C670" s="36">
        <f t="shared" si="22"/>
        <v>55.5</v>
      </c>
      <c r="D670" s="76">
        <v>3.2416666666666698</v>
      </c>
      <c r="E670" s="76">
        <v>0</v>
      </c>
      <c r="F670" s="77">
        <v>409.15</v>
      </c>
      <c r="G670" s="77">
        <v>1818.01</v>
      </c>
      <c r="H670" s="77">
        <v>883.85833333333301</v>
      </c>
    </row>
    <row r="671" spans="1:8" x14ac:dyDescent="0.25">
      <c r="A671" s="34">
        <f t="shared" si="21"/>
        <v>3</v>
      </c>
      <c r="B671" s="35">
        <v>667</v>
      </c>
      <c r="C671" s="36">
        <f t="shared" si="22"/>
        <v>55.583333333333329</v>
      </c>
      <c r="D671" s="76">
        <v>3.25</v>
      </c>
      <c r="E671" s="76">
        <v>0</v>
      </c>
      <c r="F671" s="77">
        <v>403.2</v>
      </c>
      <c r="G671" s="77">
        <v>1703.39</v>
      </c>
      <c r="H671" s="77">
        <v>951.85</v>
      </c>
    </row>
    <row r="672" spans="1:8" x14ac:dyDescent="0.25">
      <c r="A672" s="34">
        <f t="shared" si="21"/>
        <v>3</v>
      </c>
      <c r="B672" s="35">
        <v>668</v>
      </c>
      <c r="C672" s="36">
        <f t="shared" si="22"/>
        <v>55.666666666666664</v>
      </c>
      <c r="D672" s="76">
        <v>3.2583333333333302</v>
      </c>
      <c r="E672" s="76">
        <v>0</v>
      </c>
      <c r="F672" s="77">
        <v>397.25</v>
      </c>
      <c r="G672" s="77">
        <v>1588.77</v>
      </c>
      <c r="H672" s="77">
        <v>1019.84166666667</v>
      </c>
    </row>
    <row r="673" spans="1:8" x14ac:dyDescent="0.25">
      <c r="A673" s="34">
        <f t="shared" si="21"/>
        <v>3</v>
      </c>
      <c r="B673" s="35">
        <v>669</v>
      </c>
      <c r="C673" s="36">
        <f t="shared" si="22"/>
        <v>55.75</v>
      </c>
      <c r="D673" s="76">
        <v>3.2666666666666702</v>
      </c>
      <c r="E673" s="76">
        <v>0</v>
      </c>
      <c r="F673" s="77">
        <v>391.3</v>
      </c>
      <c r="G673" s="77">
        <v>1474.15</v>
      </c>
      <c r="H673" s="77">
        <v>1087.8333333333301</v>
      </c>
    </row>
    <row r="674" spans="1:8" x14ac:dyDescent="0.25">
      <c r="A674" s="34">
        <f t="shared" si="21"/>
        <v>3</v>
      </c>
      <c r="B674" s="35">
        <v>670</v>
      </c>
      <c r="C674" s="36">
        <f t="shared" si="22"/>
        <v>55.833333333333329</v>
      </c>
      <c r="D674" s="76">
        <v>3.2749999999999999</v>
      </c>
      <c r="E674" s="76">
        <v>0</v>
      </c>
      <c r="F674" s="77">
        <v>385.35</v>
      </c>
      <c r="G674" s="77">
        <v>1359.53</v>
      </c>
      <c r="H674" s="77">
        <v>1155.825</v>
      </c>
    </row>
    <row r="675" spans="1:8" x14ac:dyDescent="0.25">
      <c r="A675" s="34">
        <f t="shared" si="21"/>
        <v>3</v>
      </c>
      <c r="B675" s="35">
        <v>671</v>
      </c>
      <c r="C675" s="36">
        <f t="shared" si="22"/>
        <v>55.916666666666664</v>
      </c>
      <c r="D675" s="76">
        <v>3.2833333333333301</v>
      </c>
      <c r="E675" s="76">
        <v>0</v>
      </c>
      <c r="F675" s="77">
        <v>379.4</v>
      </c>
      <c r="G675" s="77">
        <v>1244.9100000000001</v>
      </c>
      <c r="H675" s="77">
        <v>1223.81666666667</v>
      </c>
    </row>
    <row r="676" spans="1:8" x14ac:dyDescent="0.25">
      <c r="A676" s="34">
        <f t="shared" si="21"/>
        <v>3</v>
      </c>
      <c r="B676" s="35">
        <v>672</v>
      </c>
      <c r="C676" s="36">
        <f t="shared" si="22"/>
        <v>56</v>
      </c>
      <c r="D676" s="76">
        <v>3.2916666666666701</v>
      </c>
      <c r="E676" s="76">
        <v>0</v>
      </c>
      <c r="F676" s="77">
        <v>373.45</v>
      </c>
      <c r="G676" s="77">
        <v>1130.29</v>
      </c>
      <c r="H676" s="77">
        <v>1291.80833333333</v>
      </c>
    </row>
    <row r="677" spans="1:8" x14ac:dyDescent="0.25">
      <c r="A677" s="34">
        <f t="shared" si="21"/>
        <v>3</v>
      </c>
      <c r="B677" s="35">
        <v>673</v>
      </c>
      <c r="C677" s="36">
        <f t="shared" si="22"/>
        <v>56.083333333333329</v>
      </c>
      <c r="D677" s="76">
        <v>3.3</v>
      </c>
      <c r="E677" s="76">
        <v>0</v>
      </c>
      <c r="F677" s="77">
        <v>367.5</v>
      </c>
      <c r="G677" s="77">
        <v>1015.67</v>
      </c>
      <c r="H677" s="77">
        <v>1359.8</v>
      </c>
    </row>
    <row r="678" spans="1:8" x14ac:dyDescent="0.25">
      <c r="A678" s="34">
        <f t="shared" si="21"/>
        <v>3</v>
      </c>
      <c r="B678" s="35">
        <v>674</v>
      </c>
      <c r="C678" s="36">
        <f t="shared" si="22"/>
        <v>56.166666666666664</v>
      </c>
      <c r="D678" s="76">
        <v>3.3</v>
      </c>
      <c r="E678" s="76">
        <v>2.0758333333333301</v>
      </c>
      <c r="F678" s="77">
        <v>349.15</v>
      </c>
      <c r="G678" s="77">
        <v>1009.8475</v>
      </c>
      <c r="H678" s="77">
        <v>1291.80833333333</v>
      </c>
    </row>
    <row r="679" spans="1:8" x14ac:dyDescent="0.25">
      <c r="A679" s="34">
        <f t="shared" si="21"/>
        <v>3</v>
      </c>
      <c r="B679" s="35">
        <v>675</v>
      </c>
      <c r="C679" s="36">
        <f t="shared" si="22"/>
        <v>56.25</v>
      </c>
      <c r="D679" s="76">
        <v>3.3</v>
      </c>
      <c r="E679" s="76">
        <v>4.1516666666666699</v>
      </c>
      <c r="F679" s="77">
        <v>330.8</v>
      </c>
      <c r="G679" s="77">
        <v>1004.025</v>
      </c>
      <c r="H679" s="77">
        <v>1223.81666666667</v>
      </c>
    </row>
    <row r="680" spans="1:8" x14ac:dyDescent="0.25">
      <c r="A680" s="34">
        <f t="shared" si="21"/>
        <v>3</v>
      </c>
      <c r="B680" s="35">
        <v>676</v>
      </c>
      <c r="C680" s="36">
        <f t="shared" si="22"/>
        <v>56.333333333333329</v>
      </c>
      <c r="D680" s="76">
        <v>3.3</v>
      </c>
      <c r="E680" s="76">
        <v>6.2275</v>
      </c>
      <c r="F680" s="77">
        <v>312.45</v>
      </c>
      <c r="G680" s="77">
        <v>998.20249999999999</v>
      </c>
      <c r="H680" s="77">
        <v>1155.825</v>
      </c>
    </row>
    <row r="681" spans="1:8" x14ac:dyDescent="0.25">
      <c r="A681" s="34">
        <f t="shared" si="21"/>
        <v>3</v>
      </c>
      <c r="B681" s="35">
        <v>677</v>
      </c>
      <c r="C681" s="36">
        <f t="shared" si="22"/>
        <v>56.416666666666664</v>
      </c>
      <c r="D681" s="76">
        <v>3.3</v>
      </c>
      <c r="E681" s="76">
        <v>8.3033333333333292</v>
      </c>
      <c r="F681" s="77">
        <v>294.10000000000002</v>
      </c>
      <c r="G681" s="77">
        <v>992.38</v>
      </c>
      <c r="H681" s="77">
        <v>1087.8333333333301</v>
      </c>
    </row>
    <row r="682" spans="1:8" x14ac:dyDescent="0.25">
      <c r="A682" s="34">
        <f t="shared" si="21"/>
        <v>3</v>
      </c>
      <c r="B682" s="35">
        <v>678</v>
      </c>
      <c r="C682" s="36">
        <f t="shared" si="22"/>
        <v>56.5</v>
      </c>
      <c r="D682" s="76">
        <v>3.3</v>
      </c>
      <c r="E682" s="76">
        <v>10.3791666666667</v>
      </c>
      <c r="F682" s="77">
        <v>275.75</v>
      </c>
      <c r="G682" s="77">
        <v>986.5575</v>
      </c>
      <c r="H682" s="77">
        <v>1019.84166666667</v>
      </c>
    </row>
    <row r="683" spans="1:8" x14ac:dyDescent="0.25">
      <c r="A683" s="34">
        <f t="shared" si="21"/>
        <v>3</v>
      </c>
      <c r="B683" s="35">
        <v>679</v>
      </c>
      <c r="C683" s="36">
        <f t="shared" si="22"/>
        <v>56.583333333333329</v>
      </c>
      <c r="D683" s="76">
        <v>3.3</v>
      </c>
      <c r="E683" s="76">
        <v>12.455</v>
      </c>
      <c r="F683" s="77">
        <v>257.39999999999998</v>
      </c>
      <c r="G683" s="77">
        <v>980.73500000000001</v>
      </c>
      <c r="H683" s="77">
        <v>951.85</v>
      </c>
    </row>
    <row r="684" spans="1:8" x14ac:dyDescent="0.25">
      <c r="A684" s="34">
        <f t="shared" si="21"/>
        <v>3</v>
      </c>
      <c r="B684" s="35">
        <v>680</v>
      </c>
      <c r="C684" s="36">
        <f t="shared" si="22"/>
        <v>56.666666666666664</v>
      </c>
      <c r="D684" s="76">
        <v>3.3</v>
      </c>
      <c r="E684" s="76">
        <v>14.5308333333333</v>
      </c>
      <c r="F684" s="77">
        <v>239.05</v>
      </c>
      <c r="G684" s="77">
        <v>974.91250000000002</v>
      </c>
      <c r="H684" s="77">
        <v>883.85833333333301</v>
      </c>
    </row>
    <row r="685" spans="1:8" x14ac:dyDescent="0.25">
      <c r="A685" s="34">
        <f t="shared" si="21"/>
        <v>3</v>
      </c>
      <c r="B685" s="35">
        <v>681</v>
      </c>
      <c r="C685" s="36">
        <f t="shared" si="22"/>
        <v>56.75</v>
      </c>
      <c r="D685" s="76">
        <v>3.3</v>
      </c>
      <c r="E685" s="76">
        <v>16.606666666666701</v>
      </c>
      <c r="F685" s="77">
        <v>220.7</v>
      </c>
      <c r="G685" s="77">
        <v>969.09</v>
      </c>
      <c r="H685" s="77">
        <v>815.86666666666702</v>
      </c>
    </row>
    <row r="686" spans="1:8" x14ac:dyDescent="0.25">
      <c r="A686" s="34">
        <f t="shared" si="21"/>
        <v>3</v>
      </c>
      <c r="B686" s="35">
        <v>682</v>
      </c>
      <c r="C686" s="36">
        <f t="shared" si="22"/>
        <v>56.833333333333329</v>
      </c>
      <c r="D686" s="76">
        <v>3.3</v>
      </c>
      <c r="E686" s="76">
        <v>18.682500000000001</v>
      </c>
      <c r="F686" s="77">
        <v>202.35</v>
      </c>
      <c r="G686" s="77">
        <v>963.26750000000004</v>
      </c>
      <c r="H686" s="77">
        <v>747.875</v>
      </c>
    </row>
    <row r="687" spans="1:8" x14ac:dyDescent="0.25">
      <c r="A687" s="34">
        <f t="shared" si="21"/>
        <v>3</v>
      </c>
      <c r="B687" s="35">
        <v>683</v>
      </c>
      <c r="C687" s="36">
        <f t="shared" si="22"/>
        <v>56.916666666666664</v>
      </c>
      <c r="D687" s="76">
        <v>3.3</v>
      </c>
      <c r="E687" s="76">
        <v>20.758333333333301</v>
      </c>
      <c r="F687" s="77">
        <v>184</v>
      </c>
      <c r="G687" s="77">
        <v>957.44500000000005</v>
      </c>
      <c r="H687" s="77">
        <v>679.88333333333298</v>
      </c>
    </row>
    <row r="688" spans="1:8" x14ac:dyDescent="0.25">
      <c r="A688" s="34">
        <f t="shared" si="21"/>
        <v>3</v>
      </c>
      <c r="B688" s="35">
        <v>684</v>
      </c>
      <c r="C688" s="36">
        <f t="shared" si="22"/>
        <v>57</v>
      </c>
      <c r="D688" s="76">
        <v>3.3</v>
      </c>
      <c r="E688" s="76">
        <v>22.8341666666667</v>
      </c>
      <c r="F688" s="77">
        <v>165.65</v>
      </c>
      <c r="G688" s="77">
        <v>951.62249999999995</v>
      </c>
      <c r="H688" s="77">
        <v>611.89166666666699</v>
      </c>
    </row>
    <row r="689" spans="1:8" x14ac:dyDescent="0.25">
      <c r="A689" s="34">
        <f t="shared" si="21"/>
        <v>3</v>
      </c>
      <c r="B689" s="35">
        <v>685</v>
      </c>
      <c r="C689" s="36">
        <f t="shared" si="22"/>
        <v>57.083333333333329</v>
      </c>
      <c r="D689" s="76">
        <v>3.3</v>
      </c>
      <c r="E689" s="76">
        <v>24.91</v>
      </c>
      <c r="F689" s="77">
        <v>147.30000000000001</v>
      </c>
      <c r="G689" s="77">
        <v>945.8</v>
      </c>
      <c r="H689" s="77">
        <v>543.9</v>
      </c>
    </row>
    <row r="690" spans="1:8" x14ac:dyDescent="0.25">
      <c r="A690" s="34">
        <f t="shared" si="21"/>
        <v>3</v>
      </c>
      <c r="B690" s="35">
        <v>686</v>
      </c>
      <c r="C690" s="36">
        <f t="shared" si="22"/>
        <v>57.166666666666664</v>
      </c>
      <c r="D690" s="76">
        <v>3.3916666666666702</v>
      </c>
      <c r="E690" s="76">
        <v>34.705833333333302</v>
      </c>
      <c r="F690" s="77">
        <v>146.683333333333</v>
      </c>
      <c r="G690" s="77">
        <v>909.45416666666699</v>
      </c>
      <c r="H690" s="77">
        <v>510.58333333333297</v>
      </c>
    </row>
    <row r="691" spans="1:8" x14ac:dyDescent="0.25">
      <c r="A691" s="34">
        <f t="shared" si="21"/>
        <v>3</v>
      </c>
      <c r="B691" s="35">
        <v>687</v>
      </c>
      <c r="C691" s="36">
        <f t="shared" si="22"/>
        <v>57.25</v>
      </c>
      <c r="D691" s="76">
        <v>3.4833333333333298</v>
      </c>
      <c r="E691" s="76">
        <v>44.501666666666701</v>
      </c>
      <c r="F691" s="77">
        <v>146.066666666667</v>
      </c>
      <c r="G691" s="77">
        <v>873.10833333333301</v>
      </c>
      <c r="H691" s="77">
        <v>477.26666666666699</v>
      </c>
    </row>
    <row r="692" spans="1:8" x14ac:dyDescent="0.25">
      <c r="A692" s="34">
        <f t="shared" si="21"/>
        <v>3</v>
      </c>
      <c r="B692" s="35">
        <v>688</v>
      </c>
      <c r="C692" s="36">
        <f t="shared" si="22"/>
        <v>57.333333333333329</v>
      </c>
      <c r="D692" s="76">
        <v>3.5750000000000002</v>
      </c>
      <c r="E692" s="76">
        <v>54.297499999999999</v>
      </c>
      <c r="F692" s="77">
        <v>145.44999999999999</v>
      </c>
      <c r="G692" s="77">
        <v>836.76250000000005</v>
      </c>
      <c r="H692" s="77">
        <v>443.95</v>
      </c>
    </row>
    <row r="693" spans="1:8" x14ac:dyDescent="0.25">
      <c r="A693" s="34">
        <f t="shared" ref="A693:A756" si="23">ROUNDUP(C693/24,0)</f>
        <v>3</v>
      </c>
      <c r="B693" s="35">
        <v>689</v>
      </c>
      <c r="C693" s="36">
        <f t="shared" ref="C693:C756" si="24">B693*$C$1</f>
        <v>57.416666666666664</v>
      </c>
      <c r="D693" s="76">
        <v>3.6666666666666701</v>
      </c>
      <c r="E693" s="76">
        <v>64.093333333333305</v>
      </c>
      <c r="F693" s="77">
        <v>144.833333333333</v>
      </c>
      <c r="G693" s="77">
        <v>800.41666666666697</v>
      </c>
      <c r="H693" s="77">
        <v>410.63333333333298</v>
      </c>
    </row>
    <row r="694" spans="1:8" x14ac:dyDescent="0.25">
      <c r="A694" s="34">
        <f t="shared" si="23"/>
        <v>3</v>
      </c>
      <c r="B694" s="35">
        <v>690</v>
      </c>
      <c r="C694" s="36">
        <f t="shared" si="24"/>
        <v>57.5</v>
      </c>
      <c r="D694" s="76">
        <v>3.7583333333333302</v>
      </c>
      <c r="E694" s="76">
        <v>73.889166666666696</v>
      </c>
      <c r="F694" s="77">
        <v>144.21666666666701</v>
      </c>
      <c r="G694" s="77">
        <v>764.07083333333298</v>
      </c>
      <c r="H694" s="77">
        <v>377.316666666667</v>
      </c>
    </row>
    <row r="695" spans="1:8" x14ac:dyDescent="0.25">
      <c r="A695" s="34">
        <f t="shared" si="23"/>
        <v>3</v>
      </c>
      <c r="B695" s="35">
        <v>691</v>
      </c>
      <c r="C695" s="36">
        <f t="shared" si="24"/>
        <v>57.583333333333329</v>
      </c>
      <c r="D695" s="76">
        <v>3.85</v>
      </c>
      <c r="E695" s="76">
        <v>83.685000000000002</v>
      </c>
      <c r="F695" s="77">
        <v>143.6</v>
      </c>
      <c r="G695" s="77">
        <v>727.72500000000002</v>
      </c>
      <c r="H695" s="77">
        <v>344</v>
      </c>
    </row>
    <row r="696" spans="1:8" x14ac:dyDescent="0.25">
      <c r="A696" s="34">
        <f t="shared" si="23"/>
        <v>3</v>
      </c>
      <c r="B696" s="35">
        <v>692</v>
      </c>
      <c r="C696" s="36">
        <f t="shared" si="24"/>
        <v>57.666666666666664</v>
      </c>
      <c r="D696" s="76">
        <v>3.94166666666667</v>
      </c>
      <c r="E696" s="76">
        <v>93.480833333333294</v>
      </c>
      <c r="F696" s="77">
        <v>142.98333333333301</v>
      </c>
      <c r="G696" s="77">
        <v>691.37916666666695</v>
      </c>
      <c r="H696" s="77">
        <v>310.683333333333</v>
      </c>
    </row>
    <row r="697" spans="1:8" x14ac:dyDescent="0.25">
      <c r="A697" s="34">
        <f t="shared" si="23"/>
        <v>3</v>
      </c>
      <c r="B697" s="35">
        <v>693</v>
      </c>
      <c r="C697" s="36">
        <f t="shared" si="24"/>
        <v>57.75</v>
      </c>
      <c r="D697" s="76">
        <v>4.0333333333333297</v>
      </c>
      <c r="E697" s="76">
        <v>103.276666666667</v>
      </c>
      <c r="F697" s="77">
        <v>142.36666666666699</v>
      </c>
      <c r="G697" s="77">
        <v>655.03333333333296</v>
      </c>
      <c r="H697" s="77">
        <v>277.36666666666702</v>
      </c>
    </row>
    <row r="698" spans="1:8" x14ac:dyDescent="0.25">
      <c r="A698" s="34">
        <f t="shared" si="23"/>
        <v>3</v>
      </c>
      <c r="B698" s="35">
        <v>694</v>
      </c>
      <c r="C698" s="36">
        <f t="shared" si="24"/>
        <v>57.833333333333329</v>
      </c>
      <c r="D698" s="76">
        <v>4.125</v>
      </c>
      <c r="E698" s="76">
        <v>113.07250000000001</v>
      </c>
      <c r="F698" s="77">
        <v>141.75</v>
      </c>
      <c r="G698" s="77">
        <v>618.6875</v>
      </c>
      <c r="H698" s="77">
        <v>244.05</v>
      </c>
    </row>
    <row r="699" spans="1:8" x14ac:dyDescent="0.25">
      <c r="A699" s="34">
        <f t="shared" si="23"/>
        <v>3</v>
      </c>
      <c r="B699" s="35">
        <v>695</v>
      </c>
      <c r="C699" s="36">
        <f t="shared" si="24"/>
        <v>57.916666666666664</v>
      </c>
      <c r="D699" s="76">
        <v>4.2166666666666703</v>
      </c>
      <c r="E699" s="76">
        <v>122.868333333333</v>
      </c>
      <c r="F699" s="77">
        <v>141.13333333333301</v>
      </c>
      <c r="G699" s="77">
        <v>582.34166666666704</v>
      </c>
      <c r="H699" s="77">
        <v>210.73333333333301</v>
      </c>
    </row>
    <row r="700" spans="1:8" x14ac:dyDescent="0.25">
      <c r="A700" s="34">
        <f t="shared" si="23"/>
        <v>3</v>
      </c>
      <c r="B700" s="35">
        <v>696</v>
      </c>
      <c r="C700" s="36">
        <f t="shared" si="24"/>
        <v>58</v>
      </c>
      <c r="D700" s="76">
        <v>4.30833333333333</v>
      </c>
      <c r="E700" s="76">
        <v>132.664166666667</v>
      </c>
      <c r="F700" s="77">
        <v>140.51666666666699</v>
      </c>
      <c r="G700" s="77">
        <v>545.99583333333305</v>
      </c>
      <c r="H700" s="77">
        <v>177.416666666667</v>
      </c>
    </row>
    <row r="701" spans="1:8" x14ac:dyDescent="0.25">
      <c r="A701" s="34">
        <f t="shared" si="23"/>
        <v>3</v>
      </c>
      <c r="B701" s="35">
        <v>697</v>
      </c>
      <c r="C701" s="36">
        <f t="shared" si="24"/>
        <v>58.083333333333329</v>
      </c>
      <c r="D701" s="76">
        <v>4.4000000000000004</v>
      </c>
      <c r="E701" s="76">
        <v>142.46</v>
      </c>
      <c r="F701" s="77">
        <v>139.9</v>
      </c>
      <c r="G701" s="77">
        <v>509.65</v>
      </c>
      <c r="H701" s="77">
        <v>144.1</v>
      </c>
    </row>
    <row r="702" spans="1:8" x14ac:dyDescent="0.25">
      <c r="A702" s="34">
        <f t="shared" si="23"/>
        <v>3</v>
      </c>
      <c r="B702" s="35">
        <v>698</v>
      </c>
      <c r="C702" s="36">
        <f t="shared" si="24"/>
        <v>58.166666666666664</v>
      </c>
      <c r="D702" s="76">
        <v>4.55833333333333</v>
      </c>
      <c r="E702" s="76">
        <v>153.585833333333</v>
      </c>
      <c r="F702" s="77">
        <v>143.50833333333301</v>
      </c>
      <c r="G702" s="77">
        <v>524.46</v>
      </c>
      <c r="H702" s="77">
        <v>143.42500000000001</v>
      </c>
    </row>
    <row r="703" spans="1:8" x14ac:dyDescent="0.25">
      <c r="A703" s="34">
        <f t="shared" si="23"/>
        <v>3</v>
      </c>
      <c r="B703" s="35">
        <v>699</v>
      </c>
      <c r="C703" s="36">
        <f t="shared" si="24"/>
        <v>58.25</v>
      </c>
      <c r="D703" s="76">
        <v>4.7166666666666703</v>
      </c>
      <c r="E703" s="76">
        <v>164.71166666666701</v>
      </c>
      <c r="F703" s="77">
        <v>147.11666666666699</v>
      </c>
      <c r="G703" s="77">
        <v>539.27</v>
      </c>
      <c r="H703" s="77">
        <v>142.75</v>
      </c>
    </row>
    <row r="704" spans="1:8" x14ac:dyDescent="0.25">
      <c r="A704" s="34">
        <f t="shared" si="23"/>
        <v>3</v>
      </c>
      <c r="B704" s="35">
        <v>700</v>
      </c>
      <c r="C704" s="36">
        <f t="shared" si="24"/>
        <v>58.333333333333329</v>
      </c>
      <c r="D704" s="76">
        <v>4.875</v>
      </c>
      <c r="E704" s="76">
        <v>175.83750000000001</v>
      </c>
      <c r="F704" s="77">
        <v>150.72499999999999</v>
      </c>
      <c r="G704" s="77">
        <v>554.08000000000004</v>
      </c>
      <c r="H704" s="77">
        <v>142.07499999999999</v>
      </c>
    </row>
    <row r="705" spans="1:8" x14ac:dyDescent="0.25">
      <c r="A705" s="34">
        <f t="shared" si="23"/>
        <v>3</v>
      </c>
      <c r="B705" s="35">
        <v>701</v>
      </c>
      <c r="C705" s="36">
        <f t="shared" si="24"/>
        <v>58.416666666666664</v>
      </c>
      <c r="D705" s="76">
        <v>5.0333333333333297</v>
      </c>
      <c r="E705" s="76">
        <v>186.963333333333</v>
      </c>
      <c r="F705" s="77">
        <v>154.333333333333</v>
      </c>
      <c r="G705" s="77">
        <v>568.89</v>
      </c>
      <c r="H705" s="77">
        <v>141.4</v>
      </c>
    </row>
    <row r="706" spans="1:8" x14ac:dyDescent="0.25">
      <c r="A706" s="34">
        <f t="shared" si="23"/>
        <v>3</v>
      </c>
      <c r="B706" s="35">
        <v>702</v>
      </c>
      <c r="C706" s="36">
        <f t="shared" si="24"/>
        <v>58.5</v>
      </c>
      <c r="D706" s="76">
        <v>5.19166666666667</v>
      </c>
      <c r="E706" s="76">
        <v>198.08916666666701</v>
      </c>
      <c r="F706" s="77">
        <v>157.941666666667</v>
      </c>
      <c r="G706" s="77">
        <v>583.70000000000005</v>
      </c>
      <c r="H706" s="77">
        <v>140.72499999999999</v>
      </c>
    </row>
    <row r="707" spans="1:8" x14ac:dyDescent="0.25">
      <c r="A707" s="34">
        <f t="shared" si="23"/>
        <v>3</v>
      </c>
      <c r="B707" s="35">
        <v>703</v>
      </c>
      <c r="C707" s="36">
        <f t="shared" si="24"/>
        <v>58.583333333333329</v>
      </c>
      <c r="D707" s="76">
        <v>5.35</v>
      </c>
      <c r="E707" s="76">
        <v>209.215</v>
      </c>
      <c r="F707" s="77">
        <v>161.55000000000001</v>
      </c>
      <c r="G707" s="77">
        <v>598.51</v>
      </c>
      <c r="H707" s="77">
        <v>140.05000000000001</v>
      </c>
    </row>
    <row r="708" spans="1:8" x14ac:dyDescent="0.25">
      <c r="A708" s="34">
        <f t="shared" si="23"/>
        <v>3</v>
      </c>
      <c r="B708" s="35">
        <v>704</v>
      </c>
      <c r="C708" s="36">
        <f t="shared" si="24"/>
        <v>58.666666666666664</v>
      </c>
      <c r="D708" s="76">
        <v>5.5083333333333302</v>
      </c>
      <c r="E708" s="76">
        <v>220.34083333333299</v>
      </c>
      <c r="F708" s="77">
        <v>165.15833333333299</v>
      </c>
      <c r="G708" s="77">
        <v>613.32000000000005</v>
      </c>
      <c r="H708" s="77">
        <v>139.375</v>
      </c>
    </row>
    <row r="709" spans="1:8" x14ac:dyDescent="0.25">
      <c r="A709" s="34">
        <f t="shared" si="23"/>
        <v>3</v>
      </c>
      <c r="B709" s="35">
        <v>705</v>
      </c>
      <c r="C709" s="36">
        <f t="shared" si="24"/>
        <v>58.75</v>
      </c>
      <c r="D709" s="76">
        <v>5.6666666666666696</v>
      </c>
      <c r="E709" s="76">
        <v>231.46666666666701</v>
      </c>
      <c r="F709" s="77">
        <v>168.76666666666699</v>
      </c>
      <c r="G709" s="77">
        <v>628.13</v>
      </c>
      <c r="H709" s="77">
        <v>138.69999999999999</v>
      </c>
    </row>
    <row r="710" spans="1:8" x14ac:dyDescent="0.25">
      <c r="A710" s="34">
        <f t="shared" si="23"/>
        <v>3</v>
      </c>
      <c r="B710" s="35">
        <v>706</v>
      </c>
      <c r="C710" s="36">
        <f t="shared" si="24"/>
        <v>58.833333333333329</v>
      </c>
      <c r="D710" s="76">
        <v>5.8250000000000002</v>
      </c>
      <c r="E710" s="76">
        <v>242.5925</v>
      </c>
      <c r="F710" s="77">
        <v>172.375</v>
      </c>
      <c r="G710" s="77">
        <v>642.94000000000005</v>
      </c>
      <c r="H710" s="77">
        <v>138.02500000000001</v>
      </c>
    </row>
    <row r="711" spans="1:8" x14ac:dyDescent="0.25">
      <c r="A711" s="34">
        <f t="shared" si="23"/>
        <v>3</v>
      </c>
      <c r="B711" s="35">
        <v>707</v>
      </c>
      <c r="C711" s="36">
        <f t="shared" si="24"/>
        <v>58.916666666666664</v>
      </c>
      <c r="D711" s="76">
        <v>5.9833333333333298</v>
      </c>
      <c r="E711" s="76">
        <v>253.71833333333299</v>
      </c>
      <c r="F711" s="77">
        <v>175.98333333333301</v>
      </c>
      <c r="G711" s="77">
        <v>657.75</v>
      </c>
      <c r="H711" s="77">
        <v>137.35</v>
      </c>
    </row>
    <row r="712" spans="1:8" x14ac:dyDescent="0.25">
      <c r="A712" s="34">
        <f t="shared" si="23"/>
        <v>3</v>
      </c>
      <c r="B712" s="35">
        <v>708</v>
      </c>
      <c r="C712" s="36">
        <f t="shared" si="24"/>
        <v>59</v>
      </c>
      <c r="D712" s="76">
        <v>6.1416666666666702</v>
      </c>
      <c r="E712" s="76">
        <v>264.84416666666698</v>
      </c>
      <c r="F712" s="77">
        <v>179.59166666666701</v>
      </c>
      <c r="G712" s="77">
        <v>672.56</v>
      </c>
      <c r="H712" s="77">
        <v>136.67500000000001</v>
      </c>
    </row>
    <row r="713" spans="1:8" x14ac:dyDescent="0.25">
      <c r="A713" s="34">
        <f t="shared" si="23"/>
        <v>3</v>
      </c>
      <c r="B713" s="35">
        <v>709</v>
      </c>
      <c r="C713" s="36">
        <f t="shared" si="24"/>
        <v>59.083333333333329</v>
      </c>
      <c r="D713" s="76">
        <v>6.3</v>
      </c>
      <c r="E713" s="76">
        <v>275.97000000000003</v>
      </c>
      <c r="F713" s="77">
        <v>183.2</v>
      </c>
      <c r="G713" s="77">
        <v>687.37</v>
      </c>
      <c r="H713" s="77">
        <v>136</v>
      </c>
    </row>
    <row r="714" spans="1:8" x14ac:dyDescent="0.25">
      <c r="A714" s="34">
        <f t="shared" si="23"/>
        <v>3</v>
      </c>
      <c r="B714" s="35">
        <v>710</v>
      </c>
      <c r="C714" s="36">
        <f t="shared" si="24"/>
        <v>59.166666666666664</v>
      </c>
      <c r="D714" s="76">
        <v>6.55</v>
      </c>
      <c r="E714" s="76">
        <v>292.60083333333301</v>
      </c>
      <c r="F714" s="77">
        <v>188.86666666666699</v>
      </c>
      <c r="G714" s="77">
        <v>731.069166666667</v>
      </c>
      <c r="H714" s="77">
        <v>136</v>
      </c>
    </row>
    <row r="715" spans="1:8" x14ac:dyDescent="0.25">
      <c r="A715" s="34">
        <f t="shared" si="23"/>
        <v>3</v>
      </c>
      <c r="B715" s="35">
        <v>711</v>
      </c>
      <c r="C715" s="36">
        <f t="shared" si="24"/>
        <v>59.25</v>
      </c>
      <c r="D715" s="76">
        <v>6.8</v>
      </c>
      <c r="E715" s="76">
        <v>309.23166666666702</v>
      </c>
      <c r="F715" s="77">
        <v>194.53333333333299</v>
      </c>
      <c r="G715" s="77">
        <v>774.76833333333298</v>
      </c>
      <c r="H715" s="77">
        <v>136</v>
      </c>
    </row>
    <row r="716" spans="1:8" x14ac:dyDescent="0.25">
      <c r="A716" s="34">
        <f t="shared" si="23"/>
        <v>3</v>
      </c>
      <c r="B716" s="35">
        <v>712</v>
      </c>
      <c r="C716" s="36">
        <f t="shared" si="24"/>
        <v>59.333333333333329</v>
      </c>
      <c r="D716" s="76">
        <v>7.05</v>
      </c>
      <c r="E716" s="76">
        <v>325.86250000000001</v>
      </c>
      <c r="F716" s="77">
        <v>200.2</v>
      </c>
      <c r="G716" s="77">
        <v>818.46749999999997</v>
      </c>
      <c r="H716" s="77">
        <v>136</v>
      </c>
    </row>
    <row r="717" spans="1:8" x14ac:dyDescent="0.25">
      <c r="A717" s="34">
        <f t="shared" si="23"/>
        <v>3</v>
      </c>
      <c r="B717" s="35">
        <v>713</v>
      </c>
      <c r="C717" s="36">
        <f t="shared" si="24"/>
        <v>59.416666666666664</v>
      </c>
      <c r="D717" s="76">
        <v>7.3</v>
      </c>
      <c r="E717" s="76">
        <v>342.493333333333</v>
      </c>
      <c r="F717" s="77">
        <v>205.86666666666699</v>
      </c>
      <c r="G717" s="77">
        <v>862.16666666666697</v>
      </c>
      <c r="H717" s="77">
        <v>136</v>
      </c>
    </row>
    <row r="718" spans="1:8" x14ac:dyDescent="0.25">
      <c r="A718" s="34">
        <f t="shared" si="23"/>
        <v>3</v>
      </c>
      <c r="B718" s="35">
        <v>714</v>
      </c>
      <c r="C718" s="36">
        <f t="shared" si="24"/>
        <v>59.5</v>
      </c>
      <c r="D718" s="76">
        <v>7.55</v>
      </c>
      <c r="E718" s="76">
        <v>359.12416666666701</v>
      </c>
      <c r="F718" s="77">
        <v>211.53333333333299</v>
      </c>
      <c r="G718" s="77">
        <v>905.86583333333294</v>
      </c>
      <c r="H718" s="77">
        <v>136</v>
      </c>
    </row>
    <row r="719" spans="1:8" x14ac:dyDescent="0.25">
      <c r="A719" s="34">
        <f t="shared" si="23"/>
        <v>3</v>
      </c>
      <c r="B719" s="35">
        <v>715</v>
      </c>
      <c r="C719" s="36">
        <f t="shared" si="24"/>
        <v>59.583333333333329</v>
      </c>
      <c r="D719" s="76">
        <v>7.8</v>
      </c>
      <c r="E719" s="76">
        <v>375.755</v>
      </c>
      <c r="F719" s="77">
        <v>217.2</v>
      </c>
      <c r="G719" s="77">
        <v>949.56500000000005</v>
      </c>
      <c r="H719" s="77">
        <v>136</v>
      </c>
    </row>
    <row r="720" spans="1:8" x14ac:dyDescent="0.25">
      <c r="A720" s="34">
        <f t="shared" si="23"/>
        <v>3</v>
      </c>
      <c r="B720" s="35">
        <v>716</v>
      </c>
      <c r="C720" s="36">
        <f t="shared" si="24"/>
        <v>59.666666666666664</v>
      </c>
      <c r="D720" s="76">
        <v>8.0500000000000007</v>
      </c>
      <c r="E720" s="76">
        <v>392.38583333333298</v>
      </c>
      <c r="F720" s="77">
        <v>222.86666666666699</v>
      </c>
      <c r="G720" s="77">
        <v>993.26416666666705</v>
      </c>
      <c r="H720" s="77">
        <v>136</v>
      </c>
    </row>
    <row r="721" spans="1:8" x14ac:dyDescent="0.25">
      <c r="A721" s="34">
        <f t="shared" si="23"/>
        <v>3</v>
      </c>
      <c r="B721" s="35">
        <v>717</v>
      </c>
      <c r="C721" s="36">
        <f t="shared" si="24"/>
        <v>59.75</v>
      </c>
      <c r="D721" s="76">
        <v>8.3000000000000007</v>
      </c>
      <c r="E721" s="76">
        <v>409.01666666666699</v>
      </c>
      <c r="F721" s="77">
        <v>228.53333333333299</v>
      </c>
      <c r="G721" s="77">
        <v>1036.96333333333</v>
      </c>
      <c r="H721" s="77">
        <v>136</v>
      </c>
    </row>
    <row r="722" spans="1:8" x14ac:dyDescent="0.25">
      <c r="A722" s="34">
        <f t="shared" si="23"/>
        <v>3</v>
      </c>
      <c r="B722" s="35">
        <v>718</v>
      </c>
      <c r="C722" s="36">
        <f t="shared" si="24"/>
        <v>59.833333333333329</v>
      </c>
      <c r="D722" s="76">
        <v>8.5500000000000007</v>
      </c>
      <c r="E722" s="76">
        <v>425.64749999999998</v>
      </c>
      <c r="F722" s="77">
        <v>234.2</v>
      </c>
      <c r="G722" s="77">
        <v>1080.6624999999999</v>
      </c>
      <c r="H722" s="77">
        <v>136</v>
      </c>
    </row>
    <row r="723" spans="1:8" x14ac:dyDescent="0.25">
      <c r="A723" s="34">
        <f t="shared" si="23"/>
        <v>3</v>
      </c>
      <c r="B723" s="35">
        <v>719</v>
      </c>
      <c r="C723" s="36">
        <f t="shared" si="24"/>
        <v>59.916666666666664</v>
      </c>
      <c r="D723" s="76">
        <v>8.8000000000000007</v>
      </c>
      <c r="E723" s="76">
        <v>442.27833333333302</v>
      </c>
      <c r="F723" s="77">
        <v>239.86666666666699</v>
      </c>
      <c r="G723" s="77">
        <v>1124.3616666666701</v>
      </c>
      <c r="H723" s="77">
        <v>136</v>
      </c>
    </row>
    <row r="724" spans="1:8" x14ac:dyDescent="0.25">
      <c r="A724" s="34">
        <f t="shared" si="23"/>
        <v>3</v>
      </c>
      <c r="B724" s="35">
        <v>720</v>
      </c>
      <c r="C724" s="36">
        <f t="shared" si="24"/>
        <v>60</v>
      </c>
      <c r="D724" s="76">
        <v>9.0500000000000007</v>
      </c>
      <c r="E724" s="76">
        <v>458.90916666666698</v>
      </c>
      <c r="F724" s="77">
        <v>245.53333333333299</v>
      </c>
      <c r="G724" s="77">
        <v>1168.06083333333</v>
      </c>
      <c r="H724" s="77">
        <v>136</v>
      </c>
    </row>
    <row r="725" spans="1:8" x14ac:dyDescent="0.25">
      <c r="A725" s="34">
        <f t="shared" si="23"/>
        <v>3</v>
      </c>
      <c r="B725" s="35">
        <v>721</v>
      </c>
      <c r="C725" s="36">
        <f t="shared" si="24"/>
        <v>60.083333333333329</v>
      </c>
      <c r="D725" s="76">
        <v>9.3000000000000007</v>
      </c>
      <c r="E725" s="76">
        <v>475.54</v>
      </c>
      <c r="F725" s="77">
        <v>251.2</v>
      </c>
      <c r="G725" s="77">
        <v>1211.76</v>
      </c>
      <c r="H725" s="77">
        <v>136</v>
      </c>
    </row>
    <row r="726" spans="1:8" x14ac:dyDescent="0.25">
      <c r="A726" s="34">
        <f t="shared" si="23"/>
        <v>3</v>
      </c>
      <c r="B726" s="35">
        <v>722</v>
      </c>
      <c r="C726" s="36">
        <f t="shared" si="24"/>
        <v>60.166666666666664</v>
      </c>
      <c r="D726" s="76">
        <v>9.4749999999999996</v>
      </c>
      <c r="E726" s="76">
        <v>495.63749999999999</v>
      </c>
      <c r="F726" s="77">
        <v>250.85</v>
      </c>
      <c r="G726" s="77">
        <v>1207.2958333333299</v>
      </c>
      <c r="H726" s="77">
        <v>136</v>
      </c>
    </row>
    <row r="727" spans="1:8" x14ac:dyDescent="0.25">
      <c r="A727" s="34">
        <f t="shared" si="23"/>
        <v>3</v>
      </c>
      <c r="B727" s="35">
        <v>723</v>
      </c>
      <c r="C727" s="36">
        <f t="shared" si="24"/>
        <v>60.25</v>
      </c>
      <c r="D727" s="76">
        <v>9.65</v>
      </c>
      <c r="E727" s="76">
        <v>515.73500000000001</v>
      </c>
      <c r="F727" s="77">
        <v>250.5</v>
      </c>
      <c r="G727" s="77">
        <v>1202.8316666666699</v>
      </c>
      <c r="H727" s="77">
        <v>136</v>
      </c>
    </row>
    <row r="728" spans="1:8" x14ac:dyDescent="0.25">
      <c r="A728" s="34">
        <f t="shared" si="23"/>
        <v>3</v>
      </c>
      <c r="B728" s="35">
        <v>724</v>
      </c>
      <c r="C728" s="36">
        <f t="shared" si="24"/>
        <v>60.333333333333329</v>
      </c>
      <c r="D728" s="76">
        <v>9.8249999999999993</v>
      </c>
      <c r="E728" s="76">
        <v>535.83249999999998</v>
      </c>
      <c r="F728" s="77">
        <v>250.15</v>
      </c>
      <c r="G728" s="77">
        <v>1198.3675000000001</v>
      </c>
      <c r="H728" s="77">
        <v>136</v>
      </c>
    </row>
    <row r="729" spans="1:8" x14ac:dyDescent="0.25">
      <c r="A729" s="34">
        <f t="shared" si="23"/>
        <v>3</v>
      </c>
      <c r="B729" s="35">
        <v>725</v>
      </c>
      <c r="C729" s="36">
        <f t="shared" si="24"/>
        <v>60.416666666666664</v>
      </c>
      <c r="D729" s="76">
        <v>10</v>
      </c>
      <c r="E729" s="76">
        <v>555.92999999999995</v>
      </c>
      <c r="F729" s="77">
        <v>249.8</v>
      </c>
      <c r="G729" s="77">
        <v>1193.90333333333</v>
      </c>
      <c r="H729" s="77">
        <v>136</v>
      </c>
    </row>
    <row r="730" spans="1:8" x14ac:dyDescent="0.25">
      <c r="A730" s="34">
        <f t="shared" si="23"/>
        <v>3</v>
      </c>
      <c r="B730" s="35">
        <v>726</v>
      </c>
      <c r="C730" s="36">
        <f t="shared" si="24"/>
        <v>60.5</v>
      </c>
      <c r="D730" s="76">
        <v>10.175000000000001</v>
      </c>
      <c r="E730" s="76">
        <v>576.02750000000003</v>
      </c>
      <c r="F730" s="77">
        <v>249.45</v>
      </c>
      <c r="G730" s="77">
        <v>1189.43916666667</v>
      </c>
      <c r="H730" s="77">
        <v>136</v>
      </c>
    </row>
    <row r="731" spans="1:8" x14ac:dyDescent="0.25">
      <c r="A731" s="34">
        <f t="shared" si="23"/>
        <v>3</v>
      </c>
      <c r="B731" s="35">
        <v>727</v>
      </c>
      <c r="C731" s="36">
        <f t="shared" si="24"/>
        <v>60.583333333333329</v>
      </c>
      <c r="D731" s="76">
        <v>10.35</v>
      </c>
      <c r="E731" s="76">
        <v>596.125</v>
      </c>
      <c r="F731" s="77">
        <v>249.1</v>
      </c>
      <c r="G731" s="77">
        <v>1184.9749999999999</v>
      </c>
      <c r="H731" s="77">
        <v>136</v>
      </c>
    </row>
    <row r="732" spans="1:8" x14ac:dyDescent="0.25">
      <c r="A732" s="34">
        <f t="shared" si="23"/>
        <v>3</v>
      </c>
      <c r="B732" s="35">
        <v>728</v>
      </c>
      <c r="C732" s="36">
        <f t="shared" si="24"/>
        <v>60.666666666666664</v>
      </c>
      <c r="D732" s="76">
        <v>10.525</v>
      </c>
      <c r="E732" s="76">
        <v>616.22249999999997</v>
      </c>
      <c r="F732" s="77">
        <v>248.75</v>
      </c>
      <c r="G732" s="77">
        <v>1180.5108333333301</v>
      </c>
      <c r="H732" s="77">
        <v>136</v>
      </c>
    </row>
    <row r="733" spans="1:8" x14ac:dyDescent="0.25">
      <c r="A733" s="34">
        <f t="shared" si="23"/>
        <v>3</v>
      </c>
      <c r="B733" s="35">
        <v>729</v>
      </c>
      <c r="C733" s="36">
        <f t="shared" si="24"/>
        <v>60.75</v>
      </c>
      <c r="D733" s="76">
        <v>10.7</v>
      </c>
      <c r="E733" s="76">
        <v>636.32000000000005</v>
      </c>
      <c r="F733" s="77">
        <v>248.4</v>
      </c>
      <c r="G733" s="77">
        <v>1176.04666666667</v>
      </c>
      <c r="H733" s="77">
        <v>136</v>
      </c>
    </row>
    <row r="734" spans="1:8" x14ac:dyDescent="0.25">
      <c r="A734" s="34">
        <f t="shared" si="23"/>
        <v>3</v>
      </c>
      <c r="B734" s="35">
        <v>730</v>
      </c>
      <c r="C734" s="36">
        <f t="shared" si="24"/>
        <v>60.833333333333329</v>
      </c>
      <c r="D734" s="76">
        <v>10.875</v>
      </c>
      <c r="E734" s="76">
        <v>656.41750000000002</v>
      </c>
      <c r="F734" s="77">
        <v>248.05</v>
      </c>
      <c r="G734" s="77">
        <v>1171.5825</v>
      </c>
      <c r="H734" s="77">
        <v>136</v>
      </c>
    </row>
    <row r="735" spans="1:8" x14ac:dyDescent="0.25">
      <c r="A735" s="34">
        <f t="shared" si="23"/>
        <v>3</v>
      </c>
      <c r="B735" s="35">
        <v>731</v>
      </c>
      <c r="C735" s="36">
        <f t="shared" si="24"/>
        <v>60.916666666666664</v>
      </c>
      <c r="D735" s="76">
        <v>11.05</v>
      </c>
      <c r="E735" s="76">
        <v>676.51499999999999</v>
      </c>
      <c r="F735" s="77">
        <v>247.7</v>
      </c>
      <c r="G735" s="77">
        <v>1167.1183333333299</v>
      </c>
      <c r="H735" s="77">
        <v>136</v>
      </c>
    </row>
    <row r="736" spans="1:8" x14ac:dyDescent="0.25">
      <c r="A736" s="34">
        <f t="shared" si="23"/>
        <v>3</v>
      </c>
      <c r="B736" s="35">
        <v>732</v>
      </c>
      <c r="C736" s="36">
        <f t="shared" si="24"/>
        <v>61</v>
      </c>
      <c r="D736" s="76">
        <v>11.225</v>
      </c>
      <c r="E736" s="76">
        <v>696.61249999999995</v>
      </c>
      <c r="F736" s="77">
        <v>247.35</v>
      </c>
      <c r="G736" s="77">
        <v>1162.6541666666701</v>
      </c>
      <c r="H736" s="77">
        <v>136</v>
      </c>
    </row>
    <row r="737" spans="1:8" x14ac:dyDescent="0.25">
      <c r="A737" s="34">
        <f t="shared" si="23"/>
        <v>3</v>
      </c>
      <c r="B737" s="35">
        <v>733</v>
      </c>
      <c r="C737" s="36">
        <f t="shared" si="24"/>
        <v>61.083333333333329</v>
      </c>
      <c r="D737" s="76">
        <v>11.4</v>
      </c>
      <c r="E737" s="76">
        <v>716.71</v>
      </c>
      <c r="F737" s="77">
        <v>247</v>
      </c>
      <c r="G737" s="77">
        <v>1158.19</v>
      </c>
      <c r="H737" s="77">
        <v>136</v>
      </c>
    </row>
    <row r="738" spans="1:8" x14ac:dyDescent="0.25">
      <c r="A738" s="34">
        <f t="shared" si="23"/>
        <v>3</v>
      </c>
      <c r="B738" s="35">
        <v>734</v>
      </c>
      <c r="C738" s="36">
        <f t="shared" si="24"/>
        <v>61.166666666666664</v>
      </c>
      <c r="D738" s="76">
        <v>11.516666666666699</v>
      </c>
      <c r="E738" s="76">
        <v>710.488333333333</v>
      </c>
      <c r="F738" s="77">
        <v>236.916666666667</v>
      </c>
      <c r="G738" s="77">
        <v>1157.0208333333301</v>
      </c>
      <c r="H738" s="77">
        <v>124.666666666667</v>
      </c>
    </row>
    <row r="739" spans="1:8" x14ac:dyDescent="0.25">
      <c r="A739" s="34">
        <f t="shared" si="23"/>
        <v>3</v>
      </c>
      <c r="B739" s="35">
        <v>735</v>
      </c>
      <c r="C739" s="36">
        <f t="shared" si="24"/>
        <v>61.25</v>
      </c>
      <c r="D739" s="76">
        <v>11.633333333333301</v>
      </c>
      <c r="E739" s="76">
        <v>704.26666666666699</v>
      </c>
      <c r="F739" s="77">
        <v>226.833333333333</v>
      </c>
      <c r="G739" s="77">
        <v>1155.8516666666701</v>
      </c>
      <c r="H739" s="77">
        <v>113.333333333333</v>
      </c>
    </row>
    <row r="740" spans="1:8" x14ac:dyDescent="0.25">
      <c r="A740" s="34">
        <f t="shared" si="23"/>
        <v>3</v>
      </c>
      <c r="B740" s="35">
        <v>736</v>
      </c>
      <c r="C740" s="36">
        <f t="shared" si="24"/>
        <v>61.333333333333329</v>
      </c>
      <c r="D740" s="76">
        <v>11.75</v>
      </c>
      <c r="E740" s="76">
        <v>698.04499999999996</v>
      </c>
      <c r="F740" s="77">
        <v>216.75</v>
      </c>
      <c r="G740" s="77">
        <v>1154.6824999999999</v>
      </c>
      <c r="H740" s="77">
        <v>102</v>
      </c>
    </row>
    <row r="741" spans="1:8" x14ac:dyDescent="0.25">
      <c r="A741" s="34">
        <f t="shared" si="23"/>
        <v>3</v>
      </c>
      <c r="B741" s="35">
        <v>737</v>
      </c>
      <c r="C741" s="36">
        <f t="shared" si="24"/>
        <v>61.416666666666664</v>
      </c>
      <c r="D741" s="76">
        <v>11.866666666666699</v>
      </c>
      <c r="E741" s="76">
        <v>691.82333333333304</v>
      </c>
      <c r="F741" s="77">
        <v>206.666666666667</v>
      </c>
      <c r="G741" s="77">
        <v>1153.5133333333299</v>
      </c>
      <c r="H741" s="77">
        <v>90.6666666666667</v>
      </c>
    </row>
    <row r="742" spans="1:8" x14ac:dyDescent="0.25">
      <c r="A742" s="34">
        <f t="shared" si="23"/>
        <v>3</v>
      </c>
      <c r="B742" s="35">
        <v>738</v>
      </c>
      <c r="C742" s="36">
        <f t="shared" si="24"/>
        <v>61.5</v>
      </c>
      <c r="D742" s="76">
        <v>11.983333333333301</v>
      </c>
      <c r="E742" s="76">
        <v>685.60166666666703</v>
      </c>
      <c r="F742" s="77">
        <v>196.583333333333</v>
      </c>
      <c r="G742" s="77">
        <v>1152.3441666666699</v>
      </c>
      <c r="H742" s="77">
        <v>79.3333333333333</v>
      </c>
    </row>
    <row r="743" spans="1:8" x14ac:dyDescent="0.25">
      <c r="A743" s="34">
        <f t="shared" si="23"/>
        <v>3</v>
      </c>
      <c r="B743" s="35">
        <v>739</v>
      </c>
      <c r="C743" s="36">
        <f t="shared" si="24"/>
        <v>61.583333333333329</v>
      </c>
      <c r="D743" s="76">
        <v>12.1</v>
      </c>
      <c r="E743" s="76">
        <v>679.38</v>
      </c>
      <c r="F743" s="77">
        <v>186.5</v>
      </c>
      <c r="G743" s="77">
        <v>1151.175</v>
      </c>
      <c r="H743" s="77">
        <v>68</v>
      </c>
    </row>
    <row r="744" spans="1:8" x14ac:dyDescent="0.25">
      <c r="A744" s="34">
        <f t="shared" si="23"/>
        <v>3</v>
      </c>
      <c r="B744" s="35">
        <v>740</v>
      </c>
      <c r="C744" s="36">
        <f t="shared" si="24"/>
        <v>61.666666666666664</v>
      </c>
      <c r="D744" s="76">
        <v>12.216666666666701</v>
      </c>
      <c r="E744" s="76">
        <v>673.15833333333296</v>
      </c>
      <c r="F744" s="77">
        <v>176.416666666667</v>
      </c>
      <c r="G744" s="77">
        <v>1150.00583333333</v>
      </c>
      <c r="H744" s="77">
        <v>56.6666666666667</v>
      </c>
    </row>
    <row r="745" spans="1:8" x14ac:dyDescent="0.25">
      <c r="A745" s="34">
        <f t="shared" si="23"/>
        <v>3</v>
      </c>
      <c r="B745" s="35">
        <v>741</v>
      </c>
      <c r="C745" s="36">
        <f t="shared" si="24"/>
        <v>61.75</v>
      </c>
      <c r="D745" s="76">
        <v>12.3333333333333</v>
      </c>
      <c r="E745" s="76">
        <v>666.93666666666695</v>
      </c>
      <c r="F745" s="77">
        <v>166.333333333333</v>
      </c>
      <c r="G745" s="77">
        <v>1148.83666666667</v>
      </c>
      <c r="H745" s="77">
        <v>45.3333333333333</v>
      </c>
    </row>
    <row r="746" spans="1:8" x14ac:dyDescent="0.25">
      <c r="A746" s="34">
        <f t="shared" si="23"/>
        <v>3</v>
      </c>
      <c r="B746" s="35">
        <v>742</v>
      </c>
      <c r="C746" s="36">
        <f t="shared" si="24"/>
        <v>61.833333333333329</v>
      </c>
      <c r="D746" s="76">
        <v>12.45</v>
      </c>
      <c r="E746" s="76">
        <v>660.71500000000003</v>
      </c>
      <c r="F746" s="77">
        <v>156.25</v>
      </c>
      <c r="G746" s="77">
        <v>1147.6675</v>
      </c>
      <c r="H746" s="77">
        <v>34</v>
      </c>
    </row>
    <row r="747" spans="1:8" x14ac:dyDescent="0.25">
      <c r="A747" s="34">
        <f t="shared" si="23"/>
        <v>3</v>
      </c>
      <c r="B747" s="35">
        <v>743</v>
      </c>
      <c r="C747" s="36">
        <f t="shared" si="24"/>
        <v>61.916666666666664</v>
      </c>
      <c r="D747" s="76">
        <v>12.5666666666667</v>
      </c>
      <c r="E747" s="76">
        <v>654.493333333333</v>
      </c>
      <c r="F747" s="77">
        <v>146.166666666667</v>
      </c>
      <c r="G747" s="77">
        <v>1146.49833333333</v>
      </c>
      <c r="H747" s="77">
        <v>22.6666666666667</v>
      </c>
    </row>
    <row r="748" spans="1:8" x14ac:dyDescent="0.25">
      <c r="A748" s="34">
        <f t="shared" si="23"/>
        <v>3</v>
      </c>
      <c r="B748" s="35">
        <v>744</v>
      </c>
      <c r="C748" s="36">
        <f t="shared" si="24"/>
        <v>62</v>
      </c>
      <c r="D748" s="76">
        <v>12.6833333333333</v>
      </c>
      <c r="E748" s="76">
        <v>648.27166666666699</v>
      </c>
      <c r="F748" s="77">
        <v>136.083333333333</v>
      </c>
      <c r="G748" s="77">
        <v>1145.3291666666701</v>
      </c>
      <c r="H748" s="77">
        <v>11.3333333333333</v>
      </c>
    </row>
    <row r="749" spans="1:8" x14ac:dyDescent="0.25">
      <c r="A749" s="34">
        <f t="shared" si="23"/>
        <v>3</v>
      </c>
      <c r="B749" s="35">
        <v>745</v>
      </c>
      <c r="C749" s="36">
        <f t="shared" si="24"/>
        <v>62.083333333333329</v>
      </c>
      <c r="D749" s="76">
        <v>12.8</v>
      </c>
      <c r="E749" s="76">
        <v>642.04999999999995</v>
      </c>
      <c r="F749" s="77">
        <v>126</v>
      </c>
      <c r="G749" s="77">
        <v>1144.1600000000001</v>
      </c>
      <c r="H749" s="77">
        <v>0</v>
      </c>
    </row>
    <row r="750" spans="1:8" x14ac:dyDescent="0.25">
      <c r="A750" s="34">
        <f t="shared" si="23"/>
        <v>3</v>
      </c>
      <c r="B750" s="35">
        <v>746</v>
      </c>
      <c r="C750" s="36">
        <f t="shared" si="24"/>
        <v>62.166666666666664</v>
      </c>
      <c r="D750" s="76">
        <v>12.9</v>
      </c>
      <c r="E750" s="76">
        <v>634.09833333333302</v>
      </c>
      <c r="F750" s="77">
        <v>124.25</v>
      </c>
      <c r="G750" s="77">
        <v>1144.1600000000001</v>
      </c>
      <c r="H750" s="77">
        <v>0</v>
      </c>
    </row>
    <row r="751" spans="1:8" x14ac:dyDescent="0.25">
      <c r="A751" s="34">
        <f t="shared" si="23"/>
        <v>3</v>
      </c>
      <c r="B751" s="35">
        <v>747</v>
      </c>
      <c r="C751" s="36">
        <f t="shared" si="24"/>
        <v>62.25</v>
      </c>
      <c r="D751" s="76">
        <v>13</v>
      </c>
      <c r="E751" s="76">
        <v>626.14666666666699</v>
      </c>
      <c r="F751" s="77">
        <v>122.5</v>
      </c>
      <c r="G751" s="77">
        <v>1144.1600000000001</v>
      </c>
      <c r="H751" s="77">
        <v>0</v>
      </c>
    </row>
    <row r="752" spans="1:8" x14ac:dyDescent="0.25">
      <c r="A752" s="34">
        <f t="shared" si="23"/>
        <v>3</v>
      </c>
      <c r="B752" s="35">
        <v>748</v>
      </c>
      <c r="C752" s="36">
        <f t="shared" si="24"/>
        <v>62.333333333333329</v>
      </c>
      <c r="D752" s="76">
        <v>13.1</v>
      </c>
      <c r="E752" s="76">
        <v>618.19500000000005</v>
      </c>
      <c r="F752" s="77">
        <v>120.75</v>
      </c>
      <c r="G752" s="77">
        <v>1144.1600000000001</v>
      </c>
      <c r="H752" s="77">
        <v>0</v>
      </c>
    </row>
    <row r="753" spans="1:8" x14ac:dyDescent="0.25">
      <c r="A753" s="34">
        <f t="shared" si="23"/>
        <v>3</v>
      </c>
      <c r="B753" s="35">
        <v>749</v>
      </c>
      <c r="C753" s="36">
        <f t="shared" si="24"/>
        <v>62.416666666666664</v>
      </c>
      <c r="D753" s="76">
        <v>13.2</v>
      </c>
      <c r="E753" s="76">
        <v>610.243333333333</v>
      </c>
      <c r="F753" s="77">
        <v>119</v>
      </c>
      <c r="G753" s="77">
        <v>1144.1600000000001</v>
      </c>
      <c r="H753" s="77">
        <v>0</v>
      </c>
    </row>
    <row r="754" spans="1:8" x14ac:dyDescent="0.25">
      <c r="A754" s="34">
        <f t="shared" si="23"/>
        <v>3</v>
      </c>
      <c r="B754" s="35">
        <v>750</v>
      </c>
      <c r="C754" s="36">
        <f t="shared" si="24"/>
        <v>62.5</v>
      </c>
      <c r="D754" s="76">
        <v>13.3</v>
      </c>
      <c r="E754" s="76">
        <v>602.29166666666697</v>
      </c>
      <c r="F754" s="77">
        <v>117.25</v>
      </c>
      <c r="G754" s="77">
        <v>1144.1600000000001</v>
      </c>
      <c r="H754" s="77">
        <v>0</v>
      </c>
    </row>
    <row r="755" spans="1:8" x14ac:dyDescent="0.25">
      <c r="A755" s="34">
        <f t="shared" si="23"/>
        <v>3</v>
      </c>
      <c r="B755" s="35">
        <v>751</v>
      </c>
      <c r="C755" s="36">
        <f t="shared" si="24"/>
        <v>62.583333333333329</v>
      </c>
      <c r="D755" s="76">
        <v>13.4</v>
      </c>
      <c r="E755" s="76">
        <v>594.34</v>
      </c>
      <c r="F755" s="77">
        <v>115.5</v>
      </c>
      <c r="G755" s="77">
        <v>1144.1600000000001</v>
      </c>
      <c r="H755" s="77">
        <v>0</v>
      </c>
    </row>
    <row r="756" spans="1:8" x14ac:dyDescent="0.25">
      <c r="A756" s="34">
        <f t="shared" si="23"/>
        <v>3</v>
      </c>
      <c r="B756" s="35">
        <v>752</v>
      </c>
      <c r="C756" s="36">
        <f t="shared" si="24"/>
        <v>62.666666666666664</v>
      </c>
      <c r="D756" s="76">
        <v>13.5</v>
      </c>
      <c r="E756" s="76">
        <v>586.38833333333298</v>
      </c>
      <c r="F756" s="77">
        <v>113.75</v>
      </c>
      <c r="G756" s="77">
        <v>1144.1600000000001</v>
      </c>
      <c r="H756" s="77">
        <v>0</v>
      </c>
    </row>
    <row r="757" spans="1:8" x14ac:dyDescent="0.25">
      <c r="A757" s="34">
        <f t="shared" ref="A757:A820" si="25">ROUNDUP(C757/24,0)</f>
        <v>3</v>
      </c>
      <c r="B757" s="35">
        <v>753</v>
      </c>
      <c r="C757" s="36">
        <f t="shared" ref="C757:C820" si="26">B757*$C$1</f>
        <v>62.75</v>
      </c>
      <c r="D757" s="76">
        <v>13.6</v>
      </c>
      <c r="E757" s="76">
        <v>578.43666666666695</v>
      </c>
      <c r="F757" s="77">
        <v>112</v>
      </c>
      <c r="G757" s="77">
        <v>1144.1600000000001</v>
      </c>
      <c r="H757" s="77">
        <v>0</v>
      </c>
    </row>
    <row r="758" spans="1:8" x14ac:dyDescent="0.25">
      <c r="A758" s="34">
        <f t="shared" si="25"/>
        <v>3</v>
      </c>
      <c r="B758" s="35">
        <v>754</v>
      </c>
      <c r="C758" s="36">
        <f t="shared" si="26"/>
        <v>62.833333333333329</v>
      </c>
      <c r="D758" s="76">
        <v>13.7</v>
      </c>
      <c r="E758" s="76">
        <v>570.48500000000001</v>
      </c>
      <c r="F758" s="77">
        <v>110.25</v>
      </c>
      <c r="G758" s="77">
        <v>1144.1600000000001</v>
      </c>
      <c r="H758" s="77">
        <v>0</v>
      </c>
    </row>
    <row r="759" spans="1:8" x14ac:dyDescent="0.25">
      <c r="A759" s="34">
        <f t="shared" si="25"/>
        <v>3</v>
      </c>
      <c r="B759" s="35">
        <v>755</v>
      </c>
      <c r="C759" s="36">
        <f t="shared" si="26"/>
        <v>62.916666666666664</v>
      </c>
      <c r="D759" s="76">
        <v>13.8</v>
      </c>
      <c r="E759" s="76">
        <v>562.53333333333296</v>
      </c>
      <c r="F759" s="77">
        <v>108.5</v>
      </c>
      <c r="G759" s="77">
        <v>1144.1600000000001</v>
      </c>
      <c r="H759" s="77">
        <v>0</v>
      </c>
    </row>
    <row r="760" spans="1:8" x14ac:dyDescent="0.25">
      <c r="A760" s="34">
        <f t="shared" si="25"/>
        <v>3</v>
      </c>
      <c r="B760" s="35">
        <v>756</v>
      </c>
      <c r="C760" s="36">
        <f t="shared" si="26"/>
        <v>63</v>
      </c>
      <c r="D760" s="76">
        <v>13.9</v>
      </c>
      <c r="E760" s="76">
        <v>554.58166666666705</v>
      </c>
      <c r="F760" s="77">
        <v>106.75</v>
      </c>
      <c r="G760" s="77">
        <v>1144.1600000000001</v>
      </c>
      <c r="H760" s="77">
        <v>0</v>
      </c>
    </row>
    <row r="761" spans="1:8" x14ac:dyDescent="0.25">
      <c r="A761" s="34">
        <f t="shared" si="25"/>
        <v>3</v>
      </c>
      <c r="B761" s="35">
        <v>757</v>
      </c>
      <c r="C761" s="36">
        <f t="shared" si="26"/>
        <v>63.083333333333329</v>
      </c>
      <c r="D761" s="76">
        <v>14</v>
      </c>
      <c r="E761" s="76">
        <v>546.63</v>
      </c>
      <c r="F761" s="77">
        <v>105</v>
      </c>
      <c r="G761" s="77">
        <v>1144.1600000000001</v>
      </c>
      <c r="H761" s="77">
        <v>0</v>
      </c>
    </row>
    <row r="762" spans="1:8" x14ac:dyDescent="0.25">
      <c r="A762" s="34">
        <f t="shared" si="25"/>
        <v>3</v>
      </c>
      <c r="B762" s="35">
        <v>758</v>
      </c>
      <c r="C762" s="36">
        <f t="shared" si="26"/>
        <v>63.166666666666664</v>
      </c>
      <c r="D762" s="76">
        <v>14.0416666666667</v>
      </c>
      <c r="E762" s="76">
        <v>512.04416666666702</v>
      </c>
      <c r="F762" s="77">
        <v>107.625</v>
      </c>
      <c r="G762" s="77">
        <v>1146.3216666666699</v>
      </c>
      <c r="H762" s="77">
        <v>11.3333333333333</v>
      </c>
    </row>
    <row r="763" spans="1:8" x14ac:dyDescent="0.25">
      <c r="A763" s="34">
        <f t="shared" si="25"/>
        <v>3</v>
      </c>
      <c r="B763" s="35">
        <v>759</v>
      </c>
      <c r="C763" s="36">
        <f t="shared" si="26"/>
        <v>63.25</v>
      </c>
      <c r="D763" s="76">
        <v>14.0833333333333</v>
      </c>
      <c r="E763" s="76">
        <v>477.45833333333297</v>
      </c>
      <c r="F763" s="77">
        <v>110.25</v>
      </c>
      <c r="G763" s="77">
        <v>1148.4833333333299</v>
      </c>
      <c r="H763" s="77">
        <v>22.6666666666667</v>
      </c>
    </row>
    <row r="764" spans="1:8" x14ac:dyDescent="0.25">
      <c r="A764" s="34">
        <f t="shared" si="25"/>
        <v>3</v>
      </c>
      <c r="B764" s="35">
        <v>760</v>
      </c>
      <c r="C764" s="36">
        <f t="shared" si="26"/>
        <v>63.333333333333329</v>
      </c>
      <c r="D764" s="76">
        <v>14.125</v>
      </c>
      <c r="E764" s="76">
        <v>442.8725</v>
      </c>
      <c r="F764" s="77">
        <v>112.875</v>
      </c>
      <c r="G764" s="77">
        <v>1150.645</v>
      </c>
      <c r="H764" s="77">
        <v>34</v>
      </c>
    </row>
    <row r="765" spans="1:8" x14ac:dyDescent="0.25">
      <c r="A765" s="34">
        <f t="shared" si="25"/>
        <v>3</v>
      </c>
      <c r="B765" s="35">
        <v>761</v>
      </c>
      <c r="C765" s="36">
        <f t="shared" si="26"/>
        <v>63.416666666666664</v>
      </c>
      <c r="D765" s="76">
        <v>14.1666666666667</v>
      </c>
      <c r="E765" s="76">
        <v>408.28666666666697</v>
      </c>
      <c r="F765" s="77">
        <v>115.5</v>
      </c>
      <c r="G765" s="77">
        <v>1152.80666666667</v>
      </c>
      <c r="H765" s="77">
        <v>45.3333333333333</v>
      </c>
    </row>
    <row r="766" spans="1:8" x14ac:dyDescent="0.25">
      <c r="A766" s="34">
        <f t="shared" si="25"/>
        <v>3</v>
      </c>
      <c r="B766" s="35">
        <v>762</v>
      </c>
      <c r="C766" s="36">
        <f t="shared" si="26"/>
        <v>63.5</v>
      </c>
      <c r="D766" s="76">
        <v>14.2083333333333</v>
      </c>
      <c r="E766" s="76">
        <v>373.70083333333298</v>
      </c>
      <c r="F766" s="77">
        <v>118.125</v>
      </c>
      <c r="G766" s="77">
        <v>1154.9683333333301</v>
      </c>
      <c r="H766" s="77">
        <v>56.6666666666667</v>
      </c>
    </row>
    <row r="767" spans="1:8" x14ac:dyDescent="0.25">
      <c r="A767" s="34">
        <f t="shared" si="25"/>
        <v>3</v>
      </c>
      <c r="B767" s="35">
        <v>763</v>
      </c>
      <c r="C767" s="36">
        <f t="shared" si="26"/>
        <v>63.583333333333329</v>
      </c>
      <c r="D767" s="76">
        <v>14.25</v>
      </c>
      <c r="E767" s="76">
        <v>339.11500000000001</v>
      </c>
      <c r="F767" s="77">
        <v>120.75</v>
      </c>
      <c r="G767" s="77">
        <v>1157.1300000000001</v>
      </c>
      <c r="H767" s="77">
        <v>68</v>
      </c>
    </row>
    <row r="768" spans="1:8" x14ac:dyDescent="0.25">
      <c r="A768" s="34">
        <f t="shared" si="25"/>
        <v>3</v>
      </c>
      <c r="B768" s="35">
        <v>764</v>
      </c>
      <c r="C768" s="36">
        <f t="shared" si="26"/>
        <v>63.666666666666664</v>
      </c>
      <c r="D768" s="76">
        <v>14.2916666666667</v>
      </c>
      <c r="E768" s="76">
        <v>304.52916666666698</v>
      </c>
      <c r="F768" s="77">
        <v>123.375</v>
      </c>
      <c r="G768" s="77">
        <v>1159.2916666666699</v>
      </c>
      <c r="H768" s="77">
        <v>79.3333333333333</v>
      </c>
    </row>
    <row r="769" spans="1:8" x14ac:dyDescent="0.25">
      <c r="A769" s="34">
        <f t="shared" si="25"/>
        <v>3</v>
      </c>
      <c r="B769" s="35">
        <v>765</v>
      </c>
      <c r="C769" s="36">
        <f t="shared" si="26"/>
        <v>63.75</v>
      </c>
      <c r="D769" s="76">
        <v>14.3333333333333</v>
      </c>
      <c r="E769" s="76">
        <v>269.94333333333299</v>
      </c>
      <c r="F769" s="77">
        <v>126</v>
      </c>
      <c r="G769" s="77">
        <v>1161.45333333333</v>
      </c>
      <c r="H769" s="77">
        <v>90.6666666666667</v>
      </c>
    </row>
    <row r="770" spans="1:8" x14ac:dyDescent="0.25">
      <c r="A770" s="34">
        <f t="shared" si="25"/>
        <v>3</v>
      </c>
      <c r="B770" s="35">
        <v>766</v>
      </c>
      <c r="C770" s="36">
        <f t="shared" si="26"/>
        <v>63.833333333333329</v>
      </c>
      <c r="D770" s="76">
        <v>14.375</v>
      </c>
      <c r="E770" s="76">
        <v>235.35749999999999</v>
      </c>
      <c r="F770" s="77">
        <v>128.625</v>
      </c>
      <c r="G770" s="77">
        <v>1163.615</v>
      </c>
      <c r="H770" s="77">
        <v>102</v>
      </c>
    </row>
    <row r="771" spans="1:8" x14ac:dyDescent="0.25">
      <c r="A771" s="34">
        <f t="shared" si="25"/>
        <v>3</v>
      </c>
      <c r="B771" s="35">
        <v>767</v>
      </c>
      <c r="C771" s="36">
        <f t="shared" si="26"/>
        <v>63.916666666666664</v>
      </c>
      <c r="D771" s="76">
        <v>14.4166666666667</v>
      </c>
      <c r="E771" s="76">
        <v>200.77166666666699</v>
      </c>
      <c r="F771" s="77">
        <v>131.25</v>
      </c>
      <c r="G771" s="77">
        <v>1165.7766666666701</v>
      </c>
      <c r="H771" s="77">
        <v>113.333333333333</v>
      </c>
    </row>
    <row r="772" spans="1:8" x14ac:dyDescent="0.25">
      <c r="A772" s="34">
        <f t="shared" si="25"/>
        <v>3</v>
      </c>
      <c r="B772" s="35">
        <v>768</v>
      </c>
      <c r="C772" s="36">
        <f t="shared" si="26"/>
        <v>64</v>
      </c>
      <c r="D772" s="76">
        <v>14.4583333333333</v>
      </c>
      <c r="E772" s="76">
        <v>166.18583333333299</v>
      </c>
      <c r="F772" s="77">
        <v>133.875</v>
      </c>
      <c r="G772" s="77">
        <v>1167.9383333333301</v>
      </c>
      <c r="H772" s="77">
        <v>124.666666666667</v>
      </c>
    </row>
    <row r="773" spans="1:8" x14ac:dyDescent="0.25">
      <c r="A773" s="34">
        <f t="shared" si="25"/>
        <v>3</v>
      </c>
      <c r="B773" s="35">
        <v>769</v>
      </c>
      <c r="C773" s="36">
        <f t="shared" si="26"/>
        <v>64.083333333333329</v>
      </c>
      <c r="D773" s="76">
        <v>14.5</v>
      </c>
      <c r="E773" s="76">
        <v>131.6</v>
      </c>
      <c r="F773" s="77">
        <v>136.5</v>
      </c>
      <c r="G773" s="77">
        <v>1170.0999999999999</v>
      </c>
      <c r="H773" s="77">
        <v>136</v>
      </c>
    </row>
    <row r="774" spans="1:8" x14ac:dyDescent="0.25">
      <c r="A774" s="34">
        <f t="shared" si="25"/>
        <v>3</v>
      </c>
      <c r="B774" s="35">
        <v>770</v>
      </c>
      <c r="C774" s="36">
        <f t="shared" si="26"/>
        <v>64.166666666666657</v>
      </c>
      <c r="D774" s="76">
        <v>14.3166666666667</v>
      </c>
      <c r="E774" s="76">
        <v>120.633333333333</v>
      </c>
      <c r="F774" s="77">
        <v>142.625</v>
      </c>
      <c r="G774" s="77">
        <v>1174.56416666667</v>
      </c>
      <c r="H774" s="77">
        <v>136</v>
      </c>
    </row>
    <row r="775" spans="1:8" x14ac:dyDescent="0.25">
      <c r="A775" s="34">
        <f t="shared" si="25"/>
        <v>3</v>
      </c>
      <c r="B775" s="35">
        <v>771</v>
      </c>
      <c r="C775" s="36">
        <f t="shared" si="26"/>
        <v>64.25</v>
      </c>
      <c r="D775" s="76">
        <v>14.133333333333301</v>
      </c>
      <c r="E775" s="76">
        <v>109.666666666667</v>
      </c>
      <c r="F775" s="77">
        <v>148.75</v>
      </c>
      <c r="G775" s="77">
        <v>1179.02833333333</v>
      </c>
      <c r="H775" s="77">
        <v>136</v>
      </c>
    </row>
    <row r="776" spans="1:8" x14ac:dyDescent="0.25">
      <c r="A776" s="34">
        <f t="shared" si="25"/>
        <v>3</v>
      </c>
      <c r="B776" s="35">
        <v>772</v>
      </c>
      <c r="C776" s="36">
        <f t="shared" si="26"/>
        <v>64.333333333333329</v>
      </c>
      <c r="D776" s="76">
        <v>13.95</v>
      </c>
      <c r="E776" s="76">
        <v>98.7</v>
      </c>
      <c r="F776" s="77">
        <v>154.875</v>
      </c>
      <c r="G776" s="77">
        <v>1183.4925000000001</v>
      </c>
      <c r="H776" s="77">
        <v>136</v>
      </c>
    </row>
    <row r="777" spans="1:8" x14ac:dyDescent="0.25">
      <c r="A777" s="34">
        <f t="shared" si="25"/>
        <v>3</v>
      </c>
      <c r="B777" s="35">
        <v>773</v>
      </c>
      <c r="C777" s="36">
        <f t="shared" si="26"/>
        <v>64.416666666666657</v>
      </c>
      <c r="D777" s="76">
        <v>13.766666666666699</v>
      </c>
      <c r="E777" s="76">
        <v>87.733333333333306</v>
      </c>
      <c r="F777" s="77">
        <v>161</v>
      </c>
      <c r="G777" s="77">
        <v>1187.9566666666699</v>
      </c>
      <c r="H777" s="77">
        <v>136</v>
      </c>
    </row>
    <row r="778" spans="1:8" x14ac:dyDescent="0.25">
      <c r="A778" s="34">
        <f t="shared" si="25"/>
        <v>3</v>
      </c>
      <c r="B778" s="35">
        <v>774</v>
      </c>
      <c r="C778" s="36">
        <f t="shared" si="26"/>
        <v>64.5</v>
      </c>
      <c r="D778" s="76">
        <v>13.5833333333333</v>
      </c>
      <c r="E778" s="76">
        <v>76.766666666666694</v>
      </c>
      <c r="F778" s="77">
        <v>167.125</v>
      </c>
      <c r="G778" s="77">
        <v>1192.4208333333299</v>
      </c>
      <c r="H778" s="77">
        <v>136</v>
      </c>
    </row>
    <row r="779" spans="1:8" x14ac:dyDescent="0.25">
      <c r="A779" s="34">
        <f t="shared" si="25"/>
        <v>3</v>
      </c>
      <c r="B779" s="35">
        <v>775</v>
      </c>
      <c r="C779" s="36">
        <f t="shared" si="26"/>
        <v>64.583333333333329</v>
      </c>
      <c r="D779" s="76">
        <v>13.4</v>
      </c>
      <c r="E779" s="76">
        <v>65.8</v>
      </c>
      <c r="F779" s="77">
        <v>173.25</v>
      </c>
      <c r="G779" s="77">
        <v>1196.885</v>
      </c>
      <c r="H779" s="77">
        <v>136</v>
      </c>
    </row>
    <row r="780" spans="1:8" x14ac:dyDescent="0.25">
      <c r="A780" s="34">
        <f t="shared" si="25"/>
        <v>3</v>
      </c>
      <c r="B780" s="35">
        <v>776</v>
      </c>
      <c r="C780" s="36">
        <f t="shared" si="26"/>
        <v>64.666666666666657</v>
      </c>
      <c r="D780" s="76">
        <v>13.216666666666701</v>
      </c>
      <c r="E780" s="76">
        <v>54.8333333333333</v>
      </c>
      <c r="F780" s="77">
        <v>179.375</v>
      </c>
      <c r="G780" s="77">
        <v>1201.34916666667</v>
      </c>
      <c r="H780" s="77">
        <v>136</v>
      </c>
    </row>
    <row r="781" spans="1:8" x14ac:dyDescent="0.25">
      <c r="A781" s="34">
        <f t="shared" si="25"/>
        <v>3</v>
      </c>
      <c r="B781" s="35">
        <v>777</v>
      </c>
      <c r="C781" s="36">
        <f t="shared" si="26"/>
        <v>64.75</v>
      </c>
      <c r="D781" s="76">
        <v>13.033333333333299</v>
      </c>
      <c r="E781" s="76">
        <v>43.866666666666703</v>
      </c>
      <c r="F781" s="77">
        <v>185.5</v>
      </c>
      <c r="G781" s="77">
        <v>1205.8133333333301</v>
      </c>
      <c r="H781" s="77">
        <v>136</v>
      </c>
    </row>
    <row r="782" spans="1:8" x14ac:dyDescent="0.25">
      <c r="A782" s="34">
        <f t="shared" si="25"/>
        <v>3</v>
      </c>
      <c r="B782" s="35">
        <v>778</v>
      </c>
      <c r="C782" s="36">
        <f t="shared" si="26"/>
        <v>64.833333333333329</v>
      </c>
      <c r="D782" s="76">
        <v>12.85</v>
      </c>
      <c r="E782" s="76">
        <v>32.9</v>
      </c>
      <c r="F782" s="77">
        <v>191.625</v>
      </c>
      <c r="G782" s="77">
        <v>1210.2774999999999</v>
      </c>
      <c r="H782" s="77">
        <v>136</v>
      </c>
    </row>
    <row r="783" spans="1:8" x14ac:dyDescent="0.25">
      <c r="A783" s="34">
        <f t="shared" si="25"/>
        <v>3</v>
      </c>
      <c r="B783" s="35">
        <v>779</v>
      </c>
      <c r="C783" s="36">
        <f t="shared" si="26"/>
        <v>64.916666666666657</v>
      </c>
      <c r="D783" s="76">
        <v>12.6666666666667</v>
      </c>
      <c r="E783" s="76">
        <v>21.933333333333302</v>
      </c>
      <c r="F783" s="77">
        <v>197.75</v>
      </c>
      <c r="G783" s="77">
        <v>1214.74166666667</v>
      </c>
      <c r="H783" s="77">
        <v>136</v>
      </c>
    </row>
    <row r="784" spans="1:8" x14ac:dyDescent="0.25">
      <c r="A784" s="34">
        <f t="shared" si="25"/>
        <v>3</v>
      </c>
      <c r="B784" s="35">
        <v>780</v>
      </c>
      <c r="C784" s="36">
        <f t="shared" si="26"/>
        <v>65</v>
      </c>
      <c r="D784" s="76">
        <v>12.483333333333301</v>
      </c>
      <c r="E784" s="76">
        <v>10.966666666666701</v>
      </c>
      <c r="F784" s="77">
        <v>203.875</v>
      </c>
      <c r="G784" s="77">
        <v>1219.20583333333</v>
      </c>
      <c r="H784" s="77">
        <v>136</v>
      </c>
    </row>
    <row r="785" spans="1:8" x14ac:dyDescent="0.25">
      <c r="A785" s="34">
        <f t="shared" si="25"/>
        <v>3</v>
      </c>
      <c r="B785" s="35">
        <v>781</v>
      </c>
      <c r="C785" s="36">
        <f t="shared" si="26"/>
        <v>65.083333333333329</v>
      </c>
      <c r="D785" s="76">
        <v>12.3</v>
      </c>
      <c r="E785" s="76">
        <v>0</v>
      </c>
      <c r="F785" s="77">
        <v>210</v>
      </c>
      <c r="G785" s="77">
        <v>1223.67</v>
      </c>
      <c r="H785" s="77">
        <v>136</v>
      </c>
    </row>
    <row r="786" spans="1:8" x14ac:dyDescent="0.25">
      <c r="A786" s="34">
        <f t="shared" si="25"/>
        <v>3</v>
      </c>
      <c r="B786" s="35">
        <v>782</v>
      </c>
      <c r="C786" s="36">
        <f t="shared" si="26"/>
        <v>65.166666666666657</v>
      </c>
      <c r="D786" s="76">
        <v>12.133333333333301</v>
      </c>
      <c r="E786" s="76">
        <v>0</v>
      </c>
      <c r="F786" s="77">
        <v>253.75</v>
      </c>
      <c r="G786" s="77">
        <v>1320.4375</v>
      </c>
      <c r="H786" s="77">
        <v>147.333333333333</v>
      </c>
    </row>
    <row r="787" spans="1:8" x14ac:dyDescent="0.25">
      <c r="A787" s="34">
        <f t="shared" si="25"/>
        <v>3</v>
      </c>
      <c r="B787" s="35">
        <v>783</v>
      </c>
      <c r="C787" s="36">
        <f t="shared" si="26"/>
        <v>65.25</v>
      </c>
      <c r="D787" s="76">
        <v>11.966666666666701</v>
      </c>
      <c r="E787" s="76">
        <v>0</v>
      </c>
      <c r="F787" s="77">
        <v>297.5</v>
      </c>
      <c r="G787" s="77">
        <v>1417.2049999999999</v>
      </c>
      <c r="H787" s="77">
        <v>158.666666666667</v>
      </c>
    </row>
    <row r="788" spans="1:8" x14ac:dyDescent="0.25">
      <c r="A788" s="34">
        <f t="shared" si="25"/>
        <v>3</v>
      </c>
      <c r="B788" s="35">
        <v>784</v>
      </c>
      <c r="C788" s="36">
        <f t="shared" si="26"/>
        <v>65.333333333333329</v>
      </c>
      <c r="D788" s="76">
        <v>11.8</v>
      </c>
      <c r="E788" s="76">
        <v>0</v>
      </c>
      <c r="F788" s="77">
        <v>341.25</v>
      </c>
      <c r="G788" s="77">
        <v>1513.9725000000001</v>
      </c>
      <c r="H788" s="77">
        <v>170</v>
      </c>
    </row>
    <row r="789" spans="1:8" x14ac:dyDescent="0.25">
      <c r="A789" s="34">
        <f t="shared" si="25"/>
        <v>3</v>
      </c>
      <c r="B789" s="35">
        <v>785</v>
      </c>
      <c r="C789" s="36">
        <f t="shared" si="26"/>
        <v>65.416666666666657</v>
      </c>
      <c r="D789" s="76">
        <v>11.633333333333301</v>
      </c>
      <c r="E789" s="76">
        <v>0</v>
      </c>
      <c r="F789" s="77">
        <v>385</v>
      </c>
      <c r="G789" s="77">
        <v>1610.74</v>
      </c>
      <c r="H789" s="77">
        <v>181.333333333333</v>
      </c>
    </row>
    <row r="790" spans="1:8" x14ac:dyDescent="0.25">
      <c r="A790" s="34">
        <f t="shared" si="25"/>
        <v>3</v>
      </c>
      <c r="B790" s="35">
        <v>786</v>
      </c>
      <c r="C790" s="36">
        <f t="shared" si="26"/>
        <v>65.5</v>
      </c>
      <c r="D790" s="76">
        <v>11.466666666666701</v>
      </c>
      <c r="E790" s="76">
        <v>0</v>
      </c>
      <c r="F790" s="77">
        <v>428.75</v>
      </c>
      <c r="G790" s="77">
        <v>1707.5074999999999</v>
      </c>
      <c r="H790" s="77">
        <v>192.666666666667</v>
      </c>
    </row>
    <row r="791" spans="1:8" x14ac:dyDescent="0.25">
      <c r="A791" s="34">
        <f t="shared" si="25"/>
        <v>3</v>
      </c>
      <c r="B791" s="35">
        <v>787</v>
      </c>
      <c r="C791" s="36">
        <f t="shared" si="26"/>
        <v>65.583333333333329</v>
      </c>
      <c r="D791" s="76">
        <v>11.3</v>
      </c>
      <c r="E791" s="76">
        <v>0</v>
      </c>
      <c r="F791" s="77">
        <v>472.5</v>
      </c>
      <c r="G791" s="77">
        <v>1804.2750000000001</v>
      </c>
      <c r="H791" s="77">
        <v>204</v>
      </c>
    </row>
    <row r="792" spans="1:8" x14ac:dyDescent="0.25">
      <c r="A792" s="34">
        <f t="shared" si="25"/>
        <v>3</v>
      </c>
      <c r="B792" s="35">
        <v>788</v>
      </c>
      <c r="C792" s="36">
        <f t="shared" si="26"/>
        <v>65.666666666666657</v>
      </c>
      <c r="D792" s="76">
        <v>11.133333333333301</v>
      </c>
      <c r="E792" s="76">
        <v>0</v>
      </c>
      <c r="F792" s="77">
        <v>516.25</v>
      </c>
      <c r="G792" s="77">
        <v>1901.0425</v>
      </c>
      <c r="H792" s="77">
        <v>215.333333333333</v>
      </c>
    </row>
    <row r="793" spans="1:8" x14ac:dyDescent="0.25">
      <c r="A793" s="34">
        <f t="shared" si="25"/>
        <v>3</v>
      </c>
      <c r="B793" s="35">
        <v>789</v>
      </c>
      <c r="C793" s="36">
        <f t="shared" si="26"/>
        <v>65.75</v>
      </c>
      <c r="D793" s="76">
        <v>10.966666666666701</v>
      </c>
      <c r="E793" s="76">
        <v>0</v>
      </c>
      <c r="F793" s="77">
        <v>560</v>
      </c>
      <c r="G793" s="77">
        <v>1997.81</v>
      </c>
      <c r="H793" s="77">
        <v>226.666666666667</v>
      </c>
    </row>
    <row r="794" spans="1:8" x14ac:dyDescent="0.25">
      <c r="A794" s="34">
        <f t="shared" si="25"/>
        <v>3</v>
      </c>
      <c r="B794" s="35">
        <v>790</v>
      </c>
      <c r="C794" s="36">
        <f t="shared" si="26"/>
        <v>65.833333333333329</v>
      </c>
      <c r="D794" s="76">
        <v>10.8</v>
      </c>
      <c r="E794" s="76">
        <v>0</v>
      </c>
      <c r="F794" s="77">
        <v>603.75</v>
      </c>
      <c r="G794" s="77">
        <v>2094.5774999999999</v>
      </c>
      <c r="H794" s="77">
        <v>238</v>
      </c>
    </row>
    <row r="795" spans="1:8" x14ac:dyDescent="0.25">
      <c r="A795" s="34">
        <f t="shared" si="25"/>
        <v>3</v>
      </c>
      <c r="B795" s="35">
        <v>791</v>
      </c>
      <c r="C795" s="36">
        <f t="shared" si="26"/>
        <v>65.916666666666657</v>
      </c>
      <c r="D795" s="76">
        <v>10.633333333333301</v>
      </c>
      <c r="E795" s="76">
        <v>0</v>
      </c>
      <c r="F795" s="77">
        <v>647.5</v>
      </c>
      <c r="G795" s="77">
        <v>2191.3449999999998</v>
      </c>
      <c r="H795" s="77">
        <v>249.333333333333</v>
      </c>
    </row>
    <row r="796" spans="1:8" x14ac:dyDescent="0.25">
      <c r="A796" s="34">
        <f t="shared" si="25"/>
        <v>3</v>
      </c>
      <c r="B796" s="35">
        <v>792</v>
      </c>
      <c r="C796" s="36">
        <f t="shared" si="26"/>
        <v>66</v>
      </c>
      <c r="D796" s="76">
        <v>10.466666666666701</v>
      </c>
      <c r="E796" s="76">
        <v>0</v>
      </c>
      <c r="F796" s="77">
        <v>691.25</v>
      </c>
      <c r="G796" s="77">
        <v>2288.1125000000002</v>
      </c>
      <c r="H796" s="77">
        <v>260.66666666666703</v>
      </c>
    </row>
    <row r="797" spans="1:8" x14ac:dyDescent="0.25">
      <c r="A797" s="34">
        <f t="shared" si="25"/>
        <v>3</v>
      </c>
      <c r="B797" s="35">
        <v>793</v>
      </c>
      <c r="C797" s="36">
        <f t="shared" si="26"/>
        <v>66.083333333333329</v>
      </c>
      <c r="D797" s="76">
        <v>10.3</v>
      </c>
      <c r="E797" s="76">
        <v>0</v>
      </c>
      <c r="F797" s="77">
        <v>735</v>
      </c>
      <c r="G797" s="77">
        <v>2384.88</v>
      </c>
      <c r="H797" s="77">
        <v>272</v>
      </c>
    </row>
    <row r="798" spans="1:8" x14ac:dyDescent="0.25">
      <c r="A798" s="34">
        <f t="shared" si="25"/>
        <v>3</v>
      </c>
      <c r="B798" s="35">
        <v>794</v>
      </c>
      <c r="C798" s="36">
        <f t="shared" si="26"/>
        <v>66.166666666666657</v>
      </c>
      <c r="D798" s="76">
        <v>10.175000000000001</v>
      </c>
      <c r="E798" s="76">
        <v>0</v>
      </c>
      <c r="F798" s="77">
        <v>724.76666666666699</v>
      </c>
      <c r="G798" s="77">
        <v>2326.1658333333298</v>
      </c>
      <c r="H798" s="77">
        <v>339.98333333333301</v>
      </c>
    </row>
    <row r="799" spans="1:8" x14ac:dyDescent="0.25">
      <c r="A799" s="34">
        <f t="shared" si="25"/>
        <v>3</v>
      </c>
      <c r="B799" s="35">
        <v>795</v>
      </c>
      <c r="C799" s="36">
        <f t="shared" si="26"/>
        <v>66.25</v>
      </c>
      <c r="D799" s="76">
        <v>10.050000000000001</v>
      </c>
      <c r="E799" s="76">
        <v>0</v>
      </c>
      <c r="F799" s="77">
        <v>714.53333333333296</v>
      </c>
      <c r="G799" s="77">
        <v>2267.45166666667</v>
      </c>
      <c r="H799" s="77">
        <v>407.96666666666698</v>
      </c>
    </row>
    <row r="800" spans="1:8" x14ac:dyDescent="0.25">
      <c r="A800" s="34">
        <f t="shared" si="25"/>
        <v>3</v>
      </c>
      <c r="B800" s="35">
        <v>796</v>
      </c>
      <c r="C800" s="36">
        <f t="shared" si="26"/>
        <v>66.333333333333329</v>
      </c>
      <c r="D800" s="76">
        <v>9.9250000000000007</v>
      </c>
      <c r="E800" s="76">
        <v>0</v>
      </c>
      <c r="F800" s="77">
        <v>704.3</v>
      </c>
      <c r="G800" s="77">
        <v>2208.7375000000002</v>
      </c>
      <c r="H800" s="77">
        <v>475.95</v>
      </c>
    </row>
    <row r="801" spans="1:8" x14ac:dyDescent="0.25">
      <c r="A801" s="34">
        <f t="shared" si="25"/>
        <v>3</v>
      </c>
      <c r="B801" s="35">
        <v>797</v>
      </c>
      <c r="C801" s="36">
        <f t="shared" si="26"/>
        <v>66.416666666666657</v>
      </c>
      <c r="D801" s="76">
        <v>9.8000000000000007</v>
      </c>
      <c r="E801" s="76">
        <v>0</v>
      </c>
      <c r="F801" s="77">
        <v>694.06666666666695</v>
      </c>
      <c r="G801" s="77">
        <v>2150.0233333333299</v>
      </c>
      <c r="H801" s="77">
        <v>543.93333333333305</v>
      </c>
    </row>
    <row r="802" spans="1:8" x14ac:dyDescent="0.25">
      <c r="A802" s="34">
        <f t="shared" si="25"/>
        <v>3</v>
      </c>
      <c r="B802" s="35">
        <v>798</v>
      </c>
      <c r="C802" s="36">
        <f t="shared" si="26"/>
        <v>66.5</v>
      </c>
      <c r="D802" s="76">
        <v>9.6750000000000007</v>
      </c>
      <c r="E802" s="76">
        <v>0</v>
      </c>
      <c r="F802" s="77">
        <v>683.83333333333303</v>
      </c>
      <c r="G802" s="77">
        <v>2091.3091666666701</v>
      </c>
      <c r="H802" s="77">
        <v>611.91666666666697</v>
      </c>
    </row>
    <row r="803" spans="1:8" x14ac:dyDescent="0.25">
      <c r="A803" s="34">
        <f t="shared" si="25"/>
        <v>3</v>
      </c>
      <c r="B803" s="35">
        <v>799</v>
      </c>
      <c r="C803" s="36">
        <f t="shared" si="26"/>
        <v>66.583333333333329</v>
      </c>
      <c r="D803" s="76">
        <v>9.5500000000000007</v>
      </c>
      <c r="E803" s="76">
        <v>0</v>
      </c>
      <c r="F803" s="77">
        <v>673.6</v>
      </c>
      <c r="G803" s="77">
        <v>2032.595</v>
      </c>
      <c r="H803" s="77">
        <v>679.9</v>
      </c>
    </row>
    <row r="804" spans="1:8" x14ac:dyDescent="0.25">
      <c r="A804" s="34">
        <f t="shared" si="25"/>
        <v>3</v>
      </c>
      <c r="B804" s="35">
        <v>800</v>
      </c>
      <c r="C804" s="36">
        <f t="shared" si="26"/>
        <v>66.666666666666657</v>
      </c>
      <c r="D804" s="76">
        <v>9.4250000000000007</v>
      </c>
      <c r="E804" s="76">
        <v>0</v>
      </c>
      <c r="F804" s="77">
        <v>663.36666666666702</v>
      </c>
      <c r="G804" s="77">
        <v>1973.88083333333</v>
      </c>
      <c r="H804" s="77">
        <v>747.88333333333298</v>
      </c>
    </row>
    <row r="805" spans="1:8" x14ac:dyDescent="0.25">
      <c r="A805" s="34">
        <f t="shared" si="25"/>
        <v>3</v>
      </c>
      <c r="B805" s="35">
        <v>801</v>
      </c>
      <c r="C805" s="36">
        <f t="shared" si="26"/>
        <v>66.75</v>
      </c>
      <c r="D805" s="76">
        <v>9.3000000000000007</v>
      </c>
      <c r="E805" s="76">
        <v>0</v>
      </c>
      <c r="F805" s="77">
        <v>653.13333333333298</v>
      </c>
      <c r="G805" s="77">
        <v>1915.1666666666699</v>
      </c>
      <c r="H805" s="77">
        <v>815.86666666666702</v>
      </c>
    </row>
    <row r="806" spans="1:8" x14ac:dyDescent="0.25">
      <c r="A806" s="34">
        <f t="shared" si="25"/>
        <v>3</v>
      </c>
      <c r="B806" s="35">
        <v>802</v>
      </c>
      <c r="C806" s="36">
        <f t="shared" si="26"/>
        <v>66.833333333333329</v>
      </c>
      <c r="D806" s="76">
        <v>9.1750000000000007</v>
      </c>
      <c r="E806" s="76">
        <v>0</v>
      </c>
      <c r="F806" s="77">
        <v>642.9</v>
      </c>
      <c r="G806" s="77">
        <v>1856.4525000000001</v>
      </c>
      <c r="H806" s="77">
        <v>883.85</v>
      </c>
    </row>
    <row r="807" spans="1:8" x14ac:dyDescent="0.25">
      <c r="A807" s="34">
        <f t="shared" si="25"/>
        <v>3</v>
      </c>
      <c r="B807" s="35">
        <v>803</v>
      </c>
      <c r="C807" s="36">
        <f t="shared" si="26"/>
        <v>66.916666666666657</v>
      </c>
      <c r="D807" s="76">
        <v>9.0500000000000007</v>
      </c>
      <c r="E807" s="76">
        <v>0</v>
      </c>
      <c r="F807" s="77">
        <v>632.66666666666697</v>
      </c>
      <c r="G807" s="77">
        <v>1797.73833333333</v>
      </c>
      <c r="H807" s="77">
        <v>951.83333333333303</v>
      </c>
    </row>
    <row r="808" spans="1:8" x14ac:dyDescent="0.25">
      <c r="A808" s="34">
        <f t="shared" si="25"/>
        <v>3</v>
      </c>
      <c r="B808" s="35">
        <v>804</v>
      </c>
      <c r="C808" s="36">
        <f t="shared" si="26"/>
        <v>67</v>
      </c>
      <c r="D808" s="76">
        <v>8.9250000000000007</v>
      </c>
      <c r="E808" s="76">
        <v>0</v>
      </c>
      <c r="F808" s="77">
        <v>622.43333333333305</v>
      </c>
      <c r="G808" s="77">
        <v>1739.02416666667</v>
      </c>
      <c r="H808" s="77">
        <v>1019.81666666667</v>
      </c>
    </row>
    <row r="809" spans="1:8" x14ac:dyDescent="0.25">
      <c r="A809" s="34">
        <f t="shared" si="25"/>
        <v>3</v>
      </c>
      <c r="B809" s="35">
        <v>805</v>
      </c>
      <c r="C809" s="36">
        <f t="shared" si="26"/>
        <v>67.083333333333329</v>
      </c>
      <c r="D809" s="76">
        <v>8.8000000000000007</v>
      </c>
      <c r="E809" s="76">
        <v>0</v>
      </c>
      <c r="F809" s="77">
        <v>612.20000000000005</v>
      </c>
      <c r="G809" s="77">
        <v>1680.31</v>
      </c>
      <c r="H809" s="77">
        <v>1087.8</v>
      </c>
    </row>
    <row r="810" spans="1:8" x14ac:dyDescent="0.25">
      <c r="A810" s="34">
        <f t="shared" si="25"/>
        <v>3</v>
      </c>
      <c r="B810" s="35">
        <v>806</v>
      </c>
      <c r="C810" s="36">
        <f t="shared" si="26"/>
        <v>67.166666666666657</v>
      </c>
      <c r="D810" s="76">
        <v>8.6999999999999993</v>
      </c>
      <c r="E810" s="76">
        <v>0</v>
      </c>
      <c r="F810" s="77">
        <v>701.18333333333305</v>
      </c>
      <c r="G810" s="77">
        <v>1623.40916666667</v>
      </c>
      <c r="H810" s="77">
        <v>1087.8</v>
      </c>
    </row>
    <row r="811" spans="1:8" x14ac:dyDescent="0.25">
      <c r="A811" s="34">
        <f t="shared" si="25"/>
        <v>3</v>
      </c>
      <c r="B811" s="35">
        <v>807</v>
      </c>
      <c r="C811" s="36">
        <f t="shared" si="26"/>
        <v>67.25</v>
      </c>
      <c r="D811" s="76">
        <v>8.6</v>
      </c>
      <c r="E811" s="76">
        <v>0</v>
      </c>
      <c r="F811" s="77">
        <v>790.16666666666697</v>
      </c>
      <c r="G811" s="77">
        <v>1566.50833333333</v>
      </c>
      <c r="H811" s="77">
        <v>1087.8</v>
      </c>
    </row>
    <row r="812" spans="1:8" x14ac:dyDescent="0.25">
      <c r="A812" s="34">
        <f t="shared" si="25"/>
        <v>3</v>
      </c>
      <c r="B812" s="35">
        <v>808</v>
      </c>
      <c r="C812" s="36">
        <f t="shared" si="26"/>
        <v>67.333333333333329</v>
      </c>
      <c r="D812" s="76">
        <v>8.5</v>
      </c>
      <c r="E812" s="76">
        <v>0</v>
      </c>
      <c r="F812" s="77">
        <v>879.15</v>
      </c>
      <c r="G812" s="77">
        <v>1509.6075000000001</v>
      </c>
      <c r="H812" s="77">
        <v>1087.8</v>
      </c>
    </row>
    <row r="813" spans="1:8" x14ac:dyDescent="0.25">
      <c r="A813" s="34">
        <f t="shared" si="25"/>
        <v>3</v>
      </c>
      <c r="B813" s="35">
        <v>809</v>
      </c>
      <c r="C813" s="36">
        <f t="shared" si="26"/>
        <v>67.416666666666657</v>
      </c>
      <c r="D813" s="76">
        <v>8.4</v>
      </c>
      <c r="E813" s="76">
        <v>0</v>
      </c>
      <c r="F813" s="77">
        <v>968.13333333333298</v>
      </c>
      <c r="G813" s="77">
        <v>1452.7066666666699</v>
      </c>
      <c r="H813" s="77">
        <v>1087.8</v>
      </c>
    </row>
    <row r="814" spans="1:8" x14ac:dyDescent="0.25">
      <c r="A814" s="34">
        <f t="shared" si="25"/>
        <v>3</v>
      </c>
      <c r="B814" s="35">
        <v>810</v>
      </c>
      <c r="C814" s="36">
        <f t="shared" si="26"/>
        <v>67.5</v>
      </c>
      <c r="D814" s="76">
        <v>8.3000000000000007</v>
      </c>
      <c r="E814" s="76">
        <v>0</v>
      </c>
      <c r="F814" s="77">
        <v>1057.11666666667</v>
      </c>
      <c r="G814" s="77">
        <v>1395.8058333333299</v>
      </c>
      <c r="H814" s="77">
        <v>1087.8</v>
      </c>
    </row>
    <row r="815" spans="1:8" x14ac:dyDescent="0.25">
      <c r="A815" s="34">
        <f t="shared" si="25"/>
        <v>3</v>
      </c>
      <c r="B815" s="35">
        <v>811</v>
      </c>
      <c r="C815" s="36">
        <f t="shared" si="26"/>
        <v>67.583333333333329</v>
      </c>
      <c r="D815" s="76">
        <v>8.1999999999999993</v>
      </c>
      <c r="E815" s="76">
        <v>0</v>
      </c>
      <c r="F815" s="77">
        <v>1146.0999999999999</v>
      </c>
      <c r="G815" s="77">
        <v>1338.905</v>
      </c>
      <c r="H815" s="77">
        <v>1087.8</v>
      </c>
    </row>
    <row r="816" spans="1:8" x14ac:dyDescent="0.25">
      <c r="A816" s="34">
        <f t="shared" si="25"/>
        <v>3</v>
      </c>
      <c r="B816" s="35">
        <v>812</v>
      </c>
      <c r="C816" s="36">
        <f t="shared" si="26"/>
        <v>67.666666666666657</v>
      </c>
      <c r="D816" s="76">
        <v>8.1</v>
      </c>
      <c r="E816" s="76">
        <v>0</v>
      </c>
      <c r="F816" s="77">
        <v>1235.0833333333301</v>
      </c>
      <c r="G816" s="77">
        <v>1282.00416666667</v>
      </c>
      <c r="H816" s="77">
        <v>1087.8</v>
      </c>
    </row>
    <row r="817" spans="1:8" x14ac:dyDescent="0.25">
      <c r="A817" s="34">
        <f t="shared" si="25"/>
        <v>3</v>
      </c>
      <c r="B817" s="35">
        <v>813</v>
      </c>
      <c r="C817" s="36">
        <f t="shared" si="26"/>
        <v>67.75</v>
      </c>
      <c r="D817" s="76">
        <v>8</v>
      </c>
      <c r="E817" s="76">
        <v>0</v>
      </c>
      <c r="F817" s="77">
        <v>1324.06666666667</v>
      </c>
      <c r="G817" s="77">
        <v>1225.1033333333301</v>
      </c>
      <c r="H817" s="77">
        <v>1087.8</v>
      </c>
    </row>
    <row r="818" spans="1:8" x14ac:dyDescent="0.25">
      <c r="A818" s="34">
        <f t="shared" si="25"/>
        <v>3</v>
      </c>
      <c r="B818" s="35">
        <v>814</v>
      </c>
      <c r="C818" s="36">
        <f t="shared" si="26"/>
        <v>67.833333333333329</v>
      </c>
      <c r="D818" s="76">
        <v>7.9</v>
      </c>
      <c r="E818" s="76">
        <v>0</v>
      </c>
      <c r="F818" s="77">
        <v>1413.05</v>
      </c>
      <c r="G818" s="77">
        <v>1168.2025000000001</v>
      </c>
      <c r="H818" s="77">
        <v>1087.8</v>
      </c>
    </row>
    <row r="819" spans="1:8" x14ac:dyDescent="0.25">
      <c r="A819" s="34">
        <f t="shared" si="25"/>
        <v>3</v>
      </c>
      <c r="B819" s="35">
        <v>815</v>
      </c>
      <c r="C819" s="36">
        <f t="shared" si="26"/>
        <v>67.916666666666657</v>
      </c>
      <c r="D819" s="76">
        <v>7.8</v>
      </c>
      <c r="E819" s="76">
        <v>0</v>
      </c>
      <c r="F819" s="77">
        <v>1502.0333333333299</v>
      </c>
      <c r="G819" s="77">
        <v>1111.3016666666699</v>
      </c>
      <c r="H819" s="77">
        <v>1087.8</v>
      </c>
    </row>
    <row r="820" spans="1:8" x14ac:dyDescent="0.25">
      <c r="A820" s="34">
        <f t="shared" si="25"/>
        <v>3</v>
      </c>
      <c r="B820" s="35">
        <v>816</v>
      </c>
      <c r="C820" s="36">
        <f t="shared" si="26"/>
        <v>68</v>
      </c>
      <c r="D820" s="76">
        <v>7.7</v>
      </c>
      <c r="E820" s="76">
        <v>0</v>
      </c>
      <c r="F820" s="77">
        <v>1591.0166666666701</v>
      </c>
      <c r="G820" s="77">
        <v>1054.40083333333</v>
      </c>
      <c r="H820" s="77">
        <v>1087.8</v>
      </c>
    </row>
    <row r="821" spans="1:8" x14ac:dyDescent="0.25">
      <c r="A821" s="34">
        <f t="shared" ref="A821:A884" si="27">ROUNDUP(C821/24,0)</f>
        <v>3</v>
      </c>
      <c r="B821" s="35">
        <v>817</v>
      </c>
      <c r="C821" s="36">
        <f t="shared" ref="C821:C884" si="28">B821*$C$1</f>
        <v>68.083333333333329</v>
      </c>
      <c r="D821" s="76">
        <v>7.6</v>
      </c>
      <c r="E821" s="76">
        <v>0</v>
      </c>
      <c r="F821" s="77">
        <v>1680</v>
      </c>
      <c r="G821" s="77">
        <v>997.5</v>
      </c>
      <c r="H821" s="77">
        <v>1087.8</v>
      </c>
    </row>
    <row r="822" spans="1:8" x14ac:dyDescent="0.25">
      <c r="A822" s="34">
        <f t="shared" si="27"/>
        <v>3</v>
      </c>
      <c r="B822" s="35">
        <v>818</v>
      </c>
      <c r="C822" s="36">
        <f t="shared" si="28"/>
        <v>68.166666666666657</v>
      </c>
      <c r="D822" s="76">
        <v>7.4</v>
      </c>
      <c r="E822" s="76">
        <v>0</v>
      </c>
      <c r="F822" s="77">
        <v>1677.11666666667</v>
      </c>
      <c r="G822" s="77">
        <v>986.76333333333298</v>
      </c>
      <c r="H822" s="77">
        <v>1019.81666666667</v>
      </c>
    </row>
    <row r="823" spans="1:8" x14ac:dyDescent="0.25">
      <c r="A823" s="34">
        <f t="shared" si="27"/>
        <v>3</v>
      </c>
      <c r="B823" s="35">
        <v>819</v>
      </c>
      <c r="C823" s="36">
        <f t="shared" si="28"/>
        <v>68.25</v>
      </c>
      <c r="D823" s="76">
        <v>7.2</v>
      </c>
      <c r="E823" s="76">
        <v>0</v>
      </c>
      <c r="F823" s="77">
        <v>1674.2333333333299</v>
      </c>
      <c r="G823" s="77">
        <v>976.02666666666698</v>
      </c>
      <c r="H823" s="77">
        <v>951.83333333333303</v>
      </c>
    </row>
    <row r="824" spans="1:8" x14ac:dyDescent="0.25">
      <c r="A824" s="34">
        <f t="shared" si="27"/>
        <v>3</v>
      </c>
      <c r="B824" s="35">
        <v>820</v>
      </c>
      <c r="C824" s="36">
        <f t="shared" si="28"/>
        <v>68.333333333333329</v>
      </c>
      <c r="D824" s="76">
        <v>7</v>
      </c>
      <c r="E824" s="76">
        <v>0</v>
      </c>
      <c r="F824" s="77">
        <v>1671.35</v>
      </c>
      <c r="G824" s="77">
        <v>965.29</v>
      </c>
      <c r="H824" s="77">
        <v>883.85</v>
      </c>
    </row>
    <row r="825" spans="1:8" x14ac:dyDescent="0.25">
      <c r="A825" s="34">
        <f t="shared" si="27"/>
        <v>3</v>
      </c>
      <c r="B825" s="35">
        <v>821</v>
      </c>
      <c r="C825" s="36">
        <f t="shared" si="28"/>
        <v>68.416666666666657</v>
      </c>
      <c r="D825" s="76">
        <v>6.8</v>
      </c>
      <c r="E825" s="76">
        <v>0</v>
      </c>
      <c r="F825" s="77">
        <v>1668.4666666666701</v>
      </c>
      <c r="G825" s="77">
        <v>954.55333333333294</v>
      </c>
      <c r="H825" s="77">
        <v>815.86666666666702</v>
      </c>
    </row>
    <row r="826" spans="1:8" x14ac:dyDescent="0.25">
      <c r="A826" s="34">
        <f t="shared" si="27"/>
        <v>3</v>
      </c>
      <c r="B826" s="35">
        <v>822</v>
      </c>
      <c r="C826" s="36">
        <f t="shared" si="28"/>
        <v>68.5</v>
      </c>
      <c r="D826" s="76">
        <v>6.6</v>
      </c>
      <c r="E826" s="76">
        <v>0</v>
      </c>
      <c r="F826" s="77">
        <v>1665.5833333333301</v>
      </c>
      <c r="G826" s="77">
        <v>943.81666666666695</v>
      </c>
      <c r="H826" s="77">
        <v>747.88333333333298</v>
      </c>
    </row>
    <row r="827" spans="1:8" x14ac:dyDescent="0.25">
      <c r="A827" s="34">
        <f t="shared" si="27"/>
        <v>3</v>
      </c>
      <c r="B827" s="35">
        <v>823</v>
      </c>
      <c r="C827" s="36">
        <f t="shared" si="28"/>
        <v>68.583333333333329</v>
      </c>
      <c r="D827" s="76">
        <v>6.4</v>
      </c>
      <c r="E827" s="76">
        <v>0</v>
      </c>
      <c r="F827" s="77">
        <v>1662.7</v>
      </c>
      <c r="G827" s="77">
        <v>933.08</v>
      </c>
      <c r="H827" s="77">
        <v>679.9</v>
      </c>
    </row>
    <row r="828" spans="1:8" x14ac:dyDescent="0.25">
      <c r="A828" s="34">
        <f t="shared" si="27"/>
        <v>3</v>
      </c>
      <c r="B828" s="35">
        <v>824</v>
      </c>
      <c r="C828" s="36">
        <f t="shared" si="28"/>
        <v>68.666666666666657</v>
      </c>
      <c r="D828" s="76">
        <v>6.2</v>
      </c>
      <c r="E828" s="76">
        <v>0</v>
      </c>
      <c r="F828" s="77">
        <v>1659.81666666667</v>
      </c>
      <c r="G828" s="77">
        <v>922.34333333333302</v>
      </c>
      <c r="H828" s="77">
        <v>611.91666666666697</v>
      </c>
    </row>
    <row r="829" spans="1:8" x14ac:dyDescent="0.25">
      <c r="A829" s="34">
        <f t="shared" si="27"/>
        <v>3</v>
      </c>
      <c r="B829" s="35">
        <v>825</v>
      </c>
      <c r="C829" s="36">
        <f t="shared" si="28"/>
        <v>68.75</v>
      </c>
      <c r="D829" s="76">
        <v>6</v>
      </c>
      <c r="E829" s="76">
        <v>0</v>
      </c>
      <c r="F829" s="77">
        <v>1656.93333333333</v>
      </c>
      <c r="G829" s="77">
        <v>911.60666666666702</v>
      </c>
      <c r="H829" s="77">
        <v>543.93333333333305</v>
      </c>
    </row>
    <row r="830" spans="1:8" x14ac:dyDescent="0.25">
      <c r="A830" s="34">
        <f t="shared" si="27"/>
        <v>3</v>
      </c>
      <c r="B830" s="35">
        <v>826</v>
      </c>
      <c r="C830" s="36">
        <f t="shared" si="28"/>
        <v>68.833333333333329</v>
      </c>
      <c r="D830" s="76">
        <v>5.8</v>
      </c>
      <c r="E830" s="76">
        <v>0</v>
      </c>
      <c r="F830" s="77">
        <v>1654.05</v>
      </c>
      <c r="G830" s="77">
        <v>900.87</v>
      </c>
      <c r="H830" s="77">
        <v>475.95</v>
      </c>
    </row>
    <row r="831" spans="1:8" x14ac:dyDescent="0.25">
      <c r="A831" s="34">
        <f t="shared" si="27"/>
        <v>3</v>
      </c>
      <c r="B831" s="35">
        <v>827</v>
      </c>
      <c r="C831" s="36">
        <f t="shared" si="28"/>
        <v>68.916666666666657</v>
      </c>
      <c r="D831" s="76">
        <v>5.6</v>
      </c>
      <c r="E831" s="76">
        <v>0</v>
      </c>
      <c r="F831" s="77">
        <v>1651.1666666666699</v>
      </c>
      <c r="G831" s="77">
        <v>890.13333333333298</v>
      </c>
      <c r="H831" s="77">
        <v>407.96666666666698</v>
      </c>
    </row>
    <row r="832" spans="1:8" x14ac:dyDescent="0.25">
      <c r="A832" s="34">
        <f t="shared" si="27"/>
        <v>3</v>
      </c>
      <c r="B832" s="35">
        <v>828</v>
      </c>
      <c r="C832" s="36">
        <f t="shared" si="28"/>
        <v>69</v>
      </c>
      <c r="D832" s="76">
        <v>5.4</v>
      </c>
      <c r="E832" s="76">
        <v>0</v>
      </c>
      <c r="F832" s="77">
        <v>1648.2833333333299</v>
      </c>
      <c r="G832" s="77">
        <v>879.39666666666699</v>
      </c>
      <c r="H832" s="77">
        <v>339.98333333333301</v>
      </c>
    </row>
    <row r="833" spans="1:8" x14ac:dyDescent="0.25">
      <c r="A833" s="34">
        <f t="shared" si="27"/>
        <v>3</v>
      </c>
      <c r="B833" s="35">
        <v>829</v>
      </c>
      <c r="C833" s="36">
        <f t="shared" si="28"/>
        <v>69.083333333333329</v>
      </c>
      <c r="D833" s="76">
        <v>5.2</v>
      </c>
      <c r="E833" s="76">
        <v>0</v>
      </c>
      <c r="F833" s="77">
        <v>1645.4</v>
      </c>
      <c r="G833" s="77">
        <v>868.66</v>
      </c>
      <c r="H833" s="77">
        <v>272</v>
      </c>
    </row>
    <row r="834" spans="1:8" x14ac:dyDescent="0.25">
      <c r="A834" s="34">
        <f t="shared" si="27"/>
        <v>3</v>
      </c>
      <c r="B834" s="35">
        <v>830</v>
      </c>
      <c r="C834" s="36">
        <f t="shared" si="28"/>
        <v>69.166666666666657</v>
      </c>
      <c r="D834" s="76">
        <v>5.125</v>
      </c>
      <c r="E834" s="76">
        <v>0</v>
      </c>
      <c r="F834" s="77">
        <v>1538.2083333333301</v>
      </c>
      <c r="G834" s="77">
        <v>830.07666666666705</v>
      </c>
      <c r="H834" s="77">
        <v>255</v>
      </c>
    </row>
    <row r="835" spans="1:8" x14ac:dyDescent="0.25">
      <c r="A835" s="34">
        <f t="shared" si="27"/>
        <v>3</v>
      </c>
      <c r="B835" s="35">
        <v>831</v>
      </c>
      <c r="C835" s="36">
        <f t="shared" si="28"/>
        <v>69.25</v>
      </c>
      <c r="D835" s="76">
        <v>5.05</v>
      </c>
      <c r="E835" s="76">
        <v>0</v>
      </c>
      <c r="F835" s="77">
        <v>1431.0166666666701</v>
      </c>
      <c r="G835" s="77">
        <v>791.493333333333</v>
      </c>
      <c r="H835" s="77">
        <v>238</v>
      </c>
    </row>
    <row r="836" spans="1:8" x14ac:dyDescent="0.25">
      <c r="A836" s="34">
        <f t="shared" si="27"/>
        <v>3</v>
      </c>
      <c r="B836" s="35">
        <v>832</v>
      </c>
      <c r="C836" s="36">
        <f t="shared" si="28"/>
        <v>69.333333333333329</v>
      </c>
      <c r="D836" s="76">
        <v>4.9749999999999996</v>
      </c>
      <c r="E836" s="76">
        <v>0</v>
      </c>
      <c r="F836" s="77">
        <v>1323.825</v>
      </c>
      <c r="G836" s="77">
        <v>752.91</v>
      </c>
      <c r="H836" s="77">
        <v>221</v>
      </c>
    </row>
    <row r="837" spans="1:8" x14ac:dyDescent="0.25">
      <c r="A837" s="34">
        <f t="shared" si="27"/>
        <v>3</v>
      </c>
      <c r="B837" s="35">
        <v>833</v>
      </c>
      <c r="C837" s="36">
        <f t="shared" si="28"/>
        <v>69.416666666666657</v>
      </c>
      <c r="D837" s="76">
        <v>4.9000000000000004</v>
      </c>
      <c r="E837" s="76">
        <v>0</v>
      </c>
      <c r="F837" s="77">
        <v>1216.63333333333</v>
      </c>
      <c r="G837" s="77">
        <v>714.32666666666705</v>
      </c>
      <c r="H837" s="77">
        <v>204</v>
      </c>
    </row>
    <row r="838" spans="1:8" x14ac:dyDescent="0.25">
      <c r="A838" s="34">
        <f t="shared" si="27"/>
        <v>3</v>
      </c>
      <c r="B838" s="35">
        <v>834</v>
      </c>
      <c r="C838" s="36">
        <f t="shared" si="28"/>
        <v>69.5</v>
      </c>
      <c r="D838" s="76">
        <v>4.8250000000000002</v>
      </c>
      <c r="E838" s="76">
        <v>0</v>
      </c>
      <c r="F838" s="77">
        <v>1109.44166666667</v>
      </c>
      <c r="G838" s="77">
        <v>675.743333333333</v>
      </c>
      <c r="H838" s="77">
        <v>187</v>
      </c>
    </row>
    <row r="839" spans="1:8" x14ac:dyDescent="0.25">
      <c r="A839" s="34">
        <f t="shared" si="27"/>
        <v>3</v>
      </c>
      <c r="B839" s="35">
        <v>835</v>
      </c>
      <c r="C839" s="36">
        <f t="shared" si="28"/>
        <v>69.583333333333329</v>
      </c>
      <c r="D839" s="76">
        <v>4.75</v>
      </c>
      <c r="E839" s="76">
        <v>0</v>
      </c>
      <c r="F839" s="77">
        <v>1002.25</v>
      </c>
      <c r="G839" s="77">
        <v>637.16</v>
      </c>
      <c r="H839" s="77">
        <v>170</v>
      </c>
    </row>
    <row r="840" spans="1:8" x14ac:dyDescent="0.25">
      <c r="A840" s="34">
        <f t="shared" si="27"/>
        <v>3</v>
      </c>
      <c r="B840" s="35">
        <v>836</v>
      </c>
      <c r="C840" s="36">
        <f t="shared" si="28"/>
        <v>69.666666666666657</v>
      </c>
      <c r="D840" s="76">
        <v>4.6749999999999998</v>
      </c>
      <c r="E840" s="76">
        <v>0</v>
      </c>
      <c r="F840" s="77">
        <v>895.05833333333305</v>
      </c>
      <c r="G840" s="77">
        <v>598.57666666666705</v>
      </c>
      <c r="H840" s="77">
        <v>153</v>
      </c>
    </row>
    <row r="841" spans="1:8" x14ac:dyDescent="0.25">
      <c r="A841" s="34">
        <f t="shared" si="27"/>
        <v>3</v>
      </c>
      <c r="B841" s="35">
        <v>837</v>
      </c>
      <c r="C841" s="36">
        <f t="shared" si="28"/>
        <v>69.75</v>
      </c>
      <c r="D841" s="76">
        <v>4.5999999999999996</v>
      </c>
      <c r="E841" s="76">
        <v>0</v>
      </c>
      <c r="F841" s="77">
        <v>787.86666666666702</v>
      </c>
      <c r="G841" s="77">
        <v>559.993333333333</v>
      </c>
      <c r="H841" s="77">
        <v>136</v>
      </c>
    </row>
    <row r="842" spans="1:8" x14ac:dyDescent="0.25">
      <c r="A842" s="34">
        <f t="shared" si="27"/>
        <v>3</v>
      </c>
      <c r="B842" s="35">
        <v>838</v>
      </c>
      <c r="C842" s="36">
        <f t="shared" si="28"/>
        <v>69.833333333333329</v>
      </c>
      <c r="D842" s="76">
        <v>4.5250000000000004</v>
      </c>
      <c r="E842" s="76">
        <v>0</v>
      </c>
      <c r="F842" s="77">
        <v>680.67499999999995</v>
      </c>
      <c r="G842" s="77">
        <v>521.41</v>
      </c>
      <c r="H842" s="77">
        <v>119</v>
      </c>
    </row>
    <row r="843" spans="1:8" x14ac:dyDescent="0.25">
      <c r="A843" s="34">
        <f t="shared" si="27"/>
        <v>3</v>
      </c>
      <c r="B843" s="35">
        <v>839</v>
      </c>
      <c r="C843" s="36">
        <f t="shared" si="28"/>
        <v>69.916666666666657</v>
      </c>
      <c r="D843" s="76">
        <v>4.45</v>
      </c>
      <c r="E843" s="76">
        <v>0</v>
      </c>
      <c r="F843" s="77">
        <v>573.48333333333301</v>
      </c>
      <c r="G843" s="77">
        <v>482.82666666666699</v>
      </c>
      <c r="H843" s="77">
        <v>102</v>
      </c>
    </row>
    <row r="844" spans="1:8" x14ac:dyDescent="0.25">
      <c r="A844" s="34">
        <f t="shared" si="27"/>
        <v>3</v>
      </c>
      <c r="B844" s="35">
        <v>840</v>
      </c>
      <c r="C844" s="36">
        <f t="shared" si="28"/>
        <v>70</v>
      </c>
      <c r="D844" s="76">
        <v>4.375</v>
      </c>
      <c r="E844" s="76">
        <v>0</v>
      </c>
      <c r="F844" s="77">
        <v>466.29166666666703</v>
      </c>
      <c r="G844" s="77">
        <v>444.243333333333</v>
      </c>
      <c r="H844" s="77">
        <v>85</v>
      </c>
    </row>
    <row r="845" spans="1:8" x14ac:dyDescent="0.25">
      <c r="A845" s="34">
        <f t="shared" si="27"/>
        <v>3</v>
      </c>
      <c r="B845" s="35">
        <v>841</v>
      </c>
      <c r="C845" s="36">
        <f t="shared" si="28"/>
        <v>70.083333333333329</v>
      </c>
      <c r="D845" s="76">
        <v>4.3</v>
      </c>
      <c r="E845" s="76">
        <v>0</v>
      </c>
      <c r="F845" s="77">
        <v>359.1</v>
      </c>
      <c r="G845" s="77">
        <v>405.66</v>
      </c>
      <c r="H845" s="77">
        <v>68</v>
      </c>
    </row>
    <row r="846" spans="1:8" x14ac:dyDescent="0.25">
      <c r="A846" s="34">
        <f t="shared" si="27"/>
        <v>3</v>
      </c>
      <c r="B846" s="35">
        <v>842</v>
      </c>
      <c r="C846" s="36">
        <f t="shared" si="28"/>
        <v>70.166666666666657</v>
      </c>
      <c r="D846" s="76">
        <v>4.2583333333333302</v>
      </c>
      <c r="E846" s="76">
        <v>0</v>
      </c>
      <c r="F846" s="77">
        <v>344.99166666666702</v>
      </c>
      <c r="G846" s="77">
        <v>371.85500000000002</v>
      </c>
      <c r="H846" s="77">
        <v>62.3333333333333</v>
      </c>
    </row>
    <row r="847" spans="1:8" x14ac:dyDescent="0.25">
      <c r="A847" s="34">
        <f t="shared" si="27"/>
        <v>3</v>
      </c>
      <c r="B847" s="35">
        <v>843</v>
      </c>
      <c r="C847" s="36">
        <f t="shared" si="28"/>
        <v>70.25</v>
      </c>
      <c r="D847" s="76">
        <v>4.2166666666666703</v>
      </c>
      <c r="E847" s="76">
        <v>0</v>
      </c>
      <c r="F847" s="77">
        <v>330.88333333333298</v>
      </c>
      <c r="G847" s="77">
        <v>338.05</v>
      </c>
      <c r="H847" s="77">
        <v>56.6666666666667</v>
      </c>
    </row>
    <row r="848" spans="1:8" x14ac:dyDescent="0.25">
      <c r="A848" s="34">
        <f t="shared" si="27"/>
        <v>3</v>
      </c>
      <c r="B848" s="35">
        <v>844</v>
      </c>
      <c r="C848" s="36">
        <f t="shared" si="28"/>
        <v>70.333333333333329</v>
      </c>
      <c r="D848" s="76">
        <v>4.1749999999999998</v>
      </c>
      <c r="E848" s="76">
        <v>0</v>
      </c>
      <c r="F848" s="77">
        <v>316.77499999999998</v>
      </c>
      <c r="G848" s="77">
        <v>304.245</v>
      </c>
      <c r="H848" s="77">
        <v>51</v>
      </c>
    </row>
    <row r="849" spans="1:8" x14ac:dyDescent="0.25">
      <c r="A849" s="34">
        <f t="shared" si="27"/>
        <v>3</v>
      </c>
      <c r="B849" s="35">
        <v>845</v>
      </c>
      <c r="C849" s="36">
        <f t="shared" si="28"/>
        <v>70.416666666666657</v>
      </c>
      <c r="D849" s="76">
        <v>4.1333333333333302</v>
      </c>
      <c r="E849" s="76">
        <v>0</v>
      </c>
      <c r="F849" s="77">
        <v>302.66666666666703</v>
      </c>
      <c r="G849" s="77">
        <v>270.44</v>
      </c>
      <c r="H849" s="77">
        <v>45.3333333333333</v>
      </c>
    </row>
    <row r="850" spans="1:8" x14ac:dyDescent="0.25">
      <c r="A850" s="34">
        <f t="shared" si="27"/>
        <v>3</v>
      </c>
      <c r="B850" s="35">
        <v>846</v>
      </c>
      <c r="C850" s="36">
        <f t="shared" si="28"/>
        <v>70.5</v>
      </c>
      <c r="D850" s="76">
        <v>4.0916666666666703</v>
      </c>
      <c r="E850" s="76">
        <v>0</v>
      </c>
      <c r="F850" s="77">
        <v>288.558333333333</v>
      </c>
      <c r="G850" s="77">
        <v>236.63499999999999</v>
      </c>
      <c r="H850" s="77">
        <v>39.6666666666667</v>
      </c>
    </row>
    <row r="851" spans="1:8" x14ac:dyDescent="0.25">
      <c r="A851" s="34">
        <f t="shared" si="27"/>
        <v>3</v>
      </c>
      <c r="B851" s="35">
        <v>847</v>
      </c>
      <c r="C851" s="36">
        <f t="shared" si="28"/>
        <v>70.583333333333329</v>
      </c>
      <c r="D851" s="76">
        <v>4.05</v>
      </c>
      <c r="E851" s="76">
        <v>0</v>
      </c>
      <c r="F851" s="77">
        <v>274.45</v>
      </c>
      <c r="G851" s="77">
        <v>202.83</v>
      </c>
      <c r="H851" s="77">
        <v>34</v>
      </c>
    </row>
    <row r="852" spans="1:8" x14ac:dyDescent="0.25">
      <c r="A852" s="34">
        <f t="shared" si="27"/>
        <v>3</v>
      </c>
      <c r="B852" s="35">
        <v>848</v>
      </c>
      <c r="C852" s="36">
        <f t="shared" si="28"/>
        <v>70.666666666666657</v>
      </c>
      <c r="D852" s="76">
        <v>4.0083333333333302</v>
      </c>
      <c r="E852" s="76">
        <v>0</v>
      </c>
      <c r="F852" s="77">
        <v>260.34166666666698</v>
      </c>
      <c r="G852" s="77">
        <v>169.02500000000001</v>
      </c>
      <c r="H852" s="77">
        <v>28.3333333333333</v>
      </c>
    </row>
    <row r="853" spans="1:8" x14ac:dyDescent="0.25">
      <c r="A853" s="34">
        <f t="shared" si="27"/>
        <v>3</v>
      </c>
      <c r="B853" s="35">
        <v>849</v>
      </c>
      <c r="C853" s="36">
        <f t="shared" si="28"/>
        <v>70.75</v>
      </c>
      <c r="D853" s="76">
        <v>3.9666666666666699</v>
      </c>
      <c r="E853" s="76">
        <v>0</v>
      </c>
      <c r="F853" s="77">
        <v>246.23333333333301</v>
      </c>
      <c r="G853" s="77">
        <v>135.22</v>
      </c>
      <c r="H853" s="77">
        <v>22.6666666666667</v>
      </c>
    </row>
    <row r="854" spans="1:8" x14ac:dyDescent="0.25">
      <c r="A854" s="34">
        <f t="shared" si="27"/>
        <v>3</v>
      </c>
      <c r="B854" s="35">
        <v>850</v>
      </c>
      <c r="C854" s="36">
        <f t="shared" si="28"/>
        <v>70.833333333333329</v>
      </c>
      <c r="D854" s="76">
        <v>3.9249999999999998</v>
      </c>
      <c r="E854" s="76">
        <v>0</v>
      </c>
      <c r="F854" s="77">
        <v>232.125</v>
      </c>
      <c r="G854" s="77">
        <v>101.41500000000001</v>
      </c>
      <c r="H854" s="77">
        <v>17</v>
      </c>
    </row>
    <row r="855" spans="1:8" x14ac:dyDescent="0.25">
      <c r="A855" s="34">
        <f t="shared" si="27"/>
        <v>3</v>
      </c>
      <c r="B855" s="35">
        <v>851</v>
      </c>
      <c r="C855" s="36">
        <f t="shared" si="28"/>
        <v>70.916666666666657</v>
      </c>
      <c r="D855" s="76">
        <v>3.8833333333333302</v>
      </c>
      <c r="E855" s="76">
        <v>0</v>
      </c>
      <c r="F855" s="77">
        <v>218.01666666666699</v>
      </c>
      <c r="G855" s="77">
        <v>67.61</v>
      </c>
      <c r="H855" s="77">
        <v>11.3333333333333</v>
      </c>
    </row>
    <row r="856" spans="1:8" x14ac:dyDescent="0.25">
      <c r="A856" s="34">
        <f t="shared" si="27"/>
        <v>3</v>
      </c>
      <c r="B856" s="35">
        <v>852</v>
      </c>
      <c r="C856" s="36">
        <f t="shared" si="28"/>
        <v>71</v>
      </c>
      <c r="D856" s="76">
        <v>3.8416666666666699</v>
      </c>
      <c r="E856" s="76">
        <v>0</v>
      </c>
      <c r="F856" s="77">
        <v>203.90833333333299</v>
      </c>
      <c r="G856" s="77">
        <v>33.805</v>
      </c>
      <c r="H856" s="77">
        <v>5.6666666666666696</v>
      </c>
    </row>
    <row r="857" spans="1:8" x14ac:dyDescent="0.25">
      <c r="A857" s="34">
        <f t="shared" si="27"/>
        <v>3</v>
      </c>
      <c r="B857" s="35">
        <v>853</v>
      </c>
      <c r="C857" s="36">
        <f t="shared" si="28"/>
        <v>71.083333333333329</v>
      </c>
      <c r="D857" s="76">
        <v>3.8</v>
      </c>
      <c r="E857" s="76">
        <v>0</v>
      </c>
      <c r="F857" s="77">
        <v>189.8</v>
      </c>
      <c r="G857" s="77">
        <v>0</v>
      </c>
      <c r="H857" s="77">
        <v>0</v>
      </c>
    </row>
    <row r="858" spans="1:8" x14ac:dyDescent="0.25">
      <c r="A858" s="34">
        <f t="shared" si="27"/>
        <v>3</v>
      </c>
      <c r="B858" s="35">
        <v>854</v>
      </c>
      <c r="C858" s="36">
        <f t="shared" si="28"/>
        <v>71.166666666666657</v>
      </c>
      <c r="D858" s="76">
        <v>3.80833333333333</v>
      </c>
      <c r="E858" s="76">
        <v>0</v>
      </c>
      <c r="F858" s="77">
        <v>187.74166666666699</v>
      </c>
      <c r="G858" s="77">
        <v>0</v>
      </c>
      <c r="H858" s="77">
        <v>0</v>
      </c>
    </row>
    <row r="859" spans="1:8" x14ac:dyDescent="0.25">
      <c r="A859" s="34">
        <f t="shared" si="27"/>
        <v>3</v>
      </c>
      <c r="B859" s="35">
        <v>855</v>
      </c>
      <c r="C859" s="36">
        <f t="shared" si="28"/>
        <v>71.25</v>
      </c>
      <c r="D859" s="76">
        <v>3.81666666666667</v>
      </c>
      <c r="E859" s="76">
        <v>0</v>
      </c>
      <c r="F859" s="77">
        <v>185.683333333333</v>
      </c>
      <c r="G859" s="77">
        <v>0</v>
      </c>
      <c r="H859" s="77">
        <v>0</v>
      </c>
    </row>
    <row r="860" spans="1:8" x14ac:dyDescent="0.25">
      <c r="A860" s="34">
        <f t="shared" si="27"/>
        <v>3</v>
      </c>
      <c r="B860" s="35">
        <v>856</v>
      </c>
      <c r="C860" s="36">
        <f t="shared" si="28"/>
        <v>71.333333333333329</v>
      </c>
      <c r="D860" s="76">
        <v>3.8250000000000002</v>
      </c>
      <c r="E860" s="76">
        <v>0</v>
      </c>
      <c r="F860" s="77">
        <v>183.625</v>
      </c>
      <c r="G860" s="77">
        <v>0</v>
      </c>
      <c r="H860" s="77">
        <v>0</v>
      </c>
    </row>
    <row r="861" spans="1:8" x14ac:dyDescent="0.25">
      <c r="A861" s="34">
        <f t="shared" si="27"/>
        <v>3</v>
      </c>
      <c r="B861" s="35">
        <v>857</v>
      </c>
      <c r="C861" s="36">
        <f t="shared" si="28"/>
        <v>71.416666666666657</v>
      </c>
      <c r="D861" s="76">
        <v>3.8333333333333299</v>
      </c>
      <c r="E861" s="76">
        <v>0</v>
      </c>
      <c r="F861" s="77">
        <v>181.566666666667</v>
      </c>
      <c r="G861" s="77">
        <v>0</v>
      </c>
      <c r="H861" s="77">
        <v>0</v>
      </c>
    </row>
    <row r="862" spans="1:8" x14ac:dyDescent="0.25">
      <c r="A862" s="34">
        <f t="shared" si="27"/>
        <v>3</v>
      </c>
      <c r="B862" s="35">
        <v>858</v>
      </c>
      <c r="C862" s="36">
        <f t="shared" si="28"/>
        <v>71.5</v>
      </c>
      <c r="D862" s="76">
        <v>3.8416666666666699</v>
      </c>
      <c r="E862" s="76">
        <v>0</v>
      </c>
      <c r="F862" s="77">
        <v>179.50833333333301</v>
      </c>
      <c r="G862" s="77">
        <v>0</v>
      </c>
      <c r="H862" s="77">
        <v>0</v>
      </c>
    </row>
    <row r="863" spans="1:8" x14ac:dyDescent="0.25">
      <c r="A863" s="34">
        <f t="shared" si="27"/>
        <v>3</v>
      </c>
      <c r="B863" s="35">
        <v>859</v>
      </c>
      <c r="C863" s="36">
        <f t="shared" si="28"/>
        <v>71.583333333333329</v>
      </c>
      <c r="D863" s="76">
        <v>3.85</v>
      </c>
      <c r="E863" s="76">
        <v>0</v>
      </c>
      <c r="F863" s="77">
        <v>177.45</v>
      </c>
      <c r="G863" s="77">
        <v>0</v>
      </c>
      <c r="H863" s="77">
        <v>0</v>
      </c>
    </row>
    <row r="864" spans="1:8" x14ac:dyDescent="0.25">
      <c r="A864" s="34">
        <f t="shared" si="27"/>
        <v>3</v>
      </c>
      <c r="B864" s="35">
        <v>860</v>
      </c>
      <c r="C864" s="36">
        <f t="shared" si="28"/>
        <v>71.666666666666657</v>
      </c>
      <c r="D864" s="76">
        <v>3.8583333333333298</v>
      </c>
      <c r="E864" s="76">
        <v>0</v>
      </c>
      <c r="F864" s="77">
        <v>175.39166666666699</v>
      </c>
      <c r="G864" s="77">
        <v>0</v>
      </c>
      <c r="H864" s="77">
        <v>0</v>
      </c>
    </row>
    <row r="865" spans="1:8" x14ac:dyDescent="0.25">
      <c r="A865" s="34">
        <f t="shared" si="27"/>
        <v>3</v>
      </c>
      <c r="B865" s="35">
        <v>861</v>
      </c>
      <c r="C865" s="36">
        <f t="shared" si="28"/>
        <v>71.75</v>
      </c>
      <c r="D865" s="76">
        <v>3.8666666666666698</v>
      </c>
      <c r="E865" s="76">
        <v>0</v>
      </c>
      <c r="F865" s="77">
        <v>173.333333333333</v>
      </c>
      <c r="G865" s="77">
        <v>0</v>
      </c>
      <c r="H865" s="77">
        <v>0</v>
      </c>
    </row>
    <row r="866" spans="1:8" x14ac:dyDescent="0.25">
      <c r="A866" s="34">
        <f t="shared" si="27"/>
        <v>3</v>
      </c>
      <c r="B866" s="35">
        <v>862</v>
      </c>
      <c r="C866" s="36">
        <f t="shared" si="28"/>
        <v>71.833333333333329</v>
      </c>
      <c r="D866" s="76">
        <v>3.875</v>
      </c>
      <c r="E866" s="76">
        <v>0</v>
      </c>
      <c r="F866" s="77">
        <v>171.27500000000001</v>
      </c>
      <c r="G866" s="77">
        <v>0</v>
      </c>
      <c r="H866" s="77">
        <v>0</v>
      </c>
    </row>
    <row r="867" spans="1:8" x14ac:dyDescent="0.25">
      <c r="A867" s="34">
        <f t="shared" si="27"/>
        <v>3</v>
      </c>
      <c r="B867" s="35">
        <v>863</v>
      </c>
      <c r="C867" s="36">
        <f t="shared" si="28"/>
        <v>71.916666666666657</v>
      </c>
      <c r="D867" s="76">
        <v>3.8833333333333302</v>
      </c>
      <c r="E867" s="76">
        <v>0</v>
      </c>
      <c r="F867" s="77">
        <v>169.21666666666701</v>
      </c>
      <c r="G867" s="77">
        <v>0</v>
      </c>
      <c r="H867" s="77">
        <v>0</v>
      </c>
    </row>
    <row r="868" spans="1:8" x14ac:dyDescent="0.25">
      <c r="A868" s="34">
        <f t="shared" si="27"/>
        <v>3</v>
      </c>
      <c r="B868" s="35">
        <v>864</v>
      </c>
      <c r="C868" s="36">
        <f t="shared" si="28"/>
        <v>72</v>
      </c>
      <c r="D868" s="76">
        <v>3.8916666666666702</v>
      </c>
      <c r="E868" s="76">
        <v>0</v>
      </c>
      <c r="F868" s="77">
        <v>167.15833333333299</v>
      </c>
      <c r="G868" s="77">
        <v>0</v>
      </c>
      <c r="H868" s="77">
        <v>0</v>
      </c>
    </row>
    <row r="869" spans="1:8" x14ac:dyDescent="0.25">
      <c r="A869" s="34">
        <f t="shared" si="27"/>
        <v>4</v>
      </c>
      <c r="B869" s="35">
        <v>865</v>
      </c>
      <c r="C869" s="36">
        <f t="shared" si="28"/>
        <v>72.083333333333329</v>
      </c>
      <c r="D869" s="76">
        <v>3.9</v>
      </c>
      <c r="E869" s="76">
        <v>0</v>
      </c>
      <c r="F869" s="77">
        <v>165.1</v>
      </c>
      <c r="G869" s="77">
        <v>0</v>
      </c>
      <c r="H869" s="77">
        <v>0</v>
      </c>
    </row>
    <row r="870" spans="1:8" x14ac:dyDescent="0.25">
      <c r="A870" s="34">
        <f t="shared" si="27"/>
        <v>4</v>
      </c>
      <c r="B870" s="35">
        <v>866</v>
      </c>
      <c r="C870" s="36">
        <f t="shared" si="28"/>
        <v>72.166666666666657</v>
      </c>
      <c r="D870" s="76">
        <v>3.8833333333333302</v>
      </c>
      <c r="E870" s="76">
        <v>0</v>
      </c>
      <c r="F870" s="77">
        <v>162.125</v>
      </c>
      <c r="G870" s="77">
        <v>0</v>
      </c>
      <c r="H870" s="77">
        <v>0</v>
      </c>
    </row>
    <row r="871" spans="1:8" x14ac:dyDescent="0.25">
      <c r="A871" s="34">
        <f t="shared" si="27"/>
        <v>4</v>
      </c>
      <c r="B871" s="35">
        <v>867</v>
      </c>
      <c r="C871" s="36">
        <f t="shared" si="28"/>
        <v>72.25</v>
      </c>
      <c r="D871" s="76">
        <v>3.8666666666666698</v>
      </c>
      <c r="E871" s="76">
        <v>0</v>
      </c>
      <c r="F871" s="77">
        <v>159.15</v>
      </c>
      <c r="G871" s="77">
        <v>0</v>
      </c>
      <c r="H871" s="77">
        <v>0</v>
      </c>
    </row>
    <row r="872" spans="1:8" x14ac:dyDescent="0.25">
      <c r="A872" s="34">
        <f t="shared" si="27"/>
        <v>4</v>
      </c>
      <c r="B872" s="35">
        <v>868</v>
      </c>
      <c r="C872" s="36">
        <f t="shared" si="28"/>
        <v>72.333333333333329</v>
      </c>
      <c r="D872" s="76">
        <v>3.85</v>
      </c>
      <c r="E872" s="76">
        <v>0</v>
      </c>
      <c r="F872" s="77">
        <v>156.17500000000001</v>
      </c>
      <c r="G872" s="77">
        <v>0</v>
      </c>
      <c r="H872" s="77">
        <v>0</v>
      </c>
    </row>
    <row r="873" spans="1:8" x14ac:dyDescent="0.25">
      <c r="A873" s="34">
        <f t="shared" si="27"/>
        <v>4</v>
      </c>
      <c r="B873" s="35">
        <v>869</v>
      </c>
      <c r="C873" s="36">
        <f t="shared" si="28"/>
        <v>72.416666666666657</v>
      </c>
      <c r="D873" s="76">
        <v>3.8333333333333299</v>
      </c>
      <c r="E873" s="76">
        <v>0</v>
      </c>
      <c r="F873" s="77">
        <v>153.19999999999999</v>
      </c>
      <c r="G873" s="77">
        <v>0</v>
      </c>
      <c r="H873" s="77">
        <v>0</v>
      </c>
    </row>
    <row r="874" spans="1:8" x14ac:dyDescent="0.25">
      <c r="A874" s="34">
        <f t="shared" si="27"/>
        <v>4</v>
      </c>
      <c r="B874" s="35">
        <v>870</v>
      </c>
      <c r="C874" s="36">
        <f t="shared" si="28"/>
        <v>72.5</v>
      </c>
      <c r="D874" s="76">
        <v>3.81666666666667</v>
      </c>
      <c r="E874" s="76">
        <v>0</v>
      </c>
      <c r="F874" s="77">
        <v>150.22499999999999</v>
      </c>
      <c r="G874" s="77">
        <v>0</v>
      </c>
      <c r="H874" s="77">
        <v>0</v>
      </c>
    </row>
    <row r="875" spans="1:8" x14ac:dyDescent="0.25">
      <c r="A875" s="34">
        <f t="shared" si="27"/>
        <v>4</v>
      </c>
      <c r="B875" s="35">
        <v>871</v>
      </c>
      <c r="C875" s="36">
        <f t="shared" si="28"/>
        <v>72.583333333333329</v>
      </c>
      <c r="D875" s="76">
        <v>3.8</v>
      </c>
      <c r="E875" s="76">
        <v>0</v>
      </c>
      <c r="F875" s="77">
        <v>147.25</v>
      </c>
      <c r="G875" s="77">
        <v>0</v>
      </c>
      <c r="H875" s="77">
        <v>0</v>
      </c>
    </row>
    <row r="876" spans="1:8" x14ac:dyDescent="0.25">
      <c r="A876" s="34">
        <f t="shared" si="27"/>
        <v>4</v>
      </c>
      <c r="B876" s="35">
        <v>872</v>
      </c>
      <c r="C876" s="36">
        <f t="shared" si="28"/>
        <v>72.666666666666657</v>
      </c>
      <c r="D876" s="76">
        <v>3.7833333333333301</v>
      </c>
      <c r="E876" s="76">
        <v>0</v>
      </c>
      <c r="F876" s="77">
        <v>144.27500000000001</v>
      </c>
      <c r="G876" s="77">
        <v>0</v>
      </c>
      <c r="H876" s="77">
        <v>0</v>
      </c>
    </row>
    <row r="877" spans="1:8" x14ac:dyDescent="0.25">
      <c r="A877" s="34">
        <f t="shared" si="27"/>
        <v>4</v>
      </c>
      <c r="B877" s="35">
        <v>873</v>
      </c>
      <c r="C877" s="36">
        <f t="shared" si="28"/>
        <v>72.75</v>
      </c>
      <c r="D877" s="76">
        <v>3.7666666666666702</v>
      </c>
      <c r="E877" s="76">
        <v>0</v>
      </c>
      <c r="F877" s="77">
        <v>141.30000000000001</v>
      </c>
      <c r="G877" s="77">
        <v>0</v>
      </c>
      <c r="H877" s="77">
        <v>0</v>
      </c>
    </row>
    <row r="878" spans="1:8" x14ac:dyDescent="0.25">
      <c r="A878" s="34">
        <f t="shared" si="27"/>
        <v>4</v>
      </c>
      <c r="B878" s="35">
        <v>874</v>
      </c>
      <c r="C878" s="36">
        <f t="shared" si="28"/>
        <v>72.833333333333329</v>
      </c>
      <c r="D878" s="76">
        <v>3.75</v>
      </c>
      <c r="E878" s="76">
        <v>0</v>
      </c>
      <c r="F878" s="77">
        <v>138.32499999999999</v>
      </c>
      <c r="G878" s="77">
        <v>0</v>
      </c>
      <c r="H878" s="77">
        <v>0</v>
      </c>
    </row>
    <row r="879" spans="1:8" x14ac:dyDescent="0.25">
      <c r="A879" s="34">
        <f t="shared" si="27"/>
        <v>4</v>
      </c>
      <c r="B879" s="35">
        <v>875</v>
      </c>
      <c r="C879" s="36">
        <f t="shared" si="28"/>
        <v>72.916666666666657</v>
      </c>
      <c r="D879" s="76">
        <v>3.7333333333333298</v>
      </c>
      <c r="E879" s="76">
        <v>0</v>
      </c>
      <c r="F879" s="77">
        <v>135.35</v>
      </c>
      <c r="G879" s="77">
        <v>0</v>
      </c>
      <c r="H879" s="77">
        <v>0</v>
      </c>
    </row>
    <row r="880" spans="1:8" x14ac:dyDescent="0.25">
      <c r="A880" s="34">
        <f t="shared" si="27"/>
        <v>4</v>
      </c>
      <c r="B880" s="35">
        <v>876</v>
      </c>
      <c r="C880" s="36">
        <f t="shared" si="28"/>
        <v>73</v>
      </c>
      <c r="D880" s="76">
        <v>3.7166666666666699</v>
      </c>
      <c r="E880" s="76">
        <v>0</v>
      </c>
      <c r="F880" s="77">
        <v>132.375</v>
      </c>
      <c r="G880" s="77">
        <v>0</v>
      </c>
      <c r="H880" s="77">
        <v>0</v>
      </c>
    </row>
    <row r="881" spans="1:8" x14ac:dyDescent="0.25">
      <c r="A881" s="34">
        <f t="shared" si="27"/>
        <v>4</v>
      </c>
      <c r="B881" s="35">
        <v>877</v>
      </c>
      <c r="C881" s="36">
        <f t="shared" si="28"/>
        <v>73.083333333333329</v>
      </c>
      <c r="D881" s="76">
        <v>3.7</v>
      </c>
      <c r="E881" s="76">
        <v>0</v>
      </c>
      <c r="F881" s="77">
        <v>129.4</v>
      </c>
      <c r="G881" s="77">
        <v>0</v>
      </c>
      <c r="H881" s="77">
        <v>0</v>
      </c>
    </row>
    <row r="882" spans="1:8" x14ac:dyDescent="0.25">
      <c r="A882" s="34">
        <f t="shared" si="27"/>
        <v>4</v>
      </c>
      <c r="B882" s="35">
        <v>878</v>
      </c>
      <c r="C882" s="36">
        <f t="shared" si="28"/>
        <v>73.166666666666657</v>
      </c>
      <c r="D882" s="76">
        <v>3.68333333333333</v>
      </c>
      <c r="E882" s="76">
        <v>0</v>
      </c>
      <c r="F882" s="77">
        <v>128.96666666666701</v>
      </c>
      <c r="G882" s="77">
        <v>0</v>
      </c>
      <c r="H882" s="77">
        <v>0</v>
      </c>
    </row>
    <row r="883" spans="1:8" x14ac:dyDescent="0.25">
      <c r="A883" s="34">
        <f t="shared" si="27"/>
        <v>4</v>
      </c>
      <c r="B883" s="35">
        <v>879</v>
      </c>
      <c r="C883" s="36">
        <f t="shared" si="28"/>
        <v>73.25</v>
      </c>
      <c r="D883" s="76">
        <v>3.6666666666666701</v>
      </c>
      <c r="E883" s="76">
        <v>0</v>
      </c>
      <c r="F883" s="77">
        <v>128.53333333333299</v>
      </c>
      <c r="G883" s="77">
        <v>0</v>
      </c>
      <c r="H883" s="77">
        <v>0</v>
      </c>
    </row>
    <row r="884" spans="1:8" x14ac:dyDescent="0.25">
      <c r="A884" s="34">
        <f t="shared" si="27"/>
        <v>4</v>
      </c>
      <c r="B884" s="35">
        <v>880</v>
      </c>
      <c r="C884" s="36">
        <f t="shared" si="28"/>
        <v>73.333333333333329</v>
      </c>
      <c r="D884" s="76">
        <v>3.65</v>
      </c>
      <c r="E884" s="76">
        <v>0</v>
      </c>
      <c r="F884" s="77">
        <v>128.1</v>
      </c>
      <c r="G884" s="77">
        <v>0</v>
      </c>
      <c r="H884" s="77">
        <v>0</v>
      </c>
    </row>
    <row r="885" spans="1:8" x14ac:dyDescent="0.25">
      <c r="A885" s="34">
        <f t="shared" ref="A885:A948" si="29">ROUNDUP(C885/24,0)</f>
        <v>4</v>
      </c>
      <c r="B885" s="35">
        <v>881</v>
      </c>
      <c r="C885" s="36">
        <f t="shared" ref="C885:C948" si="30">B885*$C$1</f>
        <v>73.416666666666657</v>
      </c>
      <c r="D885" s="76">
        <v>3.6333333333333302</v>
      </c>
      <c r="E885" s="76">
        <v>0</v>
      </c>
      <c r="F885" s="77">
        <v>127.666666666667</v>
      </c>
      <c r="G885" s="77">
        <v>0</v>
      </c>
      <c r="H885" s="77">
        <v>0</v>
      </c>
    </row>
    <row r="886" spans="1:8" x14ac:dyDescent="0.25">
      <c r="A886" s="34">
        <f t="shared" si="29"/>
        <v>4</v>
      </c>
      <c r="B886" s="35">
        <v>882</v>
      </c>
      <c r="C886" s="36">
        <f t="shared" si="30"/>
        <v>73.5</v>
      </c>
      <c r="D886" s="76">
        <v>3.6166666666666698</v>
      </c>
      <c r="E886" s="76">
        <v>0</v>
      </c>
      <c r="F886" s="77">
        <v>127.23333333333299</v>
      </c>
      <c r="G886" s="77">
        <v>0</v>
      </c>
      <c r="H886" s="77">
        <v>0</v>
      </c>
    </row>
    <row r="887" spans="1:8" x14ac:dyDescent="0.25">
      <c r="A887" s="34">
        <f t="shared" si="29"/>
        <v>4</v>
      </c>
      <c r="B887" s="35">
        <v>883</v>
      </c>
      <c r="C887" s="36">
        <f t="shared" si="30"/>
        <v>73.583333333333329</v>
      </c>
      <c r="D887" s="76">
        <v>3.6</v>
      </c>
      <c r="E887" s="76">
        <v>0</v>
      </c>
      <c r="F887" s="77">
        <v>126.8</v>
      </c>
      <c r="G887" s="77">
        <v>0</v>
      </c>
      <c r="H887" s="77">
        <v>0</v>
      </c>
    </row>
    <row r="888" spans="1:8" x14ac:dyDescent="0.25">
      <c r="A888" s="34">
        <f t="shared" si="29"/>
        <v>4</v>
      </c>
      <c r="B888" s="35">
        <v>884</v>
      </c>
      <c r="C888" s="36">
        <f t="shared" si="30"/>
        <v>73.666666666666657</v>
      </c>
      <c r="D888" s="76">
        <v>3.5833333333333299</v>
      </c>
      <c r="E888" s="76">
        <v>0</v>
      </c>
      <c r="F888" s="77">
        <v>126.366666666667</v>
      </c>
      <c r="G888" s="77">
        <v>0</v>
      </c>
      <c r="H888" s="77">
        <v>0</v>
      </c>
    </row>
    <row r="889" spans="1:8" x14ac:dyDescent="0.25">
      <c r="A889" s="34">
        <f t="shared" si="29"/>
        <v>4</v>
      </c>
      <c r="B889" s="35">
        <v>885</v>
      </c>
      <c r="C889" s="36">
        <f t="shared" si="30"/>
        <v>73.75</v>
      </c>
      <c r="D889" s="76">
        <v>3.56666666666667</v>
      </c>
      <c r="E889" s="76">
        <v>0</v>
      </c>
      <c r="F889" s="77">
        <v>125.933333333333</v>
      </c>
      <c r="G889" s="77">
        <v>0</v>
      </c>
      <c r="H889" s="77">
        <v>0</v>
      </c>
    </row>
    <row r="890" spans="1:8" x14ac:dyDescent="0.25">
      <c r="A890" s="34">
        <f t="shared" si="29"/>
        <v>4</v>
      </c>
      <c r="B890" s="35">
        <v>886</v>
      </c>
      <c r="C890" s="36">
        <f t="shared" si="30"/>
        <v>73.833333333333329</v>
      </c>
      <c r="D890" s="76">
        <v>3.55</v>
      </c>
      <c r="E890" s="76">
        <v>0</v>
      </c>
      <c r="F890" s="77">
        <v>125.5</v>
      </c>
      <c r="G890" s="77">
        <v>0</v>
      </c>
      <c r="H890" s="77">
        <v>0</v>
      </c>
    </row>
    <row r="891" spans="1:8" x14ac:dyDescent="0.25">
      <c r="A891" s="34">
        <f t="shared" si="29"/>
        <v>4</v>
      </c>
      <c r="B891" s="35">
        <v>887</v>
      </c>
      <c r="C891" s="36">
        <f t="shared" si="30"/>
        <v>73.916666666666657</v>
      </c>
      <c r="D891" s="76">
        <v>3.5333333333333301</v>
      </c>
      <c r="E891" s="76">
        <v>0</v>
      </c>
      <c r="F891" s="77">
        <v>125.066666666667</v>
      </c>
      <c r="G891" s="77">
        <v>0</v>
      </c>
      <c r="H891" s="77">
        <v>0</v>
      </c>
    </row>
    <row r="892" spans="1:8" x14ac:dyDescent="0.25">
      <c r="A892" s="34">
        <f t="shared" si="29"/>
        <v>4</v>
      </c>
      <c r="B892" s="35">
        <v>888</v>
      </c>
      <c r="C892" s="36">
        <f t="shared" si="30"/>
        <v>74</v>
      </c>
      <c r="D892" s="76">
        <v>3.5166666666666702</v>
      </c>
      <c r="E892" s="76">
        <v>0</v>
      </c>
      <c r="F892" s="77">
        <v>124.633333333333</v>
      </c>
      <c r="G892" s="77">
        <v>0</v>
      </c>
      <c r="H892" s="77">
        <v>0</v>
      </c>
    </row>
    <row r="893" spans="1:8" x14ac:dyDescent="0.25">
      <c r="A893" s="34">
        <f t="shared" si="29"/>
        <v>4</v>
      </c>
      <c r="B893" s="35">
        <v>889</v>
      </c>
      <c r="C893" s="36">
        <f t="shared" si="30"/>
        <v>74.083333333333329</v>
      </c>
      <c r="D893" s="76">
        <v>3.5</v>
      </c>
      <c r="E893" s="76">
        <v>0</v>
      </c>
      <c r="F893" s="77">
        <v>124.2</v>
      </c>
      <c r="G893" s="77">
        <v>0</v>
      </c>
      <c r="H893" s="77">
        <v>0</v>
      </c>
    </row>
    <row r="894" spans="1:8" x14ac:dyDescent="0.25">
      <c r="A894" s="34">
        <f t="shared" si="29"/>
        <v>4</v>
      </c>
      <c r="B894" s="35">
        <v>890</v>
      </c>
      <c r="C894" s="36">
        <f t="shared" si="30"/>
        <v>74.166666666666657</v>
      </c>
      <c r="D894" s="76">
        <v>3.4833333333333298</v>
      </c>
      <c r="E894" s="76">
        <v>0</v>
      </c>
      <c r="F894" s="77">
        <v>124.283333333333</v>
      </c>
      <c r="G894" s="77">
        <v>0</v>
      </c>
      <c r="H894" s="77">
        <v>0</v>
      </c>
    </row>
    <row r="895" spans="1:8" x14ac:dyDescent="0.25">
      <c r="A895" s="34">
        <f t="shared" si="29"/>
        <v>4</v>
      </c>
      <c r="B895" s="35">
        <v>891</v>
      </c>
      <c r="C895" s="36">
        <f t="shared" si="30"/>
        <v>74.25</v>
      </c>
      <c r="D895" s="76">
        <v>3.4666666666666699</v>
      </c>
      <c r="E895" s="76">
        <v>0</v>
      </c>
      <c r="F895" s="77">
        <v>124.366666666667</v>
      </c>
      <c r="G895" s="77">
        <v>0</v>
      </c>
      <c r="H895" s="77">
        <v>0</v>
      </c>
    </row>
    <row r="896" spans="1:8" x14ac:dyDescent="0.25">
      <c r="A896" s="34">
        <f t="shared" si="29"/>
        <v>4</v>
      </c>
      <c r="B896" s="35">
        <v>892</v>
      </c>
      <c r="C896" s="36">
        <f t="shared" si="30"/>
        <v>74.333333333333329</v>
      </c>
      <c r="D896" s="76">
        <v>3.45</v>
      </c>
      <c r="E896" s="76">
        <v>0</v>
      </c>
      <c r="F896" s="77">
        <v>124.45</v>
      </c>
      <c r="G896" s="77">
        <v>0</v>
      </c>
      <c r="H896" s="77">
        <v>0</v>
      </c>
    </row>
    <row r="897" spans="1:8" x14ac:dyDescent="0.25">
      <c r="A897" s="34">
        <f t="shared" si="29"/>
        <v>4</v>
      </c>
      <c r="B897" s="35">
        <v>893</v>
      </c>
      <c r="C897" s="36">
        <f t="shared" si="30"/>
        <v>74.416666666666657</v>
      </c>
      <c r="D897" s="76">
        <v>3.43333333333333</v>
      </c>
      <c r="E897" s="76">
        <v>0</v>
      </c>
      <c r="F897" s="77">
        <v>124.533333333333</v>
      </c>
      <c r="G897" s="77">
        <v>0</v>
      </c>
      <c r="H897" s="77">
        <v>0</v>
      </c>
    </row>
    <row r="898" spans="1:8" x14ac:dyDescent="0.25">
      <c r="A898" s="34">
        <f t="shared" si="29"/>
        <v>4</v>
      </c>
      <c r="B898" s="35">
        <v>894</v>
      </c>
      <c r="C898" s="36">
        <f t="shared" si="30"/>
        <v>74.5</v>
      </c>
      <c r="D898" s="76">
        <v>3.4166666666666701</v>
      </c>
      <c r="E898" s="76">
        <v>0</v>
      </c>
      <c r="F898" s="77">
        <v>124.616666666667</v>
      </c>
      <c r="G898" s="77">
        <v>0</v>
      </c>
      <c r="H898" s="77">
        <v>0</v>
      </c>
    </row>
    <row r="899" spans="1:8" x14ac:dyDescent="0.25">
      <c r="A899" s="34">
        <f t="shared" si="29"/>
        <v>4</v>
      </c>
      <c r="B899" s="35">
        <v>895</v>
      </c>
      <c r="C899" s="36">
        <f t="shared" si="30"/>
        <v>74.583333333333329</v>
      </c>
      <c r="D899" s="76">
        <v>3.4</v>
      </c>
      <c r="E899" s="76">
        <v>0</v>
      </c>
      <c r="F899" s="77">
        <v>124.7</v>
      </c>
      <c r="G899" s="77">
        <v>0</v>
      </c>
      <c r="H899" s="77">
        <v>0</v>
      </c>
    </row>
    <row r="900" spans="1:8" x14ac:dyDescent="0.25">
      <c r="A900" s="34">
        <f t="shared" si="29"/>
        <v>4</v>
      </c>
      <c r="B900" s="35">
        <v>896</v>
      </c>
      <c r="C900" s="36">
        <f t="shared" si="30"/>
        <v>74.666666666666657</v>
      </c>
      <c r="D900" s="76">
        <v>3.3833333333333302</v>
      </c>
      <c r="E900" s="76">
        <v>0</v>
      </c>
      <c r="F900" s="77">
        <v>124.783333333333</v>
      </c>
      <c r="G900" s="77">
        <v>0</v>
      </c>
      <c r="H900" s="77">
        <v>0</v>
      </c>
    </row>
    <row r="901" spans="1:8" x14ac:dyDescent="0.25">
      <c r="A901" s="34">
        <f t="shared" si="29"/>
        <v>4</v>
      </c>
      <c r="B901" s="35">
        <v>897</v>
      </c>
      <c r="C901" s="36">
        <f t="shared" si="30"/>
        <v>74.75</v>
      </c>
      <c r="D901" s="76">
        <v>3.3666666666666698</v>
      </c>
      <c r="E901" s="76">
        <v>0</v>
      </c>
      <c r="F901" s="77">
        <v>124.866666666667</v>
      </c>
      <c r="G901" s="77">
        <v>0</v>
      </c>
      <c r="H901" s="77">
        <v>0</v>
      </c>
    </row>
    <row r="902" spans="1:8" x14ac:dyDescent="0.25">
      <c r="A902" s="34">
        <f t="shared" si="29"/>
        <v>4</v>
      </c>
      <c r="B902" s="35">
        <v>898</v>
      </c>
      <c r="C902" s="36">
        <f t="shared" si="30"/>
        <v>74.833333333333329</v>
      </c>
      <c r="D902" s="76">
        <v>3.35</v>
      </c>
      <c r="E902" s="76">
        <v>0</v>
      </c>
      <c r="F902" s="77">
        <v>124.95</v>
      </c>
      <c r="G902" s="77">
        <v>0</v>
      </c>
      <c r="H902" s="77">
        <v>0</v>
      </c>
    </row>
    <row r="903" spans="1:8" x14ac:dyDescent="0.25">
      <c r="A903" s="34">
        <f t="shared" si="29"/>
        <v>4</v>
      </c>
      <c r="B903" s="35">
        <v>899</v>
      </c>
      <c r="C903" s="36">
        <f t="shared" si="30"/>
        <v>74.916666666666657</v>
      </c>
      <c r="D903" s="76">
        <v>3.3333333333333299</v>
      </c>
      <c r="E903" s="76">
        <v>0</v>
      </c>
      <c r="F903" s="77">
        <v>125.033333333333</v>
      </c>
      <c r="G903" s="77">
        <v>0</v>
      </c>
      <c r="H903" s="77">
        <v>0</v>
      </c>
    </row>
    <row r="904" spans="1:8" x14ac:dyDescent="0.25">
      <c r="A904" s="34">
        <f t="shared" si="29"/>
        <v>4</v>
      </c>
      <c r="B904" s="35">
        <v>900</v>
      </c>
      <c r="C904" s="36">
        <f t="shared" si="30"/>
        <v>75</v>
      </c>
      <c r="D904" s="76">
        <v>3.31666666666667</v>
      </c>
      <c r="E904" s="76">
        <v>0</v>
      </c>
      <c r="F904" s="77">
        <v>125.116666666667</v>
      </c>
      <c r="G904" s="77">
        <v>0</v>
      </c>
      <c r="H904" s="77">
        <v>0</v>
      </c>
    </row>
    <row r="905" spans="1:8" x14ac:dyDescent="0.25">
      <c r="A905" s="34">
        <f t="shared" si="29"/>
        <v>4</v>
      </c>
      <c r="B905" s="35">
        <v>901</v>
      </c>
      <c r="C905" s="36">
        <f t="shared" si="30"/>
        <v>75.083333333333329</v>
      </c>
      <c r="D905" s="76">
        <v>3.3</v>
      </c>
      <c r="E905" s="76">
        <v>0</v>
      </c>
      <c r="F905" s="77">
        <v>125.2</v>
      </c>
      <c r="G905" s="77">
        <v>0</v>
      </c>
      <c r="H905" s="77">
        <v>0</v>
      </c>
    </row>
    <row r="906" spans="1:8" x14ac:dyDescent="0.25">
      <c r="A906" s="34">
        <f t="shared" si="29"/>
        <v>4</v>
      </c>
      <c r="B906" s="35">
        <v>902</v>
      </c>
      <c r="C906" s="36">
        <f t="shared" si="30"/>
        <v>75.166666666666657</v>
      </c>
      <c r="D906" s="76">
        <v>3.2749999999999999</v>
      </c>
      <c r="E906" s="76">
        <v>0</v>
      </c>
      <c r="F906" s="77">
        <v>124.85</v>
      </c>
      <c r="G906" s="77">
        <v>0</v>
      </c>
      <c r="H906" s="77">
        <v>0</v>
      </c>
    </row>
    <row r="907" spans="1:8" x14ac:dyDescent="0.25">
      <c r="A907" s="34">
        <f t="shared" si="29"/>
        <v>4</v>
      </c>
      <c r="B907" s="35">
        <v>903</v>
      </c>
      <c r="C907" s="36">
        <f t="shared" si="30"/>
        <v>75.25</v>
      </c>
      <c r="D907" s="76">
        <v>3.25</v>
      </c>
      <c r="E907" s="76">
        <v>0</v>
      </c>
      <c r="F907" s="77">
        <v>124.5</v>
      </c>
      <c r="G907" s="77">
        <v>0</v>
      </c>
      <c r="H907" s="77">
        <v>0</v>
      </c>
    </row>
    <row r="908" spans="1:8" x14ac:dyDescent="0.25">
      <c r="A908" s="34">
        <f t="shared" si="29"/>
        <v>4</v>
      </c>
      <c r="B908" s="35">
        <v>904</v>
      </c>
      <c r="C908" s="36">
        <f t="shared" si="30"/>
        <v>75.333333333333329</v>
      </c>
      <c r="D908" s="76">
        <v>3.2250000000000001</v>
      </c>
      <c r="E908" s="76">
        <v>0</v>
      </c>
      <c r="F908" s="77">
        <v>124.15</v>
      </c>
      <c r="G908" s="77">
        <v>0</v>
      </c>
      <c r="H908" s="77">
        <v>0</v>
      </c>
    </row>
    <row r="909" spans="1:8" x14ac:dyDescent="0.25">
      <c r="A909" s="34">
        <f t="shared" si="29"/>
        <v>4</v>
      </c>
      <c r="B909" s="35">
        <v>905</v>
      </c>
      <c r="C909" s="36">
        <f t="shared" si="30"/>
        <v>75.416666666666657</v>
      </c>
      <c r="D909" s="76">
        <v>3.2</v>
      </c>
      <c r="E909" s="76">
        <v>0</v>
      </c>
      <c r="F909" s="77">
        <v>123.8</v>
      </c>
      <c r="G909" s="77">
        <v>0</v>
      </c>
      <c r="H909" s="77">
        <v>0</v>
      </c>
    </row>
    <row r="910" spans="1:8" x14ac:dyDescent="0.25">
      <c r="A910" s="34">
        <f t="shared" si="29"/>
        <v>4</v>
      </c>
      <c r="B910" s="35">
        <v>906</v>
      </c>
      <c r="C910" s="36">
        <f t="shared" si="30"/>
        <v>75.5</v>
      </c>
      <c r="D910" s="76">
        <v>3.1749999999999998</v>
      </c>
      <c r="E910" s="76">
        <v>0</v>
      </c>
      <c r="F910" s="77">
        <v>123.45</v>
      </c>
      <c r="G910" s="77">
        <v>0</v>
      </c>
      <c r="H910" s="77">
        <v>0</v>
      </c>
    </row>
    <row r="911" spans="1:8" x14ac:dyDescent="0.25">
      <c r="A911" s="34">
        <f t="shared" si="29"/>
        <v>4</v>
      </c>
      <c r="B911" s="35">
        <v>907</v>
      </c>
      <c r="C911" s="36">
        <f t="shared" si="30"/>
        <v>75.583333333333329</v>
      </c>
      <c r="D911" s="76">
        <v>3.15</v>
      </c>
      <c r="E911" s="76">
        <v>0</v>
      </c>
      <c r="F911" s="77">
        <v>123.1</v>
      </c>
      <c r="G911" s="77">
        <v>0</v>
      </c>
      <c r="H911" s="77">
        <v>0</v>
      </c>
    </row>
    <row r="912" spans="1:8" x14ac:dyDescent="0.25">
      <c r="A912" s="34">
        <f t="shared" si="29"/>
        <v>4</v>
      </c>
      <c r="B912" s="35">
        <v>908</v>
      </c>
      <c r="C912" s="36">
        <f t="shared" si="30"/>
        <v>75.666666666666657</v>
      </c>
      <c r="D912" s="76">
        <v>3.125</v>
      </c>
      <c r="E912" s="76">
        <v>0</v>
      </c>
      <c r="F912" s="77">
        <v>122.75</v>
      </c>
      <c r="G912" s="77">
        <v>0</v>
      </c>
      <c r="H912" s="77">
        <v>0</v>
      </c>
    </row>
    <row r="913" spans="1:8" x14ac:dyDescent="0.25">
      <c r="A913" s="34">
        <f t="shared" si="29"/>
        <v>4</v>
      </c>
      <c r="B913" s="35">
        <v>909</v>
      </c>
      <c r="C913" s="36">
        <f t="shared" si="30"/>
        <v>75.75</v>
      </c>
      <c r="D913" s="76">
        <v>3.1</v>
      </c>
      <c r="E913" s="76">
        <v>0</v>
      </c>
      <c r="F913" s="77">
        <v>122.4</v>
      </c>
      <c r="G913" s="77">
        <v>0</v>
      </c>
      <c r="H913" s="77">
        <v>0</v>
      </c>
    </row>
    <row r="914" spans="1:8" x14ac:dyDescent="0.25">
      <c r="A914" s="34">
        <f t="shared" si="29"/>
        <v>4</v>
      </c>
      <c r="B914" s="35">
        <v>910</v>
      </c>
      <c r="C914" s="36">
        <f t="shared" si="30"/>
        <v>75.833333333333329</v>
      </c>
      <c r="D914" s="76">
        <v>3.0750000000000002</v>
      </c>
      <c r="E914" s="76">
        <v>0</v>
      </c>
      <c r="F914" s="77">
        <v>122.05</v>
      </c>
      <c r="G914" s="77">
        <v>0</v>
      </c>
      <c r="H914" s="77">
        <v>0</v>
      </c>
    </row>
    <row r="915" spans="1:8" x14ac:dyDescent="0.25">
      <c r="A915" s="34">
        <f t="shared" si="29"/>
        <v>4</v>
      </c>
      <c r="B915" s="35">
        <v>911</v>
      </c>
      <c r="C915" s="36">
        <f t="shared" si="30"/>
        <v>75.916666666666657</v>
      </c>
      <c r="D915" s="76">
        <v>3.05</v>
      </c>
      <c r="E915" s="76">
        <v>0</v>
      </c>
      <c r="F915" s="77">
        <v>121.7</v>
      </c>
      <c r="G915" s="77">
        <v>0</v>
      </c>
      <c r="H915" s="77">
        <v>0</v>
      </c>
    </row>
    <row r="916" spans="1:8" x14ac:dyDescent="0.25">
      <c r="A916" s="34">
        <f t="shared" si="29"/>
        <v>4</v>
      </c>
      <c r="B916" s="35">
        <v>912</v>
      </c>
      <c r="C916" s="36">
        <f t="shared" si="30"/>
        <v>76</v>
      </c>
      <c r="D916" s="76">
        <v>3.0249999999999999</v>
      </c>
      <c r="E916" s="76">
        <v>0</v>
      </c>
      <c r="F916" s="77">
        <v>121.35</v>
      </c>
      <c r="G916" s="77">
        <v>0</v>
      </c>
      <c r="H916" s="77">
        <v>0</v>
      </c>
    </row>
    <row r="917" spans="1:8" x14ac:dyDescent="0.25">
      <c r="A917" s="34">
        <f t="shared" si="29"/>
        <v>4</v>
      </c>
      <c r="B917" s="35">
        <v>913</v>
      </c>
      <c r="C917" s="36">
        <f t="shared" si="30"/>
        <v>76.083333333333329</v>
      </c>
      <c r="D917" s="76">
        <v>3</v>
      </c>
      <c r="E917" s="76">
        <v>0</v>
      </c>
      <c r="F917" s="77">
        <v>121</v>
      </c>
      <c r="G917" s="77">
        <v>0</v>
      </c>
      <c r="H917" s="77">
        <v>0</v>
      </c>
    </row>
    <row r="918" spans="1:8" x14ac:dyDescent="0.25">
      <c r="A918" s="34">
        <f t="shared" si="29"/>
        <v>4</v>
      </c>
      <c r="B918" s="35">
        <v>914</v>
      </c>
      <c r="C918" s="36">
        <f t="shared" si="30"/>
        <v>76.166666666666657</v>
      </c>
      <c r="D918" s="76">
        <v>3.0083333333333302</v>
      </c>
      <c r="E918" s="76">
        <v>0</v>
      </c>
      <c r="F918" s="77">
        <v>121.7</v>
      </c>
      <c r="G918" s="77">
        <v>40.866666666666703</v>
      </c>
      <c r="H918" s="77">
        <v>0</v>
      </c>
    </row>
    <row r="919" spans="1:8" x14ac:dyDescent="0.25">
      <c r="A919" s="34">
        <f t="shared" si="29"/>
        <v>4</v>
      </c>
      <c r="B919" s="35">
        <v>915</v>
      </c>
      <c r="C919" s="36">
        <f t="shared" si="30"/>
        <v>76.25</v>
      </c>
      <c r="D919" s="76">
        <v>3.0166666666666702</v>
      </c>
      <c r="E919" s="76">
        <v>0</v>
      </c>
      <c r="F919" s="77">
        <v>122.4</v>
      </c>
      <c r="G919" s="77">
        <v>81.733333333333306</v>
      </c>
      <c r="H919" s="77">
        <v>0</v>
      </c>
    </row>
    <row r="920" spans="1:8" x14ac:dyDescent="0.25">
      <c r="A920" s="34">
        <f t="shared" si="29"/>
        <v>4</v>
      </c>
      <c r="B920" s="35">
        <v>916</v>
      </c>
      <c r="C920" s="36">
        <f t="shared" si="30"/>
        <v>76.333333333333329</v>
      </c>
      <c r="D920" s="76">
        <v>3.0249999999999999</v>
      </c>
      <c r="E920" s="76">
        <v>0</v>
      </c>
      <c r="F920" s="77">
        <v>123.1</v>
      </c>
      <c r="G920" s="77">
        <v>122.6</v>
      </c>
      <c r="H920" s="77">
        <v>0</v>
      </c>
    </row>
    <row r="921" spans="1:8" x14ac:dyDescent="0.25">
      <c r="A921" s="34">
        <f t="shared" si="29"/>
        <v>4</v>
      </c>
      <c r="B921" s="35">
        <v>917</v>
      </c>
      <c r="C921" s="36">
        <f t="shared" si="30"/>
        <v>76.416666666666657</v>
      </c>
      <c r="D921" s="76">
        <v>3.0333333333333301</v>
      </c>
      <c r="E921" s="76">
        <v>0</v>
      </c>
      <c r="F921" s="77">
        <v>123.8</v>
      </c>
      <c r="G921" s="77">
        <v>163.46666666666701</v>
      </c>
      <c r="H921" s="77">
        <v>0</v>
      </c>
    </row>
    <row r="922" spans="1:8" x14ac:dyDescent="0.25">
      <c r="A922" s="34">
        <f t="shared" si="29"/>
        <v>4</v>
      </c>
      <c r="B922" s="35">
        <v>918</v>
      </c>
      <c r="C922" s="36">
        <f t="shared" si="30"/>
        <v>76.5</v>
      </c>
      <c r="D922" s="76">
        <v>3.0416666666666701</v>
      </c>
      <c r="E922" s="76">
        <v>0</v>
      </c>
      <c r="F922" s="77">
        <v>124.5</v>
      </c>
      <c r="G922" s="77">
        <v>204.333333333333</v>
      </c>
      <c r="H922" s="77">
        <v>0</v>
      </c>
    </row>
    <row r="923" spans="1:8" x14ac:dyDescent="0.25">
      <c r="A923" s="34">
        <f t="shared" si="29"/>
        <v>4</v>
      </c>
      <c r="B923" s="35">
        <v>919</v>
      </c>
      <c r="C923" s="36">
        <f t="shared" si="30"/>
        <v>76.583333333333329</v>
      </c>
      <c r="D923" s="76">
        <v>3.05</v>
      </c>
      <c r="E923" s="76">
        <v>0</v>
      </c>
      <c r="F923" s="77">
        <v>125.2</v>
      </c>
      <c r="G923" s="77">
        <v>245.2</v>
      </c>
      <c r="H923" s="77">
        <v>0</v>
      </c>
    </row>
    <row r="924" spans="1:8" x14ac:dyDescent="0.25">
      <c r="A924" s="34">
        <f t="shared" si="29"/>
        <v>4</v>
      </c>
      <c r="B924" s="35">
        <v>920</v>
      </c>
      <c r="C924" s="36">
        <f t="shared" si="30"/>
        <v>76.666666666666657</v>
      </c>
      <c r="D924" s="76">
        <v>3.05833333333333</v>
      </c>
      <c r="E924" s="76">
        <v>0</v>
      </c>
      <c r="F924" s="77">
        <v>125.9</v>
      </c>
      <c r="G924" s="77">
        <v>286.066666666667</v>
      </c>
      <c r="H924" s="77">
        <v>0</v>
      </c>
    </row>
    <row r="925" spans="1:8" x14ac:dyDescent="0.25">
      <c r="A925" s="34">
        <f t="shared" si="29"/>
        <v>4</v>
      </c>
      <c r="B925" s="35">
        <v>921</v>
      </c>
      <c r="C925" s="36">
        <f t="shared" si="30"/>
        <v>76.75</v>
      </c>
      <c r="D925" s="76">
        <v>3.06666666666667</v>
      </c>
      <c r="E925" s="76">
        <v>0</v>
      </c>
      <c r="F925" s="77">
        <v>126.6</v>
      </c>
      <c r="G925" s="77">
        <v>326.933333333333</v>
      </c>
      <c r="H925" s="77">
        <v>0</v>
      </c>
    </row>
    <row r="926" spans="1:8" x14ac:dyDescent="0.25">
      <c r="A926" s="34">
        <f t="shared" si="29"/>
        <v>4</v>
      </c>
      <c r="B926" s="35">
        <v>922</v>
      </c>
      <c r="C926" s="36">
        <f t="shared" si="30"/>
        <v>76.833333333333329</v>
      </c>
      <c r="D926" s="76">
        <v>3.0750000000000002</v>
      </c>
      <c r="E926" s="76">
        <v>0</v>
      </c>
      <c r="F926" s="77">
        <v>127.3</v>
      </c>
      <c r="G926" s="77">
        <v>367.8</v>
      </c>
      <c r="H926" s="77">
        <v>0</v>
      </c>
    </row>
    <row r="927" spans="1:8" x14ac:dyDescent="0.25">
      <c r="A927" s="34">
        <f t="shared" si="29"/>
        <v>4</v>
      </c>
      <c r="B927" s="35">
        <v>923</v>
      </c>
      <c r="C927" s="36">
        <f t="shared" si="30"/>
        <v>76.916666666666657</v>
      </c>
      <c r="D927" s="76">
        <v>3.0833333333333299</v>
      </c>
      <c r="E927" s="76">
        <v>0</v>
      </c>
      <c r="F927" s="77">
        <v>128</v>
      </c>
      <c r="G927" s="77">
        <v>408.66666666666703</v>
      </c>
      <c r="H927" s="77">
        <v>0</v>
      </c>
    </row>
    <row r="928" spans="1:8" x14ac:dyDescent="0.25">
      <c r="A928" s="34">
        <f t="shared" si="29"/>
        <v>4</v>
      </c>
      <c r="B928" s="35">
        <v>924</v>
      </c>
      <c r="C928" s="36">
        <f t="shared" si="30"/>
        <v>77</v>
      </c>
      <c r="D928" s="76">
        <v>3.0916666666666699</v>
      </c>
      <c r="E928" s="76">
        <v>0</v>
      </c>
      <c r="F928" s="77">
        <v>128.69999999999999</v>
      </c>
      <c r="G928" s="77">
        <v>449.53333333333302</v>
      </c>
      <c r="H928" s="77">
        <v>0</v>
      </c>
    </row>
    <row r="929" spans="1:8" x14ac:dyDescent="0.25">
      <c r="A929" s="34">
        <f t="shared" si="29"/>
        <v>4</v>
      </c>
      <c r="B929" s="35">
        <v>925</v>
      </c>
      <c r="C929" s="36">
        <f t="shared" si="30"/>
        <v>77.083333333333329</v>
      </c>
      <c r="D929" s="76">
        <v>3.1</v>
      </c>
      <c r="E929" s="76">
        <v>0</v>
      </c>
      <c r="F929" s="77">
        <v>129.4</v>
      </c>
      <c r="G929" s="77">
        <v>490.4</v>
      </c>
      <c r="H929" s="77">
        <v>0</v>
      </c>
    </row>
    <row r="930" spans="1:8" x14ac:dyDescent="0.25">
      <c r="A930" s="34">
        <f t="shared" si="29"/>
        <v>4</v>
      </c>
      <c r="B930" s="35">
        <v>926</v>
      </c>
      <c r="C930" s="36">
        <f t="shared" si="30"/>
        <v>77.166666666666657</v>
      </c>
      <c r="D930" s="76">
        <v>3.1</v>
      </c>
      <c r="E930" s="76">
        <v>0</v>
      </c>
      <c r="F930" s="77">
        <v>144.86666666666699</v>
      </c>
      <c r="G930" s="77">
        <v>668.62249999999995</v>
      </c>
      <c r="H930" s="77">
        <v>22.6666666666667</v>
      </c>
    </row>
    <row r="931" spans="1:8" x14ac:dyDescent="0.25">
      <c r="A931" s="34">
        <f t="shared" si="29"/>
        <v>4</v>
      </c>
      <c r="B931" s="35">
        <v>927</v>
      </c>
      <c r="C931" s="36">
        <f t="shared" si="30"/>
        <v>77.25</v>
      </c>
      <c r="D931" s="76">
        <v>3.1</v>
      </c>
      <c r="E931" s="76">
        <v>0</v>
      </c>
      <c r="F931" s="77">
        <v>160.333333333333</v>
      </c>
      <c r="G931" s="77">
        <v>846.84500000000003</v>
      </c>
      <c r="H931" s="77">
        <v>45.3333333333333</v>
      </c>
    </row>
    <row r="932" spans="1:8" x14ac:dyDescent="0.25">
      <c r="A932" s="34">
        <f t="shared" si="29"/>
        <v>4</v>
      </c>
      <c r="B932" s="35">
        <v>928</v>
      </c>
      <c r="C932" s="36">
        <f t="shared" si="30"/>
        <v>77.333333333333329</v>
      </c>
      <c r="D932" s="76">
        <v>3.1</v>
      </c>
      <c r="E932" s="76">
        <v>0</v>
      </c>
      <c r="F932" s="77">
        <v>175.8</v>
      </c>
      <c r="G932" s="77">
        <v>1025.0675000000001</v>
      </c>
      <c r="H932" s="77">
        <v>68</v>
      </c>
    </row>
    <row r="933" spans="1:8" x14ac:dyDescent="0.25">
      <c r="A933" s="34">
        <f t="shared" si="29"/>
        <v>4</v>
      </c>
      <c r="B933" s="35">
        <v>929</v>
      </c>
      <c r="C933" s="36">
        <f t="shared" si="30"/>
        <v>77.416666666666657</v>
      </c>
      <c r="D933" s="76">
        <v>3.1</v>
      </c>
      <c r="E933" s="76">
        <v>0</v>
      </c>
      <c r="F933" s="77">
        <v>191.26666666666699</v>
      </c>
      <c r="G933" s="77">
        <v>1203.29</v>
      </c>
      <c r="H933" s="77">
        <v>90.6666666666667</v>
      </c>
    </row>
    <row r="934" spans="1:8" x14ac:dyDescent="0.25">
      <c r="A934" s="34">
        <f t="shared" si="29"/>
        <v>4</v>
      </c>
      <c r="B934" s="35">
        <v>930</v>
      </c>
      <c r="C934" s="36">
        <f t="shared" si="30"/>
        <v>77.5</v>
      </c>
      <c r="D934" s="76">
        <v>3.1</v>
      </c>
      <c r="E934" s="76">
        <v>0</v>
      </c>
      <c r="F934" s="77">
        <v>206.73333333333301</v>
      </c>
      <c r="G934" s="77">
        <v>1381.5125</v>
      </c>
      <c r="H934" s="77">
        <v>113.333333333333</v>
      </c>
    </row>
    <row r="935" spans="1:8" x14ac:dyDescent="0.25">
      <c r="A935" s="34">
        <f t="shared" si="29"/>
        <v>4</v>
      </c>
      <c r="B935" s="35">
        <v>931</v>
      </c>
      <c r="C935" s="36">
        <f t="shared" si="30"/>
        <v>77.583333333333329</v>
      </c>
      <c r="D935" s="76">
        <v>3.1</v>
      </c>
      <c r="E935" s="76">
        <v>0</v>
      </c>
      <c r="F935" s="77">
        <v>222.2</v>
      </c>
      <c r="G935" s="77">
        <v>1559.7349999999999</v>
      </c>
      <c r="H935" s="77">
        <v>136</v>
      </c>
    </row>
    <row r="936" spans="1:8" x14ac:dyDescent="0.25">
      <c r="A936" s="34">
        <f t="shared" si="29"/>
        <v>4</v>
      </c>
      <c r="B936" s="35">
        <v>932</v>
      </c>
      <c r="C936" s="36">
        <f t="shared" si="30"/>
        <v>77.666666666666657</v>
      </c>
      <c r="D936" s="76">
        <v>3.1</v>
      </c>
      <c r="E936" s="76">
        <v>0</v>
      </c>
      <c r="F936" s="77">
        <v>237.666666666667</v>
      </c>
      <c r="G936" s="77">
        <v>1737.9575</v>
      </c>
      <c r="H936" s="77">
        <v>158.666666666667</v>
      </c>
    </row>
    <row r="937" spans="1:8" x14ac:dyDescent="0.25">
      <c r="A937" s="34">
        <f t="shared" si="29"/>
        <v>4</v>
      </c>
      <c r="B937" s="35">
        <v>933</v>
      </c>
      <c r="C937" s="36">
        <f t="shared" si="30"/>
        <v>77.75</v>
      </c>
      <c r="D937" s="76">
        <v>3.1</v>
      </c>
      <c r="E937" s="76">
        <v>0</v>
      </c>
      <c r="F937" s="77">
        <v>253.13333333333301</v>
      </c>
      <c r="G937" s="77">
        <v>1916.18</v>
      </c>
      <c r="H937" s="77">
        <v>181.333333333333</v>
      </c>
    </row>
    <row r="938" spans="1:8" x14ac:dyDescent="0.25">
      <c r="A938" s="34">
        <f t="shared" si="29"/>
        <v>4</v>
      </c>
      <c r="B938" s="35">
        <v>934</v>
      </c>
      <c r="C938" s="36">
        <f t="shared" si="30"/>
        <v>77.833333333333329</v>
      </c>
      <c r="D938" s="76">
        <v>3.1</v>
      </c>
      <c r="E938" s="76">
        <v>0</v>
      </c>
      <c r="F938" s="77">
        <v>268.60000000000002</v>
      </c>
      <c r="G938" s="77">
        <v>2094.4025000000001</v>
      </c>
      <c r="H938" s="77">
        <v>204</v>
      </c>
    </row>
    <row r="939" spans="1:8" x14ac:dyDescent="0.25">
      <c r="A939" s="34">
        <f t="shared" si="29"/>
        <v>4</v>
      </c>
      <c r="B939" s="35">
        <v>935</v>
      </c>
      <c r="C939" s="36">
        <f t="shared" si="30"/>
        <v>77.916666666666657</v>
      </c>
      <c r="D939" s="76">
        <v>3.1</v>
      </c>
      <c r="E939" s="76">
        <v>0</v>
      </c>
      <c r="F939" s="77">
        <v>284.066666666667</v>
      </c>
      <c r="G939" s="77">
        <v>2272.625</v>
      </c>
      <c r="H939" s="77">
        <v>226.666666666667</v>
      </c>
    </row>
    <row r="940" spans="1:8" x14ac:dyDescent="0.25">
      <c r="A940" s="34">
        <f t="shared" si="29"/>
        <v>4</v>
      </c>
      <c r="B940" s="35">
        <v>936</v>
      </c>
      <c r="C940" s="36">
        <f t="shared" si="30"/>
        <v>78</v>
      </c>
      <c r="D940" s="76">
        <v>3.1</v>
      </c>
      <c r="E940" s="76">
        <v>0</v>
      </c>
      <c r="F940" s="77">
        <v>299.53333333333302</v>
      </c>
      <c r="G940" s="77">
        <v>2450.8474999999999</v>
      </c>
      <c r="H940" s="77">
        <v>249.333333333333</v>
      </c>
    </row>
    <row r="941" spans="1:8" x14ac:dyDescent="0.25">
      <c r="A941" s="34">
        <f t="shared" si="29"/>
        <v>4</v>
      </c>
      <c r="B941" s="35">
        <v>937</v>
      </c>
      <c r="C941" s="36">
        <f t="shared" si="30"/>
        <v>78.083333333333329</v>
      </c>
      <c r="D941" s="76">
        <v>3.1</v>
      </c>
      <c r="E941" s="76">
        <v>0</v>
      </c>
      <c r="F941" s="77">
        <v>315</v>
      </c>
      <c r="G941" s="77">
        <v>2629.07</v>
      </c>
      <c r="H941" s="77">
        <v>272</v>
      </c>
    </row>
    <row r="942" spans="1:8" x14ac:dyDescent="0.25">
      <c r="A942" s="34">
        <f t="shared" si="29"/>
        <v>4</v>
      </c>
      <c r="B942" s="35">
        <v>938</v>
      </c>
      <c r="C942" s="36">
        <f t="shared" si="30"/>
        <v>78.166666666666657</v>
      </c>
      <c r="D942" s="76">
        <v>3.1083333333333298</v>
      </c>
      <c r="E942" s="76">
        <v>0</v>
      </c>
      <c r="F942" s="77">
        <v>325.32499999999999</v>
      </c>
      <c r="G942" s="77">
        <v>2676.7833333333301</v>
      </c>
      <c r="H942" s="77">
        <v>294.65833333333302</v>
      </c>
    </row>
    <row r="943" spans="1:8" x14ac:dyDescent="0.25">
      <c r="A943" s="34">
        <f t="shared" si="29"/>
        <v>4</v>
      </c>
      <c r="B943" s="35">
        <v>939</v>
      </c>
      <c r="C943" s="36">
        <f t="shared" si="30"/>
        <v>78.25</v>
      </c>
      <c r="D943" s="76">
        <v>3.1166666666666698</v>
      </c>
      <c r="E943" s="76">
        <v>0</v>
      </c>
      <c r="F943" s="77">
        <v>335.65</v>
      </c>
      <c r="G943" s="77">
        <v>2724.4966666666701</v>
      </c>
      <c r="H943" s="77">
        <v>317.316666666667</v>
      </c>
    </row>
    <row r="944" spans="1:8" x14ac:dyDescent="0.25">
      <c r="A944" s="34">
        <f t="shared" si="29"/>
        <v>4</v>
      </c>
      <c r="B944" s="35">
        <v>940</v>
      </c>
      <c r="C944" s="36">
        <f t="shared" si="30"/>
        <v>78.333333333333329</v>
      </c>
      <c r="D944" s="76">
        <v>3.125</v>
      </c>
      <c r="E944" s="76">
        <v>0</v>
      </c>
      <c r="F944" s="77">
        <v>345.97500000000002</v>
      </c>
      <c r="G944" s="77">
        <v>2772.21</v>
      </c>
      <c r="H944" s="77">
        <v>339.97500000000002</v>
      </c>
    </row>
    <row r="945" spans="1:8" x14ac:dyDescent="0.25">
      <c r="A945" s="34">
        <f t="shared" si="29"/>
        <v>4</v>
      </c>
      <c r="B945" s="35">
        <v>941</v>
      </c>
      <c r="C945" s="36">
        <f t="shared" si="30"/>
        <v>78.416666666666657</v>
      </c>
      <c r="D945" s="76">
        <v>3.1333333333333302</v>
      </c>
      <c r="E945" s="76">
        <v>0</v>
      </c>
      <c r="F945" s="77">
        <v>356.3</v>
      </c>
      <c r="G945" s="77">
        <v>2819.92333333333</v>
      </c>
      <c r="H945" s="77">
        <v>362.63333333333298</v>
      </c>
    </row>
    <row r="946" spans="1:8" x14ac:dyDescent="0.25">
      <c r="A946" s="34">
        <f t="shared" si="29"/>
        <v>4</v>
      </c>
      <c r="B946" s="35">
        <v>942</v>
      </c>
      <c r="C946" s="36">
        <f t="shared" si="30"/>
        <v>78.5</v>
      </c>
      <c r="D946" s="76">
        <v>3.1416666666666702</v>
      </c>
      <c r="E946" s="76">
        <v>0</v>
      </c>
      <c r="F946" s="77">
        <v>366.625</v>
      </c>
      <c r="G946" s="77">
        <v>2867.63666666667</v>
      </c>
      <c r="H946" s="77">
        <v>385.29166666666703</v>
      </c>
    </row>
    <row r="947" spans="1:8" x14ac:dyDescent="0.25">
      <c r="A947" s="34">
        <f t="shared" si="29"/>
        <v>4</v>
      </c>
      <c r="B947" s="35">
        <v>943</v>
      </c>
      <c r="C947" s="36">
        <f t="shared" si="30"/>
        <v>78.583333333333329</v>
      </c>
      <c r="D947" s="76">
        <v>3.15</v>
      </c>
      <c r="E947" s="76">
        <v>0</v>
      </c>
      <c r="F947" s="77">
        <v>376.95</v>
      </c>
      <c r="G947" s="77">
        <v>2915.35</v>
      </c>
      <c r="H947" s="77">
        <v>407.95</v>
      </c>
    </row>
    <row r="948" spans="1:8" x14ac:dyDescent="0.25">
      <c r="A948" s="34">
        <f t="shared" si="29"/>
        <v>4</v>
      </c>
      <c r="B948" s="35">
        <v>944</v>
      </c>
      <c r="C948" s="36">
        <f t="shared" si="30"/>
        <v>78.666666666666657</v>
      </c>
      <c r="D948" s="76">
        <v>3.1583333333333301</v>
      </c>
      <c r="E948" s="76">
        <v>0</v>
      </c>
      <c r="F948" s="77">
        <v>387.27499999999998</v>
      </c>
      <c r="G948" s="77">
        <v>2963.0633333333299</v>
      </c>
      <c r="H948" s="77">
        <v>430.60833333333301</v>
      </c>
    </row>
    <row r="949" spans="1:8" x14ac:dyDescent="0.25">
      <c r="A949" s="34">
        <f t="shared" ref="A949:A1012" si="31">ROUNDUP(C949/24,0)</f>
        <v>4</v>
      </c>
      <c r="B949" s="35">
        <v>945</v>
      </c>
      <c r="C949" s="36">
        <f t="shared" ref="C949:C1012" si="32">B949*$C$1</f>
        <v>78.75</v>
      </c>
      <c r="D949" s="76">
        <v>3.1666666666666701</v>
      </c>
      <c r="E949" s="76">
        <v>0</v>
      </c>
      <c r="F949" s="77">
        <v>397.6</v>
      </c>
      <c r="G949" s="77">
        <v>3010.7766666666698</v>
      </c>
      <c r="H949" s="77">
        <v>453.26666666666699</v>
      </c>
    </row>
    <row r="950" spans="1:8" x14ac:dyDescent="0.25">
      <c r="A950" s="34">
        <f t="shared" si="31"/>
        <v>4</v>
      </c>
      <c r="B950" s="35">
        <v>946</v>
      </c>
      <c r="C950" s="36">
        <f t="shared" si="32"/>
        <v>78.833333333333329</v>
      </c>
      <c r="D950" s="76">
        <v>3.1749999999999998</v>
      </c>
      <c r="E950" s="76">
        <v>0</v>
      </c>
      <c r="F950" s="77">
        <v>407.92500000000001</v>
      </c>
      <c r="G950" s="77">
        <v>3058.49</v>
      </c>
      <c r="H950" s="77">
        <v>475.92500000000001</v>
      </c>
    </row>
    <row r="951" spans="1:8" x14ac:dyDescent="0.25">
      <c r="A951" s="34">
        <f t="shared" si="31"/>
        <v>4</v>
      </c>
      <c r="B951" s="35">
        <v>947</v>
      </c>
      <c r="C951" s="36">
        <f t="shared" si="32"/>
        <v>78.916666666666657</v>
      </c>
      <c r="D951" s="76">
        <v>3.18333333333333</v>
      </c>
      <c r="E951" s="76">
        <v>0</v>
      </c>
      <c r="F951" s="77">
        <v>418.25</v>
      </c>
      <c r="G951" s="77">
        <v>3106.2033333333302</v>
      </c>
      <c r="H951" s="77">
        <v>498.58333333333297</v>
      </c>
    </row>
    <row r="952" spans="1:8" x14ac:dyDescent="0.25">
      <c r="A952" s="34">
        <f t="shared" si="31"/>
        <v>4</v>
      </c>
      <c r="B952" s="35">
        <v>948</v>
      </c>
      <c r="C952" s="36">
        <f t="shared" si="32"/>
        <v>79</v>
      </c>
      <c r="D952" s="76">
        <v>3.19166666666667</v>
      </c>
      <c r="E952" s="76">
        <v>0</v>
      </c>
      <c r="F952" s="77">
        <v>428.57499999999999</v>
      </c>
      <c r="G952" s="77">
        <v>3153.9166666666702</v>
      </c>
      <c r="H952" s="77">
        <v>521.24166666666702</v>
      </c>
    </row>
    <row r="953" spans="1:8" x14ac:dyDescent="0.25">
      <c r="A953" s="34">
        <f t="shared" si="31"/>
        <v>4</v>
      </c>
      <c r="B953" s="35">
        <v>949</v>
      </c>
      <c r="C953" s="36">
        <f t="shared" si="32"/>
        <v>79.083333333333329</v>
      </c>
      <c r="D953" s="76">
        <v>3.2</v>
      </c>
      <c r="E953" s="76">
        <v>0</v>
      </c>
      <c r="F953" s="77">
        <v>438.9</v>
      </c>
      <c r="G953" s="77">
        <v>3201.63</v>
      </c>
      <c r="H953" s="77">
        <v>543.9</v>
      </c>
    </row>
    <row r="954" spans="1:8" x14ac:dyDescent="0.25">
      <c r="A954" s="34">
        <f t="shared" si="31"/>
        <v>4</v>
      </c>
      <c r="B954" s="35">
        <v>950</v>
      </c>
      <c r="C954" s="36">
        <f t="shared" si="32"/>
        <v>79.166666666666657</v>
      </c>
      <c r="D954" s="76">
        <v>3.1749999999999998</v>
      </c>
      <c r="E954" s="76">
        <v>9.83333333333333E-2</v>
      </c>
      <c r="F954" s="77">
        <v>432.95</v>
      </c>
      <c r="G954" s="77">
        <v>3048.1574999999998</v>
      </c>
      <c r="H954" s="77">
        <v>611.89166666666699</v>
      </c>
    </row>
    <row r="955" spans="1:8" x14ac:dyDescent="0.25">
      <c r="A955" s="34">
        <f t="shared" si="31"/>
        <v>4</v>
      </c>
      <c r="B955" s="35">
        <v>951</v>
      </c>
      <c r="C955" s="36">
        <f t="shared" si="32"/>
        <v>79.25</v>
      </c>
      <c r="D955" s="76">
        <v>3.15</v>
      </c>
      <c r="E955" s="76">
        <v>0.19666666666666699</v>
      </c>
      <c r="F955" s="77">
        <v>427</v>
      </c>
      <c r="G955" s="77">
        <v>2894.6849999999999</v>
      </c>
      <c r="H955" s="77">
        <v>679.88333333333298</v>
      </c>
    </row>
    <row r="956" spans="1:8" x14ac:dyDescent="0.25">
      <c r="A956" s="34">
        <f t="shared" si="31"/>
        <v>4</v>
      </c>
      <c r="B956" s="35">
        <v>952</v>
      </c>
      <c r="C956" s="36">
        <f t="shared" si="32"/>
        <v>79.333333333333329</v>
      </c>
      <c r="D956" s="76">
        <v>3.125</v>
      </c>
      <c r="E956" s="76">
        <v>0.29499999999999998</v>
      </c>
      <c r="F956" s="77">
        <v>421.05</v>
      </c>
      <c r="G956" s="77">
        <v>2741.2125000000001</v>
      </c>
      <c r="H956" s="77">
        <v>747.875</v>
      </c>
    </row>
    <row r="957" spans="1:8" x14ac:dyDescent="0.25">
      <c r="A957" s="34">
        <f t="shared" si="31"/>
        <v>4</v>
      </c>
      <c r="B957" s="35">
        <v>953</v>
      </c>
      <c r="C957" s="36">
        <f t="shared" si="32"/>
        <v>79.416666666666657</v>
      </c>
      <c r="D957" s="76">
        <v>3.1</v>
      </c>
      <c r="E957" s="76">
        <v>0.39333333333333298</v>
      </c>
      <c r="F957" s="77">
        <v>415.1</v>
      </c>
      <c r="G957" s="77">
        <v>2587.7399999999998</v>
      </c>
      <c r="H957" s="77">
        <v>815.86666666666702</v>
      </c>
    </row>
    <row r="958" spans="1:8" x14ac:dyDescent="0.25">
      <c r="A958" s="34">
        <f t="shared" si="31"/>
        <v>4</v>
      </c>
      <c r="B958" s="35">
        <v>954</v>
      </c>
      <c r="C958" s="36">
        <f t="shared" si="32"/>
        <v>79.5</v>
      </c>
      <c r="D958" s="76">
        <v>3.0750000000000002</v>
      </c>
      <c r="E958" s="76">
        <v>0.49166666666666697</v>
      </c>
      <c r="F958" s="77">
        <v>409.15</v>
      </c>
      <c r="G958" s="77">
        <v>2434.2674999999999</v>
      </c>
      <c r="H958" s="77">
        <v>883.85833333333301</v>
      </c>
    </row>
    <row r="959" spans="1:8" x14ac:dyDescent="0.25">
      <c r="A959" s="34">
        <f t="shared" si="31"/>
        <v>4</v>
      </c>
      <c r="B959" s="35">
        <v>955</v>
      </c>
      <c r="C959" s="36">
        <f t="shared" si="32"/>
        <v>79.583333333333329</v>
      </c>
      <c r="D959" s="76">
        <v>3.05</v>
      </c>
      <c r="E959" s="76">
        <v>0.59</v>
      </c>
      <c r="F959" s="77">
        <v>403.2</v>
      </c>
      <c r="G959" s="77">
        <v>2280.7950000000001</v>
      </c>
      <c r="H959" s="77">
        <v>951.85</v>
      </c>
    </row>
    <row r="960" spans="1:8" x14ac:dyDescent="0.25">
      <c r="A960" s="34">
        <f t="shared" si="31"/>
        <v>4</v>
      </c>
      <c r="B960" s="35">
        <v>956</v>
      </c>
      <c r="C960" s="36">
        <f t="shared" si="32"/>
        <v>79.666666666666657</v>
      </c>
      <c r="D960" s="76">
        <v>3.0249999999999999</v>
      </c>
      <c r="E960" s="76">
        <v>0.68833333333333302</v>
      </c>
      <c r="F960" s="77">
        <v>397.25</v>
      </c>
      <c r="G960" s="77">
        <v>2127.3225000000002</v>
      </c>
      <c r="H960" s="77">
        <v>1019.84166666667</v>
      </c>
    </row>
    <row r="961" spans="1:8" x14ac:dyDescent="0.25">
      <c r="A961" s="34">
        <f t="shared" si="31"/>
        <v>4</v>
      </c>
      <c r="B961" s="35">
        <v>957</v>
      </c>
      <c r="C961" s="36">
        <f t="shared" si="32"/>
        <v>79.75</v>
      </c>
      <c r="D961" s="76">
        <v>3</v>
      </c>
      <c r="E961" s="76">
        <v>0.78666666666666696</v>
      </c>
      <c r="F961" s="77">
        <v>391.3</v>
      </c>
      <c r="G961" s="77">
        <v>1973.85</v>
      </c>
      <c r="H961" s="77">
        <v>1087.8333333333301</v>
      </c>
    </row>
    <row r="962" spans="1:8" x14ac:dyDescent="0.25">
      <c r="A962" s="34">
        <f t="shared" si="31"/>
        <v>4</v>
      </c>
      <c r="B962" s="35">
        <v>958</v>
      </c>
      <c r="C962" s="36">
        <f t="shared" si="32"/>
        <v>79.833333333333329</v>
      </c>
      <c r="D962" s="76">
        <v>2.9750000000000001</v>
      </c>
      <c r="E962" s="76">
        <v>0.88500000000000001</v>
      </c>
      <c r="F962" s="77">
        <v>385.35</v>
      </c>
      <c r="G962" s="77">
        <v>1820.3775000000001</v>
      </c>
      <c r="H962" s="77">
        <v>1155.825</v>
      </c>
    </row>
    <row r="963" spans="1:8" x14ac:dyDescent="0.25">
      <c r="A963" s="34">
        <f t="shared" si="31"/>
        <v>4</v>
      </c>
      <c r="B963" s="35">
        <v>959</v>
      </c>
      <c r="C963" s="36">
        <f t="shared" si="32"/>
        <v>79.916666666666657</v>
      </c>
      <c r="D963" s="76">
        <v>2.95</v>
      </c>
      <c r="E963" s="76">
        <v>0.98333333333333295</v>
      </c>
      <c r="F963" s="77">
        <v>379.4</v>
      </c>
      <c r="G963" s="77">
        <v>1666.905</v>
      </c>
      <c r="H963" s="77">
        <v>1223.81666666667</v>
      </c>
    </row>
    <row r="964" spans="1:8" x14ac:dyDescent="0.25">
      <c r="A964" s="34">
        <f t="shared" si="31"/>
        <v>4</v>
      </c>
      <c r="B964" s="35">
        <v>960</v>
      </c>
      <c r="C964" s="36">
        <f t="shared" si="32"/>
        <v>80</v>
      </c>
      <c r="D964" s="76">
        <v>2.9249999999999998</v>
      </c>
      <c r="E964" s="76">
        <v>1.0816666666666701</v>
      </c>
      <c r="F964" s="77">
        <v>373.45</v>
      </c>
      <c r="G964" s="77">
        <v>1513.4324999999999</v>
      </c>
      <c r="H964" s="77">
        <v>1291.80833333333</v>
      </c>
    </row>
    <row r="965" spans="1:8" x14ac:dyDescent="0.25">
      <c r="A965" s="34">
        <f t="shared" si="31"/>
        <v>4</v>
      </c>
      <c r="B965" s="35">
        <v>961</v>
      </c>
      <c r="C965" s="36">
        <f t="shared" si="32"/>
        <v>80.083333333333329</v>
      </c>
      <c r="D965" s="76">
        <v>2.9</v>
      </c>
      <c r="E965" s="76">
        <v>1.18</v>
      </c>
      <c r="F965" s="77">
        <v>367.5</v>
      </c>
      <c r="G965" s="77">
        <v>1359.96</v>
      </c>
      <c r="H965" s="77">
        <v>1359.8</v>
      </c>
    </row>
    <row r="966" spans="1:8" x14ac:dyDescent="0.25">
      <c r="A966" s="34">
        <f t="shared" si="31"/>
        <v>4</v>
      </c>
      <c r="B966" s="35">
        <v>962</v>
      </c>
      <c r="C966" s="36">
        <f t="shared" si="32"/>
        <v>80.166666666666657</v>
      </c>
      <c r="D966" s="76">
        <v>2.9166666666666701</v>
      </c>
      <c r="E966" s="76">
        <v>1.4733333333333301</v>
      </c>
      <c r="F966" s="77">
        <v>349.15</v>
      </c>
      <c r="G966" s="77">
        <v>1352.16333333333</v>
      </c>
      <c r="H966" s="77">
        <v>1291.80833333333</v>
      </c>
    </row>
    <row r="967" spans="1:8" x14ac:dyDescent="0.25">
      <c r="A967" s="34">
        <f t="shared" si="31"/>
        <v>4</v>
      </c>
      <c r="B967" s="35">
        <v>963</v>
      </c>
      <c r="C967" s="36">
        <f t="shared" si="32"/>
        <v>80.25</v>
      </c>
      <c r="D967" s="76">
        <v>2.93333333333333</v>
      </c>
      <c r="E967" s="76">
        <v>1.7666666666666699</v>
      </c>
      <c r="F967" s="77">
        <v>330.8</v>
      </c>
      <c r="G967" s="77">
        <v>1344.36666666667</v>
      </c>
      <c r="H967" s="77">
        <v>1223.81666666667</v>
      </c>
    </row>
    <row r="968" spans="1:8" x14ac:dyDescent="0.25">
      <c r="A968" s="34">
        <f t="shared" si="31"/>
        <v>4</v>
      </c>
      <c r="B968" s="35">
        <v>964</v>
      </c>
      <c r="C968" s="36">
        <f t="shared" si="32"/>
        <v>80.333333333333329</v>
      </c>
      <c r="D968" s="76">
        <v>2.95</v>
      </c>
      <c r="E968" s="76">
        <v>2.06</v>
      </c>
      <c r="F968" s="77">
        <v>312.45</v>
      </c>
      <c r="G968" s="77">
        <v>1336.57</v>
      </c>
      <c r="H968" s="77">
        <v>1155.825</v>
      </c>
    </row>
    <row r="969" spans="1:8" x14ac:dyDescent="0.25">
      <c r="A969" s="34">
        <f t="shared" si="31"/>
        <v>4</v>
      </c>
      <c r="B969" s="35">
        <v>965</v>
      </c>
      <c r="C969" s="36">
        <f t="shared" si="32"/>
        <v>80.416666666666657</v>
      </c>
      <c r="D969" s="76">
        <v>2.9666666666666699</v>
      </c>
      <c r="E969" s="76">
        <v>2.3533333333333299</v>
      </c>
      <c r="F969" s="77">
        <v>294.10000000000002</v>
      </c>
      <c r="G969" s="77">
        <v>1328.7733333333299</v>
      </c>
      <c r="H969" s="77">
        <v>1087.8333333333301</v>
      </c>
    </row>
    <row r="970" spans="1:8" x14ac:dyDescent="0.25">
      <c r="A970" s="34">
        <f t="shared" si="31"/>
        <v>4</v>
      </c>
      <c r="B970" s="35">
        <v>966</v>
      </c>
      <c r="C970" s="36">
        <f t="shared" si="32"/>
        <v>80.5</v>
      </c>
      <c r="D970" s="76">
        <v>2.9833333333333298</v>
      </c>
      <c r="E970" s="76">
        <v>2.6466666666666701</v>
      </c>
      <c r="F970" s="77">
        <v>275.75</v>
      </c>
      <c r="G970" s="77">
        <v>1320.9766666666701</v>
      </c>
      <c r="H970" s="77">
        <v>1019.84166666667</v>
      </c>
    </row>
    <row r="971" spans="1:8" x14ac:dyDescent="0.25">
      <c r="A971" s="34">
        <f t="shared" si="31"/>
        <v>4</v>
      </c>
      <c r="B971" s="35">
        <v>967</v>
      </c>
      <c r="C971" s="36">
        <f t="shared" si="32"/>
        <v>80.583333333333329</v>
      </c>
      <c r="D971" s="76">
        <v>3</v>
      </c>
      <c r="E971" s="76">
        <v>2.94</v>
      </c>
      <c r="F971" s="77">
        <v>257.39999999999998</v>
      </c>
      <c r="G971" s="77">
        <v>1313.18</v>
      </c>
      <c r="H971" s="77">
        <v>951.85</v>
      </c>
    </row>
    <row r="972" spans="1:8" x14ac:dyDescent="0.25">
      <c r="A972" s="34">
        <f t="shared" si="31"/>
        <v>4</v>
      </c>
      <c r="B972" s="35">
        <v>968</v>
      </c>
      <c r="C972" s="36">
        <f t="shared" si="32"/>
        <v>80.666666666666657</v>
      </c>
      <c r="D972" s="76">
        <v>3.0166666666666702</v>
      </c>
      <c r="E972" s="76">
        <v>3.2333333333333298</v>
      </c>
      <c r="F972" s="77">
        <v>239.05</v>
      </c>
      <c r="G972" s="77">
        <v>1305.38333333333</v>
      </c>
      <c r="H972" s="77">
        <v>883.85833333333301</v>
      </c>
    </row>
    <row r="973" spans="1:8" x14ac:dyDescent="0.25">
      <c r="A973" s="34">
        <f t="shared" si="31"/>
        <v>4</v>
      </c>
      <c r="B973" s="35">
        <v>969</v>
      </c>
      <c r="C973" s="36">
        <f t="shared" si="32"/>
        <v>80.75</v>
      </c>
      <c r="D973" s="76">
        <v>3.0333333333333301</v>
      </c>
      <c r="E973" s="76">
        <v>3.5266666666666699</v>
      </c>
      <c r="F973" s="77">
        <v>220.7</v>
      </c>
      <c r="G973" s="77">
        <v>1297.58666666667</v>
      </c>
      <c r="H973" s="77">
        <v>815.86666666666702</v>
      </c>
    </row>
    <row r="974" spans="1:8" x14ac:dyDescent="0.25">
      <c r="A974" s="34">
        <f t="shared" si="31"/>
        <v>4</v>
      </c>
      <c r="B974" s="35">
        <v>970</v>
      </c>
      <c r="C974" s="36">
        <f t="shared" si="32"/>
        <v>80.833333333333329</v>
      </c>
      <c r="D974" s="76">
        <v>3.05</v>
      </c>
      <c r="E974" s="76">
        <v>3.82</v>
      </c>
      <c r="F974" s="77">
        <v>202.35</v>
      </c>
      <c r="G974" s="77">
        <v>1289.79</v>
      </c>
      <c r="H974" s="77">
        <v>747.875</v>
      </c>
    </row>
    <row r="975" spans="1:8" x14ac:dyDescent="0.25">
      <c r="A975" s="34">
        <f t="shared" si="31"/>
        <v>4</v>
      </c>
      <c r="B975" s="35">
        <v>971</v>
      </c>
      <c r="C975" s="36">
        <f t="shared" si="32"/>
        <v>80.916666666666657</v>
      </c>
      <c r="D975" s="76">
        <v>3.06666666666667</v>
      </c>
      <c r="E975" s="76">
        <v>4.1133333333333297</v>
      </c>
      <c r="F975" s="77">
        <v>184</v>
      </c>
      <c r="G975" s="77">
        <v>1281.9933333333299</v>
      </c>
      <c r="H975" s="77">
        <v>679.88333333333298</v>
      </c>
    </row>
    <row r="976" spans="1:8" x14ac:dyDescent="0.25">
      <c r="A976" s="34">
        <f t="shared" si="31"/>
        <v>4</v>
      </c>
      <c r="B976" s="35">
        <v>972</v>
      </c>
      <c r="C976" s="36">
        <f t="shared" si="32"/>
        <v>81</v>
      </c>
      <c r="D976" s="76">
        <v>3.0833333333333299</v>
      </c>
      <c r="E976" s="76">
        <v>4.4066666666666698</v>
      </c>
      <c r="F976" s="77">
        <v>165.65</v>
      </c>
      <c r="G976" s="77">
        <v>1274.1966666666699</v>
      </c>
      <c r="H976" s="77">
        <v>611.89166666666699</v>
      </c>
    </row>
    <row r="977" spans="1:8" x14ac:dyDescent="0.25">
      <c r="A977" s="34">
        <f t="shared" si="31"/>
        <v>4</v>
      </c>
      <c r="B977" s="35">
        <v>973</v>
      </c>
      <c r="C977" s="36">
        <f t="shared" si="32"/>
        <v>81.083333333333329</v>
      </c>
      <c r="D977" s="76">
        <v>3.1</v>
      </c>
      <c r="E977" s="76">
        <v>4.7</v>
      </c>
      <c r="F977" s="77">
        <v>147.30000000000001</v>
      </c>
      <c r="G977" s="77">
        <v>1266.4000000000001</v>
      </c>
      <c r="H977" s="77">
        <v>543.9</v>
      </c>
    </row>
    <row r="978" spans="1:8" x14ac:dyDescent="0.25">
      <c r="A978" s="34">
        <f t="shared" si="31"/>
        <v>4</v>
      </c>
      <c r="B978" s="35">
        <v>974</v>
      </c>
      <c r="C978" s="36">
        <f t="shared" si="32"/>
        <v>81.166666666666657</v>
      </c>
      <c r="D978" s="76">
        <v>3.1166666666666698</v>
      </c>
      <c r="E978" s="76">
        <v>7.0575000000000001</v>
      </c>
      <c r="F978" s="77">
        <v>146.683333333333</v>
      </c>
      <c r="G978" s="77">
        <v>1217.73416666667</v>
      </c>
      <c r="H978" s="77">
        <v>510.58333333333297</v>
      </c>
    </row>
    <row r="979" spans="1:8" x14ac:dyDescent="0.25">
      <c r="A979" s="34">
        <f t="shared" si="31"/>
        <v>4</v>
      </c>
      <c r="B979" s="35">
        <v>975</v>
      </c>
      <c r="C979" s="36">
        <f t="shared" si="32"/>
        <v>81.25</v>
      </c>
      <c r="D979" s="76">
        <v>3.1333333333333302</v>
      </c>
      <c r="E979" s="76">
        <v>9.4149999999999991</v>
      </c>
      <c r="F979" s="77">
        <v>146.066666666667</v>
      </c>
      <c r="G979" s="77">
        <v>1169.06833333333</v>
      </c>
      <c r="H979" s="77">
        <v>477.26666666666699</v>
      </c>
    </row>
    <row r="980" spans="1:8" x14ac:dyDescent="0.25">
      <c r="A980" s="34">
        <f t="shared" si="31"/>
        <v>4</v>
      </c>
      <c r="B980" s="35">
        <v>976</v>
      </c>
      <c r="C980" s="36">
        <f t="shared" si="32"/>
        <v>81.333333333333329</v>
      </c>
      <c r="D980" s="76">
        <v>3.15</v>
      </c>
      <c r="E980" s="76">
        <v>11.772500000000001</v>
      </c>
      <c r="F980" s="77">
        <v>145.44999999999999</v>
      </c>
      <c r="G980" s="77">
        <v>1120.4024999999999</v>
      </c>
      <c r="H980" s="77">
        <v>443.95</v>
      </c>
    </row>
    <row r="981" spans="1:8" x14ac:dyDescent="0.25">
      <c r="A981" s="34">
        <f t="shared" si="31"/>
        <v>4</v>
      </c>
      <c r="B981" s="35">
        <v>977</v>
      </c>
      <c r="C981" s="36">
        <f t="shared" si="32"/>
        <v>81.416666666666657</v>
      </c>
      <c r="D981" s="76">
        <v>3.1666666666666701</v>
      </c>
      <c r="E981" s="76">
        <v>14.13</v>
      </c>
      <c r="F981" s="77">
        <v>144.833333333333</v>
      </c>
      <c r="G981" s="77">
        <v>1071.7366666666701</v>
      </c>
      <c r="H981" s="77">
        <v>410.63333333333298</v>
      </c>
    </row>
    <row r="982" spans="1:8" x14ac:dyDescent="0.25">
      <c r="A982" s="34">
        <f t="shared" si="31"/>
        <v>4</v>
      </c>
      <c r="B982" s="35">
        <v>978</v>
      </c>
      <c r="C982" s="36">
        <f t="shared" si="32"/>
        <v>81.5</v>
      </c>
      <c r="D982" s="76">
        <v>3.18333333333333</v>
      </c>
      <c r="E982" s="76">
        <v>16.487500000000001</v>
      </c>
      <c r="F982" s="77">
        <v>144.21666666666701</v>
      </c>
      <c r="G982" s="77">
        <v>1023.07083333333</v>
      </c>
      <c r="H982" s="77">
        <v>377.316666666667</v>
      </c>
    </row>
    <row r="983" spans="1:8" x14ac:dyDescent="0.25">
      <c r="A983" s="34">
        <f t="shared" si="31"/>
        <v>4</v>
      </c>
      <c r="B983" s="35">
        <v>979</v>
      </c>
      <c r="C983" s="36">
        <f t="shared" si="32"/>
        <v>81.583333333333329</v>
      </c>
      <c r="D983" s="76">
        <v>3.2</v>
      </c>
      <c r="E983" s="76">
        <v>18.844999999999999</v>
      </c>
      <c r="F983" s="77">
        <v>143.6</v>
      </c>
      <c r="G983" s="77">
        <v>974.40499999999997</v>
      </c>
      <c r="H983" s="77">
        <v>344</v>
      </c>
    </row>
    <row r="984" spans="1:8" x14ac:dyDescent="0.25">
      <c r="A984" s="34">
        <f t="shared" si="31"/>
        <v>4</v>
      </c>
      <c r="B984" s="35">
        <v>980</v>
      </c>
      <c r="C984" s="36">
        <f t="shared" si="32"/>
        <v>81.666666666666657</v>
      </c>
      <c r="D984" s="76">
        <v>3.2166666666666699</v>
      </c>
      <c r="E984" s="76">
        <v>21.202500000000001</v>
      </c>
      <c r="F984" s="77">
        <v>142.98333333333301</v>
      </c>
      <c r="G984" s="77">
        <v>925.73916666666696</v>
      </c>
      <c r="H984" s="77">
        <v>310.683333333333</v>
      </c>
    </row>
    <row r="985" spans="1:8" x14ac:dyDescent="0.25">
      <c r="A985" s="34">
        <f t="shared" si="31"/>
        <v>4</v>
      </c>
      <c r="B985" s="35">
        <v>981</v>
      </c>
      <c r="C985" s="36">
        <f t="shared" si="32"/>
        <v>81.75</v>
      </c>
      <c r="D985" s="76">
        <v>3.2333333333333298</v>
      </c>
      <c r="E985" s="76">
        <v>23.56</v>
      </c>
      <c r="F985" s="77">
        <v>142.36666666666699</v>
      </c>
      <c r="G985" s="77">
        <v>877.07333333333304</v>
      </c>
      <c r="H985" s="77">
        <v>277.36666666666702</v>
      </c>
    </row>
    <row r="986" spans="1:8" x14ac:dyDescent="0.25">
      <c r="A986" s="34">
        <f t="shared" si="31"/>
        <v>4</v>
      </c>
      <c r="B986" s="35">
        <v>982</v>
      </c>
      <c r="C986" s="36">
        <f t="shared" si="32"/>
        <v>81.833333333333329</v>
      </c>
      <c r="D986" s="76">
        <v>3.25</v>
      </c>
      <c r="E986" s="76">
        <v>25.9175</v>
      </c>
      <c r="F986" s="77">
        <v>141.75</v>
      </c>
      <c r="G986" s="77">
        <v>828.40750000000003</v>
      </c>
      <c r="H986" s="77">
        <v>244.05</v>
      </c>
    </row>
    <row r="987" spans="1:8" x14ac:dyDescent="0.25">
      <c r="A987" s="34">
        <f t="shared" si="31"/>
        <v>4</v>
      </c>
      <c r="B987" s="35">
        <v>983</v>
      </c>
      <c r="C987" s="36">
        <f t="shared" si="32"/>
        <v>81.916666666666657</v>
      </c>
      <c r="D987" s="76">
        <v>3.2666666666666702</v>
      </c>
      <c r="E987" s="76">
        <v>28.274999999999999</v>
      </c>
      <c r="F987" s="77">
        <v>141.13333333333301</v>
      </c>
      <c r="G987" s="77">
        <v>779.74166666666702</v>
      </c>
      <c r="H987" s="77">
        <v>210.73333333333301</v>
      </c>
    </row>
    <row r="988" spans="1:8" x14ac:dyDescent="0.25">
      <c r="A988" s="34">
        <f t="shared" si="31"/>
        <v>4</v>
      </c>
      <c r="B988" s="35">
        <v>984</v>
      </c>
      <c r="C988" s="36">
        <f t="shared" si="32"/>
        <v>82</v>
      </c>
      <c r="D988" s="76">
        <v>3.2833333333333301</v>
      </c>
      <c r="E988" s="76">
        <v>30.6325</v>
      </c>
      <c r="F988" s="77">
        <v>140.51666666666699</v>
      </c>
      <c r="G988" s="77">
        <v>731.07583333333298</v>
      </c>
      <c r="H988" s="77">
        <v>177.416666666667</v>
      </c>
    </row>
    <row r="989" spans="1:8" x14ac:dyDescent="0.25">
      <c r="A989" s="34">
        <f t="shared" si="31"/>
        <v>4</v>
      </c>
      <c r="B989" s="35">
        <v>985</v>
      </c>
      <c r="C989" s="36">
        <f t="shared" si="32"/>
        <v>82.083333333333329</v>
      </c>
      <c r="D989" s="76">
        <v>3.3</v>
      </c>
      <c r="E989" s="76">
        <v>32.99</v>
      </c>
      <c r="F989" s="77">
        <v>139.9</v>
      </c>
      <c r="G989" s="77">
        <v>682.41</v>
      </c>
      <c r="H989" s="77">
        <v>144.1</v>
      </c>
    </row>
    <row r="990" spans="1:8" x14ac:dyDescent="0.25">
      <c r="A990" s="34">
        <f t="shared" si="31"/>
        <v>4</v>
      </c>
      <c r="B990" s="35">
        <v>986</v>
      </c>
      <c r="C990" s="36">
        <f t="shared" si="32"/>
        <v>82.166666666666657</v>
      </c>
      <c r="D990" s="76">
        <v>3.35</v>
      </c>
      <c r="E990" s="76">
        <v>40.175833333333301</v>
      </c>
      <c r="F990" s="77">
        <v>143.50833333333301</v>
      </c>
      <c r="G990" s="77">
        <v>702.24</v>
      </c>
      <c r="H990" s="77">
        <v>143.42500000000001</v>
      </c>
    </row>
    <row r="991" spans="1:8" x14ac:dyDescent="0.25">
      <c r="A991" s="34">
        <f t="shared" si="31"/>
        <v>4</v>
      </c>
      <c r="B991" s="35">
        <v>987</v>
      </c>
      <c r="C991" s="36">
        <f t="shared" si="32"/>
        <v>82.25</v>
      </c>
      <c r="D991" s="76">
        <v>3.4</v>
      </c>
      <c r="E991" s="76">
        <v>47.3616666666667</v>
      </c>
      <c r="F991" s="77">
        <v>147.11666666666699</v>
      </c>
      <c r="G991" s="77">
        <v>722.07</v>
      </c>
      <c r="H991" s="77">
        <v>142.75</v>
      </c>
    </row>
    <row r="992" spans="1:8" x14ac:dyDescent="0.25">
      <c r="A992" s="34">
        <f t="shared" si="31"/>
        <v>4</v>
      </c>
      <c r="B992" s="35">
        <v>988</v>
      </c>
      <c r="C992" s="36">
        <f t="shared" si="32"/>
        <v>82.333333333333329</v>
      </c>
      <c r="D992" s="76">
        <v>3.45</v>
      </c>
      <c r="E992" s="76">
        <v>54.547499999999999</v>
      </c>
      <c r="F992" s="77">
        <v>150.72499999999999</v>
      </c>
      <c r="G992" s="77">
        <v>741.9</v>
      </c>
      <c r="H992" s="77">
        <v>142.07499999999999</v>
      </c>
    </row>
    <row r="993" spans="1:8" x14ac:dyDescent="0.25">
      <c r="A993" s="34">
        <f t="shared" si="31"/>
        <v>4</v>
      </c>
      <c r="B993" s="35">
        <v>989</v>
      </c>
      <c r="C993" s="36">
        <f t="shared" si="32"/>
        <v>82.416666666666657</v>
      </c>
      <c r="D993" s="76">
        <v>3.5</v>
      </c>
      <c r="E993" s="76">
        <v>61.733333333333299</v>
      </c>
      <c r="F993" s="77">
        <v>154.333333333333</v>
      </c>
      <c r="G993" s="77">
        <v>761.73</v>
      </c>
      <c r="H993" s="77">
        <v>141.4</v>
      </c>
    </row>
    <row r="994" spans="1:8" x14ac:dyDescent="0.25">
      <c r="A994" s="34">
        <f t="shared" si="31"/>
        <v>4</v>
      </c>
      <c r="B994" s="35">
        <v>990</v>
      </c>
      <c r="C994" s="36">
        <f t="shared" si="32"/>
        <v>82.5</v>
      </c>
      <c r="D994" s="76">
        <v>3.55</v>
      </c>
      <c r="E994" s="76">
        <v>68.919166666666698</v>
      </c>
      <c r="F994" s="77">
        <v>157.941666666667</v>
      </c>
      <c r="G994" s="77">
        <v>781.56</v>
      </c>
      <c r="H994" s="77">
        <v>140.72499999999999</v>
      </c>
    </row>
    <row r="995" spans="1:8" x14ac:dyDescent="0.25">
      <c r="A995" s="34">
        <f t="shared" si="31"/>
        <v>4</v>
      </c>
      <c r="B995" s="35">
        <v>991</v>
      </c>
      <c r="C995" s="36">
        <f t="shared" si="32"/>
        <v>82.583333333333329</v>
      </c>
      <c r="D995" s="76">
        <v>3.6</v>
      </c>
      <c r="E995" s="76">
        <v>76.105000000000004</v>
      </c>
      <c r="F995" s="77">
        <v>161.55000000000001</v>
      </c>
      <c r="G995" s="77">
        <v>801.39</v>
      </c>
      <c r="H995" s="77">
        <v>140.05000000000001</v>
      </c>
    </row>
    <row r="996" spans="1:8" x14ac:dyDescent="0.25">
      <c r="A996" s="34">
        <f t="shared" si="31"/>
        <v>4</v>
      </c>
      <c r="B996" s="35">
        <v>992</v>
      </c>
      <c r="C996" s="36">
        <f t="shared" si="32"/>
        <v>82.666666666666657</v>
      </c>
      <c r="D996" s="76">
        <v>3.65</v>
      </c>
      <c r="E996" s="76">
        <v>83.290833333333296</v>
      </c>
      <c r="F996" s="77">
        <v>165.15833333333299</v>
      </c>
      <c r="G996" s="77">
        <v>821.22</v>
      </c>
      <c r="H996" s="77">
        <v>139.375</v>
      </c>
    </row>
    <row r="997" spans="1:8" x14ac:dyDescent="0.25">
      <c r="A997" s="34">
        <f t="shared" si="31"/>
        <v>4</v>
      </c>
      <c r="B997" s="35">
        <v>993</v>
      </c>
      <c r="C997" s="36">
        <f t="shared" si="32"/>
        <v>82.75</v>
      </c>
      <c r="D997" s="76">
        <v>3.7</v>
      </c>
      <c r="E997" s="76">
        <v>90.476666666666702</v>
      </c>
      <c r="F997" s="77">
        <v>168.76666666666699</v>
      </c>
      <c r="G997" s="77">
        <v>841.05</v>
      </c>
      <c r="H997" s="77">
        <v>138.69999999999999</v>
      </c>
    </row>
    <row r="998" spans="1:8" x14ac:dyDescent="0.25">
      <c r="A998" s="34">
        <f t="shared" si="31"/>
        <v>4</v>
      </c>
      <c r="B998" s="35">
        <v>994</v>
      </c>
      <c r="C998" s="36">
        <f t="shared" si="32"/>
        <v>82.833333333333329</v>
      </c>
      <c r="D998" s="76">
        <v>3.75</v>
      </c>
      <c r="E998" s="76">
        <v>97.662499999999994</v>
      </c>
      <c r="F998" s="77">
        <v>172.375</v>
      </c>
      <c r="G998" s="77">
        <v>860.88</v>
      </c>
      <c r="H998" s="77">
        <v>138.02500000000001</v>
      </c>
    </row>
    <row r="999" spans="1:8" x14ac:dyDescent="0.25">
      <c r="A999" s="34">
        <f t="shared" si="31"/>
        <v>4</v>
      </c>
      <c r="B999" s="35">
        <v>995</v>
      </c>
      <c r="C999" s="36">
        <f t="shared" si="32"/>
        <v>82.916666666666657</v>
      </c>
      <c r="D999" s="76">
        <v>3.8</v>
      </c>
      <c r="E999" s="76">
        <v>104.848333333333</v>
      </c>
      <c r="F999" s="77">
        <v>175.98333333333301</v>
      </c>
      <c r="G999" s="77">
        <v>880.71</v>
      </c>
      <c r="H999" s="77">
        <v>137.35</v>
      </c>
    </row>
    <row r="1000" spans="1:8" x14ac:dyDescent="0.25">
      <c r="A1000" s="34">
        <f t="shared" si="31"/>
        <v>4</v>
      </c>
      <c r="B1000" s="35">
        <v>996</v>
      </c>
      <c r="C1000" s="36">
        <f t="shared" si="32"/>
        <v>83</v>
      </c>
      <c r="D1000" s="76">
        <v>3.85</v>
      </c>
      <c r="E1000" s="76">
        <v>112.03416666666701</v>
      </c>
      <c r="F1000" s="77">
        <v>179.59166666666701</v>
      </c>
      <c r="G1000" s="77">
        <v>900.54</v>
      </c>
      <c r="H1000" s="77">
        <v>136.67500000000001</v>
      </c>
    </row>
    <row r="1001" spans="1:8" x14ac:dyDescent="0.25">
      <c r="A1001" s="34">
        <f t="shared" si="31"/>
        <v>4</v>
      </c>
      <c r="B1001" s="35">
        <v>997</v>
      </c>
      <c r="C1001" s="36">
        <f t="shared" si="32"/>
        <v>83.083333333333329</v>
      </c>
      <c r="D1001" s="76">
        <v>3.9</v>
      </c>
      <c r="E1001" s="76">
        <v>119.22</v>
      </c>
      <c r="F1001" s="77">
        <v>183.2</v>
      </c>
      <c r="G1001" s="77">
        <v>920.37</v>
      </c>
      <c r="H1001" s="77">
        <v>136</v>
      </c>
    </row>
    <row r="1002" spans="1:8" x14ac:dyDescent="0.25">
      <c r="A1002" s="34">
        <f t="shared" si="31"/>
        <v>4</v>
      </c>
      <c r="B1002" s="35">
        <v>998</v>
      </c>
      <c r="C1002" s="36">
        <f t="shared" si="32"/>
        <v>83.166666666666657</v>
      </c>
      <c r="D1002" s="76">
        <v>4.0416666666666696</v>
      </c>
      <c r="E1002" s="76">
        <v>137.025833333333</v>
      </c>
      <c r="F1002" s="77">
        <v>188.86666666666699</v>
      </c>
      <c r="G1002" s="77">
        <v>978.88250000000005</v>
      </c>
      <c r="H1002" s="77">
        <v>136</v>
      </c>
    </row>
    <row r="1003" spans="1:8" x14ac:dyDescent="0.25">
      <c r="A1003" s="34">
        <f t="shared" si="31"/>
        <v>4</v>
      </c>
      <c r="B1003" s="35">
        <v>999</v>
      </c>
      <c r="C1003" s="36">
        <f t="shared" si="32"/>
        <v>83.25</v>
      </c>
      <c r="D1003" s="76">
        <v>4.18333333333333</v>
      </c>
      <c r="E1003" s="76">
        <v>154.83166666666699</v>
      </c>
      <c r="F1003" s="77">
        <v>194.53333333333299</v>
      </c>
      <c r="G1003" s="77">
        <v>1037.395</v>
      </c>
      <c r="H1003" s="77">
        <v>136</v>
      </c>
    </row>
    <row r="1004" spans="1:8" x14ac:dyDescent="0.25">
      <c r="A1004" s="34">
        <f t="shared" si="31"/>
        <v>4</v>
      </c>
      <c r="B1004" s="35">
        <v>1000</v>
      </c>
      <c r="C1004" s="36">
        <f t="shared" si="32"/>
        <v>83.333333333333329</v>
      </c>
      <c r="D1004" s="76">
        <v>4.3250000000000002</v>
      </c>
      <c r="E1004" s="76">
        <v>172.63749999999999</v>
      </c>
      <c r="F1004" s="77">
        <v>200.2</v>
      </c>
      <c r="G1004" s="77">
        <v>1095.9075</v>
      </c>
      <c r="H1004" s="77">
        <v>136</v>
      </c>
    </row>
    <row r="1005" spans="1:8" x14ac:dyDescent="0.25">
      <c r="A1005" s="34">
        <f t="shared" si="31"/>
        <v>4</v>
      </c>
      <c r="B1005" s="35">
        <v>1001</v>
      </c>
      <c r="C1005" s="36">
        <f t="shared" si="32"/>
        <v>83.416666666666657</v>
      </c>
      <c r="D1005" s="76">
        <v>4.4666666666666703</v>
      </c>
      <c r="E1005" s="76">
        <v>190.44333333333299</v>
      </c>
      <c r="F1005" s="77">
        <v>205.86666666666699</v>
      </c>
      <c r="G1005" s="77">
        <v>1154.42</v>
      </c>
      <c r="H1005" s="77">
        <v>136</v>
      </c>
    </row>
    <row r="1006" spans="1:8" x14ac:dyDescent="0.25">
      <c r="A1006" s="34">
        <f t="shared" si="31"/>
        <v>4</v>
      </c>
      <c r="B1006" s="35">
        <v>1002</v>
      </c>
      <c r="C1006" s="36">
        <f t="shared" si="32"/>
        <v>83.5</v>
      </c>
      <c r="D1006" s="76">
        <v>4.6083333333333298</v>
      </c>
      <c r="E1006" s="76">
        <v>208.24916666666701</v>
      </c>
      <c r="F1006" s="77">
        <v>211.53333333333299</v>
      </c>
      <c r="G1006" s="77">
        <v>1212.9324999999999</v>
      </c>
      <c r="H1006" s="77">
        <v>136</v>
      </c>
    </row>
    <row r="1007" spans="1:8" x14ac:dyDescent="0.25">
      <c r="A1007" s="34">
        <f t="shared" si="31"/>
        <v>4</v>
      </c>
      <c r="B1007" s="35">
        <v>1003</v>
      </c>
      <c r="C1007" s="36">
        <f t="shared" si="32"/>
        <v>83.583333333333329</v>
      </c>
      <c r="D1007" s="76">
        <v>4.75</v>
      </c>
      <c r="E1007" s="76">
        <v>226.05500000000001</v>
      </c>
      <c r="F1007" s="77">
        <v>217.2</v>
      </c>
      <c r="G1007" s="77">
        <v>1271.4449999999999</v>
      </c>
      <c r="H1007" s="77">
        <v>136</v>
      </c>
    </row>
    <row r="1008" spans="1:8" x14ac:dyDescent="0.25">
      <c r="A1008" s="34">
        <f t="shared" si="31"/>
        <v>4</v>
      </c>
      <c r="B1008" s="35">
        <v>1004</v>
      </c>
      <c r="C1008" s="36">
        <f t="shared" si="32"/>
        <v>83.666666666666657</v>
      </c>
      <c r="D1008" s="76">
        <v>4.8916666666666702</v>
      </c>
      <c r="E1008" s="76">
        <v>243.86083333333301</v>
      </c>
      <c r="F1008" s="77">
        <v>222.86666666666699</v>
      </c>
      <c r="G1008" s="77">
        <v>1329.9575</v>
      </c>
      <c r="H1008" s="77">
        <v>136</v>
      </c>
    </row>
    <row r="1009" spans="1:8" x14ac:dyDescent="0.25">
      <c r="A1009" s="34">
        <f t="shared" si="31"/>
        <v>4</v>
      </c>
      <c r="B1009" s="35">
        <v>1005</v>
      </c>
      <c r="C1009" s="36">
        <f t="shared" si="32"/>
        <v>83.75</v>
      </c>
      <c r="D1009" s="76">
        <v>5.0333333333333297</v>
      </c>
      <c r="E1009" s="76">
        <v>261.66666666666703</v>
      </c>
      <c r="F1009" s="77">
        <v>228.53333333333299</v>
      </c>
      <c r="G1009" s="77">
        <v>1388.47</v>
      </c>
      <c r="H1009" s="77">
        <v>136</v>
      </c>
    </row>
    <row r="1010" spans="1:8" x14ac:dyDescent="0.25">
      <c r="A1010" s="34">
        <f t="shared" si="31"/>
        <v>4</v>
      </c>
      <c r="B1010" s="35">
        <v>1006</v>
      </c>
      <c r="C1010" s="36">
        <f t="shared" si="32"/>
        <v>83.833333333333329</v>
      </c>
      <c r="D1010" s="76">
        <v>5.1749999999999998</v>
      </c>
      <c r="E1010" s="76">
        <v>279.47250000000003</v>
      </c>
      <c r="F1010" s="77">
        <v>234.2</v>
      </c>
      <c r="G1010" s="77">
        <v>1446.9825000000001</v>
      </c>
      <c r="H1010" s="77">
        <v>136</v>
      </c>
    </row>
    <row r="1011" spans="1:8" x14ac:dyDescent="0.25">
      <c r="A1011" s="34">
        <f t="shared" si="31"/>
        <v>4</v>
      </c>
      <c r="B1011" s="35">
        <v>1007</v>
      </c>
      <c r="C1011" s="36">
        <f t="shared" si="32"/>
        <v>83.916666666666657</v>
      </c>
      <c r="D1011" s="76">
        <v>5.31666666666667</v>
      </c>
      <c r="E1011" s="76">
        <v>297.27833333333302</v>
      </c>
      <c r="F1011" s="77">
        <v>239.86666666666699</v>
      </c>
      <c r="G1011" s="77">
        <v>1505.4949999999999</v>
      </c>
      <c r="H1011" s="77">
        <v>136</v>
      </c>
    </row>
    <row r="1012" spans="1:8" x14ac:dyDescent="0.25">
      <c r="A1012" s="34">
        <f t="shared" si="31"/>
        <v>4</v>
      </c>
      <c r="B1012" s="35">
        <v>1008</v>
      </c>
      <c r="C1012" s="36">
        <f t="shared" si="32"/>
        <v>84</v>
      </c>
      <c r="D1012" s="76">
        <v>5.4583333333333304</v>
      </c>
      <c r="E1012" s="76">
        <v>315.08416666666699</v>
      </c>
      <c r="F1012" s="77">
        <v>245.53333333333299</v>
      </c>
      <c r="G1012" s="77">
        <v>1564.0074999999999</v>
      </c>
      <c r="H1012" s="77">
        <v>136</v>
      </c>
    </row>
    <row r="1013" spans="1:8" x14ac:dyDescent="0.25">
      <c r="A1013" s="34">
        <f t="shared" ref="A1013:A1076" si="33">ROUNDUP(C1013/24,0)</f>
        <v>4</v>
      </c>
      <c r="B1013" s="35">
        <v>1009</v>
      </c>
      <c r="C1013" s="36">
        <f t="shared" ref="C1013:C1076" si="34">B1013*$C$1</f>
        <v>84.083333333333329</v>
      </c>
      <c r="D1013" s="76">
        <v>5.6</v>
      </c>
      <c r="E1013" s="76">
        <v>332.89</v>
      </c>
      <c r="F1013" s="77">
        <v>251.2</v>
      </c>
      <c r="G1013" s="77">
        <v>1622.52</v>
      </c>
      <c r="H1013" s="77">
        <v>136</v>
      </c>
    </row>
    <row r="1014" spans="1:8" x14ac:dyDescent="0.25">
      <c r="A1014" s="34">
        <f t="shared" si="33"/>
        <v>4</v>
      </c>
      <c r="B1014" s="35">
        <v>1010</v>
      </c>
      <c r="C1014" s="36">
        <f t="shared" si="34"/>
        <v>84.166666666666657</v>
      </c>
      <c r="D1014" s="76">
        <v>5.6</v>
      </c>
      <c r="E1014" s="76">
        <v>331.07916666666699</v>
      </c>
      <c r="F1014" s="77">
        <v>250.85</v>
      </c>
      <c r="G1014" s="77">
        <v>1616.5425</v>
      </c>
      <c r="H1014" s="77">
        <v>136</v>
      </c>
    </row>
    <row r="1015" spans="1:8" x14ac:dyDescent="0.25">
      <c r="A1015" s="34">
        <f t="shared" si="33"/>
        <v>4</v>
      </c>
      <c r="B1015" s="35">
        <v>1011</v>
      </c>
      <c r="C1015" s="36">
        <f t="shared" si="34"/>
        <v>84.25</v>
      </c>
      <c r="D1015" s="76">
        <v>5.6</v>
      </c>
      <c r="E1015" s="76">
        <v>329.26833333333298</v>
      </c>
      <c r="F1015" s="77">
        <v>250.5</v>
      </c>
      <c r="G1015" s="77">
        <v>1610.5650000000001</v>
      </c>
      <c r="H1015" s="77">
        <v>136</v>
      </c>
    </row>
    <row r="1016" spans="1:8" x14ac:dyDescent="0.25">
      <c r="A1016" s="34">
        <f t="shared" si="33"/>
        <v>4</v>
      </c>
      <c r="B1016" s="35">
        <v>1012</v>
      </c>
      <c r="C1016" s="36">
        <f t="shared" si="34"/>
        <v>84.333333333333329</v>
      </c>
      <c r="D1016" s="76">
        <v>5.6</v>
      </c>
      <c r="E1016" s="76">
        <v>327.45749999999998</v>
      </c>
      <c r="F1016" s="77">
        <v>250.15</v>
      </c>
      <c r="G1016" s="77">
        <v>1604.5875000000001</v>
      </c>
      <c r="H1016" s="77">
        <v>136</v>
      </c>
    </row>
    <row r="1017" spans="1:8" x14ac:dyDescent="0.25">
      <c r="A1017" s="34">
        <f t="shared" si="33"/>
        <v>4</v>
      </c>
      <c r="B1017" s="35">
        <v>1013</v>
      </c>
      <c r="C1017" s="36">
        <f t="shared" si="34"/>
        <v>84.416666666666657</v>
      </c>
      <c r="D1017" s="76">
        <v>5.6</v>
      </c>
      <c r="E1017" s="76">
        <v>325.64666666666699</v>
      </c>
      <c r="F1017" s="77">
        <v>249.8</v>
      </c>
      <c r="G1017" s="77">
        <v>1598.61</v>
      </c>
      <c r="H1017" s="77">
        <v>136</v>
      </c>
    </row>
    <row r="1018" spans="1:8" x14ac:dyDescent="0.25">
      <c r="A1018" s="34">
        <f t="shared" si="33"/>
        <v>4</v>
      </c>
      <c r="B1018" s="35">
        <v>1014</v>
      </c>
      <c r="C1018" s="36">
        <f t="shared" si="34"/>
        <v>84.5</v>
      </c>
      <c r="D1018" s="76">
        <v>5.6</v>
      </c>
      <c r="E1018" s="76">
        <v>323.83583333333303</v>
      </c>
      <c r="F1018" s="77">
        <v>249.45</v>
      </c>
      <c r="G1018" s="77">
        <v>1592.6324999999999</v>
      </c>
      <c r="H1018" s="77">
        <v>136</v>
      </c>
    </row>
    <row r="1019" spans="1:8" x14ac:dyDescent="0.25">
      <c r="A1019" s="34">
        <f t="shared" si="33"/>
        <v>4</v>
      </c>
      <c r="B1019" s="35">
        <v>1015</v>
      </c>
      <c r="C1019" s="36">
        <f t="shared" si="34"/>
        <v>84.583333333333329</v>
      </c>
      <c r="D1019" s="76">
        <v>5.6</v>
      </c>
      <c r="E1019" s="76">
        <v>322.02499999999998</v>
      </c>
      <c r="F1019" s="77">
        <v>249.1</v>
      </c>
      <c r="G1019" s="77">
        <v>1586.655</v>
      </c>
      <c r="H1019" s="77">
        <v>136</v>
      </c>
    </row>
    <row r="1020" spans="1:8" x14ac:dyDescent="0.25">
      <c r="A1020" s="34">
        <f t="shared" si="33"/>
        <v>4</v>
      </c>
      <c r="B1020" s="35">
        <v>1016</v>
      </c>
      <c r="C1020" s="36">
        <f t="shared" si="34"/>
        <v>84.666666666666657</v>
      </c>
      <c r="D1020" s="76">
        <v>5.6</v>
      </c>
      <c r="E1020" s="76">
        <v>320.21416666666698</v>
      </c>
      <c r="F1020" s="77">
        <v>248.75</v>
      </c>
      <c r="G1020" s="77">
        <v>1580.6775</v>
      </c>
      <c r="H1020" s="77">
        <v>136</v>
      </c>
    </row>
    <row r="1021" spans="1:8" x14ac:dyDescent="0.25">
      <c r="A1021" s="34">
        <f t="shared" si="33"/>
        <v>4</v>
      </c>
      <c r="B1021" s="35">
        <v>1017</v>
      </c>
      <c r="C1021" s="36">
        <f t="shared" si="34"/>
        <v>84.75</v>
      </c>
      <c r="D1021" s="76">
        <v>5.6</v>
      </c>
      <c r="E1021" s="76">
        <v>318.40333333333302</v>
      </c>
      <c r="F1021" s="77">
        <v>248.4</v>
      </c>
      <c r="G1021" s="77">
        <v>1574.7</v>
      </c>
      <c r="H1021" s="77">
        <v>136</v>
      </c>
    </row>
    <row r="1022" spans="1:8" x14ac:dyDescent="0.25">
      <c r="A1022" s="34">
        <f t="shared" si="33"/>
        <v>4</v>
      </c>
      <c r="B1022" s="35">
        <v>1018</v>
      </c>
      <c r="C1022" s="36">
        <f t="shared" si="34"/>
        <v>84.833333333333329</v>
      </c>
      <c r="D1022" s="76">
        <v>5.6</v>
      </c>
      <c r="E1022" s="76">
        <v>316.59249999999997</v>
      </c>
      <c r="F1022" s="77">
        <v>248.05</v>
      </c>
      <c r="G1022" s="77">
        <v>1568.7225000000001</v>
      </c>
      <c r="H1022" s="77">
        <v>136</v>
      </c>
    </row>
    <row r="1023" spans="1:8" x14ac:dyDescent="0.25">
      <c r="A1023" s="34">
        <f t="shared" si="33"/>
        <v>4</v>
      </c>
      <c r="B1023" s="35">
        <v>1019</v>
      </c>
      <c r="C1023" s="36">
        <f t="shared" si="34"/>
        <v>84.916666666666657</v>
      </c>
      <c r="D1023" s="76">
        <v>5.6</v>
      </c>
      <c r="E1023" s="76">
        <v>314.78166666666698</v>
      </c>
      <c r="F1023" s="77">
        <v>247.7</v>
      </c>
      <c r="G1023" s="77">
        <v>1562.7449999999999</v>
      </c>
      <c r="H1023" s="77">
        <v>136</v>
      </c>
    </row>
    <row r="1024" spans="1:8" x14ac:dyDescent="0.25">
      <c r="A1024" s="34">
        <f t="shared" si="33"/>
        <v>4</v>
      </c>
      <c r="B1024" s="35">
        <v>1020</v>
      </c>
      <c r="C1024" s="36">
        <f t="shared" si="34"/>
        <v>85</v>
      </c>
      <c r="D1024" s="76">
        <v>5.6</v>
      </c>
      <c r="E1024" s="76">
        <v>312.97083333333302</v>
      </c>
      <c r="F1024" s="77">
        <v>247.35</v>
      </c>
      <c r="G1024" s="77">
        <v>1556.7674999999999</v>
      </c>
      <c r="H1024" s="77">
        <v>136</v>
      </c>
    </row>
    <row r="1025" spans="1:8" x14ac:dyDescent="0.25">
      <c r="A1025" s="34">
        <f t="shared" si="33"/>
        <v>4</v>
      </c>
      <c r="B1025" s="35">
        <v>1021</v>
      </c>
      <c r="C1025" s="36">
        <f t="shared" si="34"/>
        <v>85.083333333333329</v>
      </c>
      <c r="D1025" s="76">
        <v>5.6</v>
      </c>
      <c r="E1025" s="76">
        <v>311.16000000000003</v>
      </c>
      <c r="F1025" s="77">
        <v>247</v>
      </c>
      <c r="G1025" s="77">
        <v>1550.79</v>
      </c>
      <c r="H1025" s="77">
        <v>136</v>
      </c>
    </row>
    <row r="1026" spans="1:8" x14ac:dyDescent="0.25">
      <c r="A1026" s="34">
        <f t="shared" si="33"/>
        <v>4</v>
      </c>
      <c r="B1026" s="35">
        <v>1022</v>
      </c>
      <c r="C1026" s="36">
        <f t="shared" si="34"/>
        <v>85.166666666666657</v>
      </c>
      <c r="D1026" s="76">
        <v>5.6333333333333302</v>
      </c>
      <c r="E1026" s="76">
        <v>331.90750000000003</v>
      </c>
      <c r="F1026" s="77">
        <v>236.916666666667</v>
      </c>
      <c r="G1026" s="77">
        <v>1549.22416666667</v>
      </c>
      <c r="H1026" s="77">
        <v>124.666666666667</v>
      </c>
    </row>
    <row r="1027" spans="1:8" x14ac:dyDescent="0.25">
      <c r="A1027" s="34">
        <f t="shared" si="33"/>
        <v>4</v>
      </c>
      <c r="B1027" s="35">
        <v>1023</v>
      </c>
      <c r="C1027" s="36">
        <f t="shared" si="34"/>
        <v>85.25</v>
      </c>
      <c r="D1027" s="76">
        <v>5.6666666666666696</v>
      </c>
      <c r="E1027" s="76">
        <v>352.65499999999997</v>
      </c>
      <c r="F1027" s="77">
        <v>226.833333333333</v>
      </c>
      <c r="G1027" s="77">
        <v>1547.6583333333299</v>
      </c>
      <c r="H1027" s="77">
        <v>113.333333333333</v>
      </c>
    </row>
    <row r="1028" spans="1:8" x14ac:dyDescent="0.25">
      <c r="A1028" s="34">
        <f t="shared" si="33"/>
        <v>4</v>
      </c>
      <c r="B1028" s="35">
        <v>1024</v>
      </c>
      <c r="C1028" s="36">
        <f t="shared" si="34"/>
        <v>85.333333333333329</v>
      </c>
      <c r="D1028" s="76">
        <v>5.7</v>
      </c>
      <c r="E1028" s="76">
        <v>373.40249999999997</v>
      </c>
      <c r="F1028" s="77">
        <v>216.75</v>
      </c>
      <c r="G1028" s="77">
        <v>1546.0925</v>
      </c>
      <c r="H1028" s="77">
        <v>102</v>
      </c>
    </row>
    <row r="1029" spans="1:8" x14ac:dyDescent="0.25">
      <c r="A1029" s="34">
        <f t="shared" si="33"/>
        <v>4</v>
      </c>
      <c r="B1029" s="35">
        <v>1025</v>
      </c>
      <c r="C1029" s="36">
        <f t="shared" si="34"/>
        <v>85.416666666666657</v>
      </c>
      <c r="D1029" s="76">
        <v>5.7333333333333298</v>
      </c>
      <c r="E1029" s="76">
        <v>394.15</v>
      </c>
      <c r="F1029" s="77">
        <v>206.666666666667</v>
      </c>
      <c r="G1029" s="77">
        <v>1544.5266666666701</v>
      </c>
      <c r="H1029" s="77">
        <v>90.6666666666667</v>
      </c>
    </row>
    <row r="1030" spans="1:8" x14ac:dyDescent="0.25">
      <c r="A1030" s="34">
        <f t="shared" si="33"/>
        <v>4</v>
      </c>
      <c r="B1030" s="35">
        <v>1026</v>
      </c>
      <c r="C1030" s="36">
        <f t="shared" si="34"/>
        <v>85.5</v>
      </c>
      <c r="D1030" s="76">
        <v>5.7666666666666702</v>
      </c>
      <c r="E1030" s="76">
        <v>414.89749999999998</v>
      </c>
      <c r="F1030" s="77">
        <v>196.583333333333</v>
      </c>
      <c r="G1030" s="77">
        <v>1542.9608333333299</v>
      </c>
      <c r="H1030" s="77">
        <v>79.3333333333333</v>
      </c>
    </row>
    <row r="1031" spans="1:8" x14ac:dyDescent="0.25">
      <c r="A1031" s="34">
        <f t="shared" si="33"/>
        <v>4</v>
      </c>
      <c r="B1031" s="35">
        <v>1027</v>
      </c>
      <c r="C1031" s="36">
        <f t="shared" si="34"/>
        <v>85.583333333333329</v>
      </c>
      <c r="D1031" s="76">
        <v>5.8</v>
      </c>
      <c r="E1031" s="76">
        <v>435.64499999999998</v>
      </c>
      <c r="F1031" s="77">
        <v>186.5</v>
      </c>
      <c r="G1031" s="77">
        <v>1541.395</v>
      </c>
      <c r="H1031" s="77">
        <v>68</v>
      </c>
    </row>
    <row r="1032" spans="1:8" x14ac:dyDescent="0.25">
      <c r="A1032" s="34">
        <f t="shared" si="33"/>
        <v>4</v>
      </c>
      <c r="B1032" s="35">
        <v>1028</v>
      </c>
      <c r="C1032" s="36">
        <f t="shared" si="34"/>
        <v>85.666666666666657</v>
      </c>
      <c r="D1032" s="76">
        <v>5.8333333333333304</v>
      </c>
      <c r="E1032" s="76">
        <v>456.39249999999998</v>
      </c>
      <c r="F1032" s="77">
        <v>176.416666666667</v>
      </c>
      <c r="G1032" s="77">
        <v>1539.8291666666701</v>
      </c>
      <c r="H1032" s="77">
        <v>56.6666666666667</v>
      </c>
    </row>
    <row r="1033" spans="1:8" x14ac:dyDescent="0.25">
      <c r="A1033" s="34">
        <f t="shared" si="33"/>
        <v>4</v>
      </c>
      <c r="B1033" s="35">
        <v>1029</v>
      </c>
      <c r="C1033" s="36">
        <f t="shared" si="34"/>
        <v>85.75</v>
      </c>
      <c r="D1033" s="76">
        <v>5.8666666666666698</v>
      </c>
      <c r="E1033" s="76">
        <v>477.14</v>
      </c>
      <c r="F1033" s="77">
        <v>166.333333333333</v>
      </c>
      <c r="G1033" s="77">
        <v>1538.2633333333299</v>
      </c>
      <c r="H1033" s="77">
        <v>45.3333333333333</v>
      </c>
    </row>
    <row r="1034" spans="1:8" x14ac:dyDescent="0.25">
      <c r="A1034" s="34">
        <f t="shared" si="33"/>
        <v>4</v>
      </c>
      <c r="B1034" s="35">
        <v>1030</v>
      </c>
      <c r="C1034" s="36">
        <f t="shared" si="34"/>
        <v>85.833333333333329</v>
      </c>
      <c r="D1034" s="76">
        <v>5.9</v>
      </c>
      <c r="E1034" s="76">
        <v>497.88749999999999</v>
      </c>
      <c r="F1034" s="77">
        <v>156.25</v>
      </c>
      <c r="G1034" s="77">
        <v>1536.6975</v>
      </c>
      <c r="H1034" s="77">
        <v>34</v>
      </c>
    </row>
    <row r="1035" spans="1:8" x14ac:dyDescent="0.25">
      <c r="A1035" s="34">
        <f t="shared" si="33"/>
        <v>4</v>
      </c>
      <c r="B1035" s="35">
        <v>1031</v>
      </c>
      <c r="C1035" s="36">
        <f t="shared" si="34"/>
        <v>85.916666666666657</v>
      </c>
      <c r="D1035" s="76">
        <v>5.93333333333333</v>
      </c>
      <c r="E1035" s="76">
        <v>518.63499999999999</v>
      </c>
      <c r="F1035" s="77">
        <v>146.166666666667</v>
      </c>
      <c r="G1035" s="77">
        <v>1535.1316666666701</v>
      </c>
      <c r="H1035" s="77">
        <v>22.6666666666667</v>
      </c>
    </row>
    <row r="1036" spans="1:8" x14ac:dyDescent="0.25">
      <c r="A1036" s="34">
        <f t="shared" si="33"/>
        <v>4</v>
      </c>
      <c r="B1036" s="35">
        <v>1032</v>
      </c>
      <c r="C1036" s="36">
        <f t="shared" si="34"/>
        <v>86</v>
      </c>
      <c r="D1036" s="76">
        <v>5.9666666666666703</v>
      </c>
      <c r="E1036" s="76">
        <v>539.38250000000005</v>
      </c>
      <c r="F1036" s="77">
        <v>136.083333333333</v>
      </c>
      <c r="G1036" s="77">
        <v>1533.5658333333299</v>
      </c>
      <c r="H1036" s="77">
        <v>11.3333333333333</v>
      </c>
    </row>
    <row r="1037" spans="1:8" x14ac:dyDescent="0.25">
      <c r="A1037" s="34">
        <f t="shared" si="33"/>
        <v>4</v>
      </c>
      <c r="B1037" s="35">
        <v>1033</v>
      </c>
      <c r="C1037" s="36">
        <f t="shared" si="34"/>
        <v>86.083333333333329</v>
      </c>
      <c r="D1037" s="76">
        <v>6</v>
      </c>
      <c r="E1037" s="76">
        <v>560.13</v>
      </c>
      <c r="F1037" s="77">
        <v>126</v>
      </c>
      <c r="G1037" s="77">
        <v>1532</v>
      </c>
      <c r="H1037" s="77">
        <v>0</v>
      </c>
    </row>
    <row r="1038" spans="1:8" x14ac:dyDescent="0.25">
      <c r="A1038" s="34">
        <f t="shared" si="33"/>
        <v>4</v>
      </c>
      <c r="B1038" s="35">
        <v>1034</v>
      </c>
      <c r="C1038" s="36">
        <f t="shared" si="34"/>
        <v>86.166666666666657</v>
      </c>
      <c r="D1038" s="76">
        <v>6.1</v>
      </c>
      <c r="E1038" s="76">
        <v>557.88083333333304</v>
      </c>
      <c r="F1038" s="77">
        <v>124.25</v>
      </c>
      <c r="G1038" s="77">
        <v>1532</v>
      </c>
      <c r="H1038" s="77">
        <v>0</v>
      </c>
    </row>
    <row r="1039" spans="1:8" x14ac:dyDescent="0.25">
      <c r="A1039" s="34">
        <f t="shared" si="33"/>
        <v>4</v>
      </c>
      <c r="B1039" s="35">
        <v>1035</v>
      </c>
      <c r="C1039" s="36">
        <f t="shared" si="34"/>
        <v>86.25</v>
      </c>
      <c r="D1039" s="76">
        <v>6.2</v>
      </c>
      <c r="E1039" s="76">
        <v>555.631666666667</v>
      </c>
      <c r="F1039" s="77">
        <v>122.5</v>
      </c>
      <c r="G1039" s="77">
        <v>1532</v>
      </c>
      <c r="H1039" s="77">
        <v>0</v>
      </c>
    </row>
    <row r="1040" spans="1:8" x14ac:dyDescent="0.25">
      <c r="A1040" s="34">
        <f t="shared" si="33"/>
        <v>4</v>
      </c>
      <c r="B1040" s="35">
        <v>1036</v>
      </c>
      <c r="C1040" s="36">
        <f t="shared" si="34"/>
        <v>86.333333333333329</v>
      </c>
      <c r="D1040" s="76">
        <v>6.3</v>
      </c>
      <c r="E1040" s="76">
        <v>553.38250000000005</v>
      </c>
      <c r="F1040" s="77">
        <v>120.75</v>
      </c>
      <c r="G1040" s="77">
        <v>1532</v>
      </c>
      <c r="H1040" s="77">
        <v>0</v>
      </c>
    </row>
    <row r="1041" spans="1:8" x14ac:dyDescent="0.25">
      <c r="A1041" s="34">
        <f t="shared" si="33"/>
        <v>4</v>
      </c>
      <c r="B1041" s="35">
        <v>1037</v>
      </c>
      <c r="C1041" s="36">
        <f t="shared" si="34"/>
        <v>86.416666666666657</v>
      </c>
      <c r="D1041" s="76">
        <v>6.4</v>
      </c>
      <c r="E1041" s="76">
        <v>551.13333333333298</v>
      </c>
      <c r="F1041" s="77">
        <v>119</v>
      </c>
      <c r="G1041" s="77">
        <v>1532</v>
      </c>
      <c r="H1041" s="77">
        <v>0</v>
      </c>
    </row>
    <row r="1042" spans="1:8" x14ac:dyDescent="0.25">
      <c r="A1042" s="34">
        <f t="shared" si="33"/>
        <v>4</v>
      </c>
      <c r="B1042" s="35">
        <v>1038</v>
      </c>
      <c r="C1042" s="36">
        <f t="shared" si="34"/>
        <v>86.5</v>
      </c>
      <c r="D1042" s="76">
        <v>6.5</v>
      </c>
      <c r="E1042" s="76">
        <v>548.88416666666706</v>
      </c>
      <c r="F1042" s="77">
        <v>117.25</v>
      </c>
      <c r="G1042" s="77">
        <v>1532</v>
      </c>
      <c r="H1042" s="77">
        <v>0</v>
      </c>
    </row>
    <row r="1043" spans="1:8" x14ac:dyDescent="0.25">
      <c r="A1043" s="34">
        <f t="shared" si="33"/>
        <v>4</v>
      </c>
      <c r="B1043" s="35">
        <v>1039</v>
      </c>
      <c r="C1043" s="36">
        <f t="shared" si="34"/>
        <v>86.583333333333329</v>
      </c>
      <c r="D1043" s="76">
        <v>6.6</v>
      </c>
      <c r="E1043" s="76">
        <v>546.63499999999999</v>
      </c>
      <c r="F1043" s="77">
        <v>115.5</v>
      </c>
      <c r="G1043" s="77">
        <v>1532</v>
      </c>
      <c r="H1043" s="77">
        <v>0</v>
      </c>
    </row>
    <row r="1044" spans="1:8" x14ac:dyDescent="0.25">
      <c r="A1044" s="34">
        <f t="shared" si="33"/>
        <v>4</v>
      </c>
      <c r="B1044" s="35">
        <v>1040</v>
      </c>
      <c r="C1044" s="36">
        <f t="shared" si="34"/>
        <v>86.666666666666657</v>
      </c>
      <c r="D1044" s="76">
        <v>6.7</v>
      </c>
      <c r="E1044" s="76">
        <v>544.38583333333304</v>
      </c>
      <c r="F1044" s="77">
        <v>113.75</v>
      </c>
      <c r="G1044" s="77">
        <v>1532</v>
      </c>
      <c r="H1044" s="77">
        <v>0</v>
      </c>
    </row>
    <row r="1045" spans="1:8" x14ac:dyDescent="0.25">
      <c r="A1045" s="34">
        <f t="shared" si="33"/>
        <v>4</v>
      </c>
      <c r="B1045" s="35">
        <v>1041</v>
      </c>
      <c r="C1045" s="36">
        <f t="shared" si="34"/>
        <v>86.75</v>
      </c>
      <c r="D1045" s="76">
        <v>6.8</v>
      </c>
      <c r="E1045" s="76">
        <v>542.136666666667</v>
      </c>
      <c r="F1045" s="77">
        <v>112</v>
      </c>
      <c r="G1045" s="77">
        <v>1532</v>
      </c>
      <c r="H1045" s="77">
        <v>0</v>
      </c>
    </row>
    <row r="1046" spans="1:8" x14ac:dyDescent="0.25">
      <c r="A1046" s="34">
        <f t="shared" si="33"/>
        <v>4</v>
      </c>
      <c r="B1046" s="35">
        <v>1042</v>
      </c>
      <c r="C1046" s="36">
        <f t="shared" si="34"/>
        <v>86.833333333333329</v>
      </c>
      <c r="D1046" s="76">
        <v>6.9</v>
      </c>
      <c r="E1046" s="76">
        <v>539.88750000000005</v>
      </c>
      <c r="F1046" s="77">
        <v>110.25</v>
      </c>
      <c r="G1046" s="77">
        <v>1532</v>
      </c>
      <c r="H1046" s="77">
        <v>0</v>
      </c>
    </row>
    <row r="1047" spans="1:8" x14ac:dyDescent="0.25">
      <c r="A1047" s="34">
        <f t="shared" si="33"/>
        <v>4</v>
      </c>
      <c r="B1047" s="35">
        <v>1043</v>
      </c>
      <c r="C1047" s="36">
        <f t="shared" si="34"/>
        <v>86.916666666666657</v>
      </c>
      <c r="D1047" s="76">
        <v>7</v>
      </c>
      <c r="E1047" s="76">
        <v>537.63833333333298</v>
      </c>
      <c r="F1047" s="77">
        <v>108.5</v>
      </c>
      <c r="G1047" s="77">
        <v>1532</v>
      </c>
      <c r="H1047" s="77">
        <v>0</v>
      </c>
    </row>
    <row r="1048" spans="1:8" x14ac:dyDescent="0.25">
      <c r="A1048" s="34">
        <f t="shared" si="33"/>
        <v>4</v>
      </c>
      <c r="B1048" s="35">
        <v>1044</v>
      </c>
      <c r="C1048" s="36">
        <f t="shared" si="34"/>
        <v>87</v>
      </c>
      <c r="D1048" s="76">
        <v>7.1</v>
      </c>
      <c r="E1048" s="76">
        <v>535.38916666666705</v>
      </c>
      <c r="F1048" s="77">
        <v>106.75</v>
      </c>
      <c r="G1048" s="77">
        <v>1532</v>
      </c>
      <c r="H1048" s="77">
        <v>0</v>
      </c>
    </row>
    <row r="1049" spans="1:8" x14ac:dyDescent="0.25">
      <c r="A1049" s="34">
        <f t="shared" si="33"/>
        <v>4</v>
      </c>
      <c r="B1049" s="35">
        <v>1045</v>
      </c>
      <c r="C1049" s="36">
        <f t="shared" si="34"/>
        <v>87.083333333333329</v>
      </c>
      <c r="D1049" s="76">
        <v>7.2</v>
      </c>
      <c r="E1049" s="76">
        <v>533.14</v>
      </c>
      <c r="F1049" s="77">
        <v>105</v>
      </c>
      <c r="G1049" s="77">
        <v>1532</v>
      </c>
      <c r="H1049" s="77">
        <v>0</v>
      </c>
    </row>
    <row r="1050" spans="1:8" x14ac:dyDescent="0.25">
      <c r="A1050" s="34">
        <f t="shared" si="33"/>
        <v>4</v>
      </c>
      <c r="B1050" s="35">
        <v>1046</v>
      </c>
      <c r="C1050" s="36">
        <f t="shared" si="34"/>
        <v>87.166666666666657</v>
      </c>
      <c r="D1050" s="76">
        <v>6.9583333333333304</v>
      </c>
      <c r="E1050" s="76">
        <v>499.99166666666702</v>
      </c>
      <c r="F1050" s="77">
        <v>107.625</v>
      </c>
      <c r="G1050" s="77">
        <v>1534.8941666666699</v>
      </c>
      <c r="H1050" s="77">
        <v>11.3333333333333</v>
      </c>
    </row>
    <row r="1051" spans="1:8" x14ac:dyDescent="0.25">
      <c r="A1051" s="34">
        <f t="shared" si="33"/>
        <v>4</v>
      </c>
      <c r="B1051" s="35">
        <v>1047</v>
      </c>
      <c r="C1051" s="36">
        <f t="shared" si="34"/>
        <v>87.25</v>
      </c>
      <c r="D1051" s="76">
        <v>6.7166666666666703</v>
      </c>
      <c r="E1051" s="76">
        <v>466.84333333333302</v>
      </c>
      <c r="F1051" s="77">
        <v>110.25</v>
      </c>
      <c r="G1051" s="77">
        <v>1537.78833333333</v>
      </c>
      <c r="H1051" s="77">
        <v>22.6666666666667</v>
      </c>
    </row>
    <row r="1052" spans="1:8" x14ac:dyDescent="0.25">
      <c r="A1052" s="34">
        <f t="shared" si="33"/>
        <v>4</v>
      </c>
      <c r="B1052" s="35">
        <v>1048</v>
      </c>
      <c r="C1052" s="36">
        <f t="shared" si="34"/>
        <v>87.333333333333329</v>
      </c>
      <c r="D1052" s="76">
        <v>6.4749999999999996</v>
      </c>
      <c r="E1052" s="76">
        <v>433.69499999999999</v>
      </c>
      <c r="F1052" s="77">
        <v>112.875</v>
      </c>
      <c r="G1052" s="77">
        <v>1540.6824999999999</v>
      </c>
      <c r="H1052" s="77">
        <v>34</v>
      </c>
    </row>
    <row r="1053" spans="1:8" x14ac:dyDescent="0.25">
      <c r="A1053" s="34">
        <f t="shared" si="33"/>
        <v>4</v>
      </c>
      <c r="B1053" s="35">
        <v>1049</v>
      </c>
      <c r="C1053" s="36">
        <f t="shared" si="34"/>
        <v>87.416666666666657</v>
      </c>
      <c r="D1053" s="76">
        <v>6.2333333333333298</v>
      </c>
      <c r="E1053" s="76">
        <v>400.54666666666702</v>
      </c>
      <c r="F1053" s="77">
        <v>115.5</v>
      </c>
      <c r="G1053" s="77">
        <v>1543.57666666667</v>
      </c>
      <c r="H1053" s="77">
        <v>45.3333333333333</v>
      </c>
    </row>
    <row r="1054" spans="1:8" x14ac:dyDescent="0.25">
      <c r="A1054" s="34">
        <f t="shared" si="33"/>
        <v>4</v>
      </c>
      <c r="B1054" s="35">
        <v>1050</v>
      </c>
      <c r="C1054" s="36">
        <f t="shared" si="34"/>
        <v>87.5</v>
      </c>
      <c r="D1054" s="76">
        <v>5.9916666666666698</v>
      </c>
      <c r="E1054" s="76">
        <v>367.39833333333303</v>
      </c>
      <c r="F1054" s="77">
        <v>118.125</v>
      </c>
      <c r="G1054" s="77">
        <v>1546.4708333333299</v>
      </c>
      <c r="H1054" s="77">
        <v>56.6666666666667</v>
      </c>
    </row>
    <row r="1055" spans="1:8" x14ac:dyDescent="0.25">
      <c r="A1055" s="34">
        <f t="shared" si="33"/>
        <v>4</v>
      </c>
      <c r="B1055" s="35">
        <v>1051</v>
      </c>
      <c r="C1055" s="36">
        <f t="shared" si="34"/>
        <v>87.583333333333329</v>
      </c>
      <c r="D1055" s="76">
        <v>5.75</v>
      </c>
      <c r="E1055" s="76">
        <v>334.25</v>
      </c>
      <c r="F1055" s="77">
        <v>120.75</v>
      </c>
      <c r="G1055" s="77">
        <v>1549.365</v>
      </c>
      <c r="H1055" s="77">
        <v>68</v>
      </c>
    </row>
    <row r="1056" spans="1:8" x14ac:dyDescent="0.25">
      <c r="A1056" s="34">
        <f t="shared" si="33"/>
        <v>4</v>
      </c>
      <c r="B1056" s="35">
        <v>1052</v>
      </c>
      <c r="C1056" s="36">
        <f t="shared" si="34"/>
        <v>87.666666666666657</v>
      </c>
      <c r="D1056" s="76">
        <v>5.5083333333333302</v>
      </c>
      <c r="E1056" s="76">
        <v>301.10166666666697</v>
      </c>
      <c r="F1056" s="77">
        <v>123.375</v>
      </c>
      <c r="G1056" s="77">
        <v>1552.2591666666699</v>
      </c>
      <c r="H1056" s="77">
        <v>79.3333333333333</v>
      </c>
    </row>
    <row r="1057" spans="1:8" x14ac:dyDescent="0.25">
      <c r="A1057" s="34">
        <f t="shared" si="33"/>
        <v>4</v>
      </c>
      <c r="B1057" s="35">
        <v>1053</v>
      </c>
      <c r="C1057" s="36">
        <f t="shared" si="34"/>
        <v>87.75</v>
      </c>
      <c r="D1057" s="76">
        <v>5.2666666666666702</v>
      </c>
      <c r="E1057" s="76">
        <v>267.95333333333298</v>
      </c>
      <c r="F1057" s="77">
        <v>126</v>
      </c>
      <c r="G1057" s="77">
        <v>1555.15333333333</v>
      </c>
      <c r="H1057" s="77">
        <v>90.6666666666667</v>
      </c>
    </row>
    <row r="1058" spans="1:8" x14ac:dyDescent="0.25">
      <c r="A1058" s="34">
        <f t="shared" si="33"/>
        <v>4</v>
      </c>
      <c r="B1058" s="35">
        <v>1054</v>
      </c>
      <c r="C1058" s="36">
        <f t="shared" si="34"/>
        <v>87.833333333333329</v>
      </c>
      <c r="D1058" s="76">
        <v>5.0250000000000004</v>
      </c>
      <c r="E1058" s="76">
        <v>234.80500000000001</v>
      </c>
      <c r="F1058" s="77">
        <v>128.625</v>
      </c>
      <c r="G1058" s="77">
        <v>1558.0474999999999</v>
      </c>
      <c r="H1058" s="77">
        <v>102</v>
      </c>
    </row>
    <row r="1059" spans="1:8" x14ac:dyDescent="0.25">
      <c r="A1059" s="34">
        <f t="shared" si="33"/>
        <v>4</v>
      </c>
      <c r="B1059" s="35">
        <v>1055</v>
      </c>
      <c r="C1059" s="36">
        <f t="shared" si="34"/>
        <v>87.916666666666657</v>
      </c>
      <c r="D1059" s="76">
        <v>4.7833333333333297</v>
      </c>
      <c r="E1059" s="76">
        <v>201.65666666666701</v>
      </c>
      <c r="F1059" s="77">
        <v>131.25</v>
      </c>
      <c r="G1059" s="77">
        <v>1560.94166666667</v>
      </c>
      <c r="H1059" s="77">
        <v>113.333333333333</v>
      </c>
    </row>
    <row r="1060" spans="1:8" x14ac:dyDescent="0.25">
      <c r="A1060" s="34">
        <f t="shared" si="33"/>
        <v>4</v>
      </c>
      <c r="B1060" s="35">
        <v>1056</v>
      </c>
      <c r="C1060" s="36">
        <f t="shared" si="34"/>
        <v>88</v>
      </c>
      <c r="D1060" s="76">
        <v>4.5416666666666696</v>
      </c>
      <c r="E1060" s="76">
        <v>168.50833333333301</v>
      </c>
      <c r="F1060" s="77">
        <v>133.875</v>
      </c>
      <c r="G1060" s="77">
        <v>1563.8358333333299</v>
      </c>
      <c r="H1060" s="77">
        <v>124.666666666667</v>
      </c>
    </row>
    <row r="1061" spans="1:8" x14ac:dyDescent="0.25">
      <c r="A1061" s="34">
        <f t="shared" si="33"/>
        <v>4</v>
      </c>
      <c r="B1061" s="35">
        <v>1057</v>
      </c>
      <c r="C1061" s="36">
        <f t="shared" si="34"/>
        <v>88.083333333333329</v>
      </c>
      <c r="D1061" s="76">
        <v>4.3</v>
      </c>
      <c r="E1061" s="76">
        <v>135.36000000000001</v>
      </c>
      <c r="F1061" s="77">
        <v>136.5</v>
      </c>
      <c r="G1061" s="77">
        <v>1566.73</v>
      </c>
      <c r="H1061" s="77">
        <v>136</v>
      </c>
    </row>
    <row r="1062" spans="1:8" x14ac:dyDescent="0.25">
      <c r="A1062" s="34">
        <f t="shared" si="33"/>
        <v>4</v>
      </c>
      <c r="B1062" s="35">
        <v>1058</v>
      </c>
      <c r="C1062" s="36">
        <f t="shared" si="34"/>
        <v>88.166666666666657</v>
      </c>
      <c r="D1062" s="76">
        <v>4.2</v>
      </c>
      <c r="E1062" s="76">
        <v>124.08</v>
      </c>
      <c r="F1062" s="77">
        <v>142.625</v>
      </c>
      <c r="G1062" s="77">
        <v>1572.7075</v>
      </c>
      <c r="H1062" s="77">
        <v>136</v>
      </c>
    </row>
    <row r="1063" spans="1:8" x14ac:dyDescent="0.25">
      <c r="A1063" s="34">
        <f t="shared" si="33"/>
        <v>4</v>
      </c>
      <c r="B1063" s="35">
        <v>1059</v>
      </c>
      <c r="C1063" s="36">
        <f t="shared" si="34"/>
        <v>88.25</v>
      </c>
      <c r="D1063" s="76">
        <v>4.0999999999999996</v>
      </c>
      <c r="E1063" s="76">
        <v>112.8</v>
      </c>
      <c r="F1063" s="77">
        <v>148.75</v>
      </c>
      <c r="G1063" s="77">
        <v>1578.6849999999999</v>
      </c>
      <c r="H1063" s="77">
        <v>136</v>
      </c>
    </row>
    <row r="1064" spans="1:8" x14ac:dyDescent="0.25">
      <c r="A1064" s="34">
        <f t="shared" si="33"/>
        <v>4</v>
      </c>
      <c r="B1064" s="35">
        <v>1060</v>
      </c>
      <c r="C1064" s="36">
        <f t="shared" si="34"/>
        <v>88.333333333333329</v>
      </c>
      <c r="D1064" s="76">
        <v>4</v>
      </c>
      <c r="E1064" s="76">
        <v>101.52</v>
      </c>
      <c r="F1064" s="77">
        <v>154.875</v>
      </c>
      <c r="G1064" s="77">
        <v>1584.6624999999999</v>
      </c>
      <c r="H1064" s="77">
        <v>136</v>
      </c>
    </row>
    <row r="1065" spans="1:8" x14ac:dyDescent="0.25">
      <c r="A1065" s="34">
        <f t="shared" si="33"/>
        <v>4</v>
      </c>
      <c r="B1065" s="35">
        <v>1061</v>
      </c>
      <c r="C1065" s="36">
        <f t="shared" si="34"/>
        <v>88.416666666666657</v>
      </c>
      <c r="D1065" s="76">
        <v>3.9</v>
      </c>
      <c r="E1065" s="76">
        <v>90.24</v>
      </c>
      <c r="F1065" s="77">
        <v>161</v>
      </c>
      <c r="G1065" s="77">
        <v>1590.64</v>
      </c>
      <c r="H1065" s="77">
        <v>136</v>
      </c>
    </row>
    <row r="1066" spans="1:8" x14ac:dyDescent="0.25">
      <c r="A1066" s="34">
        <f t="shared" si="33"/>
        <v>4</v>
      </c>
      <c r="B1066" s="35">
        <v>1062</v>
      </c>
      <c r="C1066" s="36">
        <f t="shared" si="34"/>
        <v>88.5</v>
      </c>
      <c r="D1066" s="76">
        <v>3.8</v>
      </c>
      <c r="E1066" s="76">
        <v>78.959999999999994</v>
      </c>
      <c r="F1066" s="77">
        <v>167.125</v>
      </c>
      <c r="G1066" s="77">
        <v>1596.6175000000001</v>
      </c>
      <c r="H1066" s="77">
        <v>136</v>
      </c>
    </row>
    <row r="1067" spans="1:8" x14ac:dyDescent="0.25">
      <c r="A1067" s="34">
        <f t="shared" si="33"/>
        <v>4</v>
      </c>
      <c r="B1067" s="35">
        <v>1063</v>
      </c>
      <c r="C1067" s="36">
        <f t="shared" si="34"/>
        <v>88.583333333333329</v>
      </c>
      <c r="D1067" s="76">
        <v>3.7</v>
      </c>
      <c r="E1067" s="76">
        <v>67.680000000000007</v>
      </c>
      <c r="F1067" s="77">
        <v>173.25</v>
      </c>
      <c r="G1067" s="77">
        <v>1602.595</v>
      </c>
      <c r="H1067" s="77">
        <v>136</v>
      </c>
    </row>
    <row r="1068" spans="1:8" x14ac:dyDescent="0.25">
      <c r="A1068" s="34">
        <f t="shared" si="33"/>
        <v>4</v>
      </c>
      <c r="B1068" s="35">
        <v>1064</v>
      </c>
      <c r="C1068" s="36">
        <f t="shared" si="34"/>
        <v>88.666666666666657</v>
      </c>
      <c r="D1068" s="76">
        <v>3.6</v>
      </c>
      <c r="E1068" s="76">
        <v>56.4</v>
      </c>
      <c r="F1068" s="77">
        <v>179.375</v>
      </c>
      <c r="G1068" s="77">
        <v>1608.5725</v>
      </c>
      <c r="H1068" s="77">
        <v>136</v>
      </c>
    </row>
    <row r="1069" spans="1:8" x14ac:dyDescent="0.25">
      <c r="A1069" s="34">
        <f t="shared" si="33"/>
        <v>4</v>
      </c>
      <c r="B1069" s="35">
        <v>1065</v>
      </c>
      <c r="C1069" s="36">
        <f t="shared" si="34"/>
        <v>88.75</v>
      </c>
      <c r="D1069" s="76">
        <v>3.5</v>
      </c>
      <c r="E1069" s="76">
        <v>45.12</v>
      </c>
      <c r="F1069" s="77">
        <v>185.5</v>
      </c>
      <c r="G1069" s="77">
        <v>1614.55</v>
      </c>
      <c r="H1069" s="77">
        <v>136</v>
      </c>
    </row>
    <row r="1070" spans="1:8" x14ac:dyDescent="0.25">
      <c r="A1070" s="34">
        <f t="shared" si="33"/>
        <v>4</v>
      </c>
      <c r="B1070" s="35">
        <v>1066</v>
      </c>
      <c r="C1070" s="36">
        <f t="shared" si="34"/>
        <v>88.833333333333329</v>
      </c>
      <c r="D1070" s="76">
        <v>3.4</v>
      </c>
      <c r="E1070" s="76">
        <v>33.840000000000003</v>
      </c>
      <c r="F1070" s="77">
        <v>191.625</v>
      </c>
      <c r="G1070" s="77">
        <v>1620.5274999999999</v>
      </c>
      <c r="H1070" s="77">
        <v>136</v>
      </c>
    </row>
    <row r="1071" spans="1:8" x14ac:dyDescent="0.25">
      <c r="A1071" s="34">
        <f t="shared" si="33"/>
        <v>4</v>
      </c>
      <c r="B1071" s="35">
        <v>1067</v>
      </c>
      <c r="C1071" s="36">
        <f t="shared" si="34"/>
        <v>88.916666666666657</v>
      </c>
      <c r="D1071" s="76">
        <v>3.3</v>
      </c>
      <c r="E1071" s="76">
        <v>22.56</v>
      </c>
      <c r="F1071" s="77">
        <v>197.75</v>
      </c>
      <c r="G1071" s="77">
        <v>1626.5050000000001</v>
      </c>
      <c r="H1071" s="77">
        <v>136</v>
      </c>
    </row>
    <row r="1072" spans="1:8" x14ac:dyDescent="0.25">
      <c r="A1072" s="34">
        <f t="shared" si="33"/>
        <v>4</v>
      </c>
      <c r="B1072" s="35">
        <v>1068</v>
      </c>
      <c r="C1072" s="36">
        <f t="shared" si="34"/>
        <v>89</v>
      </c>
      <c r="D1072" s="76">
        <v>3.2</v>
      </c>
      <c r="E1072" s="76">
        <v>11.28</v>
      </c>
      <c r="F1072" s="77">
        <v>203.875</v>
      </c>
      <c r="G1072" s="77">
        <v>1632.4825000000001</v>
      </c>
      <c r="H1072" s="77">
        <v>136</v>
      </c>
    </row>
    <row r="1073" spans="1:8" x14ac:dyDescent="0.25">
      <c r="A1073" s="34">
        <f t="shared" si="33"/>
        <v>4</v>
      </c>
      <c r="B1073" s="35">
        <v>1069</v>
      </c>
      <c r="C1073" s="36">
        <f t="shared" si="34"/>
        <v>89.083333333333329</v>
      </c>
      <c r="D1073" s="76">
        <v>3.1</v>
      </c>
      <c r="E1073" s="76">
        <v>0</v>
      </c>
      <c r="F1073" s="77">
        <v>210</v>
      </c>
      <c r="G1073" s="77">
        <v>1638.46</v>
      </c>
      <c r="H1073" s="77">
        <v>136</v>
      </c>
    </row>
    <row r="1074" spans="1:8" x14ac:dyDescent="0.25">
      <c r="A1074" s="34">
        <f t="shared" si="33"/>
        <v>4</v>
      </c>
      <c r="B1074" s="35">
        <v>1070</v>
      </c>
      <c r="C1074" s="36">
        <f t="shared" si="34"/>
        <v>89.166666666666657</v>
      </c>
      <c r="D1074" s="76">
        <v>3.1</v>
      </c>
      <c r="E1074" s="76">
        <v>0</v>
      </c>
      <c r="F1074" s="77">
        <v>253.75</v>
      </c>
      <c r="G1074" s="77">
        <v>1768.03</v>
      </c>
      <c r="H1074" s="77">
        <v>147.333333333333</v>
      </c>
    </row>
    <row r="1075" spans="1:8" x14ac:dyDescent="0.25">
      <c r="A1075" s="34">
        <f t="shared" si="33"/>
        <v>4</v>
      </c>
      <c r="B1075" s="35">
        <v>1071</v>
      </c>
      <c r="C1075" s="36">
        <f t="shared" si="34"/>
        <v>89.25</v>
      </c>
      <c r="D1075" s="76">
        <v>3.1</v>
      </c>
      <c r="E1075" s="76">
        <v>0</v>
      </c>
      <c r="F1075" s="77">
        <v>297.5</v>
      </c>
      <c r="G1075" s="77">
        <v>1897.6</v>
      </c>
      <c r="H1075" s="77">
        <v>158.666666666667</v>
      </c>
    </row>
    <row r="1076" spans="1:8" x14ac:dyDescent="0.25">
      <c r="A1076" s="34">
        <f t="shared" si="33"/>
        <v>4</v>
      </c>
      <c r="B1076" s="35">
        <v>1072</v>
      </c>
      <c r="C1076" s="36">
        <f t="shared" si="34"/>
        <v>89.333333333333329</v>
      </c>
      <c r="D1076" s="76">
        <v>3.1</v>
      </c>
      <c r="E1076" s="76">
        <v>0</v>
      </c>
      <c r="F1076" s="77">
        <v>341.25</v>
      </c>
      <c r="G1076" s="77">
        <v>2027.17</v>
      </c>
      <c r="H1076" s="77">
        <v>170</v>
      </c>
    </row>
    <row r="1077" spans="1:8" x14ac:dyDescent="0.25">
      <c r="A1077" s="34">
        <f t="shared" ref="A1077:A1140" si="35">ROUNDUP(C1077/24,0)</f>
        <v>4</v>
      </c>
      <c r="B1077" s="35">
        <v>1073</v>
      </c>
      <c r="C1077" s="36">
        <f t="shared" ref="C1077:C1140" si="36">B1077*$C$1</f>
        <v>89.416666666666657</v>
      </c>
      <c r="D1077" s="76">
        <v>3.1</v>
      </c>
      <c r="E1077" s="76">
        <v>0</v>
      </c>
      <c r="F1077" s="77">
        <v>385</v>
      </c>
      <c r="G1077" s="77">
        <v>2156.7399999999998</v>
      </c>
      <c r="H1077" s="77">
        <v>181.333333333333</v>
      </c>
    </row>
    <row r="1078" spans="1:8" x14ac:dyDescent="0.25">
      <c r="A1078" s="34">
        <f t="shared" si="35"/>
        <v>4</v>
      </c>
      <c r="B1078" s="35">
        <v>1074</v>
      </c>
      <c r="C1078" s="36">
        <f t="shared" si="36"/>
        <v>89.5</v>
      </c>
      <c r="D1078" s="76">
        <v>3.1</v>
      </c>
      <c r="E1078" s="76">
        <v>0</v>
      </c>
      <c r="F1078" s="77">
        <v>428.75</v>
      </c>
      <c r="G1078" s="77">
        <v>2286.31</v>
      </c>
      <c r="H1078" s="77">
        <v>192.666666666667</v>
      </c>
    </row>
    <row r="1079" spans="1:8" x14ac:dyDescent="0.25">
      <c r="A1079" s="34">
        <f t="shared" si="35"/>
        <v>4</v>
      </c>
      <c r="B1079" s="35">
        <v>1075</v>
      </c>
      <c r="C1079" s="36">
        <f t="shared" si="36"/>
        <v>89.583333333333329</v>
      </c>
      <c r="D1079" s="76">
        <v>3.1</v>
      </c>
      <c r="E1079" s="76">
        <v>0</v>
      </c>
      <c r="F1079" s="77">
        <v>472.5</v>
      </c>
      <c r="G1079" s="77">
        <v>2415.88</v>
      </c>
      <c r="H1079" s="77">
        <v>204</v>
      </c>
    </row>
    <row r="1080" spans="1:8" x14ac:dyDescent="0.25">
      <c r="A1080" s="34">
        <f t="shared" si="35"/>
        <v>4</v>
      </c>
      <c r="B1080" s="35">
        <v>1076</v>
      </c>
      <c r="C1080" s="36">
        <f t="shared" si="36"/>
        <v>89.666666666666657</v>
      </c>
      <c r="D1080" s="76">
        <v>3.1</v>
      </c>
      <c r="E1080" s="76">
        <v>0</v>
      </c>
      <c r="F1080" s="77">
        <v>516.25</v>
      </c>
      <c r="G1080" s="77">
        <v>2545.4499999999998</v>
      </c>
      <c r="H1080" s="77">
        <v>215.333333333333</v>
      </c>
    </row>
    <row r="1081" spans="1:8" x14ac:dyDescent="0.25">
      <c r="A1081" s="34">
        <f t="shared" si="35"/>
        <v>4</v>
      </c>
      <c r="B1081" s="35">
        <v>1077</v>
      </c>
      <c r="C1081" s="36">
        <f t="shared" si="36"/>
        <v>89.75</v>
      </c>
      <c r="D1081" s="76">
        <v>3.1</v>
      </c>
      <c r="E1081" s="76">
        <v>0</v>
      </c>
      <c r="F1081" s="77">
        <v>560</v>
      </c>
      <c r="G1081" s="77">
        <v>2675.02</v>
      </c>
      <c r="H1081" s="77">
        <v>226.666666666667</v>
      </c>
    </row>
    <row r="1082" spans="1:8" x14ac:dyDescent="0.25">
      <c r="A1082" s="34">
        <f t="shared" si="35"/>
        <v>4</v>
      </c>
      <c r="B1082" s="35">
        <v>1078</v>
      </c>
      <c r="C1082" s="36">
        <f t="shared" si="36"/>
        <v>89.833333333333329</v>
      </c>
      <c r="D1082" s="76">
        <v>3.1</v>
      </c>
      <c r="E1082" s="76">
        <v>0</v>
      </c>
      <c r="F1082" s="77">
        <v>603.75</v>
      </c>
      <c r="G1082" s="77">
        <v>2804.59</v>
      </c>
      <c r="H1082" s="77">
        <v>238</v>
      </c>
    </row>
    <row r="1083" spans="1:8" x14ac:dyDescent="0.25">
      <c r="A1083" s="34">
        <f t="shared" si="35"/>
        <v>4</v>
      </c>
      <c r="B1083" s="35">
        <v>1079</v>
      </c>
      <c r="C1083" s="36">
        <f t="shared" si="36"/>
        <v>89.916666666666657</v>
      </c>
      <c r="D1083" s="76">
        <v>3.1</v>
      </c>
      <c r="E1083" s="76">
        <v>0</v>
      </c>
      <c r="F1083" s="77">
        <v>647.5</v>
      </c>
      <c r="G1083" s="77">
        <v>2934.16</v>
      </c>
      <c r="H1083" s="77">
        <v>249.333333333333</v>
      </c>
    </row>
    <row r="1084" spans="1:8" x14ac:dyDescent="0.25">
      <c r="A1084" s="34">
        <f t="shared" si="35"/>
        <v>4</v>
      </c>
      <c r="B1084" s="35">
        <v>1080</v>
      </c>
      <c r="C1084" s="36">
        <f t="shared" si="36"/>
        <v>90</v>
      </c>
      <c r="D1084" s="76">
        <v>3.1</v>
      </c>
      <c r="E1084" s="76">
        <v>0</v>
      </c>
      <c r="F1084" s="77">
        <v>691.25</v>
      </c>
      <c r="G1084" s="77">
        <v>3063.73</v>
      </c>
      <c r="H1084" s="77">
        <v>260.66666666666703</v>
      </c>
    </row>
    <row r="1085" spans="1:8" x14ac:dyDescent="0.25">
      <c r="A1085" s="34">
        <f t="shared" si="35"/>
        <v>4</v>
      </c>
      <c r="B1085" s="35">
        <v>1081</v>
      </c>
      <c r="C1085" s="36">
        <f t="shared" si="36"/>
        <v>90.083333333333329</v>
      </c>
      <c r="D1085" s="76">
        <v>3.1</v>
      </c>
      <c r="E1085" s="76">
        <v>0</v>
      </c>
      <c r="F1085" s="77">
        <v>735</v>
      </c>
      <c r="G1085" s="77">
        <v>3193.3</v>
      </c>
      <c r="H1085" s="77">
        <v>272</v>
      </c>
    </row>
    <row r="1086" spans="1:8" x14ac:dyDescent="0.25">
      <c r="A1086" s="34">
        <f t="shared" si="35"/>
        <v>4</v>
      </c>
      <c r="B1086" s="35">
        <v>1082</v>
      </c>
      <c r="C1086" s="36">
        <f t="shared" si="36"/>
        <v>90.166666666666657</v>
      </c>
      <c r="D1086" s="76">
        <v>3.1083333333333298</v>
      </c>
      <c r="E1086" s="76">
        <v>0</v>
      </c>
      <c r="F1086" s="77">
        <v>724.76666666666699</v>
      </c>
      <c r="G1086" s="77">
        <v>3114.6833333333302</v>
      </c>
      <c r="H1086" s="77">
        <v>339.98333333333301</v>
      </c>
    </row>
    <row r="1087" spans="1:8" x14ac:dyDescent="0.25">
      <c r="A1087" s="34">
        <f t="shared" si="35"/>
        <v>4</v>
      </c>
      <c r="B1087" s="35">
        <v>1083</v>
      </c>
      <c r="C1087" s="36">
        <f t="shared" si="36"/>
        <v>90.25</v>
      </c>
      <c r="D1087" s="76">
        <v>3.1166666666666698</v>
      </c>
      <c r="E1087" s="76">
        <v>0</v>
      </c>
      <c r="F1087" s="77">
        <v>714.53333333333296</v>
      </c>
      <c r="G1087" s="77">
        <v>3036.0666666666698</v>
      </c>
      <c r="H1087" s="77">
        <v>407.96666666666698</v>
      </c>
    </row>
    <row r="1088" spans="1:8" x14ac:dyDescent="0.25">
      <c r="A1088" s="34">
        <f t="shared" si="35"/>
        <v>4</v>
      </c>
      <c r="B1088" s="35">
        <v>1084</v>
      </c>
      <c r="C1088" s="36">
        <f t="shared" si="36"/>
        <v>90.333333333333329</v>
      </c>
      <c r="D1088" s="76">
        <v>3.125</v>
      </c>
      <c r="E1088" s="76">
        <v>0</v>
      </c>
      <c r="F1088" s="77">
        <v>704.3</v>
      </c>
      <c r="G1088" s="77">
        <v>2957.45</v>
      </c>
      <c r="H1088" s="77">
        <v>475.95</v>
      </c>
    </row>
    <row r="1089" spans="1:8" x14ac:dyDescent="0.25">
      <c r="A1089" s="34">
        <f t="shared" si="35"/>
        <v>4</v>
      </c>
      <c r="B1089" s="35">
        <v>1085</v>
      </c>
      <c r="C1089" s="36">
        <f t="shared" si="36"/>
        <v>90.416666666666657</v>
      </c>
      <c r="D1089" s="76">
        <v>3.1333333333333302</v>
      </c>
      <c r="E1089" s="76">
        <v>0</v>
      </c>
      <c r="F1089" s="77">
        <v>694.06666666666695</v>
      </c>
      <c r="G1089" s="77">
        <v>2878.8333333333298</v>
      </c>
      <c r="H1089" s="77">
        <v>543.93333333333305</v>
      </c>
    </row>
    <row r="1090" spans="1:8" x14ac:dyDescent="0.25">
      <c r="A1090" s="34">
        <f t="shared" si="35"/>
        <v>4</v>
      </c>
      <c r="B1090" s="35">
        <v>1086</v>
      </c>
      <c r="C1090" s="36">
        <f t="shared" si="36"/>
        <v>90.5</v>
      </c>
      <c r="D1090" s="76">
        <v>3.1416666666666702</v>
      </c>
      <c r="E1090" s="76">
        <v>0</v>
      </c>
      <c r="F1090" s="77">
        <v>683.83333333333303</v>
      </c>
      <c r="G1090" s="77">
        <v>2800.2166666666699</v>
      </c>
      <c r="H1090" s="77">
        <v>611.91666666666697</v>
      </c>
    </row>
    <row r="1091" spans="1:8" x14ac:dyDescent="0.25">
      <c r="A1091" s="34">
        <f t="shared" si="35"/>
        <v>4</v>
      </c>
      <c r="B1091" s="35">
        <v>1087</v>
      </c>
      <c r="C1091" s="36">
        <f t="shared" si="36"/>
        <v>90.583333333333329</v>
      </c>
      <c r="D1091" s="76">
        <v>3.15</v>
      </c>
      <c r="E1091" s="76">
        <v>0</v>
      </c>
      <c r="F1091" s="77">
        <v>673.6</v>
      </c>
      <c r="G1091" s="77">
        <v>2721.6</v>
      </c>
      <c r="H1091" s="77">
        <v>679.9</v>
      </c>
    </row>
    <row r="1092" spans="1:8" x14ac:dyDescent="0.25">
      <c r="A1092" s="34">
        <f t="shared" si="35"/>
        <v>4</v>
      </c>
      <c r="B1092" s="35">
        <v>1088</v>
      </c>
      <c r="C1092" s="36">
        <f t="shared" si="36"/>
        <v>90.666666666666657</v>
      </c>
      <c r="D1092" s="76">
        <v>3.1583333333333301</v>
      </c>
      <c r="E1092" s="76">
        <v>0</v>
      </c>
      <c r="F1092" s="77">
        <v>663.36666666666702</v>
      </c>
      <c r="G1092" s="77">
        <v>2642.9833333333299</v>
      </c>
      <c r="H1092" s="77">
        <v>747.88333333333298</v>
      </c>
    </row>
    <row r="1093" spans="1:8" x14ac:dyDescent="0.25">
      <c r="A1093" s="34">
        <f t="shared" si="35"/>
        <v>4</v>
      </c>
      <c r="B1093" s="35">
        <v>1089</v>
      </c>
      <c r="C1093" s="36">
        <f t="shared" si="36"/>
        <v>90.75</v>
      </c>
      <c r="D1093" s="76">
        <v>3.1666666666666701</v>
      </c>
      <c r="E1093" s="76">
        <v>0</v>
      </c>
      <c r="F1093" s="77">
        <v>653.13333333333298</v>
      </c>
      <c r="G1093" s="77">
        <v>2564.36666666667</v>
      </c>
      <c r="H1093" s="77">
        <v>815.86666666666702</v>
      </c>
    </row>
    <row r="1094" spans="1:8" x14ac:dyDescent="0.25">
      <c r="A1094" s="34">
        <f t="shared" si="35"/>
        <v>4</v>
      </c>
      <c r="B1094" s="35">
        <v>1090</v>
      </c>
      <c r="C1094" s="36">
        <f t="shared" si="36"/>
        <v>90.833333333333329</v>
      </c>
      <c r="D1094" s="76">
        <v>3.1749999999999998</v>
      </c>
      <c r="E1094" s="76">
        <v>0</v>
      </c>
      <c r="F1094" s="77">
        <v>642.9</v>
      </c>
      <c r="G1094" s="77">
        <v>2485.75</v>
      </c>
      <c r="H1094" s="77">
        <v>883.85</v>
      </c>
    </row>
    <row r="1095" spans="1:8" x14ac:dyDescent="0.25">
      <c r="A1095" s="34">
        <f t="shared" si="35"/>
        <v>4</v>
      </c>
      <c r="B1095" s="35">
        <v>1091</v>
      </c>
      <c r="C1095" s="36">
        <f t="shared" si="36"/>
        <v>90.916666666666657</v>
      </c>
      <c r="D1095" s="76">
        <v>3.18333333333333</v>
      </c>
      <c r="E1095" s="76">
        <v>0</v>
      </c>
      <c r="F1095" s="77">
        <v>632.66666666666697</v>
      </c>
      <c r="G1095" s="77">
        <v>2407.13333333333</v>
      </c>
      <c r="H1095" s="77">
        <v>951.83333333333303</v>
      </c>
    </row>
    <row r="1096" spans="1:8" x14ac:dyDescent="0.25">
      <c r="A1096" s="34">
        <f t="shared" si="35"/>
        <v>4</v>
      </c>
      <c r="B1096" s="35">
        <v>1092</v>
      </c>
      <c r="C1096" s="36">
        <f t="shared" si="36"/>
        <v>91</v>
      </c>
      <c r="D1096" s="76">
        <v>3.19166666666667</v>
      </c>
      <c r="E1096" s="76">
        <v>0</v>
      </c>
      <c r="F1096" s="77">
        <v>622.43333333333305</v>
      </c>
      <c r="G1096" s="77">
        <v>2328.5166666666701</v>
      </c>
      <c r="H1096" s="77">
        <v>1019.81666666667</v>
      </c>
    </row>
    <row r="1097" spans="1:8" x14ac:dyDescent="0.25">
      <c r="A1097" s="34">
        <f t="shared" si="35"/>
        <v>4</v>
      </c>
      <c r="B1097" s="35">
        <v>1093</v>
      </c>
      <c r="C1097" s="36">
        <f t="shared" si="36"/>
        <v>91.083333333333329</v>
      </c>
      <c r="D1097" s="76">
        <v>3.2</v>
      </c>
      <c r="E1097" s="76">
        <v>0</v>
      </c>
      <c r="F1097" s="77">
        <v>612.20000000000005</v>
      </c>
      <c r="G1097" s="77">
        <v>2249.9</v>
      </c>
      <c r="H1097" s="77">
        <v>1087.8</v>
      </c>
    </row>
    <row r="1098" spans="1:8" x14ac:dyDescent="0.25">
      <c r="A1098" s="34">
        <f t="shared" si="35"/>
        <v>4</v>
      </c>
      <c r="B1098" s="35">
        <v>1094</v>
      </c>
      <c r="C1098" s="36">
        <f t="shared" si="36"/>
        <v>91.166666666666657</v>
      </c>
      <c r="D1098" s="76">
        <v>3.2333333333333298</v>
      </c>
      <c r="E1098" s="76">
        <v>0</v>
      </c>
      <c r="F1098" s="77">
        <v>701.18333333333305</v>
      </c>
      <c r="G1098" s="77">
        <v>2173.7108333333299</v>
      </c>
      <c r="H1098" s="77">
        <v>1087.8</v>
      </c>
    </row>
    <row r="1099" spans="1:8" x14ac:dyDescent="0.25">
      <c r="A1099" s="34">
        <f t="shared" si="35"/>
        <v>4</v>
      </c>
      <c r="B1099" s="35">
        <v>1095</v>
      </c>
      <c r="C1099" s="36">
        <f t="shared" si="36"/>
        <v>91.25</v>
      </c>
      <c r="D1099" s="76">
        <v>3.2666666666666702</v>
      </c>
      <c r="E1099" s="76">
        <v>0</v>
      </c>
      <c r="F1099" s="77">
        <v>790.16666666666697</v>
      </c>
      <c r="G1099" s="77">
        <v>2097.5216666666702</v>
      </c>
      <c r="H1099" s="77">
        <v>1087.8</v>
      </c>
    </row>
    <row r="1100" spans="1:8" x14ac:dyDescent="0.25">
      <c r="A1100" s="34">
        <f t="shared" si="35"/>
        <v>4</v>
      </c>
      <c r="B1100" s="35">
        <v>1096</v>
      </c>
      <c r="C1100" s="36">
        <f t="shared" si="36"/>
        <v>91.333333333333329</v>
      </c>
      <c r="D1100" s="76">
        <v>3.3</v>
      </c>
      <c r="E1100" s="76">
        <v>0</v>
      </c>
      <c r="F1100" s="77">
        <v>879.15</v>
      </c>
      <c r="G1100" s="77">
        <v>2021.3325</v>
      </c>
      <c r="H1100" s="77">
        <v>1087.8</v>
      </c>
    </row>
    <row r="1101" spans="1:8" x14ac:dyDescent="0.25">
      <c r="A1101" s="34">
        <f t="shared" si="35"/>
        <v>4</v>
      </c>
      <c r="B1101" s="35">
        <v>1097</v>
      </c>
      <c r="C1101" s="36">
        <f t="shared" si="36"/>
        <v>91.416666666666657</v>
      </c>
      <c r="D1101" s="76">
        <v>3.3333333333333299</v>
      </c>
      <c r="E1101" s="76">
        <v>0</v>
      </c>
      <c r="F1101" s="77">
        <v>968.13333333333298</v>
      </c>
      <c r="G1101" s="77">
        <v>1945.14333333333</v>
      </c>
      <c r="H1101" s="77">
        <v>1087.8</v>
      </c>
    </row>
    <row r="1102" spans="1:8" x14ac:dyDescent="0.25">
      <c r="A1102" s="34">
        <f t="shared" si="35"/>
        <v>4</v>
      </c>
      <c r="B1102" s="35">
        <v>1098</v>
      </c>
      <c r="C1102" s="36">
        <f t="shared" si="36"/>
        <v>91.5</v>
      </c>
      <c r="D1102" s="76">
        <v>3.3666666666666698</v>
      </c>
      <c r="E1102" s="76">
        <v>0</v>
      </c>
      <c r="F1102" s="77">
        <v>1057.11666666667</v>
      </c>
      <c r="G1102" s="77">
        <v>1868.9541666666701</v>
      </c>
      <c r="H1102" s="77">
        <v>1087.8</v>
      </c>
    </row>
    <row r="1103" spans="1:8" x14ac:dyDescent="0.25">
      <c r="A1103" s="34">
        <f t="shared" si="35"/>
        <v>4</v>
      </c>
      <c r="B1103" s="35">
        <v>1099</v>
      </c>
      <c r="C1103" s="36">
        <f t="shared" si="36"/>
        <v>91.583333333333329</v>
      </c>
      <c r="D1103" s="76">
        <v>3.4</v>
      </c>
      <c r="E1103" s="76">
        <v>0</v>
      </c>
      <c r="F1103" s="77">
        <v>1146.0999999999999</v>
      </c>
      <c r="G1103" s="77">
        <v>1792.7650000000001</v>
      </c>
      <c r="H1103" s="77">
        <v>1087.8</v>
      </c>
    </row>
    <row r="1104" spans="1:8" x14ac:dyDescent="0.25">
      <c r="A1104" s="34">
        <f t="shared" si="35"/>
        <v>4</v>
      </c>
      <c r="B1104" s="35">
        <v>1100</v>
      </c>
      <c r="C1104" s="36">
        <f t="shared" si="36"/>
        <v>91.666666666666657</v>
      </c>
      <c r="D1104" s="76">
        <v>3.43333333333333</v>
      </c>
      <c r="E1104" s="76">
        <v>0</v>
      </c>
      <c r="F1104" s="77">
        <v>1235.0833333333301</v>
      </c>
      <c r="G1104" s="77">
        <v>1716.5758333333299</v>
      </c>
      <c r="H1104" s="77">
        <v>1087.8</v>
      </c>
    </row>
    <row r="1105" spans="1:8" x14ac:dyDescent="0.25">
      <c r="A1105" s="34">
        <f t="shared" si="35"/>
        <v>4</v>
      </c>
      <c r="B1105" s="35">
        <v>1101</v>
      </c>
      <c r="C1105" s="36">
        <f t="shared" si="36"/>
        <v>91.75</v>
      </c>
      <c r="D1105" s="76">
        <v>3.4666666666666699</v>
      </c>
      <c r="E1105" s="76">
        <v>0</v>
      </c>
      <c r="F1105" s="77">
        <v>1324.06666666667</v>
      </c>
      <c r="G1105" s="77">
        <v>1640.38666666667</v>
      </c>
      <c r="H1105" s="77">
        <v>1087.8</v>
      </c>
    </row>
    <row r="1106" spans="1:8" x14ac:dyDescent="0.25">
      <c r="A1106" s="34">
        <f t="shared" si="35"/>
        <v>4</v>
      </c>
      <c r="B1106" s="35">
        <v>1102</v>
      </c>
      <c r="C1106" s="36">
        <f t="shared" si="36"/>
        <v>91.833333333333329</v>
      </c>
      <c r="D1106" s="76">
        <v>3.5</v>
      </c>
      <c r="E1106" s="76">
        <v>0</v>
      </c>
      <c r="F1106" s="77">
        <v>1413.05</v>
      </c>
      <c r="G1106" s="77">
        <v>1564.1975</v>
      </c>
      <c r="H1106" s="77">
        <v>1087.8</v>
      </c>
    </row>
    <row r="1107" spans="1:8" x14ac:dyDescent="0.25">
      <c r="A1107" s="34">
        <f t="shared" si="35"/>
        <v>4</v>
      </c>
      <c r="B1107" s="35">
        <v>1103</v>
      </c>
      <c r="C1107" s="36">
        <f t="shared" si="36"/>
        <v>91.916666666666657</v>
      </c>
      <c r="D1107" s="76">
        <v>3.5333333333333301</v>
      </c>
      <c r="E1107" s="76">
        <v>0</v>
      </c>
      <c r="F1107" s="77">
        <v>1502.0333333333299</v>
      </c>
      <c r="G1107" s="77">
        <v>1488.00833333333</v>
      </c>
      <c r="H1107" s="77">
        <v>1087.8</v>
      </c>
    </row>
    <row r="1108" spans="1:8" x14ac:dyDescent="0.25">
      <c r="A1108" s="34">
        <f t="shared" si="35"/>
        <v>4</v>
      </c>
      <c r="B1108" s="35">
        <v>1104</v>
      </c>
      <c r="C1108" s="36">
        <f t="shared" si="36"/>
        <v>92</v>
      </c>
      <c r="D1108" s="76">
        <v>3.56666666666667</v>
      </c>
      <c r="E1108" s="76">
        <v>0</v>
      </c>
      <c r="F1108" s="77">
        <v>1591.0166666666701</v>
      </c>
      <c r="G1108" s="77">
        <v>1411.8191666666701</v>
      </c>
      <c r="H1108" s="77">
        <v>1087.8</v>
      </c>
    </row>
    <row r="1109" spans="1:8" x14ac:dyDescent="0.25">
      <c r="A1109" s="34">
        <f t="shared" si="35"/>
        <v>4</v>
      </c>
      <c r="B1109" s="35">
        <v>1105</v>
      </c>
      <c r="C1109" s="36">
        <f t="shared" si="36"/>
        <v>92.083333333333329</v>
      </c>
      <c r="D1109" s="76">
        <v>3.6</v>
      </c>
      <c r="E1109" s="76">
        <v>0</v>
      </c>
      <c r="F1109" s="77">
        <v>1680</v>
      </c>
      <c r="G1109" s="77">
        <v>1335.63</v>
      </c>
      <c r="H1109" s="77">
        <v>1087.8</v>
      </c>
    </row>
    <row r="1110" spans="1:8" x14ac:dyDescent="0.25">
      <c r="A1110" s="34">
        <f t="shared" si="35"/>
        <v>4</v>
      </c>
      <c r="B1110" s="35">
        <v>1106</v>
      </c>
      <c r="C1110" s="36">
        <f t="shared" si="36"/>
        <v>92.166666666666657</v>
      </c>
      <c r="D1110" s="76">
        <v>3.6166666666666698</v>
      </c>
      <c r="E1110" s="76">
        <v>0</v>
      </c>
      <c r="F1110" s="77">
        <v>1677.11666666667</v>
      </c>
      <c r="G1110" s="77">
        <v>1321.25416666667</v>
      </c>
      <c r="H1110" s="77">
        <v>1019.81666666667</v>
      </c>
    </row>
    <row r="1111" spans="1:8" x14ac:dyDescent="0.25">
      <c r="A1111" s="34">
        <f t="shared" si="35"/>
        <v>4</v>
      </c>
      <c r="B1111" s="35">
        <v>1107</v>
      </c>
      <c r="C1111" s="36">
        <f t="shared" si="36"/>
        <v>92.25</v>
      </c>
      <c r="D1111" s="76">
        <v>3.6333333333333302</v>
      </c>
      <c r="E1111" s="76">
        <v>0</v>
      </c>
      <c r="F1111" s="77">
        <v>1674.2333333333299</v>
      </c>
      <c r="G1111" s="77">
        <v>1306.8783333333299</v>
      </c>
      <c r="H1111" s="77">
        <v>951.83333333333303</v>
      </c>
    </row>
    <row r="1112" spans="1:8" x14ac:dyDescent="0.25">
      <c r="A1112" s="34">
        <f t="shared" si="35"/>
        <v>4</v>
      </c>
      <c r="B1112" s="35">
        <v>1108</v>
      </c>
      <c r="C1112" s="36">
        <f t="shared" si="36"/>
        <v>92.333333333333329</v>
      </c>
      <c r="D1112" s="76">
        <v>3.65</v>
      </c>
      <c r="E1112" s="76">
        <v>0</v>
      </c>
      <c r="F1112" s="77">
        <v>1671.35</v>
      </c>
      <c r="G1112" s="77">
        <v>1292.5025000000001</v>
      </c>
      <c r="H1112" s="77">
        <v>883.85</v>
      </c>
    </row>
    <row r="1113" spans="1:8" x14ac:dyDescent="0.25">
      <c r="A1113" s="34">
        <f t="shared" si="35"/>
        <v>4</v>
      </c>
      <c r="B1113" s="35">
        <v>1109</v>
      </c>
      <c r="C1113" s="36">
        <f t="shared" si="36"/>
        <v>92.416666666666657</v>
      </c>
      <c r="D1113" s="76">
        <v>3.6666666666666701</v>
      </c>
      <c r="E1113" s="76">
        <v>0</v>
      </c>
      <c r="F1113" s="77">
        <v>1668.4666666666701</v>
      </c>
      <c r="G1113" s="77">
        <v>1278.12666666667</v>
      </c>
      <c r="H1113" s="77">
        <v>815.86666666666702</v>
      </c>
    </row>
    <row r="1114" spans="1:8" x14ac:dyDescent="0.25">
      <c r="A1114" s="34">
        <f t="shared" si="35"/>
        <v>4</v>
      </c>
      <c r="B1114" s="35">
        <v>1110</v>
      </c>
      <c r="C1114" s="36">
        <f t="shared" si="36"/>
        <v>92.5</v>
      </c>
      <c r="D1114" s="76">
        <v>3.68333333333333</v>
      </c>
      <c r="E1114" s="76">
        <v>0</v>
      </c>
      <c r="F1114" s="77">
        <v>1665.5833333333301</v>
      </c>
      <c r="G1114" s="77">
        <v>1263.7508333333301</v>
      </c>
      <c r="H1114" s="77">
        <v>747.88333333333298</v>
      </c>
    </row>
    <row r="1115" spans="1:8" x14ac:dyDescent="0.25">
      <c r="A1115" s="34">
        <f t="shared" si="35"/>
        <v>4</v>
      </c>
      <c r="B1115" s="35">
        <v>1111</v>
      </c>
      <c r="C1115" s="36">
        <f t="shared" si="36"/>
        <v>92.583333333333329</v>
      </c>
      <c r="D1115" s="76">
        <v>3.7</v>
      </c>
      <c r="E1115" s="76">
        <v>0</v>
      </c>
      <c r="F1115" s="77">
        <v>1662.7</v>
      </c>
      <c r="G1115" s="77">
        <v>1249.375</v>
      </c>
      <c r="H1115" s="77">
        <v>679.9</v>
      </c>
    </row>
    <row r="1116" spans="1:8" x14ac:dyDescent="0.25">
      <c r="A1116" s="34">
        <f t="shared" si="35"/>
        <v>4</v>
      </c>
      <c r="B1116" s="35">
        <v>1112</v>
      </c>
      <c r="C1116" s="36">
        <f t="shared" si="36"/>
        <v>92.666666666666657</v>
      </c>
      <c r="D1116" s="76">
        <v>3.7166666666666699</v>
      </c>
      <c r="E1116" s="76">
        <v>0</v>
      </c>
      <c r="F1116" s="77">
        <v>1659.81666666667</v>
      </c>
      <c r="G1116" s="77">
        <v>1234.9991666666699</v>
      </c>
      <c r="H1116" s="77">
        <v>611.91666666666697</v>
      </c>
    </row>
    <row r="1117" spans="1:8" x14ac:dyDescent="0.25">
      <c r="A1117" s="34">
        <f t="shared" si="35"/>
        <v>4</v>
      </c>
      <c r="B1117" s="35">
        <v>1113</v>
      </c>
      <c r="C1117" s="36">
        <f t="shared" si="36"/>
        <v>92.75</v>
      </c>
      <c r="D1117" s="76">
        <v>3.7333333333333298</v>
      </c>
      <c r="E1117" s="76">
        <v>0</v>
      </c>
      <c r="F1117" s="77">
        <v>1656.93333333333</v>
      </c>
      <c r="G1117" s="77">
        <v>1220.62333333333</v>
      </c>
      <c r="H1117" s="77">
        <v>543.93333333333305</v>
      </c>
    </row>
    <row r="1118" spans="1:8" x14ac:dyDescent="0.25">
      <c r="A1118" s="34">
        <f t="shared" si="35"/>
        <v>4</v>
      </c>
      <c r="B1118" s="35">
        <v>1114</v>
      </c>
      <c r="C1118" s="36">
        <f t="shared" si="36"/>
        <v>92.833333333333329</v>
      </c>
      <c r="D1118" s="76">
        <v>3.75</v>
      </c>
      <c r="E1118" s="76">
        <v>0</v>
      </c>
      <c r="F1118" s="77">
        <v>1654.05</v>
      </c>
      <c r="G1118" s="77">
        <v>1206.2474999999999</v>
      </c>
      <c r="H1118" s="77">
        <v>475.95</v>
      </c>
    </row>
    <row r="1119" spans="1:8" x14ac:dyDescent="0.25">
      <c r="A1119" s="34">
        <f t="shared" si="35"/>
        <v>4</v>
      </c>
      <c r="B1119" s="35">
        <v>1115</v>
      </c>
      <c r="C1119" s="36">
        <f t="shared" si="36"/>
        <v>92.916666666666657</v>
      </c>
      <c r="D1119" s="76">
        <v>3.7666666666666702</v>
      </c>
      <c r="E1119" s="76">
        <v>0</v>
      </c>
      <c r="F1119" s="77">
        <v>1651.1666666666699</v>
      </c>
      <c r="G1119" s="77">
        <v>1191.8716666666701</v>
      </c>
      <c r="H1119" s="77">
        <v>407.96666666666698</v>
      </c>
    </row>
    <row r="1120" spans="1:8" x14ac:dyDescent="0.25">
      <c r="A1120" s="34">
        <f t="shared" si="35"/>
        <v>4</v>
      </c>
      <c r="B1120" s="35">
        <v>1116</v>
      </c>
      <c r="C1120" s="36">
        <f t="shared" si="36"/>
        <v>93</v>
      </c>
      <c r="D1120" s="76">
        <v>3.7833333333333301</v>
      </c>
      <c r="E1120" s="76">
        <v>0</v>
      </c>
      <c r="F1120" s="77">
        <v>1648.2833333333299</v>
      </c>
      <c r="G1120" s="77">
        <v>1177.49583333333</v>
      </c>
      <c r="H1120" s="77">
        <v>339.98333333333301</v>
      </c>
    </row>
    <row r="1121" spans="1:8" x14ac:dyDescent="0.25">
      <c r="A1121" s="34">
        <f t="shared" si="35"/>
        <v>4</v>
      </c>
      <c r="B1121" s="35">
        <v>1117</v>
      </c>
      <c r="C1121" s="36">
        <f t="shared" si="36"/>
        <v>93.083333333333329</v>
      </c>
      <c r="D1121" s="76">
        <v>3.8</v>
      </c>
      <c r="E1121" s="76">
        <v>0</v>
      </c>
      <c r="F1121" s="77">
        <v>1645.4</v>
      </c>
      <c r="G1121" s="77">
        <v>1163.1199999999999</v>
      </c>
      <c r="H1121" s="77">
        <v>272</v>
      </c>
    </row>
    <row r="1122" spans="1:8" x14ac:dyDescent="0.25">
      <c r="A1122" s="34">
        <f t="shared" si="35"/>
        <v>4</v>
      </c>
      <c r="B1122" s="35">
        <v>1118</v>
      </c>
      <c r="C1122" s="36">
        <f t="shared" si="36"/>
        <v>93.166666666666657</v>
      </c>
      <c r="D1122" s="76">
        <v>3.75</v>
      </c>
      <c r="E1122" s="76">
        <v>0</v>
      </c>
      <c r="F1122" s="77">
        <v>1538.2083333333301</v>
      </c>
      <c r="G1122" s="77">
        <v>1111.4566666666699</v>
      </c>
      <c r="H1122" s="77">
        <v>255</v>
      </c>
    </row>
    <row r="1123" spans="1:8" x14ac:dyDescent="0.25">
      <c r="A1123" s="34">
        <f t="shared" si="35"/>
        <v>4</v>
      </c>
      <c r="B1123" s="35">
        <v>1119</v>
      </c>
      <c r="C1123" s="36">
        <f t="shared" si="36"/>
        <v>93.25</v>
      </c>
      <c r="D1123" s="76">
        <v>3.7</v>
      </c>
      <c r="E1123" s="76">
        <v>0</v>
      </c>
      <c r="F1123" s="77">
        <v>1431.0166666666701</v>
      </c>
      <c r="G1123" s="77">
        <v>1059.7933333333301</v>
      </c>
      <c r="H1123" s="77">
        <v>238</v>
      </c>
    </row>
    <row r="1124" spans="1:8" x14ac:dyDescent="0.25">
      <c r="A1124" s="34">
        <f t="shared" si="35"/>
        <v>4</v>
      </c>
      <c r="B1124" s="35">
        <v>1120</v>
      </c>
      <c r="C1124" s="36">
        <f t="shared" si="36"/>
        <v>93.333333333333329</v>
      </c>
      <c r="D1124" s="76">
        <v>3.65</v>
      </c>
      <c r="E1124" s="76">
        <v>0</v>
      </c>
      <c r="F1124" s="77">
        <v>1323.825</v>
      </c>
      <c r="G1124" s="77">
        <v>1008.13</v>
      </c>
      <c r="H1124" s="77">
        <v>221</v>
      </c>
    </row>
    <row r="1125" spans="1:8" x14ac:dyDescent="0.25">
      <c r="A1125" s="34">
        <f t="shared" si="35"/>
        <v>4</v>
      </c>
      <c r="B1125" s="35">
        <v>1121</v>
      </c>
      <c r="C1125" s="36">
        <f t="shared" si="36"/>
        <v>93.416666666666657</v>
      </c>
      <c r="D1125" s="76">
        <v>3.6</v>
      </c>
      <c r="E1125" s="76">
        <v>0</v>
      </c>
      <c r="F1125" s="77">
        <v>1216.63333333333</v>
      </c>
      <c r="G1125" s="77">
        <v>956.46666666666704</v>
      </c>
      <c r="H1125" s="77">
        <v>204</v>
      </c>
    </row>
    <row r="1126" spans="1:8" x14ac:dyDescent="0.25">
      <c r="A1126" s="34">
        <f t="shared" si="35"/>
        <v>4</v>
      </c>
      <c r="B1126" s="35">
        <v>1122</v>
      </c>
      <c r="C1126" s="36">
        <f t="shared" si="36"/>
        <v>93.5</v>
      </c>
      <c r="D1126" s="76">
        <v>3.55</v>
      </c>
      <c r="E1126" s="76">
        <v>0</v>
      </c>
      <c r="F1126" s="77">
        <v>1109.44166666667</v>
      </c>
      <c r="G1126" s="77">
        <v>904.80333333333294</v>
      </c>
      <c r="H1126" s="77">
        <v>187</v>
      </c>
    </row>
    <row r="1127" spans="1:8" x14ac:dyDescent="0.25">
      <c r="A1127" s="34">
        <f t="shared" si="35"/>
        <v>4</v>
      </c>
      <c r="B1127" s="35">
        <v>1123</v>
      </c>
      <c r="C1127" s="36">
        <f t="shared" si="36"/>
        <v>93.583333333333329</v>
      </c>
      <c r="D1127" s="76">
        <v>3.5</v>
      </c>
      <c r="E1127" s="76">
        <v>0</v>
      </c>
      <c r="F1127" s="77">
        <v>1002.25</v>
      </c>
      <c r="G1127" s="77">
        <v>853.14</v>
      </c>
      <c r="H1127" s="77">
        <v>170</v>
      </c>
    </row>
    <row r="1128" spans="1:8" x14ac:dyDescent="0.25">
      <c r="A1128" s="34">
        <f t="shared" si="35"/>
        <v>4</v>
      </c>
      <c r="B1128" s="35">
        <v>1124</v>
      </c>
      <c r="C1128" s="36">
        <f t="shared" si="36"/>
        <v>93.666666666666657</v>
      </c>
      <c r="D1128" s="76">
        <v>3.45</v>
      </c>
      <c r="E1128" s="76">
        <v>0</v>
      </c>
      <c r="F1128" s="77">
        <v>895.05833333333305</v>
      </c>
      <c r="G1128" s="77">
        <v>801.47666666666703</v>
      </c>
      <c r="H1128" s="77">
        <v>153</v>
      </c>
    </row>
    <row r="1129" spans="1:8" x14ac:dyDescent="0.25">
      <c r="A1129" s="34">
        <f t="shared" si="35"/>
        <v>4</v>
      </c>
      <c r="B1129" s="35">
        <v>1125</v>
      </c>
      <c r="C1129" s="36">
        <f t="shared" si="36"/>
        <v>93.75</v>
      </c>
      <c r="D1129" s="76">
        <v>3.4</v>
      </c>
      <c r="E1129" s="76">
        <v>0</v>
      </c>
      <c r="F1129" s="77">
        <v>787.86666666666702</v>
      </c>
      <c r="G1129" s="77">
        <v>749.81333333333305</v>
      </c>
      <c r="H1129" s="77">
        <v>136</v>
      </c>
    </row>
    <row r="1130" spans="1:8" x14ac:dyDescent="0.25">
      <c r="A1130" s="34">
        <f t="shared" si="35"/>
        <v>4</v>
      </c>
      <c r="B1130" s="35">
        <v>1126</v>
      </c>
      <c r="C1130" s="36">
        <f t="shared" si="36"/>
        <v>93.833333333333329</v>
      </c>
      <c r="D1130" s="76">
        <v>3.35</v>
      </c>
      <c r="E1130" s="76">
        <v>0</v>
      </c>
      <c r="F1130" s="77">
        <v>680.67499999999995</v>
      </c>
      <c r="G1130" s="77">
        <v>698.15</v>
      </c>
      <c r="H1130" s="77">
        <v>119</v>
      </c>
    </row>
    <row r="1131" spans="1:8" x14ac:dyDescent="0.25">
      <c r="A1131" s="34">
        <f t="shared" si="35"/>
        <v>4</v>
      </c>
      <c r="B1131" s="35">
        <v>1127</v>
      </c>
      <c r="C1131" s="36">
        <f t="shared" si="36"/>
        <v>93.916666666666657</v>
      </c>
      <c r="D1131" s="76">
        <v>3.3</v>
      </c>
      <c r="E1131" s="76">
        <v>0</v>
      </c>
      <c r="F1131" s="77">
        <v>573.48333333333301</v>
      </c>
      <c r="G1131" s="77">
        <v>646.48666666666702</v>
      </c>
      <c r="H1131" s="77">
        <v>102</v>
      </c>
    </row>
    <row r="1132" spans="1:8" x14ac:dyDescent="0.25">
      <c r="A1132" s="34">
        <f t="shared" si="35"/>
        <v>4</v>
      </c>
      <c r="B1132" s="35">
        <v>1128</v>
      </c>
      <c r="C1132" s="36">
        <f t="shared" si="36"/>
        <v>94</v>
      </c>
      <c r="D1132" s="76">
        <v>3.25</v>
      </c>
      <c r="E1132" s="76">
        <v>0</v>
      </c>
      <c r="F1132" s="77">
        <v>466.29166666666703</v>
      </c>
      <c r="G1132" s="77">
        <v>594.82333333333304</v>
      </c>
      <c r="H1132" s="77">
        <v>85</v>
      </c>
    </row>
    <row r="1133" spans="1:8" x14ac:dyDescent="0.25">
      <c r="A1133" s="34">
        <f t="shared" si="35"/>
        <v>4</v>
      </c>
      <c r="B1133" s="35">
        <v>1129</v>
      </c>
      <c r="C1133" s="36">
        <f t="shared" si="36"/>
        <v>94.083333333333329</v>
      </c>
      <c r="D1133" s="76">
        <v>3.2</v>
      </c>
      <c r="E1133" s="76">
        <v>0</v>
      </c>
      <c r="F1133" s="77">
        <v>359.1</v>
      </c>
      <c r="G1133" s="77">
        <v>543.16</v>
      </c>
      <c r="H1133" s="77">
        <v>68</v>
      </c>
    </row>
    <row r="1134" spans="1:8" x14ac:dyDescent="0.25">
      <c r="A1134" s="34">
        <f t="shared" si="35"/>
        <v>4</v>
      </c>
      <c r="B1134" s="35">
        <v>1130</v>
      </c>
      <c r="C1134" s="36">
        <f t="shared" si="36"/>
        <v>94.166666666666657</v>
      </c>
      <c r="D1134" s="76">
        <v>3.15</v>
      </c>
      <c r="E1134" s="76">
        <v>0</v>
      </c>
      <c r="F1134" s="77">
        <v>344.99166666666702</v>
      </c>
      <c r="G1134" s="77">
        <v>497.89666666666699</v>
      </c>
      <c r="H1134" s="77">
        <v>62.3333333333333</v>
      </c>
    </row>
    <row r="1135" spans="1:8" x14ac:dyDescent="0.25">
      <c r="A1135" s="34">
        <f t="shared" si="35"/>
        <v>4</v>
      </c>
      <c r="B1135" s="35">
        <v>1131</v>
      </c>
      <c r="C1135" s="36">
        <f t="shared" si="36"/>
        <v>94.25</v>
      </c>
      <c r="D1135" s="76">
        <v>3.1</v>
      </c>
      <c r="E1135" s="76">
        <v>0</v>
      </c>
      <c r="F1135" s="77">
        <v>330.88333333333298</v>
      </c>
      <c r="G1135" s="77">
        <v>452.63333333333298</v>
      </c>
      <c r="H1135" s="77">
        <v>56.6666666666667</v>
      </c>
    </row>
    <row r="1136" spans="1:8" x14ac:dyDescent="0.25">
      <c r="A1136" s="34">
        <f t="shared" si="35"/>
        <v>4</v>
      </c>
      <c r="B1136" s="35">
        <v>1132</v>
      </c>
      <c r="C1136" s="36">
        <f t="shared" si="36"/>
        <v>94.333333333333329</v>
      </c>
      <c r="D1136" s="76">
        <v>3.05</v>
      </c>
      <c r="E1136" s="76">
        <v>0</v>
      </c>
      <c r="F1136" s="77">
        <v>316.77499999999998</v>
      </c>
      <c r="G1136" s="77">
        <v>407.37</v>
      </c>
      <c r="H1136" s="77">
        <v>51</v>
      </c>
    </row>
    <row r="1137" spans="1:8" x14ac:dyDescent="0.25">
      <c r="A1137" s="34">
        <f t="shared" si="35"/>
        <v>4</v>
      </c>
      <c r="B1137" s="35">
        <v>1133</v>
      </c>
      <c r="C1137" s="36">
        <f t="shared" si="36"/>
        <v>94.416666666666657</v>
      </c>
      <c r="D1137" s="76">
        <v>3</v>
      </c>
      <c r="E1137" s="76">
        <v>0</v>
      </c>
      <c r="F1137" s="77">
        <v>302.66666666666703</v>
      </c>
      <c r="G1137" s="77">
        <v>362.10666666666702</v>
      </c>
      <c r="H1137" s="77">
        <v>45.3333333333333</v>
      </c>
    </row>
    <row r="1138" spans="1:8" x14ac:dyDescent="0.25">
      <c r="A1138" s="34">
        <f t="shared" si="35"/>
        <v>4</v>
      </c>
      <c r="B1138" s="35">
        <v>1134</v>
      </c>
      <c r="C1138" s="36">
        <f t="shared" si="36"/>
        <v>94.5</v>
      </c>
      <c r="D1138" s="76">
        <v>2.95</v>
      </c>
      <c r="E1138" s="76">
        <v>0</v>
      </c>
      <c r="F1138" s="77">
        <v>288.558333333333</v>
      </c>
      <c r="G1138" s="77">
        <v>316.84333333333302</v>
      </c>
      <c r="H1138" s="77">
        <v>39.6666666666667</v>
      </c>
    </row>
    <row r="1139" spans="1:8" x14ac:dyDescent="0.25">
      <c r="A1139" s="34">
        <f t="shared" si="35"/>
        <v>4</v>
      </c>
      <c r="B1139" s="35">
        <v>1135</v>
      </c>
      <c r="C1139" s="36">
        <f t="shared" si="36"/>
        <v>94.583333333333329</v>
      </c>
      <c r="D1139" s="76">
        <v>2.9</v>
      </c>
      <c r="E1139" s="76">
        <v>0</v>
      </c>
      <c r="F1139" s="77">
        <v>274.45</v>
      </c>
      <c r="G1139" s="77">
        <v>271.58</v>
      </c>
      <c r="H1139" s="77">
        <v>34</v>
      </c>
    </row>
    <row r="1140" spans="1:8" x14ac:dyDescent="0.25">
      <c r="A1140" s="34">
        <f t="shared" si="35"/>
        <v>4</v>
      </c>
      <c r="B1140" s="35">
        <v>1136</v>
      </c>
      <c r="C1140" s="36">
        <f t="shared" si="36"/>
        <v>94.666666666666657</v>
      </c>
      <c r="D1140" s="76">
        <v>2.85</v>
      </c>
      <c r="E1140" s="76">
        <v>0</v>
      </c>
      <c r="F1140" s="77">
        <v>260.34166666666698</v>
      </c>
      <c r="G1140" s="77">
        <v>226.316666666667</v>
      </c>
      <c r="H1140" s="77">
        <v>28.3333333333333</v>
      </c>
    </row>
    <row r="1141" spans="1:8" x14ac:dyDescent="0.25">
      <c r="A1141" s="34">
        <f t="shared" ref="A1141:A1156" si="37">ROUNDUP(C1141/24,0)</f>
        <v>4</v>
      </c>
      <c r="B1141" s="35">
        <v>1137</v>
      </c>
      <c r="C1141" s="36">
        <f t="shared" ref="C1141:C1156" si="38">B1141*$C$1</f>
        <v>94.75</v>
      </c>
      <c r="D1141" s="76">
        <v>2.8</v>
      </c>
      <c r="E1141" s="76">
        <v>0</v>
      </c>
      <c r="F1141" s="77">
        <v>246.23333333333301</v>
      </c>
      <c r="G1141" s="77">
        <v>181.053333333333</v>
      </c>
      <c r="H1141" s="77">
        <v>22.6666666666667</v>
      </c>
    </row>
    <row r="1142" spans="1:8" x14ac:dyDescent="0.25">
      <c r="A1142" s="34">
        <f t="shared" si="37"/>
        <v>4</v>
      </c>
      <c r="B1142" s="35">
        <v>1138</v>
      </c>
      <c r="C1142" s="36">
        <f t="shared" si="38"/>
        <v>94.833333333333329</v>
      </c>
      <c r="D1142" s="76">
        <v>2.75</v>
      </c>
      <c r="E1142" s="76">
        <v>0</v>
      </c>
      <c r="F1142" s="77">
        <v>232.125</v>
      </c>
      <c r="G1142" s="77">
        <v>135.79</v>
      </c>
      <c r="H1142" s="77">
        <v>17</v>
      </c>
    </row>
    <row r="1143" spans="1:8" x14ac:dyDescent="0.25">
      <c r="A1143" s="34">
        <f t="shared" si="37"/>
        <v>4</v>
      </c>
      <c r="B1143" s="35">
        <v>1139</v>
      </c>
      <c r="C1143" s="36">
        <f t="shared" si="38"/>
        <v>94.916666666666657</v>
      </c>
      <c r="D1143" s="76">
        <v>2.7</v>
      </c>
      <c r="E1143" s="76">
        <v>0</v>
      </c>
      <c r="F1143" s="77">
        <v>218.01666666666699</v>
      </c>
      <c r="G1143" s="77">
        <v>90.5266666666666</v>
      </c>
      <c r="H1143" s="77">
        <v>11.3333333333333</v>
      </c>
    </row>
    <row r="1144" spans="1:8" x14ac:dyDescent="0.25">
      <c r="A1144" s="34">
        <f t="shared" si="37"/>
        <v>4</v>
      </c>
      <c r="B1144" s="35">
        <v>1140</v>
      </c>
      <c r="C1144" s="36">
        <f t="shared" si="38"/>
        <v>95</v>
      </c>
      <c r="D1144" s="76">
        <v>2.65</v>
      </c>
      <c r="E1144" s="76">
        <v>0</v>
      </c>
      <c r="F1144" s="77">
        <v>203.90833333333299</v>
      </c>
      <c r="G1144" s="77">
        <v>45.263333333333399</v>
      </c>
      <c r="H1144" s="77">
        <v>5.6666666666666696</v>
      </c>
    </row>
    <row r="1145" spans="1:8" x14ac:dyDescent="0.25">
      <c r="A1145" s="34">
        <f t="shared" si="37"/>
        <v>4</v>
      </c>
      <c r="B1145" s="35">
        <v>1141</v>
      </c>
      <c r="C1145" s="36">
        <f t="shared" si="38"/>
        <v>95.083333333333329</v>
      </c>
      <c r="D1145" s="76">
        <v>2.6</v>
      </c>
      <c r="E1145" s="76">
        <v>0</v>
      </c>
      <c r="F1145" s="77">
        <v>189.8</v>
      </c>
      <c r="G1145" s="77">
        <v>0</v>
      </c>
      <c r="H1145" s="77">
        <v>0</v>
      </c>
    </row>
    <row r="1146" spans="1:8" x14ac:dyDescent="0.25">
      <c r="A1146" s="34">
        <f t="shared" si="37"/>
        <v>4</v>
      </c>
      <c r="B1146" s="35">
        <v>1142</v>
      </c>
      <c r="C1146" s="36">
        <f t="shared" si="38"/>
        <v>95.166666666666657</v>
      </c>
      <c r="D1146" s="76">
        <v>2.6</v>
      </c>
      <c r="E1146" s="76">
        <v>0</v>
      </c>
      <c r="F1146" s="77">
        <v>187.74166666666699</v>
      </c>
      <c r="G1146" s="77">
        <v>0</v>
      </c>
      <c r="H1146" s="77">
        <v>0</v>
      </c>
    </row>
    <row r="1147" spans="1:8" x14ac:dyDescent="0.25">
      <c r="A1147" s="34">
        <f t="shared" si="37"/>
        <v>4</v>
      </c>
      <c r="B1147" s="35">
        <v>1143</v>
      </c>
      <c r="C1147" s="36">
        <f t="shared" si="38"/>
        <v>95.25</v>
      </c>
      <c r="D1147" s="76">
        <v>2.6</v>
      </c>
      <c r="E1147" s="76">
        <v>0</v>
      </c>
      <c r="F1147" s="77">
        <v>185.683333333333</v>
      </c>
      <c r="G1147" s="77">
        <v>0</v>
      </c>
      <c r="H1147" s="77">
        <v>0</v>
      </c>
    </row>
    <row r="1148" spans="1:8" x14ac:dyDescent="0.25">
      <c r="A1148" s="34">
        <f t="shared" si="37"/>
        <v>4</v>
      </c>
      <c r="B1148" s="35">
        <v>1144</v>
      </c>
      <c r="C1148" s="36">
        <f t="shared" si="38"/>
        <v>95.333333333333329</v>
      </c>
      <c r="D1148" s="76">
        <v>2.6</v>
      </c>
      <c r="E1148" s="76">
        <v>0</v>
      </c>
      <c r="F1148" s="77">
        <v>183.625</v>
      </c>
      <c r="G1148" s="77">
        <v>0</v>
      </c>
      <c r="H1148" s="77">
        <v>0</v>
      </c>
    </row>
    <row r="1149" spans="1:8" x14ac:dyDescent="0.25">
      <c r="A1149" s="34">
        <f t="shared" si="37"/>
        <v>4</v>
      </c>
      <c r="B1149" s="35">
        <v>1145</v>
      </c>
      <c r="C1149" s="36">
        <f t="shared" si="38"/>
        <v>95.416666666666657</v>
      </c>
      <c r="D1149" s="76">
        <v>2.6</v>
      </c>
      <c r="E1149" s="76">
        <v>0</v>
      </c>
      <c r="F1149" s="77">
        <v>181.566666666667</v>
      </c>
      <c r="G1149" s="77">
        <v>0</v>
      </c>
      <c r="H1149" s="77">
        <v>0</v>
      </c>
    </row>
    <row r="1150" spans="1:8" x14ac:dyDescent="0.25">
      <c r="A1150" s="34">
        <f t="shared" si="37"/>
        <v>4</v>
      </c>
      <c r="B1150" s="35">
        <v>1146</v>
      </c>
      <c r="C1150" s="36">
        <f t="shared" si="38"/>
        <v>95.5</v>
      </c>
      <c r="D1150" s="76">
        <v>2.6</v>
      </c>
      <c r="E1150" s="76">
        <v>0</v>
      </c>
      <c r="F1150" s="77">
        <v>179.50833333333301</v>
      </c>
      <c r="G1150" s="77">
        <v>0</v>
      </c>
      <c r="H1150" s="77">
        <v>0</v>
      </c>
    </row>
    <row r="1151" spans="1:8" x14ac:dyDescent="0.25">
      <c r="A1151" s="34">
        <f t="shared" si="37"/>
        <v>4</v>
      </c>
      <c r="B1151" s="35">
        <v>1147</v>
      </c>
      <c r="C1151" s="36">
        <f t="shared" si="38"/>
        <v>95.583333333333329</v>
      </c>
      <c r="D1151" s="76">
        <v>2.6</v>
      </c>
      <c r="E1151" s="76">
        <v>0</v>
      </c>
      <c r="F1151" s="77">
        <v>177.45</v>
      </c>
      <c r="G1151" s="77">
        <v>0</v>
      </c>
      <c r="H1151" s="77">
        <v>0</v>
      </c>
    </row>
    <row r="1152" spans="1:8" x14ac:dyDescent="0.25">
      <c r="A1152" s="34">
        <f t="shared" si="37"/>
        <v>4</v>
      </c>
      <c r="B1152" s="35">
        <v>1148</v>
      </c>
      <c r="C1152" s="36">
        <f t="shared" si="38"/>
        <v>95.666666666666657</v>
      </c>
      <c r="D1152" s="76">
        <v>2.6</v>
      </c>
      <c r="E1152" s="76">
        <v>0</v>
      </c>
      <c r="F1152" s="77">
        <v>175.39166666666699</v>
      </c>
      <c r="G1152" s="77">
        <v>0</v>
      </c>
      <c r="H1152" s="77">
        <v>0</v>
      </c>
    </row>
    <row r="1153" spans="1:8" x14ac:dyDescent="0.25">
      <c r="A1153" s="34">
        <f t="shared" si="37"/>
        <v>4</v>
      </c>
      <c r="B1153" s="35">
        <v>1149</v>
      </c>
      <c r="C1153" s="36">
        <f t="shared" si="38"/>
        <v>95.75</v>
      </c>
      <c r="D1153" s="76">
        <v>2.6</v>
      </c>
      <c r="E1153" s="76">
        <v>0</v>
      </c>
      <c r="F1153" s="77">
        <v>173.333333333333</v>
      </c>
      <c r="G1153" s="77">
        <v>0</v>
      </c>
      <c r="H1153" s="77">
        <v>0</v>
      </c>
    </row>
    <row r="1154" spans="1:8" x14ac:dyDescent="0.25">
      <c r="A1154" s="34">
        <f t="shared" si="37"/>
        <v>4</v>
      </c>
      <c r="B1154" s="35">
        <v>1150</v>
      </c>
      <c r="C1154" s="36">
        <f t="shared" si="38"/>
        <v>95.833333333333329</v>
      </c>
      <c r="D1154" s="76">
        <v>2.6</v>
      </c>
      <c r="E1154" s="76">
        <v>0</v>
      </c>
      <c r="F1154" s="77">
        <v>171.27500000000001</v>
      </c>
      <c r="G1154" s="77">
        <v>0</v>
      </c>
      <c r="H1154" s="77">
        <v>0</v>
      </c>
    </row>
    <row r="1155" spans="1:8" x14ac:dyDescent="0.25">
      <c r="A1155" s="34">
        <f t="shared" si="37"/>
        <v>4</v>
      </c>
      <c r="B1155" s="35">
        <v>1151</v>
      </c>
      <c r="C1155" s="36">
        <f t="shared" si="38"/>
        <v>95.916666666666657</v>
      </c>
      <c r="D1155" s="76">
        <v>2.6</v>
      </c>
      <c r="E1155" s="76">
        <v>0</v>
      </c>
      <c r="F1155" s="77">
        <v>169.21666666666701</v>
      </c>
      <c r="G1155" s="77">
        <v>0</v>
      </c>
      <c r="H1155" s="77">
        <v>0</v>
      </c>
    </row>
    <row r="1156" spans="1:8" x14ac:dyDescent="0.25">
      <c r="A1156" s="34">
        <f t="shared" si="37"/>
        <v>4</v>
      </c>
      <c r="B1156" s="35">
        <v>1152</v>
      </c>
      <c r="C1156" s="36">
        <f t="shared" si="38"/>
        <v>96</v>
      </c>
      <c r="D1156" s="76">
        <v>2.6</v>
      </c>
      <c r="E1156" s="76">
        <v>0</v>
      </c>
      <c r="F1156" s="77">
        <v>167.15833333333299</v>
      </c>
      <c r="G1156" s="77">
        <v>0</v>
      </c>
      <c r="H1156" s="77">
        <v>0</v>
      </c>
    </row>
  </sheetData>
  <pageMargins left="0.7" right="0.7" top="0.75" bottom="0.75" header="0.3" footer="0.3"/>
  <pageSetup orientation="portrait" horizontalDpi="1200" verticalDpi="1200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AO51"/>
  <sheetViews>
    <sheetView topLeftCell="A34" zoomScaleNormal="100" workbookViewId="0">
      <selection activeCell="D51" sqref="D51"/>
    </sheetView>
  </sheetViews>
  <sheetFormatPr defaultRowHeight="15" x14ac:dyDescent="0.25"/>
  <sheetData>
    <row r="1" spans="1:41" hidden="1" x14ac:dyDescent="0.25">
      <c r="A1">
        <f>IF(ISNA(ADDRESS(ROW(unprofstart), COLUMN(unprofstart),4)&amp;":"&amp;ADDRESS(LOOKUP(2,1/(D:D&lt;&gt;""),ROW(D:D)),LOOKUP(2,1/(2:2&lt;&gt;""),COLUMN(2:2)),4)),0,ADDRESS(ROW(unprofstart), COLUMN(unprofstart),4)&amp;":"&amp;ADDRESS(LOOKUP(2,1/(D:D&lt;&gt;""),ROW(D:D)),LOOKUP(2,1/(2:2&lt;&gt;""),COLUMN(2:2)),4))</f>
        <v>0</v>
      </c>
      <c r="B1" s="2"/>
      <c r="C1" s="3"/>
      <c r="D1" s="2"/>
    </row>
    <row r="2" spans="1:41" s="17" customFormat="1" x14ac:dyDescent="0.25">
      <c r="A2" s="3"/>
      <c r="B2" s="3"/>
      <c r="C2" s="3"/>
      <c r="D2" s="13"/>
      <c r="E2" s="14"/>
      <c r="F2" s="14"/>
      <c r="G2" s="15"/>
    </row>
    <row r="3" spans="1:41" x14ac:dyDescent="0.25">
      <c r="A3" s="8" t="s">
        <v>29</v>
      </c>
      <c r="B3" s="8" t="s">
        <v>0</v>
      </c>
      <c r="C3" s="8" t="s">
        <v>2</v>
      </c>
      <c r="D3" s="6" t="s">
        <v>3</v>
      </c>
      <c r="E3" s="7" t="s">
        <v>4</v>
      </c>
      <c r="F3" s="7" t="s">
        <v>3</v>
      </c>
      <c r="G3" s="5" t="s">
        <v>3</v>
      </c>
      <c r="AL3" s="6">
        <v>0</v>
      </c>
      <c r="AM3" s="7">
        <v>0</v>
      </c>
      <c r="AN3">
        <v>0</v>
      </c>
      <c r="AO3" s="5">
        <v>274.99299999999999</v>
      </c>
    </row>
    <row r="4" spans="1:41" x14ac:dyDescent="0.25">
      <c r="A4" s="8">
        <f>IF(ISBLANK(Demand!A5),"",Demand!A5)</f>
        <v>1</v>
      </c>
      <c r="B4" s="8">
        <f>IF(ISBLANK(Demand!B5),"",Demand!B5)</f>
        <v>1</v>
      </c>
      <c r="C4" s="8">
        <f>IF(ISBLANK(Demand!C5),"",Demand!C5)</f>
        <v>8.3333333333333329E-2</v>
      </c>
      <c r="D4" s="6">
        <v>0</v>
      </c>
      <c r="E4" s="7">
        <v>0</v>
      </c>
      <c r="F4" s="7">
        <v>0</v>
      </c>
      <c r="G4" s="5">
        <v>274.99299999999999</v>
      </c>
      <c r="AL4" s="6">
        <v>0</v>
      </c>
      <c r="AM4" s="7">
        <v>0</v>
      </c>
      <c r="AN4">
        <v>0</v>
      </c>
      <c r="AO4" s="5">
        <v>352.714</v>
      </c>
    </row>
    <row r="5" spans="1:41" x14ac:dyDescent="0.25">
      <c r="A5" s="8">
        <f>IF(ISBLANK(Demand!A6),"",Demand!A6)</f>
        <v>1</v>
      </c>
      <c r="B5" s="8">
        <f>IF(ISBLANK(Demand!B6),"",Demand!B6)</f>
        <v>2</v>
      </c>
      <c r="C5" s="8">
        <f>IF(ISBLANK(Demand!C6),"",Demand!C6)</f>
        <v>0.16666666666666666</v>
      </c>
      <c r="D5" s="6">
        <v>0</v>
      </c>
      <c r="E5" s="7">
        <v>0</v>
      </c>
      <c r="F5" s="7">
        <v>0</v>
      </c>
      <c r="G5" s="5">
        <v>352.714</v>
      </c>
      <c r="AG5" s="6">
        <v>0</v>
      </c>
      <c r="AH5" s="7">
        <v>0</v>
      </c>
      <c r="AI5">
        <v>0</v>
      </c>
      <c r="AJ5" s="5">
        <v>442.03800000000001</v>
      </c>
    </row>
    <row r="6" spans="1:41" x14ac:dyDescent="0.25">
      <c r="A6" s="8">
        <f>IF(ISBLANK(Demand!A7),"",Demand!A7)</f>
        <v>1</v>
      </c>
      <c r="B6" s="8">
        <f>IF(ISBLANK(Demand!B7),"",Demand!B7)</f>
        <v>3</v>
      </c>
      <c r="C6" s="8">
        <f>IF(ISBLANK(Demand!C7),"",Demand!C7)</f>
        <v>0.25</v>
      </c>
      <c r="D6" s="6">
        <v>0</v>
      </c>
      <c r="E6" s="7">
        <v>0</v>
      </c>
      <c r="F6" s="7">
        <v>0</v>
      </c>
      <c r="G6" s="5">
        <v>442.03800000000001</v>
      </c>
      <c r="AL6" s="6">
        <v>0</v>
      </c>
      <c r="AM6" s="7">
        <v>0</v>
      </c>
      <c r="AN6">
        <v>0</v>
      </c>
      <c r="AO6" s="5">
        <v>458.39499999999998</v>
      </c>
    </row>
    <row r="7" spans="1:41" x14ac:dyDescent="0.25">
      <c r="A7" s="8">
        <f>IF(ISBLANK(Demand!A8),"",Demand!A8)</f>
        <v>1</v>
      </c>
      <c r="B7" s="8">
        <f>IF(ISBLANK(Demand!B8),"",Demand!B8)</f>
        <v>4</v>
      </c>
      <c r="C7" s="8">
        <f>IF(ISBLANK(Demand!C8),"",Demand!C8)</f>
        <v>0.33333333333333331</v>
      </c>
      <c r="D7" s="6">
        <v>0</v>
      </c>
      <c r="E7" s="7">
        <v>0</v>
      </c>
      <c r="F7" s="7">
        <v>0</v>
      </c>
      <c r="G7" s="5">
        <v>458.39499999999998</v>
      </c>
      <c r="AG7" s="6">
        <v>0</v>
      </c>
      <c r="AH7" s="7">
        <v>0</v>
      </c>
      <c r="AI7">
        <v>0</v>
      </c>
      <c r="AJ7" s="5">
        <v>536.89499999999998</v>
      </c>
    </row>
    <row r="8" spans="1:41" x14ac:dyDescent="0.25">
      <c r="A8" s="8">
        <f>IF(ISBLANK(Demand!A9),"",Demand!A9)</f>
        <v>1</v>
      </c>
      <c r="B8" s="8">
        <f>IF(ISBLANK(Demand!B9),"",Demand!B9)</f>
        <v>5</v>
      </c>
      <c r="C8" s="8">
        <f>IF(ISBLANK(Demand!C9),"",Demand!C9)</f>
        <v>0.41666666666666663</v>
      </c>
      <c r="D8" s="6">
        <v>0</v>
      </c>
      <c r="E8" s="7">
        <v>0</v>
      </c>
      <c r="F8" s="7">
        <v>0</v>
      </c>
      <c r="G8" s="5">
        <v>536.89499999999998</v>
      </c>
      <c r="AC8" s="6">
        <v>25</v>
      </c>
      <c r="AD8" s="7">
        <v>0</v>
      </c>
      <c r="AE8">
        <v>0</v>
      </c>
      <c r="AF8" s="5">
        <v>567.52599999999995</v>
      </c>
    </row>
    <row r="9" spans="1:41" x14ac:dyDescent="0.25">
      <c r="A9" s="8">
        <f>IF(ISBLANK(Demand!A10),"",Demand!A10)</f>
        <v>1</v>
      </c>
      <c r="B9" s="8">
        <f>IF(ISBLANK(Demand!B10),"",Demand!B10)</f>
        <v>6</v>
      </c>
      <c r="C9" s="8">
        <f>IF(ISBLANK(Demand!C10),"",Demand!C10)</f>
        <v>0.5</v>
      </c>
      <c r="D9" s="6">
        <v>25</v>
      </c>
      <c r="E9" s="7">
        <v>0</v>
      </c>
      <c r="F9" s="7">
        <v>0</v>
      </c>
      <c r="G9" s="5">
        <v>567.52599999999995</v>
      </c>
      <c r="AG9" s="6">
        <v>50</v>
      </c>
      <c r="AH9" s="7">
        <v>0</v>
      </c>
      <c r="AI9">
        <v>0</v>
      </c>
      <c r="AJ9" s="5">
        <v>579.24800000000005</v>
      </c>
    </row>
    <row r="10" spans="1:41" x14ac:dyDescent="0.25">
      <c r="A10" s="8">
        <f>IF(ISBLANK(Demand!A11),"",Demand!A11)</f>
        <v>1</v>
      </c>
      <c r="B10" s="8">
        <f>IF(ISBLANK(Demand!B11),"",Demand!B11)</f>
        <v>7</v>
      </c>
      <c r="C10" s="8">
        <f>IF(ISBLANK(Demand!C11),"",Demand!C11)</f>
        <v>0.58333333333333326</v>
      </c>
      <c r="D10" s="6">
        <v>50</v>
      </c>
      <c r="E10" s="7">
        <v>0</v>
      </c>
      <c r="F10" s="7">
        <v>0</v>
      </c>
      <c r="G10" s="5">
        <v>579.24800000000005</v>
      </c>
      <c r="AG10" s="6">
        <v>100</v>
      </c>
      <c r="AH10" s="7">
        <v>7.5616599999999998</v>
      </c>
      <c r="AI10">
        <v>7.5616599999999998</v>
      </c>
      <c r="AJ10" s="5">
        <v>615.46299999999997</v>
      </c>
    </row>
    <row r="11" spans="1:41" x14ac:dyDescent="0.25">
      <c r="A11" s="8">
        <f>IF(ISBLANK(Demand!A12),"",Demand!A12)</f>
        <v>1</v>
      </c>
      <c r="B11" s="8">
        <f>IF(ISBLANK(Demand!B12),"",Demand!B12)</f>
        <v>8</v>
      </c>
      <c r="C11" s="8">
        <f>IF(ISBLANK(Demand!C12),"",Demand!C12)</f>
        <v>0.66666666666666663</v>
      </c>
      <c r="D11" s="6">
        <v>100</v>
      </c>
      <c r="E11" s="7">
        <v>7.5616600000000007</v>
      </c>
      <c r="F11" s="7">
        <v>7.5616599999999998</v>
      </c>
      <c r="G11" s="5">
        <v>615.46299999999997</v>
      </c>
      <c r="AG11" s="6">
        <v>175</v>
      </c>
      <c r="AH11" s="7">
        <v>126.9824</v>
      </c>
      <c r="AI11">
        <v>126.9824</v>
      </c>
      <c r="AJ11" s="5">
        <v>614.27599999999995</v>
      </c>
    </row>
    <row r="12" spans="1:41" x14ac:dyDescent="0.25">
      <c r="A12" s="8">
        <f>IF(ISBLANK(Demand!A13),"",Demand!A13)</f>
        <v>1</v>
      </c>
      <c r="B12" s="8">
        <f>IF(ISBLANK(Demand!B13),"",Demand!B13)</f>
        <v>9</v>
      </c>
      <c r="C12" s="8">
        <f>IF(ISBLANK(Demand!C13),"",Demand!C13)</f>
        <v>0.75</v>
      </c>
      <c r="D12" s="6">
        <v>175</v>
      </c>
      <c r="E12" s="7">
        <v>126.98240000000001</v>
      </c>
      <c r="F12" s="7">
        <v>126.9824</v>
      </c>
      <c r="G12" s="5">
        <v>614.27599999999995</v>
      </c>
      <c r="AG12" s="6">
        <v>300</v>
      </c>
      <c r="AH12" s="7">
        <v>273.976</v>
      </c>
      <c r="AI12">
        <v>273.976</v>
      </c>
      <c r="AJ12" s="5">
        <v>542.70799999999997</v>
      </c>
    </row>
    <row r="13" spans="1:41" x14ac:dyDescent="0.25">
      <c r="A13" s="8">
        <f>IF(ISBLANK(Demand!A14),"",Demand!A14)</f>
        <v>1</v>
      </c>
      <c r="B13" s="8">
        <f>IF(ISBLANK(Demand!B14),"",Demand!B14)</f>
        <v>10</v>
      </c>
      <c r="C13" s="8">
        <f>IF(ISBLANK(Demand!C14),"",Demand!C14)</f>
        <v>0.83333333333333326</v>
      </c>
      <c r="D13" s="6">
        <v>300</v>
      </c>
      <c r="E13" s="7">
        <v>273.976</v>
      </c>
      <c r="F13" s="7">
        <v>273.976</v>
      </c>
      <c r="G13" s="5">
        <v>542.70799999999997</v>
      </c>
      <c r="AG13" s="6">
        <v>400</v>
      </c>
      <c r="AH13" s="7">
        <v>381.57799999999997</v>
      </c>
      <c r="AI13">
        <v>381.57800000000003</v>
      </c>
      <c r="AJ13" s="5">
        <v>529.52599999999995</v>
      </c>
    </row>
    <row r="14" spans="1:41" x14ac:dyDescent="0.25">
      <c r="A14" s="8">
        <f>IF(ISBLANK(Demand!A15),"",Demand!A15)</f>
        <v>1</v>
      </c>
      <c r="B14" s="8">
        <f>IF(ISBLANK(Demand!B15),"",Demand!B15)</f>
        <v>11</v>
      </c>
      <c r="C14" s="8">
        <f>IF(ISBLANK(Demand!C15),"",Demand!C15)</f>
        <v>0.91666666666666663</v>
      </c>
      <c r="D14" s="6">
        <v>400</v>
      </c>
      <c r="E14" s="7">
        <v>381.57800000000003</v>
      </c>
      <c r="F14" s="7">
        <v>381.57799999999997</v>
      </c>
      <c r="G14" s="5">
        <v>529.52599999999995</v>
      </c>
      <c r="AG14" s="6">
        <v>450</v>
      </c>
      <c r="AH14" s="7">
        <v>453.10399999999998</v>
      </c>
      <c r="AI14">
        <v>453.10400000000004</v>
      </c>
      <c r="AJ14" s="5">
        <v>480.14800000000002</v>
      </c>
    </row>
    <row r="15" spans="1:41" x14ac:dyDescent="0.25">
      <c r="A15" s="8">
        <f>IF(ISBLANK(Demand!A16),"",Demand!A16)</f>
        <v>1</v>
      </c>
      <c r="B15" s="8">
        <f>IF(ISBLANK(Demand!B16),"",Demand!B16)</f>
        <v>12</v>
      </c>
      <c r="C15" s="8">
        <f>IF(ISBLANK(Demand!C16),"",Demand!C16)</f>
        <v>1</v>
      </c>
      <c r="D15" s="6">
        <v>450</v>
      </c>
      <c r="E15" s="7">
        <v>453.1040000000001</v>
      </c>
      <c r="F15" s="7">
        <v>453.10399999999998</v>
      </c>
      <c r="G15" s="5">
        <v>480.14800000000002</v>
      </c>
      <c r="AL15" s="6">
        <v>500</v>
      </c>
      <c r="AM15" s="7">
        <v>479.71199999999999</v>
      </c>
      <c r="AN15">
        <v>479.71200000000005</v>
      </c>
      <c r="AO15" s="5">
        <v>442.38499999999999</v>
      </c>
    </row>
    <row r="16" spans="1:41" x14ac:dyDescent="0.25">
      <c r="A16" s="8">
        <f>IF(ISBLANK(Demand!A17),"",Demand!A17)</f>
        <v>1</v>
      </c>
      <c r="B16" s="8">
        <f>IF(ISBLANK(Demand!B17),"",Demand!B17)</f>
        <v>13</v>
      </c>
      <c r="C16" s="8">
        <f>IF(ISBLANK(Demand!C17),"",Demand!C17)</f>
        <v>1.0833333333333333</v>
      </c>
      <c r="D16" s="6">
        <v>500</v>
      </c>
      <c r="E16" s="7">
        <v>479.7120000000001</v>
      </c>
      <c r="F16" s="7">
        <v>479.71199999999999</v>
      </c>
      <c r="G16" s="5">
        <v>442.38499999999999</v>
      </c>
      <c r="AL16" s="6">
        <v>500</v>
      </c>
      <c r="AM16" s="7">
        <v>465.51600000000002</v>
      </c>
      <c r="AN16">
        <v>465.51600000000002</v>
      </c>
      <c r="AO16" s="5">
        <v>427.03199999999998</v>
      </c>
    </row>
    <row r="17" spans="1:41" x14ac:dyDescent="0.25">
      <c r="A17" s="8">
        <f>IF(ISBLANK(Demand!A18),"",Demand!A18)</f>
        <v>1</v>
      </c>
      <c r="B17" s="8">
        <f>IF(ISBLANK(Demand!B18),"",Demand!B18)</f>
        <v>14</v>
      </c>
      <c r="C17" s="8">
        <f>IF(ISBLANK(Demand!C18),"",Demand!C18)</f>
        <v>1.1666666666666665</v>
      </c>
      <c r="D17" s="6">
        <v>500</v>
      </c>
      <c r="E17" s="7">
        <v>465.51599999999996</v>
      </c>
      <c r="F17" s="7">
        <v>465.51600000000002</v>
      </c>
      <c r="G17" s="5">
        <v>427.03199999999998</v>
      </c>
      <c r="AL17" s="6">
        <v>500</v>
      </c>
      <c r="AM17" s="7">
        <v>407.05799999999999</v>
      </c>
      <c r="AN17">
        <v>407.05800000000005</v>
      </c>
      <c r="AO17" s="5">
        <v>428.87200000000001</v>
      </c>
    </row>
    <row r="18" spans="1:41" x14ac:dyDescent="0.25">
      <c r="A18" s="8">
        <f>IF(ISBLANK(Demand!A19),"",Demand!A19)</f>
        <v>1</v>
      </c>
      <c r="B18" s="8">
        <f>IF(ISBLANK(Demand!B19),"",Demand!B19)</f>
        <v>15</v>
      </c>
      <c r="C18" s="8">
        <f>IF(ISBLANK(Demand!C19),"",Demand!C19)</f>
        <v>1.25</v>
      </c>
      <c r="D18" s="6">
        <v>500</v>
      </c>
      <c r="E18" s="7">
        <v>407.05800000000005</v>
      </c>
      <c r="F18" s="7">
        <v>407.05799999999999</v>
      </c>
      <c r="G18" s="5">
        <v>428.87200000000001</v>
      </c>
      <c r="AL18" s="6">
        <v>450</v>
      </c>
      <c r="AM18" s="7">
        <v>312.96800000000002</v>
      </c>
      <c r="AN18">
        <v>312.96800000000002</v>
      </c>
      <c r="AO18" s="5">
        <v>303.32600000000002</v>
      </c>
    </row>
    <row r="19" spans="1:41" x14ac:dyDescent="0.25">
      <c r="A19" s="8">
        <f>IF(ISBLANK(Demand!A20),"",Demand!A20)</f>
        <v>1</v>
      </c>
      <c r="B19" s="8">
        <f>IF(ISBLANK(Demand!B20),"",Demand!B20)</f>
        <v>16</v>
      </c>
      <c r="C19" s="8">
        <f>IF(ISBLANK(Demand!C20),"",Demand!C20)</f>
        <v>1.3333333333333333</v>
      </c>
      <c r="D19" s="6">
        <v>450</v>
      </c>
      <c r="E19" s="7">
        <v>312.96800000000002</v>
      </c>
      <c r="F19" s="7">
        <v>312.96800000000002</v>
      </c>
      <c r="G19" s="5">
        <v>303.32600000000002</v>
      </c>
      <c r="AL19" s="6">
        <v>400</v>
      </c>
      <c r="AM19" s="7">
        <v>169.9522</v>
      </c>
      <c r="AN19">
        <v>169.9522</v>
      </c>
      <c r="AO19" s="5">
        <v>271.089</v>
      </c>
    </row>
    <row r="20" spans="1:41" x14ac:dyDescent="0.25">
      <c r="A20" s="8">
        <f>IF(ISBLANK(Demand!A21),"",Demand!A21)</f>
        <v>1</v>
      </c>
      <c r="B20" s="8">
        <f>IF(ISBLANK(Demand!B21),"",Demand!B21)</f>
        <v>17</v>
      </c>
      <c r="C20" s="8">
        <f>IF(ISBLANK(Demand!C21),"",Demand!C21)</f>
        <v>1.4166666666666665</v>
      </c>
      <c r="D20" s="6">
        <v>400</v>
      </c>
      <c r="E20" s="7">
        <v>169.9522</v>
      </c>
      <c r="F20" s="7">
        <v>169.9522</v>
      </c>
      <c r="G20" s="5">
        <v>271.089</v>
      </c>
      <c r="AL20" s="6">
        <v>300</v>
      </c>
      <c r="AM20" s="7">
        <v>27.804200000000002</v>
      </c>
      <c r="AN20">
        <v>27.804199999999998</v>
      </c>
      <c r="AO20" s="5">
        <v>253.00899999999999</v>
      </c>
    </row>
    <row r="21" spans="1:41" x14ac:dyDescent="0.25">
      <c r="A21" s="8">
        <f>IF(ISBLANK(Demand!A22),"",Demand!A22)</f>
        <v>1</v>
      </c>
      <c r="B21" s="8">
        <f>IF(ISBLANK(Demand!B22),"",Demand!B22)</f>
        <v>18</v>
      </c>
      <c r="C21" s="8">
        <f>IF(ISBLANK(Demand!C22),"",Demand!C22)</f>
        <v>1.5</v>
      </c>
      <c r="D21" s="6">
        <v>300</v>
      </c>
      <c r="E21" s="7">
        <v>27.804199999999998</v>
      </c>
      <c r="F21" s="7">
        <v>27.804200000000002</v>
      </c>
      <c r="G21" s="5">
        <v>253.00899999999999</v>
      </c>
      <c r="AL21" s="6">
        <v>175</v>
      </c>
      <c r="AM21" s="7">
        <v>0</v>
      </c>
      <c r="AN21">
        <v>0</v>
      </c>
      <c r="AO21" s="5">
        <v>289.56599999999997</v>
      </c>
    </row>
    <row r="22" spans="1:41" x14ac:dyDescent="0.25">
      <c r="A22" s="8">
        <f>IF(ISBLANK(Demand!A23),"",Demand!A23)</f>
        <v>1</v>
      </c>
      <c r="B22" s="8">
        <f>IF(ISBLANK(Demand!B23),"",Demand!B23)</f>
        <v>19</v>
      </c>
      <c r="C22" s="8">
        <f>IF(ISBLANK(Demand!C23),"",Demand!C23)</f>
        <v>1.5833333333333333</v>
      </c>
      <c r="D22" s="6">
        <v>175</v>
      </c>
      <c r="E22" s="7">
        <v>0</v>
      </c>
      <c r="F22" s="7">
        <v>0</v>
      </c>
      <c r="G22" s="5">
        <v>289.56599999999997</v>
      </c>
      <c r="AL22" s="6">
        <v>100</v>
      </c>
      <c r="AM22" s="7">
        <v>0</v>
      </c>
      <c r="AN22">
        <v>0</v>
      </c>
      <c r="AO22" s="5">
        <v>315.10899999999998</v>
      </c>
    </row>
    <row r="23" spans="1:41" x14ac:dyDescent="0.25">
      <c r="A23" s="8">
        <f>IF(ISBLANK(Demand!A24),"",Demand!A24)</f>
        <v>1</v>
      </c>
      <c r="B23" s="8">
        <f>IF(ISBLANK(Demand!B24),"",Demand!B24)</f>
        <v>20</v>
      </c>
      <c r="C23" s="8">
        <f>IF(ISBLANK(Demand!C24),"",Demand!C24)</f>
        <v>1.6666666666666665</v>
      </c>
      <c r="D23" s="6">
        <v>100</v>
      </c>
      <c r="E23" s="7">
        <v>0</v>
      </c>
      <c r="F23" s="7">
        <v>0</v>
      </c>
      <c r="G23" s="5">
        <v>315.10899999999998</v>
      </c>
      <c r="AL23" s="6">
        <v>50</v>
      </c>
      <c r="AM23" s="7">
        <v>0</v>
      </c>
      <c r="AN23">
        <v>0</v>
      </c>
      <c r="AO23" s="5">
        <v>322.76299999999998</v>
      </c>
    </row>
    <row r="24" spans="1:41" x14ac:dyDescent="0.25">
      <c r="A24" s="8">
        <f>IF(ISBLANK(Demand!A25),"",Demand!A25)</f>
        <v>1</v>
      </c>
      <c r="B24" s="8">
        <f>IF(ISBLANK(Demand!B25),"",Demand!B25)</f>
        <v>21</v>
      </c>
      <c r="C24" s="8">
        <f>IF(ISBLANK(Demand!C25),"",Demand!C25)</f>
        <v>1.75</v>
      </c>
      <c r="D24" s="6">
        <v>50</v>
      </c>
      <c r="E24" s="7">
        <v>0</v>
      </c>
      <c r="F24" s="7">
        <v>0</v>
      </c>
      <c r="G24" s="5">
        <v>322.76299999999998</v>
      </c>
      <c r="AL24" s="6">
        <v>0</v>
      </c>
      <c r="AM24" s="7">
        <v>0</v>
      </c>
      <c r="AN24">
        <v>0</v>
      </c>
      <c r="AO24" s="5">
        <v>290.94499999999999</v>
      </c>
    </row>
    <row r="25" spans="1:41" x14ac:dyDescent="0.25">
      <c r="A25" s="8">
        <f>IF(ISBLANK(Demand!A26),"",Demand!A26)</f>
        <v>1</v>
      </c>
      <c r="B25" s="8">
        <f>IF(ISBLANK(Demand!B26),"",Demand!B26)</f>
        <v>22</v>
      </c>
      <c r="C25" s="8">
        <f>IF(ISBLANK(Demand!C26),"",Demand!C26)</f>
        <v>1.8333333333333333</v>
      </c>
      <c r="D25" s="6">
        <v>0</v>
      </c>
      <c r="E25" s="7">
        <v>0</v>
      </c>
      <c r="F25" s="7">
        <v>0</v>
      </c>
      <c r="G25" s="5">
        <v>290.94499999999999</v>
      </c>
      <c r="AL25" s="6">
        <v>0</v>
      </c>
      <c r="AM25" s="7">
        <v>0</v>
      </c>
      <c r="AN25">
        <v>0</v>
      </c>
      <c r="AO25" s="5">
        <v>342.27300000000002</v>
      </c>
    </row>
    <row r="26" spans="1:41" x14ac:dyDescent="0.25">
      <c r="A26" s="8">
        <f>IF(ISBLANK(Demand!A27),"",Demand!A27)</f>
        <v>1</v>
      </c>
      <c r="B26" s="8">
        <f>IF(ISBLANK(Demand!B27),"",Demand!B27)</f>
        <v>23</v>
      </c>
      <c r="C26" s="8">
        <f>IF(ISBLANK(Demand!C27),"",Demand!C27)</f>
        <v>1.9166666666666665</v>
      </c>
      <c r="D26" s="6">
        <v>0</v>
      </c>
      <c r="E26" s="7">
        <v>0</v>
      </c>
      <c r="F26" s="7">
        <v>0</v>
      </c>
      <c r="G26" s="5">
        <v>342.27300000000002</v>
      </c>
      <c r="AL26" s="6">
        <v>0</v>
      </c>
      <c r="AM26" s="7">
        <v>0</v>
      </c>
      <c r="AN26">
        <v>0</v>
      </c>
      <c r="AO26" s="5">
        <v>335.39400000000001</v>
      </c>
    </row>
    <row r="27" spans="1:41" x14ac:dyDescent="0.25">
      <c r="A27" s="8">
        <f>IF(ISBLANK(Demand!A28),"",Demand!A28)</f>
        <v>1</v>
      </c>
      <c r="B27" s="8">
        <f>IF(ISBLANK(Demand!B28),"",Demand!B28)</f>
        <v>24</v>
      </c>
      <c r="C27" s="8">
        <f>IF(ISBLANK(Demand!C28),"",Demand!C28)</f>
        <v>2</v>
      </c>
      <c r="D27" s="6">
        <v>0</v>
      </c>
      <c r="E27" s="7">
        <v>0</v>
      </c>
      <c r="F27" s="7">
        <v>0</v>
      </c>
      <c r="G27" s="5">
        <v>335.39400000000001</v>
      </c>
      <c r="AL27" s="6">
        <v>0</v>
      </c>
      <c r="AM27" s="7">
        <v>0</v>
      </c>
      <c r="AN27">
        <v>0</v>
      </c>
      <c r="AO27" s="5">
        <v>274.99299999999999</v>
      </c>
    </row>
    <row r="28" spans="1:41" x14ac:dyDescent="0.25">
      <c r="A28" s="8">
        <f>IF(ISBLANK(Demand!A29),"",Demand!A29)</f>
        <v>1</v>
      </c>
      <c r="B28" s="8">
        <f>IF(ISBLANK(Demand!B29),"",Demand!B29)</f>
        <v>25</v>
      </c>
      <c r="C28" s="8">
        <f>IF(ISBLANK(Demand!C29),"",Demand!C29)</f>
        <v>2.083333333333333</v>
      </c>
      <c r="D28" s="6">
        <v>0</v>
      </c>
      <c r="E28" s="7">
        <v>0</v>
      </c>
      <c r="F28" s="7">
        <v>0</v>
      </c>
      <c r="G28" s="5">
        <v>274.99299999999999</v>
      </c>
      <c r="AL28" s="6">
        <v>0</v>
      </c>
      <c r="AM28" s="7">
        <v>0</v>
      </c>
      <c r="AN28">
        <v>0</v>
      </c>
      <c r="AO28" s="5">
        <v>352.714</v>
      </c>
    </row>
    <row r="29" spans="1:41" x14ac:dyDescent="0.25">
      <c r="A29" s="8">
        <f>IF(ISBLANK(Demand!A30),"",Demand!A30)</f>
        <v>1</v>
      </c>
      <c r="B29" s="8">
        <f>IF(ISBLANK(Demand!B30),"",Demand!B30)</f>
        <v>26</v>
      </c>
      <c r="C29" s="8">
        <f>IF(ISBLANK(Demand!C30),"",Demand!C30)</f>
        <v>2.1666666666666665</v>
      </c>
      <c r="D29" s="6">
        <v>0</v>
      </c>
      <c r="E29" s="7">
        <v>0</v>
      </c>
      <c r="F29" s="7">
        <v>0</v>
      </c>
      <c r="G29" s="5">
        <v>352.714</v>
      </c>
      <c r="AL29" s="6">
        <v>0</v>
      </c>
      <c r="AM29" s="7">
        <v>0</v>
      </c>
      <c r="AN29">
        <v>0</v>
      </c>
      <c r="AO29" s="5">
        <v>442.03800000000001</v>
      </c>
    </row>
    <row r="30" spans="1:41" x14ac:dyDescent="0.25">
      <c r="A30" s="8">
        <f>IF(ISBLANK(Demand!A31),"",Demand!A31)</f>
        <v>1</v>
      </c>
      <c r="B30" s="8">
        <f>IF(ISBLANK(Demand!B31),"",Demand!B31)</f>
        <v>27</v>
      </c>
      <c r="C30" s="8">
        <f>IF(ISBLANK(Demand!C31),"",Demand!C31)</f>
        <v>2.25</v>
      </c>
      <c r="D30" s="6">
        <v>0</v>
      </c>
      <c r="E30" s="7">
        <v>0</v>
      </c>
      <c r="F30" s="7">
        <v>0</v>
      </c>
      <c r="G30" s="5">
        <v>442.03800000000001</v>
      </c>
      <c r="AL30" s="6">
        <v>0</v>
      </c>
      <c r="AM30" s="7">
        <v>0</v>
      </c>
      <c r="AN30">
        <v>0</v>
      </c>
      <c r="AO30" s="5">
        <v>458.39499999999998</v>
      </c>
    </row>
    <row r="31" spans="1:41" x14ac:dyDescent="0.25">
      <c r="A31" s="8">
        <f>IF(ISBLANK(Demand!A32),"",Demand!A32)</f>
        <v>1</v>
      </c>
      <c r="B31" s="8">
        <f>IF(ISBLANK(Demand!B32),"",Demand!B32)</f>
        <v>28</v>
      </c>
      <c r="C31" s="8">
        <f>IF(ISBLANK(Demand!C32),"",Demand!C32)</f>
        <v>2.333333333333333</v>
      </c>
      <c r="D31" s="6">
        <v>0</v>
      </c>
      <c r="E31" s="7">
        <v>0</v>
      </c>
      <c r="F31" s="7">
        <v>0</v>
      </c>
      <c r="G31" s="5">
        <v>458.39499999999998</v>
      </c>
      <c r="AL31" s="6">
        <v>0</v>
      </c>
      <c r="AM31" s="7">
        <v>0</v>
      </c>
      <c r="AN31">
        <v>0</v>
      </c>
      <c r="AO31" s="5">
        <v>536.89499999999998</v>
      </c>
    </row>
    <row r="32" spans="1:41" x14ac:dyDescent="0.25">
      <c r="A32" s="8">
        <f>IF(ISBLANK(Demand!A33),"",Demand!A33)</f>
        <v>1</v>
      </c>
      <c r="B32" s="8">
        <f>IF(ISBLANK(Demand!B33),"",Demand!B33)</f>
        <v>29</v>
      </c>
      <c r="C32" s="8">
        <f>IF(ISBLANK(Demand!C33),"",Demand!C33)</f>
        <v>2.4166666666666665</v>
      </c>
      <c r="D32" s="6">
        <v>0</v>
      </c>
      <c r="E32" s="7">
        <v>0</v>
      </c>
      <c r="F32" s="7">
        <v>0</v>
      </c>
      <c r="G32" s="5">
        <v>536.89499999999998</v>
      </c>
      <c r="AL32" s="6">
        <v>25</v>
      </c>
      <c r="AM32" s="7">
        <v>0</v>
      </c>
      <c r="AN32">
        <v>0</v>
      </c>
      <c r="AO32" s="5">
        <v>567.52599999999995</v>
      </c>
    </row>
    <row r="33" spans="1:41" x14ac:dyDescent="0.25">
      <c r="A33" s="8">
        <f>IF(ISBLANK(Demand!A34),"",Demand!A34)</f>
        <v>1</v>
      </c>
      <c r="B33" s="8">
        <f>IF(ISBLANK(Demand!B34),"",Demand!B34)</f>
        <v>30</v>
      </c>
      <c r="C33" s="8">
        <f>IF(ISBLANK(Demand!C34),"",Demand!C34)</f>
        <v>2.5</v>
      </c>
      <c r="D33" s="6">
        <v>25</v>
      </c>
      <c r="E33" s="7">
        <v>0</v>
      </c>
      <c r="F33" s="7">
        <v>0</v>
      </c>
      <c r="G33" s="5">
        <v>567.52599999999995</v>
      </c>
      <c r="AL33" s="6">
        <v>50</v>
      </c>
      <c r="AM33" s="7">
        <v>0</v>
      </c>
      <c r="AN33">
        <v>0</v>
      </c>
      <c r="AO33" s="5">
        <v>579.24800000000005</v>
      </c>
    </row>
    <row r="34" spans="1:41" x14ac:dyDescent="0.25">
      <c r="A34" s="8">
        <f>IF(ISBLANK(Demand!A35),"",Demand!A35)</f>
        <v>1</v>
      </c>
      <c r="B34" s="8">
        <f>IF(ISBLANK(Demand!B35),"",Demand!B35)</f>
        <v>31</v>
      </c>
      <c r="C34" s="8">
        <f>IF(ISBLANK(Demand!C35),"",Demand!C35)</f>
        <v>2.583333333333333</v>
      </c>
      <c r="D34" s="6">
        <v>50</v>
      </c>
      <c r="E34" s="7">
        <v>0</v>
      </c>
      <c r="F34" s="7">
        <v>0</v>
      </c>
      <c r="G34" s="5">
        <v>579.24800000000005</v>
      </c>
      <c r="AL34" s="6">
        <v>100</v>
      </c>
      <c r="AM34" s="7">
        <v>7.5616599999999998</v>
      </c>
      <c r="AN34">
        <v>7.5616599999999998</v>
      </c>
      <c r="AO34" s="5">
        <v>615.46299999999997</v>
      </c>
    </row>
    <row r="35" spans="1:41" x14ac:dyDescent="0.25">
      <c r="A35" s="8">
        <f>IF(ISBLANK(Demand!A36),"",Demand!A36)</f>
        <v>1</v>
      </c>
      <c r="B35" s="8">
        <f>IF(ISBLANK(Demand!B36),"",Demand!B36)</f>
        <v>32</v>
      </c>
      <c r="C35" s="8">
        <f>IF(ISBLANK(Demand!C36),"",Demand!C36)</f>
        <v>2.6666666666666665</v>
      </c>
      <c r="D35" s="6">
        <v>100</v>
      </c>
      <c r="E35" s="7">
        <v>7.5616600000000007</v>
      </c>
      <c r="F35" s="7">
        <v>7.5616599999999998</v>
      </c>
      <c r="G35" s="5">
        <v>615.46299999999997</v>
      </c>
      <c r="AL35" s="6">
        <v>175</v>
      </c>
      <c r="AM35" s="7">
        <v>126.9824</v>
      </c>
      <c r="AN35">
        <v>126.9824</v>
      </c>
      <c r="AO35" s="5">
        <v>614.27599999999995</v>
      </c>
    </row>
    <row r="36" spans="1:41" x14ac:dyDescent="0.25">
      <c r="A36" s="8">
        <f>IF(ISBLANK(Demand!A37),"",Demand!A37)</f>
        <v>1</v>
      </c>
      <c r="B36" s="8">
        <f>IF(ISBLANK(Demand!B37),"",Demand!B37)</f>
        <v>33</v>
      </c>
      <c r="C36" s="8">
        <f>IF(ISBLANK(Demand!C37),"",Demand!C37)</f>
        <v>2.75</v>
      </c>
      <c r="D36" s="6">
        <v>175</v>
      </c>
      <c r="E36" s="7">
        <v>126.98240000000001</v>
      </c>
      <c r="F36" s="7">
        <v>126.9824</v>
      </c>
      <c r="G36" s="5">
        <v>614.27599999999995</v>
      </c>
      <c r="AL36" s="6">
        <v>300</v>
      </c>
      <c r="AM36" s="7">
        <v>273.976</v>
      </c>
      <c r="AN36">
        <v>273.976</v>
      </c>
      <c r="AO36" s="5">
        <v>542.70799999999997</v>
      </c>
    </row>
    <row r="37" spans="1:41" x14ac:dyDescent="0.25">
      <c r="A37" s="8">
        <f>IF(ISBLANK(Demand!A38),"",Demand!A38)</f>
        <v>1</v>
      </c>
      <c r="B37" s="8">
        <f>IF(ISBLANK(Demand!B38),"",Demand!B38)</f>
        <v>34</v>
      </c>
      <c r="C37" s="8">
        <f>IF(ISBLANK(Demand!C38),"",Demand!C38)</f>
        <v>2.833333333333333</v>
      </c>
      <c r="D37" s="6">
        <v>300</v>
      </c>
      <c r="E37" s="7">
        <v>273.976</v>
      </c>
      <c r="F37" s="7">
        <v>273.976</v>
      </c>
      <c r="G37" s="5">
        <v>542.70799999999997</v>
      </c>
      <c r="AL37" s="6">
        <v>400</v>
      </c>
      <c r="AM37" s="7">
        <v>381.57799999999997</v>
      </c>
      <c r="AN37">
        <v>381.57800000000003</v>
      </c>
      <c r="AO37" s="5">
        <v>529.52599999999995</v>
      </c>
    </row>
    <row r="38" spans="1:41" x14ac:dyDescent="0.25">
      <c r="A38" s="8">
        <f>IF(ISBLANK(Demand!A39),"",Demand!A39)</f>
        <v>1</v>
      </c>
      <c r="B38" s="8">
        <f>IF(ISBLANK(Demand!B39),"",Demand!B39)</f>
        <v>35</v>
      </c>
      <c r="C38" s="8">
        <f>IF(ISBLANK(Demand!C39),"",Demand!C39)</f>
        <v>2.9166666666666665</v>
      </c>
      <c r="D38" s="6">
        <v>400</v>
      </c>
      <c r="E38" s="7">
        <v>381.57800000000003</v>
      </c>
      <c r="F38" s="7">
        <v>381.57799999999997</v>
      </c>
      <c r="G38" s="5">
        <v>529.52599999999995</v>
      </c>
      <c r="AL38" s="6">
        <v>450</v>
      </c>
      <c r="AM38" s="7">
        <v>453.10399999999998</v>
      </c>
      <c r="AN38">
        <v>453.10400000000004</v>
      </c>
      <c r="AO38" s="5">
        <v>480.14800000000002</v>
      </c>
    </row>
    <row r="39" spans="1:41" x14ac:dyDescent="0.25">
      <c r="A39" s="8">
        <f>IF(ISBLANK(Demand!A40),"",Demand!A40)</f>
        <v>1</v>
      </c>
      <c r="B39" s="8">
        <f>IF(ISBLANK(Demand!B40),"",Demand!B40)</f>
        <v>36</v>
      </c>
      <c r="C39" s="8">
        <f>IF(ISBLANK(Demand!C40),"",Demand!C40)</f>
        <v>3</v>
      </c>
      <c r="D39" s="6">
        <v>450</v>
      </c>
      <c r="E39" s="7">
        <v>453.1040000000001</v>
      </c>
      <c r="F39" s="7">
        <v>453.10399999999998</v>
      </c>
      <c r="G39" s="5">
        <v>480.14800000000002</v>
      </c>
      <c r="AL39" s="6">
        <v>500</v>
      </c>
      <c r="AM39" s="7">
        <v>479.71199999999999</v>
      </c>
      <c r="AN39">
        <v>479.71200000000005</v>
      </c>
      <c r="AO39" s="5">
        <v>442.38499999999999</v>
      </c>
    </row>
    <row r="40" spans="1:41" x14ac:dyDescent="0.25">
      <c r="A40" s="8">
        <f>IF(ISBLANK(Demand!A41),"",Demand!A41)</f>
        <v>1</v>
      </c>
      <c r="B40" s="8">
        <f>IF(ISBLANK(Demand!B41),"",Demand!B41)</f>
        <v>37</v>
      </c>
      <c r="C40" s="8">
        <f>IF(ISBLANK(Demand!C41),"",Demand!C41)</f>
        <v>3.083333333333333</v>
      </c>
      <c r="D40" s="6">
        <v>500</v>
      </c>
      <c r="E40" s="7">
        <v>479.7120000000001</v>
      </c>
      <c r="F40" s="7">
        <v>479.71199999999999</v>
      </c>
      <c r="G40" s="5">
        <v>442.38499999999999</v>
      </c>
      <c r="AL40" s="6">
        <v>500</v>
      </c>
      <c r="AM40" s="7">
        <v>465.51600000000002</v>
      </c>
      <c r="AN40">
        <v>465.51600000000002</v>
      </c>
      <c r="AO40" s="5">
        <v>427.03199999999998</v>
      </c>
    </row>
    <row r="41" spans="1:41" x14ac:dyDescent="0.25">
      <c r="A41" s="8">
        <f>IF(ISBLANK(Demand!A42),"",Demand!A42)</f>
        <v>1</v>
      </c>
      <c r="B41" s="8">
        <f>IF(ISBLANK(Demand!B42),"",Demand!B42)</f>
        <v>38</v>
      </c>
      <c r="C41" s="8">
        <f>IF(ISBLANK(Demand!C42),"",Demand!C42)</f>
        <v>3.1666666666666665</v>
      </c>
      <c r="D41" s="6">
        <v>500</v>
      </c>
      <c r="E41" s="7">
        <v>465.51599999999996</v>
      </c>
      <c r="F41" s="7">
        <v>465.51600000000002</v>
      </c>
      <c r="G41" s="5">
        <v>427.03199999999998</v>
      </c>
      <c r="AL41" s="6">
        <v>500</v>
      </c>
      <c r="AM41" s="7">
        <v>407.05799999999999</v>
      </c>
      <c r="AN41">
        <v>407.05800000000005</v>
      </c>
      <c r="AO41" s="5">
        <v>428.87200000000001</v>
      </c>
    </row>
    <row r="42" spans="1:41" x14ac:dyDescent="0.25">
      <c r="A42" s="8">
        <f>IF(ISBLANK(Demand!A43),"",Demand!A43)</f>
        <v>1</v>
      </c>
      <c r="B42" s="8">
        <f>IF(ISBLANK(Demand!B43),"",Demand!B43)</f>
        <v>39</v>
      </c>
      <c r="C42" s="8">
        <f>IF(ISBLANK(Demand!C43),"",Demand!C43)</f>
        <v>3.25</v>
      </c>
      <c r="D42" s="6">
        <v>500</v>
      </c>
      <c r="E42" s="7">
        <v>407.05800000000005</v>
      </c>
      <c r="F42" s="7">
        <v>407.05799999999999</v>
      </c>
      <c r="G42" s="5">
        <v>428.87200000000001</v>
      </c>
      <c r="AL42" s="6">
        <v>450</v>
      </c>
      <c r="AM42" s="7">
        <v>312.96800000000002</v>
      </c>
      <c r="AN42">
        <v>312.96800000000002</v>
      </c>
      <c r="AO42" s="5">
        <v>303.32600000000002</v>
      </c>
    </row>
    <row r="43" spans="1:41" x14ac:dyDescent="0.25">
      <c r="A43" s="8">
        <f>IF(ISBLANK(Demand!A44),"",Demand!A44)</f>
        <v>1</v>
      </c>
      <c r="B43" s="8">
        <f>IF(ISBLANK(Demand!B44),"",Demand!B44)</f>
        <v>40</v>
      </c>
      <c r="C43" s="8">
        <f>IF(ISBLANK(Demand!C44),"",Demand!C44)</f>
        <v>3.333333333333333</v>
      </c>
      <c r="D43" s="6">
        <v>450</v>
      </c>
      <c r="E43" s="7">
        <v>312.96800000000002</v>
      </c>
      <c r="F43" s="7">
        <v>312.96800000000002</v>
      </c>
      <c r="G43" s="5">
        <v>303.32600000000002</v>
      </c>
      <c r="AL43" s="6">
        <v>400</v>
      </c>
      <c r="AM43" s="7">
        <v>169.9522</v>
      </c>
      <c r="AN43">
        <v>169.9522</v>
      </c>
      <c r="AO43" s="5">
        <v>271.089</v>
      </c>
    </row>
    <row r="44" spans="1:41" x14ac:dyDescent="0.25">
      <c r="A44" s="8">
        <f>IF(ISBLANK(Demand!A45),"",Demand!A45)</f>
        <v>1</v>
      </c>
      <c r="B44" s="8">
        <f>IF(ISBLANK(Demand!B45),"",Demand!B45)</f>
        <v>41</v>
      </c>
      <c r="C44" s="8">
        <f>IF(ISBLANK(Demand!C45),"",Demand!C45)</f>
        <v>3.4166666666666665</v>
      </c>
      <c r="D44" s="6">
        <v>400</v>
      </c>
      <c r="E44" s="7">
        <v>169.9522</v>
      </c>
      <c r="F44" s="7">
        <v>169.9522</v>
      </c>
      <c r="G44" s="5">
        <v>271.089</v>
      </c>
      <c r="AL44" s="6">
        <v>300</v>
      </c>
      <c r="AM44" s="7">
        <v>27.804200000000002</v>
      </c>
      <c r="AN44">
        <v>27.804199999999998</v>
      </c>
      <c r="AO44" s="5">
        <v>253.00899999999999</v>
      </c>
    </row>
    <row r="45" spans="1:41" x14ac:dyDescent="0.25">
      <c r="A45" s="8">
        <f>IF(ISBLANK(Demand!A46),"",Demand!A46)</f>
        <v>1</v>
      </c>
      <c r="B45" s="8">
        <f>IF(ISBLANK(Demand!B46),"",Demand!B46)</f>
        <v>42</v>
      </c>
      <c r="C45" s="8">
        <f>IF(ISBLANK(Demand!C46),"",Demand!C46)</f>
        <v>3.5</v>
      </c>
      <c r="D45" s="6">
        <v>300</v>
      </c>
      <c r="E45" s="7">
        <v>27.804199999999998</v>
      </c>
      <c r="F45" s="7">
        <v>27.804200000000002</v>
      </c>
      <c r="G45" s="5">
        <v>253.00899999999999</v>
      </c>
      <c r="AL45" s="6">
        <v>175</v>
      </c>
      <c r="AM45" s="7">
        <v>0</v>
      </c>
      <c r="AN45">
        <v>0</v>
      </c>
      <c r="AO45" s="5">
        <v>289.56599999999997</v>
      </c>
    </row>
    <row r="46" spans="1:41" x14ac:dyDescent="0.25">
      <c r="A46" s="8">
        <f>IF(ISBLANK(Demand!A47),"",Demand!A47)</f>
        <v>1</v>
      </c>
      <c r="B46" s="8">
        <f>IF(ISBLANK(Demand!B47),"",Demand!B47)</f>
        <v>43</v>
      </c>
      <c r="C46" s="8">
        <f>IF(ISBLANK(Demand!C47),"",Demand!C47)</f>
        <v>3.583333333333333</v>
      </c>
      <c r="D46" s="6">
        <v>175</v>
      </c>
      <c r="E46" s="7">
        <v>0</v>
      </c>
      <c r="F46" s="7">
        <v>0</v>
      </c>
      <c r="G46" s="5">
        <v>289.56599999999997</v>
      </c>
      <c r="AL46" s="6">
        <v>100</v>
      </c>
      <c r="AM46" s="7">
        <v>0</v>
      </c>
      <c r="AN46">
        <v>0</v>
      </c>
      <c r="AO46" s="5">
        <v>315.10899999999998</v>
      </c>
    </row>
    <row r="47" spans="1:41" x14ac:dyDescent="0.25">
      <c r="A47" s="8">
        <f>IF(ISBLANK(Demand!A48),"",Demand!A48)</f>
        <v>1</v>
      </c>
      <c r="B47" s="8">
        <f>IF(ISBLANK(Demand!B48),"",Demand!B48)</f>
        <v>44</v>
      </c>
      <c r="C47" s="8">
        <f>IF(ISBLANK(Demand!C48),"",Demand!C48)</f>
        <v>3.6666666666666665</v>
      </c>
      <c r="D47" s="6">
        <v>100</v>
      </c>
      <c r="E47" s="7">
        <v>0</v>
      </c>
      <c r="F47" s="7">
        <v>0</v>
      </c>
      <c r="G47" s="5">
        <v>315.10899999999998</v>
      </c>
      <c r="AL47" s="6">
        <v>50</v>
      </c>
      <c r="AM47" s="7">
        <v>0</v>
      </c>
      <c r="AN47">
        <v>0</v>
      </c>
      <c r="AO47" s="5">
        <v>322.76299999999998</v>
      </c>
    </row>
    <row r="48" spans="1:41" x14ac:dyDescent="0.25">
      <c r="A48" s="8">
        <f>IF(ISBLANK(Demand!A49),"",Demand!A49)</f>
        <v>1</v>
      </c>
      <c r="B48" s="8">
        <f>IF(ISBLANK(Demand!B49),"",Demand!B49)</f>
        <v>45</v>
      </c>
      <c r="C48" s="8">
        <f>IF(ISBLANK(Demand!C49),"",Demand!C49)</f>
        <v>3.75</v>
      </c>
      <c r="D48" s="6">
        <v>50</v>
      </c>
      <c r="E48" s="7">
        <v>0</v>
      </c>
      <c r="F48" s="7">
        <v>0</v>
      </c>
      <c r="G48" s="5">
        <v>322.76299999999998</v>
      </c>
      <c r="AL48" s="6">
        <v>0</v>
      </c>
      <c r="AM48" s="7">
        <v>0</v>
      </c>
      <c r="AN48">
        <v>0</v>
      </c>
      <c r="AO48" s="5">
        <v>290.94499999999999</v>
      </c>
    </row>
    <row r="49" spans="1:41" x14ac:dyDescent="0.25">
      <c r="A49" s="8">
        <f>IF(ISBLANK(Demand!A50),"",Demand!A50)</f>
        <v>1</v>
      </c>
      <c r="B49" s="8">
        <f>IF(ISBLANK(Demand!B50),"",Demand!B50)</f>
        <v>46</v>
      </c>
      <c r="C49" s="8">
        <f>IF(ISBLANK(Demand!C50),"",Demand!C50)</f>
        <v>3.833333333333333</v>
      </c>
      <c r="D49" s="6">
        <v>0</v>
      </c>
      <c r="E49" s="7">
        <v>0</v>
      </c>
      <c r="F49" s="7">
        <v>0</v>
      </c>
      <c r="G49" s="5">
        <v>290.94499999999999</v>
      </c>
      <c r="AL49" s="6">
        <v>0</v>
      </c>
      <c r="AM49" s="7">
        <v>0</v>
      </c>
      <c r="AN49">
        <v>0</v>
      </c>
      <c r="AO49" s="5">
        <v>342.27300000000002</v>
      </c>
    </row>
    <row r="50" spans="1:41" x14ac:dyDescent="0.25">
      <c r="A50" s="8">
        <f>IF(ISBLANK(Demand!A51),"",Demand!A51)</f>
        <v>1</v>
      </c>
      <c r="B50" s="8">
        <f>IF(ISBLANK(Demand!B51),"",Demand!B51)</f>
        <v>47</v>
      </c>
      <c r="C50" s="8">
        <f>IF(ISBLANK(Demand!C51),"",Demand!C51)</f>
        <v>3.9166666666666665</v>
      </c>
      <c r="D50" s="6">
        <v>0</v>
      </c>
      <c r="E50" s="7">
        <v>0</v>
      </c>
      <c r="F50" s="7">
        <v>0</v>
      </c>
      <c r="G50" s="5">
        <v>342.27300000000002</v>
      </c>
      <c r="AL50" s="6">
        <v>0</v>
      </c>
      <c r="AM50" s="7">
        <v>0</v>
      </c>
      <c r="AN50">
        <v>0</v>
      </c>
      <c r="AO50" s="5">
        <v>335.39400000000001</v>
      </c>
    </row>
    <row r="51" spans="1:41" x14ac:dyDescent="0.25">
      <c r="A51" s="8">
        <f>IF(ISBLANK(Demand!A52),"",Demand!A52)</f>
        <v>1</v>
      </c>
      <c r="B51" s="8">
        <f>IF(ISBLANK(Demand!B52),"",Demand!B52)</f>
        <v>48</v>
      </c>
      <c r="C51" s="8">
        <f>IF(ISBLANK(Demand!C52),"",Demand!C52)</f>
        <v>4</v>
      </c>
      <c r="D51" s="6">
        <v>0</v>
      </c>
      <c r="E51" s="7">
        <v>0</v>
      </c>
      <c r="F51" s="7">
        <v>0</v>
      </c>
      <c r="G51" s="5">
        <v>335.39400000000001</v>
      </c>
      <c r="AL51" s="6">
        <v>0</v>
      </c>
      <c r="AM51" s="7">
        <v>0</v>
      </c>
      <c r="AN51">
        <v>0</v>
      </c>
      <c r="AO51" s="5">
        <v>274.99299999999999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W2826"/>
  <sheetViews>
    <sheetView zoomScale="70" zoomScaleNormal="70" workbookViewId="0">
      <selection activeCell="N34" sqref="N34"/>
    </sheetView>
  </sheetViews>
  <sheetFormatPr defaultColWidth="8.85546875" defaultRowHeight="15" x14ac:dyDescent="0.25"/>
  <cols>
    <col min="1" max="1" width="13.140625" style="49" customWidth="1"/>
    <col min="2" max="2" width="12.28515625" style="59" customWidth="1"/>
    <col min="3" max="3" width="9.140625" style="59"/>
    <col min="4" max="4" width="8.85546875" style="59"/>
    <col min="5" max="5" width="9" style="59" bestFit="1" customWidth="1"/>
    <col min="6" max="6" width="9.42578125" style="49" customWidth="1"/>
    <col min="7" max="7" width="9.28515625" style="49" bestFit="1" customWidth="1"/>
    <col min="8" max="11" width="8.85546875" style="49"/>
    <col min="12" max="12" width="13.85546875" style="49" bestFit="1" customWidth="1"/>
    <col min="13" max="13" width="14.140625" style="49" customWidth="1"/>
    <col min="14" max="14" width="18.5703125" style="49" bestFit="1" customWidth="1"/>
    <col min="15" max="15" width="20.7109375" style="49" customWidth="1"/>
    <col min="16" max="16" width="11.7109375" style="49" bestFit="1" customWidth="1"/>
    <col min="17" max="17" width="9.7109375" style="49" bestFit="1" customWidth="1"/>
    <col min="18" max="18" width="12.42578125" style="49" bestFit="1" customWidth="1"/>
    <col min="19" max="19" width="25.5703125" style="49" bestFit="1" customWidth="1"/>
    <col min="20" max="20" width="10" style="49" bestFit="1" customWidth="1"/>
    <col min="21" max="21" width="12.7109375" style="49" bestFit="1" customWidth="1"/>
    <col min="22" max="16384" width="8.85546875" style="49"/>
  </cols>
  <sheetData>
    <row r="1" spans="1:23" x14ac:dyDescent="0.25">
      <c r="A1" s="48" t="s">
        <v>5</v>
      </c>
      <c r="B1" s="49"/>
      <c r="C1" s="49"/>
      <c r="D1" s="49"/>
      <c r="E1" s="49"/>
      <c r="M1" s="50"/>
    </row>
    <row r="2" spans="1:23" x14ac:dyDescent="0.25">
      <c r="A2" s="51" t="s">
        <v>6</v>
      </c>
      <c r="B2" s="49"/>
      <c r="C2" s="49"/>
      <c r="D2" s="49"/>
      <c r="E2" s="49"/>
    </row>
    <row r="3" spans="1:23" ht="15.75" x14ac:dyDescent="0.25">
      <c r="A3" s="52" t="s">
        <v>41</v>
      </c>
      <c r="B3" s="49"/>
      <c r="C3" s="49"/>
      <c r="D3" s="49"/>
      <c r="E3" s="49"/>
    </row>
    <row r="4" spans="1:23" x14ac:dyDescent="0.25">
      <c r="B4" s="62"/>
      <c r="C4" s="62"/>
      <c r="D4" s="62"/>
      <c r="E4" s="62"/>
      <c r="I4" s="53"/>
    </row>
    <row r="5" spans="1:23" x14ac:dyDescent="0.25">
      <c r="B5" s="62"/>
      <c r="C5" s="62"/>
      <c r="D5" s="62"/>
      <c r="E5" s="62"/>
      <c r="I5" s="61"/>
    </row>
    <row r="6" spans="1:23" x14ac:dyDescent="0.25">
      <c r="B6" s="65" t="s">
        <v>48</v>
      </c>
      <c r="C6" s="64" t="s">
        <v>3</v>
      </c>
      <c r="D6" s="63" t="s">
        <v>4</v>
      </c>
      <c r="E6" s="49"/>
      <c r="I6" s="61"/>
      <c r="L6" s="50" t="s">
        <v>35</v>
      </c>
      <c r="M6" s="50" t="s">
        <v>36</v>
      </c>
      <c r="N6" s="50" t="s">
        <v>33</v>
      </c>
      <c r="O6" s="50" t="s">
        <v>34</v>
      </c>
      <c r="P6" s="54" t="s">
        <v>31</v>
      </c>
      <c r="Q6" s="50" t="s">
        <v>26</v>
      </c>
      <c r="R6" s="50" t="s">
        <v>27</v>
      </c>
      <c r="S6" s="50" t="s">
        <v>38</v>
      </c>
    </row>
    <row r="7" spans="1:23" x14ac:dyDescent="0.25">
      <c r="B7" s="62"/>
      <c r="C7" s="62">
        <v>0</v>
      </c>
      <c r="D7" s="62">
        <v>0</v>
      </c>
      <c r="E7" s="62"/>
      <c r="I7" s="61"/>
      <c r="L7" s="56">
        <v>0</v>
      </c>
      <c r="M7" s="57">
        <v>1000000</v>
      </c>
      <c r="N7" s="57">
        <v>10000</v>
      </c>
      <c r="O7" s="57">
        <v>10000</v>
      </c>
      <c r="P7" s="58">
        <v>0</v>
      </c>
      <c r="Q7" s="56">
        <v>0</v>
      </c>
      <c r="R7" s="56">
        <v>0</v>
      </c>
      <c r="S7" s="56">
        <v>0</v>
      </c>
    </row>
    <row r="8" spans="1:23" x14ac:dyDescent="0.25">
      <c r="B8" s="62"/>
      <c r="C8" s="62">
        <v>3000</v>
      </c>
      <c r="D8" s="62">
        <v>3000</v>
      </c>
      <c r="E8" s="62"/>
      <c r="I8" s="61"/>
    </row>
    <row r="9" spans="1:23" x14ac:dyDescent="0.25">
      <c r="B9" s="62"/>
      <c r="C9" s="62"/>
      <c r="D9" s="62"/>
      <c r="E9" s="62"/>
      <c r="I9" s="55"/>
    </row>
    <row r="10" spans="1:23" x14ac:dyDescent="0.25">
      <c r="B10" s="65" t="s">
        <v>49</v>
      </c>
      <c r="C10" s="64" t="s">
        <v>3</v>
      </c>
      <c r="D10" s="63" t="s">
        <v>50</v>
      </c>
      <c r="E10" s="49"/>
      <c r="I10" s="61"/>
      <c r="L10" s="50" t="s">
        <v>35</v>
      </c>
      <c r="M10" s="50" t="s">
        <v>36</v>
      </c>
      <c r="N10" s="50" t="s">
        <v>33</v>
      </c>
      <c r="O10" s="50" t="s">
        <v>34</v>
      </c>
      <c r="P10" s="54" t="s">
        <v>31</v>
      </c>
      <c r="Q10" s="50" t="s">
        <v>26</v>
      </c>
      <c r="R10" s="50" t="s">
        <v>27</v>
      </c>
      <c r="S10" s="50" t="s">
        <v>38</v>
      </c>
    </row>
    <row r="11" spans="1:23" x14ac:dyDescent="0.25">
      <c r="B11" s="62"/>
      <c r="C11" s="62">
        <v>0</v>
      </c>
      <c r="D11" s="62">
        <v>0</v>
      </c>
      <c r="E11" s="62"/>
      <c r="I11" s="61"/>
      <c r="L11" s="56">
        <v>0</v>
      </c>
      <c r="M11" s="57">
        <v>1000000</v>
      </c>
      <c r="N11" s="57">
        <v>10000</v>
      </c>
      <c r="O11" s="57">
        <v>10000</v>
      </c>
      <c r="P11" s="58">
        <v>0</v>
      </c>
      <c r="Q11" s="56">
        <v>0</v>
      </c>
      <c r="R11" s="56">
        <v>0</v>
      </c>
      <c r="S11" s="56">
        <v>0</v>
      </c>
    </row>
    <row r="12" spans="1:23" x14ac:dyDescent="0.25">
      <c r="B12" s="62"/>
      <c r="C12" s="62">
        <v>3000</v>
      </c>
      <c r="D12" s="62">
        <v>3000</v>
      </c>
      <c r="E12" s="62"/>
      <c r="I12" s="61"/>
    </row>
    <row r="13" spans="1:23" x14ac:dyDescent="0.25">
      <c r="B13" s="62"/>
      <c r="C13" s="62"/>
      <c r="D13" s="62"/>
      <c r="E13" s="62"/>
      <c r="I13" s="61"/>
    </row>
    <row r="14" spans="1:23" s="56" customFormat="1" ht="15.75" x14ac:dyDescent="0.25">
      <c r="B14" s="66" t="s">
        <v>51</v>
      </c>
      <c r="C14" s="60" t="s">
        <v>42</v>
      </c>
      <c r="D14" s="60" t="s">
        <v>44</v>
      </c>
      <c r="E14" s="64" t="s">
        <v>3</v>
      </c>
      <c r="F14" s="63" t="s">
        <v>4</v>
      </c>
      <c r="L14" s="67" t="s">
        <v>35</v>
      </c>
      <c r="M14" s="67" t="s">
        <v>36</v>
      </c>
      <c r="N14" s="67" t="s">
        <v>33</v>
      </c>
      <c r="O14" s="67" t="s">
        <v>34</v>
      </c>
      <c r="P14" s="68" t="s">
        <v>31</v>
      </c>
      <c r="Q14" s="67" t="s">
        <v>26</v>
      </c>
      <c r="R14" s="67" t="s">
        <v>27</v>
      </c>
      <c r="S14" s="67" t="s">
        <v>38</v>
      </c>
      <c r="W14" s="69"/>
    </row>
    <row r="15" spans="1:23" x14ac:dyDescent="0.25">
      <c r="C15" s="79">
        <v>-20</v>
      </c>
      <c r="D15" s="79">
        <v>500</v>
      </c>
      <c r="E15" s="47">
        <v>1738.22575753455</v>
      </c>
      <c r="F15" s="47">
        <v>4629.3213555894099</v>
      </c>
      <c r="L15" s="56">
        <v>0</v>
      </c>
      <c r="M15" s="57">
        <v>1000000</v>
      </c>
      <c r="N15" s="57">
        <v>10000</v>
      </c>
      <c r="O15" s="57">
        <v>10000</v>
      </c>
      <c r="P15" s="58">
        <v>4</v>
      </c>
      <c r="Q15" s="56">
        <v>0</v>
      </c>
      <c r="R15" s="56">
        <v>0</v>
      </c>
      <c r="S15" s="56">
        <v>0</v>
      </c>
    </row>
    <row r="16" spans="1:23" x14ac:dyDescent="0.25">
      <c r="C16" s="79"/>
      <c r="D16" s="79"/>
      <c r="E16" s="47">
        <v>1738.22575753455</v>
      </c>
      <c r="F16" s="47">
        <v>4629.3213555894099</v>
      </c>
    </row>
    <row r="17" spans="3:6" x14ac:dyDescent="0.25">
      <c r="C17" s="79"/>
      <c r="D17" s="79"/>
      <c r="E17" s="47">
        <v>1748.0538836076801</v>
      </c>
      <c r="F17" s="47">
        <v>4685.0659983959904</v>
      </c>
    </row>
    <row r="18" spans="3:6" x14ac:dyDescent="0.25">
      <c r="C18" s="79"/>
      <c r="D18" s="79"/>
      <c r="E18" s="47">
        <v>1759.29861468851</v>
      </c>
      <c r="F18" s="47">
        <v>4723.5913158380999</v>
      </c>
    </row>
    <row r="19" spans="3:6" x14ac:dyDescent="0.25">
      <c r="C19" s="79"/>
      <c r="D19" s="79"/>
      <c r="E19" s="47">
        <v>1772.9232700846101</v>
      </c>
      <c r="F19" s="47">
        <v>4751.7797602962601</v>
      </c>
    </row>
    <row r="20" spans="3:6" x14ac:dyDescent="0.25">
      <c r="C20" s="79"/>
      <c r="D20" s="79"/>
      <c r="E20" s="47">
        <v>1789.6720341801299</v>
      </c>
      <c r="F20" s="47">
        <v>4773.7895073526497</v>
      </c>
    </row>
    <row r="21" spans="3:6" x14ac:dyDescent="0.25">
      <c r="C21" s="79"/>
      <c r="D21" s="79"/>
      <c r="E21" s="47">
        <v>1810.1625231288999</v>
      </c>
      <c r="F21" s="47">
        <v>4792.0558818088703</v>
      </c>
    </row>
    <row r="22" spans="3:6" x14ac:dyDescent="0.25">
      <c r="C22" s="79"/>
      <c r="D22" s="79"/>
      <c r="E22" s="47">
        <v>1834.9593763578</v>
      </c>
      <c r="F22" s="47">
        <v>4808.2154701892896</v>
      </c>
    </row>
    <row r="23" spans="3:6" x14ac:dyDescent="0.25">
      <c r="C23" s="79"/>
      <c r="D23" s="79"/>
      <c r="E23" s="47">
        <v>1864.59226618863</v>
      </c>
      <c r="F23" s="47">
        <v>4823.4036698150603</v>
      </c>
    </row>
    <row r="24" spans="3:6" x14ac:dyDescent="0.25">
      <c r="C24" s="79"/>
      <c r="D24" s="79"/>
      <c r="E24" s="47">
        <v>1899.5701057496201</v>
      </c>
      <c r="F24" s="47">
        <v>4838.4507785059895</v>
      </c>
    </row>
    <row r="25" spans="3:6" x14ac:dyDescent="0.25">
      <c r="C25" s="79"/>
      <c r="D25" s="79">
        <v>600</v>
      </c>
      <c r="E25" s="47">
        <v>1748.61048524542</v>
      </c>
      <c r="F25" s="47">
        <v>4855.7225639652497</v>
      </c>
    </row>
    <row r="26" spans="3:6" x14ac:dyDescent="0.25">
      <c r="C26" s="79"/>
      <c r="D26" s="79"/>
      <c r="E26" s="47">
        <v>1758.39211035517</v>
      </c>
      <c r="F26" s="47">
        <v>4955.2242326244996</v>
      </c>
    </row>
    <row r="27" spans="3:6" x14ac:dyDescent="0.25">
      <c r="C27" s="79"/>
      <c r="D27" s="79"/>
      <c r="E27" s="47">
        <v>1768.1364846349099</v>
      </c>
      <c r="F27" s="47">
        <v>5019.6237095965398</v>
      </c>
    </row>
    <row r="28" spans="3:6" x14ac:dyDescent="0.25">
      <c r="C28" s="79"/>
      <c r="D28" s="79"/>
      <c r="E28" s="47">
        <v>1779.36211311237</v>
      </c>
      <c r="F28" s="47">
        <v>5064.9585026299501</v>
      </c>
    </row>
    <row r="29" spans="3:6" x14ac:dyDescent="0.25">
      <c r="C29" s="79"/>
      <c r="D29" s="79"/>
      <c r="E29" s="47">
        <v>1793.00680095143</v>
      </c>
      <c r="F29" s="47">
        <v>5098.9651445210302</v>
      </c>
    </row>
    <row r="30" spans="3:6" x14ac:dyDescent="0.25">
      <c r="C30" s="79"/>
      <c r="D30" s="79"/>
      <c r="E30" s="47">
        <v>1809.78653711114</v>
      </c>
      <c r="F30" s="47">
        <v>5125.9602109555599</v>
      </c>
    </row>
    <row r="31" spans="3:6" x14ac:dyDescent="0.25">
      <c r="C31" s="79"/>
      <c r="D31" s="79"/>
      <c r="E31" s="47">
        <v>1830.3105818878901</v>
      </c>
      <c r="F31" s="47">
        <v>5148.5895419301496</v>
      </c>
    </row>
    <row r="32" spans="3:6" x14ac:dyDescent="0.25">
      <c r="C32" s="79"/>
      <c r="D32" s="79"/>
      <c r="E32" s="47">
        <v>1855.1344517494499</v>
      </c>
      <c r="F32" s="47">
        <v>5168.6046074904798</v>
      </c>
    </row>
    <row r="33" spans="3:6" x14ac:dyDescent="0.25">
      <c r="C33" s="79"/>
      <c r="D33" s="79"/>
      <c r="E33" s="47">
        <v>1884.7803425060999</v>
      </c>
      <c r="F33" s="47">
        <v>5187.2256932768796</v>
      </c>
    </row>
    <row r="34" spans="3:6" x14ac:dyDescent="0.25">
      <c r="C34" s="79"/>
      <c r="D34" s="79"/>
      <c r="E34" s="47">
        <v>1919.75364756044</v>
      </c>
      <c r="F34" s="47">
        <v>5205.3552639099998</v>
      </c>
    </row>
    <row r="35" spans="3:6" x14ac:dyDescent="0.25">
      <c r="C35" s="79"/>
      <c r="D35" s="79">
        <v>700</v>
      </c>
      <c r="E35" s="47">
        <v>1767.45353878537</v>
      </c>
      <c r="F35" s="47">
        <v>5199.3135037839702</v>
      </c>
    </row>
    <row r="36" spans="3:6" x14ac:dyDescent="0.25">
      <c r="C36" s="79"/>
      <c r="D36" s="79"/>
      <c r="E36" s="47">
        <v>1776.8424193324099</v>
      </c>
      <c r="F36" s="47">
        <v>5310.4305067085297</v>
      </c>
    </row>
    <row r="37" spans="3:6" x14ac:dyDescent="0.25">
      <c r="C37" s="79"/>
      <c r="D37" s="79"/>
      <c r="E37" s="47">
        <v>1786.3300032710999</v>
      </c>
      <c r="F37" s="47">
        <v>5382.7017490813596</v>
      </c>
    </row>
    <row r="38" spans="3:6" x14ac:dyDescent="0.25">
      <c r="C38" s="79"/>
      <c r="D38" s="79"/>
      <c r="E38" s="47">
        <v>1797.37988973556</v>
      </c>
      <c r="F38" s="47">
        <v>5433.8844951442798</v>
      </c>
    </row>
    <row r="39" spans="3:6" x14ac:dyDescent="0.25">
      <c r="C39" s="79"/>
      <c r="D39" s="79"/>
      <c r="E39" s="47">
        <v>1810.8982997072701</v>
      </c>
      <c r="F39" s="47">
        <v>5472.4534751301599</v>
      </c>
    </row>
    <row r="40" spans="3:6" x14ac:dyDescent="0.25">
      <c r="C40" s="79"/>
      <c r="D40" s="79"/>
      <c r="E40" s="47">
        <v>1827.5856350465999</v>
      </c>
      <c r="F40" s="47">
        <v>5503.2286336568004</v>
      </c>
    </row>
    <row r="41" spans="3:6" x14ac:dyDescent="0.25">
      <c r="C41" s="79"/>
      <c r="D41" s="79"/>
      <c r="E41" s="47">
        <v>1848.0318574487301</v>
      </c>
      <c r="F41" s="47">
        <v>5529.0601945340204</v>
      </c>
    </row>
    <row r="42" spans="3:6" x14ac:dyDescent="0.25">
      <c r="C42" s="79"/>
      <c r="D42" s="79"/>
      <c r="E42" s="47">
        <v>1872.7825994541899</v>
      </c>
      <c r="F42" s="47">
        <v>5551.8517438959698</v>
      </c>
    </row>
    <row r="43" spans="3:6" x14ac:dyDescent="0.25">
      <c r="C43" s="79"/>
      <c r="D43" s="79"/>
      <c r="E43" s="47">
        <v>1902.3532862090599</v>
      </c>
      <c r="F43" s="47">
        <v>5572.9285120841596</v>
      </c>
    </row>
    <row r="44" spans="3:6" x14ac:dyDescent="0.25">
      <c r="C44" s="79"/>
      <c r="D44" s="79"/>
      <c r="E44" s="47">
        <v>1937.24440833892</v>
      </c>
      <c r="F44" s="47">
        <v>5593.2658899520002</v>
      </c>
    </row>
    <row r="45" spans="3:6" x14ac:dyDescent="0.25">
      <c r="C45" s="79"/>
      <c r="D45" s="79">
        <v>800</v>
      </c>
      <c r="E45" s="47">
        <v>1783.6276744438301</v>
      </c>
      <c r="F45" s="47">
        <v>5553.6547690160896</v>
      </c>
    </row>
    <row r="46" spans="3:6" x14ac:dyDescent="0.25">
      <c r="C46" s="79"/>
      <c r="D46" s="79"/>
      <c r="E46" s="47">
        <v>1792.5556866362399</v>
      </c>
      <c r="F46" s="47">
        <v>5677.4860298397898</v>
      </c>
    </row>
    <row r="47" spans="3:6" x14ac:dyDescent="0.25">
      <c r="C47" s="79"/>
      <c r="D47" s="79"/>
      <c r="E47" s="47">
        <v>1801.7445405568701</v>
      </c>
      <c r="F47" s="47">
        <v>5758.2003517030298</v>
      </c>
    </row>
    <row r="48" spans="3:6" x14ac:dyDescent="0.25">
      <c r="C48" s="79"/>
      <c r="D48" s="79"/>
      <c r="E48" s="47">
        <v>1812.58288269116</v>
      </c>
      <c r="F48" s="47">
        <v>5815.4993409524704</v>
      </c>
    </row>
    <row r="49" spans="3:6" x14ac:dyDescent="0.25">
      <c r="C49" s="79"/>
      <c r="D49" s="79"/>
      <c r="E49" s="47">
        <v>1825.9418884274701</v>
      </c>
      <c r="F49" s="47">
        <v>5858.8271411791602</v>
      </c>
    </row>
    <row r="50" spans="3:6" x14ac:dyDescent="0.25">
      <c r="C50" s="79"/>
      <c r="D50" s="79"/>
      <c r="E50" s="47">
        <v>1842.4950327541301</v>
      </c>
      <c r="F50" s="47">
        <v>5893.3770288759397</v>
      </c>
    </row>
    <row r="51" spans="3:6" x14ac:dyDescent="0.25">
      <c r="C51" s="79"/>
      <c r="D51" s="79"/>
      <c r="E51" s="47">
        <v>1862.8250322614399</v>
      </c>
      <c r="F51" s="47">
        <v>5922.3290475938102</v>
      </c>
    </row>
    <row r="52" spans="3:6" x14ac:dyDescent="0.25">
      <c r="C52" s="79"/>
      <c r="D52" s="79"/>
      <c r="E52" s="47">
        <v>1887.4707352038699</v>
      </c>
      <c r="F52" s="47">
        <v>5947.8358907333104</v>
      </c>
    </row>
    <row r="53" spans="3:6" x14ac:dyDescent="0.25">
      <c r="C53" s="79"/>
      <c r="D53" s="79"/>
      <c r="E53" s="47">
        <v>1916.9424933176699</v>
      </c>
      <c r="F53" s="47">
        <v>5971.3513832968902</v>
      </c>
    </row>
    <row r="54" spans="3:6" x14ac:dyDescent="0.25">
      <c r="C54" s="79"/>
      <c r="D54" s="79"/>
      <c r="E54" s="47">
        <v>1951.7314193493701</v>
      </c>
      <c r="F54" s="47">
        <v>5993.8916212775703</v>
      </c>
    </row>
    <row r="55" spans="3:6" x14ac:dyDescent="0.25">
      <c r="C55" s="79"/>
      <c r="D55" s="79">
        <v>900</v>
      </c>
      <c r="E55" s="47">
        <v>1797.23240873451</v>
      </c>
      <c r="F55" s="47">
        <v>5917.1761298620704</v>
      </c>
    </row>
    <row r="56" spans="3:6" x14ac:dyDescent="0.25">
      <c r="C56" s="79"/>
      <c r="D56" s="79"/>
      <c r="E56" s="47">
        <v>1805.63763789873</v>
      </c>
      <c r="F56" s="47">
        <v>6053.8364645653</v>
      </c>
    </row>
    <row r="57" spans="3:6" x14ac:dyDescent="0.25">
      <c r="C57" s="79"/>
      <c r="D57" s="79"/>
      <c r="E57" s="47">
        <v>1814.4787213596201</v>
      </c>
      <c r="F57" s="47">
        <v>6143.16929536522</v>
      </c>
    </row>
    <row r="58" spans="3:6" x14ac:dyDescent="0.25">
      <c r="C58" s="79"/>
      <c r="D58" s="79"/>
      <c r="E58" s="47">
        <v>1825.0721002315699</v>
      </c>
      <c r="F58" s="47">
        <v>6206.7887669246602</v>
      </c>
    </row>
    <row r="59" spans="3:6" x14ac:dyDescent="0.25">
      <c r="C59" s="79"/>
      <c r="D59" s="79"/>
      <c r="E59" s="47">
        <v>1838.25000587051</v>
      </c>
      <c r="F59" s="47">
        <v>6255.0763955869497</v>
      </c>
    </row>
    <row r="60" spans="3:6" x14ac:dyDescent="0.25">
      <c r="C60" s="79"/>
      <c r="D60" s="79"/>
      <c r="E60" s="47">
        <v>1854.6588001139501</v>
      </c>
      <c r="F60" s="47">
        <v>6293.6805626086098</v>
      </c>
    </row>
    <row r="61" spans="3:6" x14ac:dyDescent="0.25">
      <c r="C61" s="79"/>
      <c r="D61" s="79"/>
      <c r="E61" s="47">
        <v>1874.86662943997</v>
      </c>
      <c r="F61" s="47">
        <v>6326.0687016435304</v>
      </c>
    </row>
    <row r="62" spans="3:6" x14ac:dyDescent="0.25">
      <c r="C62" s="79"/>
      <c r="D62" s="79"/>
      <c r="E62" s="47">
        <v>1899.3990829346701</v>
      </c>
      <c r="F62" s="47">
        <v>6354.4998938037397</v>
      </c>
    </row>
    <row r="63" spans="3:6" x14ac:dyDescent="0.25">
      <c r="C63" s="79"/>
      <c r="D63" s="79"/>
      <c r="E63" s="47">
        <v>1928.75875223253</v>
      </c>
      <c r="F63" s="47">
        <v>6380.5416857717</v>
      </c>
    </row>
    <row r="64" spans="3:6" x14ac:dyDescent="0.25">
      <c r="C64" s="79"/>
      <c r="D64" s="79"/>
      <c r="E64" s="47">
        <v>1963.43439387337</v>
      </c>
      <c r="F64" s="47">
        <v>6405.33128956581</v>
      </c>
    </row>
    <row r="65" spans="3:6" x14ac:dyDescent="0.25">
      <c r="C65" s="79"/>
      <c r="D65" s="79">
        <v>1000</v>
      </c>
      <c r="E65" s="47">
        <v>1808.5237667564199</v>
      </c>
      <c r="F65" s="47">
        <v>6290.9653756033904</v>
      </c>
    </row>
    <row r="66" spans="3:6" x14ac:dyDescent="0.25">
      <c r="C66" s="79"/>
      <c r="D66" s="79"/>
      <c r="E66" s="47">
        <v>1816.37062855504</v>
      </c>
      <c r="F66" s="47">
        <v>6441.8822091273996</v>
      </c>
    </row>
    <row r="67" spans="3:6" x14ac:dyDescent="0.25">
      <c r="C67" s="79"/>
      <c r="D67" s="79"/>
      <c r="E67" s="47">
        <v>1824.8413313941001</v>
      </c>
      <c r="F67" s="47">
        <v>6540.61920567369</v>
      </c>
    </row>
    <row r="68" spans="3:6" x14ac:dyDescent="0.25">
      <c r="C68" s="79"/>
      <c r="D68" s="79"/>
      <c r="E68" s="47">
        <v>1835.16481358343</v>
      </c>
      <c r="F68" s="47">
        <v>6610.9425117545698</v>
      </c>
    </row>
    <row r="69" spans="3:6" x14ac:dyDescent="0.25">
      <c r="C69" s="79"/>
      <c r="D69" s="79"/>
      <c r="E69" s="47">
        <v>1848.13020205814</v>
      </c>
      <c r="F69" s="47">
        <v>6664.1346228482698</v>
      </c>
    </row>
    <row r="70" spans="3:6" x14ac:dyDescent="0.25">
      <c r="C70" s="79"/>
      <c r="D70" s="79"/>
      <c r="E70" s="47">
        <v>1864.3703774926601</v>
      </c>
      <c r="F70" s="47">
        <v>6706.7701849984896</v>
      </c>
    </row>
    <row r="71" spans="3:6" x14ac:dyDescent="0.25">
      <c r="C71" s="79"/>
      <c r="D71" s="79"/>
      <c r="E71" s="47">
        <v>1884.4352603509501</v>
      </c>
      <c r="F71" s="47">
        <v>6742.5426129180696</v>
      </c>
    </row>
    <row r="72" spans="3:6" x14ac:dyDescent="0.25">
      <c r="C72" s="79"/>
      <c r="D72" s="79"/>
      <c r="E72" s="47">
        <v>1908.83935108987</v>
      </c>
      <c r="F72" s="47">
        <v>6773.8942373347099</v>
      </c>
    </row>
    <row r="73" spans="3:6" x14ac:dyDescent="0.25">
      <c r="C73" s="79"/>
      <c r="D73" s="79"/>
      <c r="E73" s="47">
        <v>1938.0780257802001</v>
      </c>
      <c r="F73" s="47">
        <v>6802.5105428380302</v>
      </c>
    </row>
    <row r="74" spans="3:6" x14ac:dyDescent="0.25">
      <c r="C74" s="79"/>
      <c r="D74" s="79"/>
      <c r="E74" s="47">
        <v>1972.6349558188999</v>
      </c>
      <c r="F74" s="47">
        <v>6829.6232184804603</v>
      </c>
    </row>
    <row r="75" spans="3:6" x14ac:dyDescent="0.25">
      <c r="C75" s="79"/>
      <c r="D75" s="79">
        <v>1100</v>
      </c>
      <c r="E75" s="47">
        <v>1817.6303021891199</v>
      </c>
      <c r="F75" s="47">
        <v>6673.5737957164101</v>
      </c>
    </row>
    <row r="76" spans="3:6" x14ac:dyDescent="0.25">
      <c r="C76" s="79"/>
      <c r="D76" s="79"/>
      <c r="E76" s="47">
        <v>1824.8623599326199</v>
      </c>
      <c r="F76" s="47">
        <v>6838.65220179274</v>
      </c>
    </row>
    <row r="77" spans="3:6" x14ac:dyDescent="0.25">
      <c r="C77" s="79"/>
      <c r="D77" s="79"/>
      <c r="E77" s="47">
        <v>1832.92864888441</v>
      </c>
      <c r="F77" s="47">
        <v>6946.8488981398004</v>
      </c>
    </row>
    <row r="78" spans="3:6" x14ac:dyDescent="0.25">
      <c r="C78" s="79"/>
      <c r="D78" s="79"/>
      <c r="E78" s="47">
        <v>1842.9658076042199</v>
      </c>
      <c r="F78" s="47">
        <v>7024.1324118049697</v>
      </c>
    </row>
    <row r="79" spans="3:6" x14ac:dyDescent="0.25">
      <c r="C79" s="79"/>
      <c r="D79" s="79"/>
      <c r="E79" s="47">
        <v>1855.71629967744</v>
      </c>
      <c r="F79" s="47">
        <v>7082.8850642808002</v>
      </c>
    </row>
    <row r="80" spans="3:6" x14ac:dyDescent="0.25">
      <c r="C80" s="79"/>
      <c r="D80" s="79"/>
      <c r="E80" s="47">
        <v>1871.7810580180501</v>
      </c>
      <c r="F80" s="47">
        <v>7129.8936844085101</v>
      </c>
    </row>
    <row r="81" spans="3:6" x14ac:dyDescent="0.25">
      <c r="C81" s="79"/>
      <c r="D81" s="79"/>
      <c r="E81" s="47">
        <v>1891.6953709365901</v>
      </c>
      <c r="F81" s="47">
        <v>7169.3075257192104</v>
      </c>
    </row>
    <row r="82" spans="3:6" x14ac:dyDescent="0.25">
      <c r="C82" s="79"/>
      <c r="D82" s="79"/>
      <c r="E82" s="47">
        <v>1915.9655905099401</v>
      </c>
      <c r="F82" s="47">
        <v>7203.7726477251199</v>
      </c>
    </row>
    <row r="83" spans="3:6" x14ac:dyDescent="0.25">
      <c r="C83" s="79"/>
      <c r="D83" s="79"/>
      <c r="E83" s="47">
        <v>1945.0785152661599</v>
      </c>
      <c r="F83" s="47">
        <v>7235.10413953439</v>
      </c>
    </row>
    <row r="84" spans="3:6" x14ac:dyDescent="0.25">
      <c r="C84" s="79"/>
      <c r="D84" s="79"/>
      <c r="E84" s="47">
        <v>1979.51228831207</v>
      </c>
      <c r="F84" s="47">
        <v>7264.6328981216602</v>
      </c>
    </row>
    <row r="85" spans="3:6" x14ac:dyDescent="0.25">
      <c r="C85" s="79"/>
      <c r="D85" s="79">
        <v>1200</v>
      </c>
      <c r="E85" s="47">
        <v>1824.76272070389</v>
      </c>
      <c r="F85" s="47">
        <v>7066.05697832028</v>
      </c>
    </row>
    <row r="86" spans="3:6" x14ac:dyDescent="0.25">
      <c r="C86" s="79"/>
      <c r="D86" s="79"/>
      <c r="E86" s="47">
        <v>1831.3615356702301</v>
      </c>
      <c r="F86" s="47">
        <v>7246.9497855584104</v>
      </c>
    </row>
    <row r="87" spans="3:6" x14ac:dyDescent="0.25">
      <c r="C87" s="79"/>
      <c r="D87" s="79"/>
      <c r="E87" s="47">
        <v>1839.0042568163301</v>
      </c>
      <c r="F87" s="47">
        <v>7365.2430587229401</v>
      </c>
    </row>
    <row r="88" spans="3:6" x14ac:dyDescent="0.25">
      <c r="C88" s="79"/>
      <c r="D88" s="79"/>
      <c r="E88" s="47">
        <v>1848.73189387761</v>
      </c>
      <c r="F88" s="47">
        <v>7449.4967361377203</v>
      </c>
    </row>
    <row r="89" spans="3:6" x14ac:dyDescent="0.25">
      <c r="C89" s="79"/>
      <c r="D89" s="79"/>
      <c r="E89" s="47">
        <v>1861.2455752042199</v>
      </c>
      <c r="F89" s="47">
        <v>7513.6260912027901</v>
      </c>
    </row>
    <row r="90" spans="3:6" x14ac:dyDescent="0.25">
      <c r="C90" s="79"/>
      <c r="D90" s="79"/>
      <c r="E90" s="47">
        <v>1877.11878514912</v>
      </c>
      <c r="F90" s="47">
        <v>7564.9731375637803</v>
      </c>
    </row>
    <row r="91" spans="3:6" x14ac:dyDescent="0.25">
      <c r="C91" s="79"/>
      <c r="D91" s="79"/>
      <c r="E91" s="47">
        <v>1896.87157267252</v>
      </c>
      <c r="F91" s="47">
        <v>7607.9667156261303</v>
      </c>
    </row>
    <row r="92" spans="3:6" x14ac:dyDescent="0.25">
      <c r="C92" s="79"/>
      <c r="D92" s="79"/>
      <c r="E92" s="47">
        <v>1920.9971703184999</v>
      </c>
      <c r="F92" s="47">
        <v>7645.5090780307901</v>
      </c>
    </row>
    <row r="93" spans="3:6" x14ac:dyDescent="0.25">
      <c r="C93" s="79"/>
      <c r="D93" s="79"/>
      <c r="E93" s="47">
        <v>1949.9767023340401</v>
      </c>
      <c r="F93" s="47">
        <v>7679.5618233121404</v>
      </c>
    </row>
    <row r="94" spans="3:6" x14ac:dyDescent="0.25">
      <c r="C94" s="79"/>
      <c r="D94" s="79"/>
      <c r="E94" s="47">
        <v>1984.2817882954701</v>
      </c>
      <c r="F94" s="47">
        <v>7711.5318630091597</v>
      </c>
    </row>
    <row r="95" spans="3:6" x14ac:dyDescent="0.25">
      <c r="C95" s="79">
        <v>-15</v>
      </c>
      <c r="D95" s="79">
        <v>300</v>
      </c>
      <c r="E95" s="47">
        <v>1818.48035952437</v>
      </c>
      <c r="F95" s="47">
        <v>4556.2985320770404</v>
      </c>
    </row>
    <row r="96" spans="3:6" x14ac:dyDescent="0.25">
      <c r="C96" s="79"/>
      <c r="D96" s="79"/>
      <c r="E96" s="47">
        <v>1818.48035952437</v>
      </c>
      <c r="F96" s="47">
        <v>4556.2985320770404</v>
      </c>
    </row>
    <row r="97" spans="3:6" x14ac:dyDescent="0.25">
      <c r="C97" s="79"/>
      <c r="D97" s="79"/>
      <c r="E97" s="47">
        <v>1818.48035952437</v>
      </c>
      <c r="F97" s="47">
        <v>4556.2985320770404</v>
      </c>
    </row>
    <row r="98" spans="3:6" x14ac:dyDescent="0.25">
      <c r="C98" s="79"/>
      <c r="D98" s="79"/>
      <c r="E98" s="47">
        <v>1818.48035952437</v>
      </c>
      <c r="F98" s="47">
        <v>4556.2985320770404</v>
      </c>
    </row>
    <row r="99" spans="3:6" x14ac:dyDescent="0.25">
      <c r="C99" s="79"/>
      <c r="D99" s="79"/>
      <c r="E99" s="47">
        <v>1818.48035952437</v>
      </c>
      <c r="F99" s="47">
        <v>4556.2985320770404</v>
      </c>
    </row>
    <row r="100" spans="3:6" x14ac:dyDescent="0.25">
      <c r="C100" s="79"/>
      <c r="D100" s="79"/>
      <c r="E100" s="47">
        <v>1818.48035952437</v>
      </c>
      <c r="F100" s="47">
        <v>4556.2985320770404</v>
      </c>
    </row>
    <row r="101" spans="3:6" x14ac:dyDescent="0.25">
      <c r="C101" s="79"/>
      <c r="D101" s="79"/>
      <c r="E101" s="47">
        <v>1818.48035952437</v>
      </c>
      <c r="F101" s="47">
        <v>4556.2985320770404</v>
      </c>
    </row>
    <row r="102" spans="3:6" x14ac:dyDescent="0.25">
      <c r="C102" s="79"/>
      <c r="D102" s="79"/>
      <c r="E102" s="47">
        <v>1818.48035952437</v>
      </c>
      <c r="F102" s="47">
        <v>4556.2985320770404</v>
      </c>
    </row>
    <row r="103" spans="3:6" x14ac:dyDescent="0.25">
      <c r="C103" s="79"/>
      <c r="D103" s="79"/>
      <c r="E103" s="47">
        <v>1848.09339309286</v>
      </c>
      <c r="F103" s="47">
        <v>4569.3841826598</v>
      </c>
    </row>
    <row r="104" spans="3:6" x14ac:dyDescent="0.25">
      <c r="C104" s="79"/>
      <c r="D104" s="79"/>
      <c r="E104" s="47">
        <v>1883.0703232831399</v>
      </c>
      <c r="F104" s="47">
        <v>4582.6005219839299</v>
      </c>
    </row>
    <row r="105" spans="3:6" x14ac:dyDescent="0.25">
      <c r="C105" s="79"/>
      <c r="D105" s="79">
        <v>400</v>
      </c>
      <c r="E105" s="47">
        <v>1734.5082089309001</v>
      </c>
      <c r="F105" s="47">
        <v>4633.2330611666603</v>
      </c>
    </row>
    <row r="106" spans="3:6" x14ac:dyDescent="0.25">
      <c r="C106" s="79"/>
      <c r="D106" s="79"/>
      <c r="E106" s="47">
        <v>1744.4952847946699</v>
      </c>
      <c r="F106" s="47">
        <v>4725.0730762860903</v>
      </c>
    </row>
    <row r="107" spans="3:6" x14ac:dyDescent="0.25">
      <c r="C107" s="79"/>
      <c r="D107" s="79"/>
      <c r="E107" s="47">
        <v>1754.3271373579701</v>
      </c>
      <c r="F107" s="47">
        <v>4783.5723724875097</v>
      </c>
    </row>
    <row r="108" spans="3:6" x14ac:dyDescent="0.25">
      <c r="C108" s="79"/>
      <c r="D108" s="79"/>
      <c r="E108" s="47">
        <v>1765.57531850329</v>
      </c>
      <c r="F108" s="47">
        <v>4824.0387025391501</v>
      </c>
    </row>
    <row r="109" spans="3:6" x14ac:dyDescent="0.25">
      <c r="C109" s="79"/>
      <c r="D109" s="79"/>
      <c r="E109" s="47">
        <v>1779.2110193566</v>
      </c>
      <c r="F109" s="47">
        <v>4853.88720775205</v>
      </c>
    </row>
    <row r="110" spans="3:6" x14ac:dyDescent="0.25">
      <c r="C110" s="79"/>
      <c r="D110" s="79"/>
      <c r="E110" s="47">
        <v>1795.9771102705699</v>
      </c>
      <c r="F110" s="47">
        <v>4877.4242356328195</v>
      </c>
    </row>
    <row r="111" spans="3:6" x14ac:dyDescent="0.25">
      <c r="C111" s="79"/>
      <c r="D111" s="79"/>
      <c r="E111" s="47">
        <v>1816.47583812425</v>
      </c>
      <c r="F111" s="47">
        <v>4896.8703331900697</v>
      </c>
    </row>
    <row r="112" spans="3:6" x14ac:dyDescent="0.25">
      <c r="C112" s="79"/>
      <c r="D112" s="79"/>
      <c r="E112" s="47">
        <v>1841.2773163627701</v>
      </c>
      <c r="F112" s="47">
        <v>4914.0412266339499</v>
      </c>
    </row>
    <row r="113" spans="3:6" x14ac:dyDescent="0.25">
      <c r="C113" s="79"/>
      <c r="D113" s="79"/>
      <c r="E113" s="47">
        <v>1870.9100295132901</v>
      </c>
      <c r="F113" s="47">
        <v>4930.1082215911301</v>
      </c>
    </row>
    <row r="114" spans="3:6" x14ac:dyDescent="0.25">
      <c r="C114" s="79"/>
      <c r="D114" s="79"/>
      <c r="E114" s="47">
        <v>1905.88113907764</v>
      </c>
      <c r="F114" s="47">
        <v>4945.9233579523898</v>
      </c>
    </row>
    <row r="115" spans="3:6" x14ac:dyDescent="0.25">
      <c r="C115" s="79"/>
      <c r="D115" s="79">
        <v>500</v>
      </c>
      <c r="E115" s="47">
        <v>1754.4135314790201</v>
      </c>
      <c r="F115" s="47">
        <v>4955.2457497672804</v>
      </c>
    </row>
    <row r="116" spans="3:6" x14ac:dyDescent="0.25">
      <c r="C116" s="79"/>
      <c r="D116" s="79"/>
      <c r="E116" s="47">
        <v>1764.0980164782</v>
      </c>
      <c r="F116" s="47">
        <v>5058.1627543260101</v>
      </c>
    </row>
    <row r="117" spans="3:6" x14ac:dyDescent="0.25">
      <c r="C117" s="79"/>
      <c r="D117" s="79"/>
      <c r="E117" s="47">
        <v>1773.7736041650201</v>
      </c>
      <c r="F117" s="47">
        <v>5124.8483581641203</v>
      </c>
    </row>
    <row r="118" spans="3:6" x14ac:dyDescent="0.25">
      <c r="C118" s="79"/>
      <c r="D118" s="79"/>
      <c r="E118" s="47">
        <v>1784.9477757826301</v>
      </c>
      <c r="F118" s="47">
        <v>5171.8509055223703</v>
      </c>
    </row>
    <row r="119" spans="3:6" x14ac:dyDescent="0.25">
      <c r="C119" s="79"/>
      <c r="D119" s="79"/>
      <c r="E119" s="47">
        <v>1798.5559937999501</v>
      </c>
      <c r="F119" s="47">
        <v>5207.16698890936</v>
      </c>
    </row>
    <row r="120" spans="3:6" x14ac:dyDescent="0.25">
      <c r="C120" s="79"/>
      <c r="D120" s="79"/>
      <c r="E120" s="47">
        <v>1815.3120771305601</v>
      </c>
      <c r="F120" s="47">
        <v>5235.26825970757</v>
      </c>
    </row>
    <row r="121" spans="3:6" x14ac:dyDescent="0.25">
      <c r="C121" s="79"/>
      <c r="D121" s="79"/>
      <c r="E121" s="47">
        <v>1835.8205496017199</v>
      </c>
      <c r="F121" s="47">
        <v>5258.86658744955</v>
      </c>
    </row>
    <row r="122" spans="3:6" x14ac:dyDescent="0.25">
      <c r="C122" s="79"/>
      <c r="D122" s="79"/>
      <c r="E122" s="47">
        <v>1860.62883726475</v>
      </c>
      <c r="F122" s="47">
        <v>5279.7230691463501</v>
      </c>
    </row>
    <row r="123" spans="3:6" x14ac:dyDescent="0.25">
      <c r="C123" s="79"/>
      <c r="D123" s="79"/>
      <c r="E123" s="47">
        <v>1890.25875891803</v>
      </c>
      <c r="F123" s="47">
        <v>5299.09171912492</v>
      </c>
    </row>
    <row r="124" spans="3:6" x14ac:dyDescent="0.25">
      <c r="C124" s="79"/>
      <c r="D124" s="79"/>
      <c r="E124" s="47">
        <v>1925.21279131811</v>
      </c>
      <c r="F124" s="47">
        <v>5317.8922373696196</v>
      </c>
    </row>
    <row r="125" spans="3:6" x14ac:dyDescent="0.25">
      <c r="C125" s="79"/>
      <c r="D125" s="79">
        <v>600</v>
      </c>
      <c r="E125" s="47">
        <v>1772.4867180828401</v>
      </c>
      <c r="F125" s="47">
        <v>5302.4899446323898</v>
      </c>
    </row>
    <row r="126" spans="3:6" x14ac:dyDescent="0.25">
      <c r="C126" s="79"/>
      <c r="D126" s="79"/>
      <c r="E126" s="47">
        <v>1781.7354046683799</v>
      </c>
      <c r="F126" s="47">
        <v>5417.0658856112996</v>
      </c>
    </row>
    <row r="127" spans="3:6" x14ac:dyDescent="0.25">
      <c r="C127" s="79"/>
      <c r="D127" s="79"/>
      <c r="E127" s="47">
        <v>1791.13488794308</v>
      </c>
      <c r="F127" s="47">
        <v>5491.6503798834301</v>
      </c>
    </row>
    <row r="128" spans="3:6" x14ac:dyDescent="0.25">
      <c r="C128" s="79"/>
      <c r="D128" s="79"/>
      <c r="E128" s="47">
        <v>1802.12721734863</v>
      </c>
      <c r="F128" s="47">
        <v>5544.5377353416397</v>
      </c>
    </row>
    <row r="129" spans="3:6" x14ac:dyDescent="0.25">
      <c r="C129" s="79"/>
      <c r="D129" s="79"/>
      <c r="E129" s="47">
        <v>1815.6023701711599</v>
      </c>
      <c r="F129" s="47">
        <v>5584.4789605088599</v>
      </c>
    </row>
    <row r="130" spans="3:6" x14ac:dyDescent="0.25">
      <c r="C130" s="79"/>
      <c r="D130" s="79"/>
      <c r="E130" s="47">
        <v>1832.2500674093501</v>
      </c>
      <c r="F130" s="47">
        <v>5616.3370573124103</v>
      </c>
    </row>
    <row r="131" spans="3:6" x14ac:dyDescent="0.25">
      <c r="C131" s="79"/>
      <c r="D131" s="79"/>
      <c r="E131" s="47">
        <v>1852.6628897360499</v>
      </c>
      <c r="F131" s="47">
        <v>5643.0794144720803</v>
      </c>
    </row>
    <row r="132" spans="3:6" x14ac:dyDescent="0.25">
      <c r="C132" s="79"/>
      <c r="D132" s="79"/>
      <c r="E132" s="47">
        <v>1877.3820168637801</v>
      </c>
      <c r="F132" s="47">
        <v>5666.64710638629</v>
      </c>
    </row>
    <row r="133" spans="3:6" x14ac:dyDescent="0.25">
      <c r="C133" s="79"/>
      <c r="D133" s="79"/>
      <c r="E133" s="47">
        <v>1906.9227880630899</v>
      </c>
      <c r="F133" s="47">
        <v>5688.4085742303396</v>
      </c>
    </row>
    <row r="134" spans="3:6" x14ac:dyDescent="0.25">
      <c r="C134" s="79"/>
      <c r="D134" s="79"/>
      <c r="E134" s="47">
        <v>1941.7843814873199</v>
      </c>
      <c r="F134" s="47">
        <v>5709.3828296495203</v>
      </c>
    </row>
    <row r="135" spans="3:6" x14ac:dyDescent="0.25">
      <c r="C135" s="79"/>
      <c r="D135" s="79">
        <v>700</v>
      </c>
      <c r="E135" s="47">
        <v>1787.8612606783199</v>
      </c>
      <c r="F135" s="47">
        <v>5659.0500581296901</v>
      </c>
    </row>
    <row r="136" spans="3:6" x14ac:dyDescent="0.25">
      <c r="C136" s="79"/>
      <c r="D136" s="79"/>
      <c r="E136" s="47">
        <v>1796.64578264905</v>
      </c>
      <c r="F136" s="47">
        <v>5786.6250988910797</v>
      </c>
    </row>
    <row r="137" spans="3:6" x14ac:dyDescent="0.25">
      <c r="C137" s="79"/>
      <c r="D137" s="79"/>
      <c r="E137" s="47">
        <v>1805.73650806668</v>
      </c>
      <c r="F137" s="47">
        <v>5869.8482671503698</v>
      </c>
    </row>
    <row r="138" spans="3:6" x14ac:dyDescent="0.25">
      <c r="C138" s="79"/>
      <c r="D138" s="79"/>
      <c r="E138" s="47">
        <v>1816.5024204762699</v>
      </c>
      <c r="F138" s="47">
        <v>5928.9501284781099</v>
      </c>
    </row>
    <row r="139" spans="3:6" x14ac:dyDescent="0.25">
      <c r="C139" s="79"/>
      <c r="D139" s="79"/>
      <c r="E139" s="47">
        <v>1829.81254225829</v>
      </c>
      <c r="F139" s="47">
        <v>5973.7319837203904</v>
      </c>
    </row>
    <row r="140" spans="3:6" x14ac:dyDescent="0.25">
      <c r="C140" s="79"/>
      <c r="D140" s="79"/>
      <c r="E140" s="47">
        <v>1846.3292039499099</v>
      </c>
      <c r="F140" s="47">
        <v>6009.5148866710897</v>
      </c>
    </row>
    <row r="141" spans="3:6" x14ac:dyDescent="0.25">
      <c r="C141" s="79"/>
      <c r="D141" s="79"/>
      <c r="E141" s="47">
        <v>1866.6284706634301</v>
      </c>
      <c r="F141" s="47">
        <v>6039.53609223073</v>
      </c>
    </row>
    <row r="142" spans="3:6" x14ac:dyDescent="0.25">
      <c r="C142" s="79"/>
      <c r="D142" s="79"/>
      <c r="E142" s="47">
        <v>1891.2441400063799</v>
      </c>
      <c r="F142" s="47">
        <v>6065.9238690871098</v>
      </c>
    </row>
    <row r="143" spans="3:6" x14ac:dyDescent="0.25">
      <c r="C143" s="79"/>
      <c r="D143" s="79"/>
      <c r="E143" s="47">
        <v>1920.6828133960701</v>
      </c>
      <c r="F143" s="47">
        <v>6090.16199645907</v>
      </c>
    </row>
    <row r="144" spans="3:6" x14ac:dyDescent="0.25">
      <c r="C144" s="79"/>
      <c r="D144" s="79"/>
      <c r="E144" s="47">
        <v>1955.43781682184</v>
      </c>
      <c r="F144" s="47">
        <v>6113.32755313694</v>
      </c>
    </row>
    <row r="145" spans="3:6" x14ac:dyDescent="0.25">
      <c r="C145" s="79"/>
      <c r="D145" s="79">
        <v>800</v>
      </c>
      <c r="E145" s="47">
        <v>1800.7902622141801</v>
      </c>
      <c r="F145" s="47">
        <v>6026.1426282186903</v>
      </c>
    </row>
    <row r="146" spans="3:6" x14ac:dyDescent="0.25">
      <c r="C146" s="79"/>
      <c r="D146" s="79"/>
      <c r="E146" s="47">
        <v>1809.0246666123101</v>
      </c>
      <c r="F146" s="47">
        <v>6166.6101583377203</v>
      </c>
    </row>
    <row r="147" spans="3:6" x14ac:dyDescent="0.25">
      <c r="C147" s="79"/>
      <c r="D147" s="79"/>
      <c r="E147" s="47">
        <v>1817.7598844690001</v>
      </c>
      <c r="F147" s="47">
        <v>6258.5245541530803</v>
      </c>
    </row>
    <row r="148" spans="3:6" x14ac:dyDescent="0.25">
      <c r="C148" s="79"/>
      <c r="D148" s="79"/>
      <c r="E148" s="47">
        <v>1828.27593200969</v>
      </c>
      <c r="F148" s="47">
        <v>6324.0210413575796</v>
      </c>
    </row>
    <row r="149" spans="3:6" x14ac:dyDescent="0.25">
      <c r="C149" s="79"/>
      <c r="D149" s="79"/>
      <c r="E149" s="47">
        <v>1841.39231457095</v>
      </c>
      <c r="F149" s="47">
        <v>6373.7244806540702</v>
      </c>
    </row>
    <row r="150" spans="3:6" x14ac:dyDescent="0.25">
      <c r="C150" s="79"/>
      <c r="D150" s="79"/>
      <c r="E150" s="47">
        <v>1857.7523238418</v>
      </c>
      <c r="F150" s="47">
        <v>6413.4813325852601</v>
      </c>
    </row>
    <row r="151" spans="3:6" x14ac:dyDescent="0.25">
      <c r="C151" s="79"/>
      <c r="D151" s="79"/>
      <c r="E151" s="47">
        <v>1877.92002144912</v>
      </c>
      <c r="F151" s="47">
        <v>6446.8827838716998</v>
      </c>
    </row>
    <row r="152" spans="3:6" x14ac:dyDescent="0.25">
      <c r="C152" s="79"/>
      <c r="D152" s="79"/>
      <c r="E152" s="47">
        <v>1902.4168850589299</v>
      </c>
      <c r="F152" s="47">
        <v>6476.2004875914599</v>
      </c>
    </row>
    <row r="153" spans="3:6" x14ac:dyDescent="0.25">
      <c r="C153" s="79"/>
      <c r="D153" s="79"/>
      <c r="E153" s="47">
        <v>1931.7428688483401</v>
      </c>
      <c r="F153" s="47">
        <v>6503.0205335315304</v>
      </c>
    </row>
    <row r="154" spans="3:6" x14ac:dyDescent="0.25">
      <c r="C154" s="79"/>
      <c r="D154" s="79"/>
      <c r="E154" s="47">
        <v>1966.3845244055599</v>
      </c>
      <c r="F154" s="47">
        <v>6528.5174194739302</v>
      </c>
    </row>
    <row r="155" spans="3:6" x14ac:dyDescent="0.25">
      <c r="C155" s="79"/>
      <c r="D155" s="79">
        <v>900</v>
      </c>
      <c r="E155" s="47">
        <v>1811.4063983337801</v>
      </c>
      <c r="F155" s="47">
        <v>6402.0189404828698</v>
      </c>
    </row>
    <row r="156" spans="3:6" x14ac:dyDescent="0.25">
      <c r="C156" s="79"/>
      <c r="D156" s="79"/>
      <c r="E156" s="47">
        <v>1819.0770277885099</v>
      </c>
      <c r="F156" s="47">
        <v>6557.0572868352201</v>
      </c>
    </row>
    <row r="157" spans="3:6" x14ac:dyDescent="0.25">
      <c r="C157" s="79"/>
      <c r="D157" s="79"/>
      <c r="E157" s="47">
        <v>1827.4308179222101</v>
      </c>
      <c r="F157" s="47">
        <v>6658.53866566746</v>
      </c>
    </row>
    <row r="158" spans="3:6" x14ac:dyDescent="0.25">
      <c r="C158" s="79"/>
      <c r="D158" s="79"/>
      <c r="E158" s="47">
        <v>1837.67433911226</v>
      </c>
      <c r="F158" s="47">
        <v>6730.9323322185401</v>
      </c>
    </row>
    <row r="159" spans="3:6" x14ac:dyDescent="0.25">
      <c r="C159" s="79"/>
      <c r="D159" s="79"/>
      <c r="E159" s="47">
        <v>1850.58234755686</v>
      </c>
      <c r="F159" s="47">
        <v>6785.9152481335104</v>
      </c>
    </row>
    <row r="160" spans="3:6" x14ac:dyDescent="0.25">
      <c r="C160" s="79"/>
      <c r="D160" s="79"/>
      <c r="E160" s="47">
        <v>1866.7738046516299</v>
      </c>
      <c r="F160" s="47">
        <v>6829.8969069872201</v>
      </c>
    </row>
    <row r="161" spans="3:6" x14ac:dyDescent="0.25">
      <c r="C161" s="79"/>
      <c r="D161" s="79"/>
      <c r="E161" s="47">
        <v>1886.7953530986499</v>
      </c>
      <c r="F161" s="47">
        <v>6866.7485399001098</v>
      </c>
    </row>
    <row r="162" spans="3:6" x14ac:dyDescent="0.25">
      <c r="C162" s="79"/>
      <c r="D162" s="79"/>
      <c r="E162" s="47">
        <v>1911.16090902823</v>
      </c>
      <c r="F162" s="47">
        <v>6898.9899571138303</v>
      </c>
    </row>
    <row r="163" spans="3:6" x14ac:dyDescent="0.25">
      <c r="C163" s="79"/>
      <c r="D163" s="79"/>
      <c r="E163" s="47">
        <v>1940.36403000104</v>
      </c>
      <c r="F163" s="47">
        <v>6928.4167344262896</v>
      </c>
    </row>
    <row r="164" spans="3:6" x14ac:dyDescent="0.25">
      <c r="C164" s="79"/>
      <c r="D164" s="79"/>
      <c r="E164" s="47">
        <v>1974.8848895098799</v>
      </c>
      <c r="F164" s="47">
        <v>6956.2363570439002</v>
      </c>
    </row>
    <row r="165" spans="3:6" x14ac:dyDescent="0.25">
      <c r="C165" s="79"/>
      <c r="D165" s="79">
        <v>1000</v>
      </c>
      <c r="E165" s="47">
        <v>1819.926115966</v>
      </c>
      <c r="F165" s="47">
        <v>6787.9906617441202</v>
      </c>
    </row>
    <row r="166" spans="3:6" x14ac:dyDescent="0.25">
      <c r="C166" s="79"/>
      <c r="D166" s="79"/>
      <c r="E166" s="47">
        <v>1826.9700465854601</v>
      </c>
      <c r="F166" s="47">
        <v>6957.3202497019402</v>
      </c>
    </row>
    <row r="167" spans="3:6" x14ac:dyDescent="0.25">
      <c r="C167" s="79"/>
      <c r="D167" s="79"/>
      <c r="E167" s="47">
        <v>1834.9127244127401</v>
      </c>
      <c r="F167" s="47">
        <v>7068.3293279909203</v>
      </c>
    </row>
    <row r="168" spans="3:6" x14ac:dyDescent="0.25">
      <c r="C168" s="79"/>
      <c r="D168" s="79"/>
      <c r="E168" s="47">
        <v>1844.86097471176</v>
      </c>
      <c r="F168" s="47">
        <v>7147.6232722848599</v>
      </c>
    </row>
    <row r="169" spans="3:6" x14ac:dyDescent="0.25">
      <c r="C169" s="79"/>
      <c r="D169" s="79"/>
      <c r="E169" s="47">
        <v>1857.5442097287601</v>
      </c>
      <c r="F169" s="47">
        <v>7207.9733023300696</v>
      </c>
    </row>
    <row r="170" spans="3:6" x14ac:dyDescent="0.25">
      <c r="C170" s="79"/>
      <c r="D170" s="79"/>
      <c r="E170" s="47">
        <v>1873.5539566413599</v>
      </c>
      <c r="F170" s="47">
        <v>7256.2873294321998</v>
      </c>
    </row>
    <row r="171" spans="3:6" x14ac:dyDescent="0.25">
      <c r="C171" s="79"/>
      <c r="D171" s="79"/>
      <c r="E171" s="47">
        <v>1893.4223987181599</v>
      </c>
      <c r="F171" s="47">
        <v>7296.7571749266199</v>
      </c>
    </row>
    <row r="172" spans="3:6" x14ac:dyDescent="0.25">
      <c r="C172" s="79"/>
      <c r="D172" s="79"/>
      <c r="E172" s="47">
        <v>1917.65140322862</v>
      </c>
      <c r="F172" s="47">
        <v>7332.0986701073598</v>
      </c>
    </row>
    <row r="173" spans="3:6" x14ac:dyDescent="0.25">
      <c r="C173" s="79"/>
      <c r="D173" s="79"/>
      <c r="E173" s="47">
        <v>1946.7259717898201</v>
      </c>
      <c r="F173" s="47">
        <v>7364.1947733487305</v>
      </c>
    </row>
    <row r="174" spans="3:6" x14ac:dyDescent="0.25">
      <c r="C174" s="79"/>
      <c r="D174" s="79"/>
      <c r="E174" s="47">
        <v>1981.1226515799699</v>
      </c>
      <c r="F174" s="47">
        <v>7394.4259450539103</v>
      </c>
    </row>
    <row r="175" spans="3:6" x14ac:dyDescent="0.25">
      <c r="C175" s="79"/>
      <c r="D175" s="79">
        <v>1100</v>
      </c>
      <c r="E175" s="47">
        <v>1826.4949258506399</v>
      </c>
      <c r="F175" s="47">
        <v>7182.4627106406797</v>
      </c>
    </row>
    <row r="176" spans="3:6" x14ac:dyDescent="0.25">
      <c r="C176" s="79"/>
      <c r="D176" s="79"/>
      <c r="E176" s="47">
        <v>1832.8993372320399</v>
      </c>
      <c r="F176" s="47">
        <v>7367.8403895760603</v>
      </c>
    </row>
    <row r="177" spans="3:6" x14ac:dyDescent="0.25">
      <c r="C177" s="79"/>
      <c r="D177" s="79"/>
      <c r="E177" s="47">
        <v>1840.41506547224</v>
      </c>
      <c r="F177" s="47">
        <v>7489.3972866720796</v>
      </c>
    </row>
    <row r="178" spans="3:6" x14ac:dyDescent="0.25">
      <c r="C178" s="79"/>
      <c r="D178" s="79"/>
      <c r="E178" s="47">
        <v>1850.05331895922</v>
      </c>
      <c r="F178" s="47">
        <v>7576.2125932679601</v>
      </c>
    </row>
    <row r="179" spans="3:6" x14ac:dyDescent="0.25">
      <c r="C179" s="79"/>
      <c r="D179" s="79"/>
      <c r="E179" s="47">
        <v>1862.4982734261</v>
      </c>
      <c r="F179" s="47">
        <v>7642.2297478881001</v>
      </c>
    </row>
    <row r="180" spans="3:6" x14ac:dyDescent="0.25">
      <c r="C180" s="79"/>
      <c r="D180" s="79"/>
      <c r="E180" s="47">
        <v>1878.3137349748199</v>
      </c>
      <c r="F180" s="47">
        <v>7694.9636175736496</v>
      </c>
    </row>
    <row r="181" spans="3:6" x14ac:dyDescent="0.25">
      <c r="C181" s="79"/>
      <c r="D181" s="79"/>
      <c r="E181" s="47">
        <v>1898.0165107809601</v>
      </c>
      <c r="F181" s="47">
        <v>7739.0374429353897</v>
      </c>
    </row>
    <row r="182" spans="3:6" x14ac:dyDescent="0.25">
      <c r="C182" s="79"/>
      <c r="D182" s="79"/>
      <c r="E182" s="47">
        <v>1922.09953463228</v>
      </c>
      <c r="F182" s="47">
        <v>7777.4761758712302</v>
      </c>
    </row>
    <row r="183" spans="3:6" x14ac:dyDescent="0.25">
      <c r="C183" s="79"/>
      <c r="D183" s="79"/>
      <c r="E183" s="47">
        <v>1951.0399395033301</v>
      </c>
      <c r="F183" s="47">
        <v>7812.2918769549096</v>
      </c>
    </row>
    <row r="184" spans="3:6" x14ac:dyDescent="0.25">
      <c r="C184" s="79"/>
      <c r="D184" s="79"/>
      <c r="E184" s="47">
        <v>1985.3080969150701</v>
      </c>
      <c r="F184" s="47">
        <v>7844.9371613869298</v>
      </c>
    </row>
    <row r="185" spans="3:6" x14ac:dyDescent="0.25">
      <c r="C185" s="79"/>
      <c r="D185" s="79">
        <v>1200</v>
      </c>
      <c r="E185" s="47">
        <v>1831.28578588562</v>
      </c>
      <c r="F185" s="47">
        <v>7586.1378427173204</v>
      </c>
    </row>
    <row r="186" spans="3:6" x14ac:dyDescent="0.25">
      <c r="C186" s="79"/>
      <c r="D186" s="79"/>
      <c r="E186" s="47">
        <v>1836.99998034586</v>
      </c>
      <c r="F186" s="47">
        <v>7787.1763689467598</v>
      </c>
    </row>
    <row r="187" spans="3:6" x14ac:dyDescent="0.25">
      <c r="C187" s="79"/>
      <c r="D187" s="79"/>
      <c r="E187" s="47">
        <v>1844.0628614981199</v>
      </c>
      <c r="F187" s="47">
        <v>7919.0778195821304</v>
      </c>
    </row>
    <row r="188" spans="3:6" x14ac:dyDescent="0.25">
      <c r="C188" s="79"/>
      <c r="D188" s="79"/>
      <c r="E188" s="47">
        <v>1853.37691785124</v>
      </c>
      <c r="F188" s="47">
        <v>8013.4157234928898</v>
      </c>
    </row>
    <row r="189" spans="3:6" x14ac:dyDescent="0.25">
      <c r="C189" s="79"/>
      <c r="D189" s="79"/>
      <c r="E189" s="47">
        <v>1865.5767761639099</v>
      </c>
      <c r="F189" s="47">
        <v>8085.19346395906</v>
      </c>
    </row>
    <row r="190" spans="3:6" x14ac:dyDescent="0.25">
      <c r="C190" s="79"/>
      <c r="D190" s="79"/>
      <c r="E190" s="47">
        <v>1881.1938210430301</v>
      </c>
      <c r="F190" s="47">
        <v>8142.6465219513602</v>
      </c>
    </row>
    <row r="191" spans="3:6" x14ac:dyDescent="0.25">
      <c r="C191" s="79"/>
      <c r="D191" s="79"/>
      <c r="E191" s="47">
        <v>1900.7295752023899</v>
      </c>
      <c r="F191" s="47">
        <v>8190.6849871454797</v>
      </c>
    </row>
    <row r="192" spans="3:6" x14ac:dyDescent="0.25">
      <c r="C192" s="79"/>
      <c r="D192" s="79"/>
      <c r="E192" s="47">
        <v>1924.6643084562199</v>
      </c>
      <c r="F192" s="47">
        <v>8232.4623041429295</v>
      </c>
    </row>
    <row r="193" spans="3:6" x14ac:dyDescent="0.25">
      <c r="C193" s="79"/>
      <c r="D193" s="79"/>
      <c r="E193" s="47">
        <v>1953.4687242152199</v>
      </c>
      <c r="F193" s="47">
        <v>8270.1668916117706</v>
      </c>
    </row>
    <row r="194" spans="3:6" x14ac:dyDescent="0.25">
      <c r="C194" s="79"/>
      <c r="D194" s="79"/>
      <c r="E194" s="47">
        <v>1987.6080835462801</v>
      </c>
      <c r="F194" s="47">
        <v>8305.3708602464994</v>
      </c>
    </row>
    <row r="195" spans="3:6" x14ac:dyDescent="0.25">
      <c r="C195" s="79">
        <v>-10</v>
      </c>
      <c r="D195" s="79">
        <v>200</v>
      </c>
      <c r="E195" s="47">
        <v>1749.9966246960901</v>
      </c>
      <c r="F195" s="47">
        <v>4583.2819882669801</v>
      </c>
    </row>
    <row r="196" spans="3:6" x14ac:dyDescent="0.25">
      <c r="C196" s="79"/>
      <c r="D196" s="79"/>
      <c r="E196" s="47">
        <v>1749.9966246960901</v>
      </c>
      <c r="F196" s="47">
        <v>4583.2819882669801</v>
      </c>
    </row>
    <row r="197" spans="3:6" x14ac:dyDescent="0.25">
      <c r="C197" s="79"/>
      <c r="D197" s="79"/>
      <c r="E197" s="47">
        <v>1749.9966246960901</v>
      </c>
      <c r="F197" s="47">
        <v>4583.2819882669801</v>
      </c>
    </row>
    <row r="198" spans="3:6" x14ac:dyDescent="0.25">
      <c r="C198" s="79"/>
      <c r="D198" s="79"/>
      <c r="E198" s="47">
        <v>1749.9966246960901</v>
      </c>
      <c r="F198" s="47">
        <v>4583.2819882669801</v>
      </c>
    </row>
    <row r="199" spans="3:6" x14ac:dyDescent="0.25">
      <c r="C199" s="79"/>
      <c r="D199" s="79"/>
      <c r="E199" s="47">
        <v>1763.59251808106</v>
      </c>
      <c r="F199" s="47">
        <v>4609.1069396008497</v>
      </c>
    </row>
    <row r="200" spans="3:6" x14ac:dyDescent="0.25">
      <c r="C200" s="79"/>
      <c r="D200" s="79"/>
      <c r="E200" s="47">
        <v>1780.30710780295</v>
      </c>
      <c r="F200" s="47">
        <v>4629.1139868238897</v>
      </c>
    </row>
    <row r="201" spans="3:6" x14ac:dyDescent="0.25">
      <c r="C201" s="79"/>
      <c r="D201" s="79"/>
      <c r="E201" s="47">
        <v>1800.7686115611</v>
      </c>
      <c r="F201" s="47">
        <v>4645.6837371073898</v>
      </c>
    </row>
    <row r="202" spans="3:6" x14ac:dyDescent="0.25">
      <c r="C202" s="79"/>
      <c r="D202" s="79"/>
      <c r="E202" s="47">
        <v>1825.5437017445799</v>
      </c>
      <c r="F202" s="47">
        <v>4660.3874959168297</v>
      </c>
    </row>
    <row r="203" spans="3:6" x14ac:dyDescent="0.25">
      <c r="C203" s="79"/>
      <c r="D203" s="79"/>
      <c r="E203" s="47">
        <v>1855.1643443586099</v>
      </c>
      <c r="F203" s="47">
        <v>4674.3157833047599</v>
      </c>
    </row>
    <row r="204" spans="3:6" x14ac:dyDescent="0.25">
      <c r="C204" s="79"/>
      <c r="D204" s="79"/>
      <c r="E204" s="47">
        <v>1890.14044751956</v>
      </c>
      <c r="F204" s="47">
        <v>4688.2622906131601</v>
      </c>
    </row>
    <row r="205" spans="3:6" x14ac:dyDescent="0.25">
      <c r="C205" s="79"/>
      <c r="D205" s="79">
        <v>300</v>
      </c>
      <c r="E205" s="47">
        <v>1740.5609417077501</v>
      </c>
      <c r="F205" s="47">
        <v>4725.7850346663599</v>
      </c>
    </row>
    <row r="206" spans="3:6" x14ac:dyDescent="0.25">
      <c r="C206" s="79"/>
      <c r="D206" s="79"/>
      <c r="E206" s="47">
        <v>1750.52652481365</v>
      </c>
      <c r="F206" s="47">
        <v>4821.56290528103</v>
      </c>
    </row>
    <row r="207" spans="3:6" x14ac:dyDescent="0.25">
      <c r="C207" s="79"/>
      <c r="D207" s="79"/>
      <c r="E207" s="47">
        <v>1760.3398590510401</v>
      </c>
      <c r="F207" s="47">
        <v>4882.8023430988997</v>
      </c>
    </row>
    <row r="208" spans="3:6" x14ac:dyDescent="0.25">
      <c r="C208" s="79"/>
      <c r="D208" s="79"/>
      <c r="E208" s="47">
        <v>1771.57997204771</v>
      </c>
      <c r="F208" s="47">
        <v>4925.3448146651399</v>
      </c>
    </row>
    <row r="209" spans="3:6" x14ac:dyDescent="0.25">
      <c r="C209" s="79"/>
      <c r="D209" s="79"/>
      <c r="E209" s="47">
        <v>1785.2156796603799</v>
      </c>
      <c r="F209" s="47">
        <v>4956.8615967250998</v>
      </c>
    </row>
    <row r="210" spans="3:6" x14ac:dyDescent="0.25">
      <c r="C210" s="79"/>
      <c r="D210" s="79"/>
      <c r="E210" s="47">
        <v>1801.9760542658601</v>
      </c>
      <c r="F210" s="47">
        <v>4981.6188785951499</v>
      </c>
    </row>
    <row r="211" spans="3:6" x14ac:dyDescent="0.25">
      <c r="C211" s="79"/>
      <c r="D211" s="79"/>
      <c r="E211" s="47">
        <v>1822.48565339165</v>
      </c>
      <c r="F211" s="47">
        <v>5002.2805283012804</v>
      </c>
    </row>
    <row r="212" spans="3:6" x14ac:dyDescent="0.25">
      <c r="C212" s="79"/>
      <c r="D212" s="79"/>
      <c r="E212" s="47">
        <v>1847.29455413709</v>
      </c>
      <c r="F212" s="47">
        <v>5020.5081115949597</v>
      </c>
    </row>
    <row r="213" spans="3:6" x14ac:dyDescent="0.25">
      <c r="C213" s="79"/>
      <c r="D213" s="79"/>
      <c r="E213" s="47">
        <v>1876.93068655143</v>
      </c>
      <c r="F213" s="47">
        <v>5037.5065334013798</v>
      </c>
    </row>
    <row r="214" spans="3:6" x14ac:dyDescent="0.25">
      <c r="C214" s="79"/>
      <c r="D214" s="79"/>
      <c r="E214" s="47">
        <v>1911.8998609026501</v>
      </c>
      <c r="F214" s="47">
        <v>5054.1514122437002</v>
      </c>
    </row>
    <row r="215" spans="3:6" x14ac:dyDescent="0.25">
      <c r="C215" s="79"/>
      <c r="D215" s="79">
        <v>400</v>
      </c>
      <c r="E215" s="47">
        <v>1759.9926464764201</v>
      </c>
      <c r="F215" s="47">
        <v>5055.8373877064996</v>
      </c>
    </row>
    <row r="216" spans="3:6" x14ac:dyDescent="0.25">
      <c r="C216" s="79"/>
      <c r="D216" s="79"/>
      <c r="E216" s="47">
        <v>1769.55496695036</v>
      </c>
      <c r="F216" s="47">
        <v>5162.1289192230197</v>
      </c>
    </row>
    <row r="217" spans="3:6" x14ac:dyDescent="0.25">
      <c r="C217" s="79"/>
      <c r="D217" s="79"/>
      <c r="E217" s="47">
        <v>1779.1515938367199</v>
      </c>
      <c r="F217" s="47">
        <v>5231.1021135024303</v>
      </c>
    </row>
    <row r="218" spans="3:6" x14ac:dyDescent="0.25">
      <c r="C218" s="79"/>
      <c r="D218" s="79"/>
      <c r="E218" s="47">
        <v>1790.2836094756699</v>
      </c>
      <c r="F218" s="47">
        <v>5279.8547815448901</v>
      </c>
    </row>
    <row r="219" spans="3:6" x14ac:dyDescent="0.25">
      <c r="C219" s="79"/>
      <c r="D219" s="79"/>
      <c r="E219" s="47">
        <v>1803.8620747268501</v>
      </c>
      <c r="F219" s="47">
        <v>5316.5582928131198</v>
      </c>
    </row>
    <row r="220" spans="3:6" x14ac:dyDescent="0.25">
      <c r="C220" s="79"/>
      <c r="D220" s="79"/>
      <c r="E220" s="47">
        <v>1820.5913784926699</v>
      </c>
      <c r="F220" s="47">
        <v>5345.7709469973297</v>
      </c>
    </row>
    <row r="221" spans="3:6" x14ac:dyDescent="0.25">
      <c r="C221" s="79"/>
      <c r="D221" s="79"/>
      <c r="E221" s="47">
        <v>1841.07306690256</v>
      </c>
      <c r="F221" s="47">
        <v>5370.2804577737497</v>
      </c>
    </row>
    <row r="222" spans="3:6" x14ac:dyDescent="0.25">
      <c r="C222" s="79"/>
      <c r="D222" s="79"/>
      <c r="E222" s="47">
        <v>1865.8662774325801</v>
      </c>
      <c r="F222" s="47">
        <v>5391.9842998455697</v>
      </c>
    </row>
    <row r="223" spans="3:6" x14ac:dyDescent="0.25">
      <c r="C223" s="79"/>
      <c r="D223" s="79"/>
      <c r="E223" s="47">
        <v>1895.47163769179</v>
      </c>
      <c r="F223" s="47">
        <v>5412.03636115887</v>
      </c>
    </row>
    <row r="224" spans="3:6" x14ac:dyDescent="0.25">
      <c r="C224" s="79"/>
      <c r="D224" s="79"/>
      <c r="E224" s="47">
        <v>1930.3996581967899</v>
      </c>
      <c r="F224" s="47">
        <v>5431.4469641009</v>
      </c>
    </row>
    <row r="225" spans="3:6" x14ac:dyDescent="0.25">
      <c r="C225" s="79"/>
      <c r="D225" s="79">
        <v>500</v>
      </c>
      <c r="E225" s="47">
        <v>1786.40263868477</v>
      </c>
      <c r="F225" s="47">
        <v>5524.7974175326299</v>
      </c>
    </row>
    <row r="226" spans="3:6" x14ac:dyDescent="0.25">
      <c r="C226" s="79"/>
      <c r="D226" s="79"/>
      <c r="E226" s="47">
        <v>1786.40263868477</v>
      </c>
      <c r="F226" s="47">
        <v>5524.7974175326299</v>
      </c>
    </row>
    <row r="227" spans="3:6" x14ac:dyDescent="0.25">
      <c r="C227" s="79"/>
      <c r="D227" s="79"/>
      <c r="E227" s="47">
        <v>1795.71008317767</v>
      </c>
      <c r="F227" s="47">
        <v>5601.72697141342</v>
      </c>
    </row>
    <row r="228" spans="3:6" x14ac:dyDescent="0.25">
      <c r="C228" s="79"/>
      <c r="D228" s="79"/>
      <c r="E228" s="47">
        <v>1806.6308957839401</v>
      </c>
      <c r="F228" s="47">
        <v>5656.2934059071504</v>
      </c>
    </row>
    <row r="229" spans="3:6" x14ac:dyDescent="0.25">
      <c r="C229" s="79"/>
      <c r="D229" s="79"/>
      <c r="E229" s="47">
        <v>1820.0538180894901</v>
      </c>
      <c r="F229" s="47">
        <v>5697.5380345949497</v>
      </c>
    </row>
    <row r="230" spans="3:6" x14ac:dyDescent="0.25">
      <c r="C230" s="79"/>
      <c r="D230" s="79"/>
      <c r="E230" s="47">
        <v>1836.6663402516201</v>
      </c>
      <c r="F230" s="47">
        <v>5730.5174559636298</v>
      </c>
    </row>
    <row r="231" spans="3:6" x14ac:dyDescent="0.25">
      <c r="C231" s="79"/>
      <c r="D231" s="79"/>
      <c r="E231" s="47">
        <v>1857.0495558794601</v>
      </c>
      <c r="F231" s="47">
        <v>5758.2150773536896</v>
      </c>
    </row>
    <row r="232" spans="3:6" x14ac:dyDescent="0.25">
      <c r="C232" s="79"/>
      <c r="D232" s="79"/>
      <c r="E232" s="47">
        <v>1881.7418020145601</v>
      </c>
      <c r="F232" s="47">
        <v>5782.6207953453904</v>
      </c>
    </row>
    <row r="233" spans="3:6" x14ac:dyDescent="0.25">
      <c r="C233" s="79"/>
      <c r="D233" s="79"/>
      <c r="E233" s="47">
        <v>1911.2561798970501</v>
      </c>
      <c r="F233" s="47">
        <v>5805.1277005149695</v>
      </c>
    </row>
    <row r="234" spans="3:6" x14ac:dyDescent="0.25">
      <c r="C234" s="79"/>
      <c r="D234" s="79"/>
      <c r="E234" s="47">
        <v>1946.08811444193</v>
      </c>
      <c r="F234" s="47">
        <v>5826.7513491522504</v>
      </c>
    </row>
    <row r="235" spans="3:6" x14ac:dyDescent="0.25">
      <c r="C235" s="79"/>
      <c r="D235" s="79">
        <v>600</v>
      </c>
      <c r="E235" s="47">
        <v>1791.89364799591</v>
      </c>
      <c r="F235" s="47">
        <v>5765.4833849367797</v>
      </c>
    </row>
    <row r="236" spans="3:6" x14ac:dyDescent="0.25">
      <c r="C236" s="79"/>
      <c r="D236" s="79"/>
      <c r="E236" s="47">
        <v>1800.5218190569501</v>
      </c>
      <c r="F236" s="47">
        <v>5896.7960444601804</v>
      </c>
    </row>
    <row r="237" spans="3:6" x14ac:dyDescent="0.25">
      <c r="C237" s="79"/>
      <c r="D237" s="79"/>
      <c r="E237" s="47">
        <v>1809.5127627275899</v>
      </c>
      <c r="F237" s="47">
        <v>5982.5613955359504</v>
      </c>
    </row>
    <row r="238" spans="3:6" x14ac:dyDescent="0.25">
      <c r="C238" s="79"/>
      <c r="D238" s="79"/>
      <c r="E238" s="47">
        <v>1820.2125599875801</v>
      </c>
      <c r="F238" s="47">
        <v>6043.5652497601704</v>
      </c>
    </row>
    <row r="239" spans="3:6" x14ac:dyDescent="0.25">
      <c r="C239" s="79"/>
      <c r="D239" s="79"/>
      <c r="E239" s="47">
        <v>1833.4676518630899</v>
      </c>
      <c r="F239" s="47">
        <v>6089.7768500755501</v>
      </c>
    </row>
    <row r="240" spans="3:6" x14ac:dyDescent="0.25">
      <c r="C240" s="79"/>
      <c r="D240" s="79"/>
      <c r="E240" s="47">
        <v>1849.93891213753</v>
      </c>
      <c r="F240" s="47">
        <v>6126.7032588885704</v>
      </c>
    </row>
    <row r="241" spans="3:6" x14ac:dyDescent="0.25">
      <c r="C241" s="79"/>
      <c r="D241" s="79"/>
      <c r="E241" s="47">
        <v>1870.1994567202401</v>
      </c>
      <c r="F241" s="47">
        <v>6157.6796925236304</v>
      </c>
    </row>
    <row r="242" spans="3:6" x14ac:dyDescent="0.25">
      <c r="C242" s="79"/>
      <c r="D242" s="79"/>
      <c r="E242" s="47">
        <v>1894.7807228209999</v>
      </c>
      <c r="F242" s="47">
        <v>6184.90370109798</v>
      </c>
    </row>
    <row r="243" spans="3:6" x14ac:dyDescent="0.25">
      <c r="C243" s="79"/>
      <c r="D243" s="79"/>
      <c r="E243" s="47">
        <v>1924.1897234016701</v>
      </c>
      <c r="F243" s="47">
        <v>6209.9213140373404</v>
      </c>
    </row>
    <row r="244" spans="3:6" x14ac:dyDescent="0.25">
      <c r="C244" s="79"/>
      <c r="D244" s="79"/>
      <c r="E244" s="47">
        <v>1958.91423244409</v>
      </c>
      <c r="F244" s="47">
        <v>6233.7961734719902</v>
      </c>
    </row>
    <row r="245" spans="3:6" x14ac:dyDescent="0.25">
      <c r="C245" s="79"/>
      <c r="D245" s="79">
        <v>700</v>
      </c>
      <c r="E245" s="47">
        <v>1804.1539017400801</v>
      </c>
      <c r="F245" s="47">
        <v>6136.1500806101503</v>
      </c>
    </row>
    <row r="246" spans="3:6" x14ac:dyDescent="0.25">
      <c r="C246" s="79"/>
      <c r="D246" s="79"/>
      <c r="E246" s="47">
        <v>1812.2207648753599</v>
      </c>
      <c r="F246" s="47">
        <v>6280.5129729465898</v>
      </c>
    </row>
    <row r="247" spans="3:6" x14ac:dyDescent="0.25">
      <c r="C247" s="79"/>
      <c r="D247" s="79"/>
      <c r="E247" s="47">
        <v>1820.8401980051401</v>
      </c>
      <c r="F247" s="47">
        <v>6374.9728845494201</v>
      </c>
    </row>
    <row r="248" spans="3:6" x14ac:dyDescent="0.25">
      <c r="C248" s="79"/>
      <c r="D248" s="79"/>
      <c r="E248" s="47">
        <v>1831.27460452844</v>
      </c>
      <c r="F248" s="47">
        <v>6442.3286066833198</v>
      </c>
    </row>
    <row r="249" spans="3:6" x14ac:dyDescent="0.25">
      <c r="C249" s="79"/>
      <c r="D249" s="79"/>
      <c r="E249" s="47">
        <v>1844.3309941827899</v>
      </c>
      <c r="F249" s="47">
        <v>6493.5160847460802</v>
      </c>
    </row>
    <row r="250" spans="3:6" x14ac:dyDescent="0.25">
      <c r="C250" s="79"/>
      <c r="D250" s="79"/>
      <c r="E250" s="47">
        <v>1860.6420706737099</v>
      </c>
      <c r="F250" s="47">
        <v>6534.4836324678899</v>
      </c>
    </row>
    <row r="251" spans="3:6" x14ac:dyDescent="0.25">
      <c r="C251" s="79"/>
      <c r="D251" s="79"/>
      <c r="E251" s="47">
        <v>1880.7673291184301</v>
      </c>
      <c r="F251" s="47">
        <v>6568.8562745384397</v>
      </c>
    </row>
    <row r="252" spans="3:6" x14ac:dyDescent="0.25">
      <c r="C252" s="79"/>
      <c r="D252" s="79"/>
      <c r="E252" s="47">
        <v>1905.2251338482999</v>
      </c>
      <c r="F252" s="47">
        <v>6598.9973133517597</v>
      </c>
    </row>
    <row r="253" spans="3:6" x14ac:dyDescent="0.25">
      <c r="C253" s="79"/>
      <c r="D253" s="79"/>
      <c r="E253" s="47">
        <v>1934.51460617923</v>
      </c>
      <c r="F253" s="47">
        <v>6626.54763898288</v>
      </c>
    </row>
    <row r="254" spans="3:6" x14ac:dyDescent="0.25">
      <c r="C254" s="79"/>
      <c r="D254" s="79"/>
      <c r="E254" s="47">
        <v>1969.1208214307301</v>
      </c>
      <c r="F254" s="47">
        <v>6652.6940346452802</v>
      </c>
    </row>
    <row r="255" spans="3:6" x14ac:dyDescent="0.25">
      <c r="C255" s="79"/>
      <c r="D255" s="79">
        <v>800</v>
      </c>
      <c r="E255" s="47">
        <v>1814.11272888496</v>
      </c>
      <c r="F255" s="47">
        <v>6514.0639617008301</v>
      </c>
    </row>
    <row r="256" spans="3:6" x14ac:dyDescent="0.25">
      <c r="C256" s="79"/>
      <c r="D256" s="79"/>
      <c r="E256" s="47">
        <v>1821.60154393113</v>
      </c>
      <c r="F256" s="47">
        <v>6673.2364207764904</v>
      </c>
    </row>
    <row r="257" spans="3:6" x14ac:dyDescent="0.25">
      <c r="C257" s="79"/>
      <c r="D257" s="79"/>
      <c r="E257" s="47">
        <v>1829.8394135173701</v>
      </c>
      <c r="F257" s="47">
        <v>6777.5193515928204</v>
      </c>
    </row>
    <row r="258" spans="3:6" x14ac:dyDescent="0.25">
      <c r="C258" s="79"/>
      <c r="D258" s="79"/>
      <c r="E258" s="47">
        <v>1839.99794814608</v>
      </c>
      <c r="F258" s="47">
        <v>6851.9209376528797</v>
      </c>
    </row>
    <row r="259" spans="3:6" x14ac:dyDescent="0.25">
      <c r="C259" s="79"/>
      <c r="D259" s="79"/>
      <c r="E259" s="47">
        <v>1852.8413133024201</v>
      </c>
      <c r="F259" s="47">
        <v>6908.4354653858099</v>
      </c>
    </row>
    <row r="260" spans="3:6" x14ac:dyDescent="0.25">
      <c r="C260" s="79"/>
      <c r="D260" s="79"/>
      <c r="E260" s="47">
        <v>1868.9809821854899</v>
      </c>
      <c r="F260" s="47">
        <v>6953.7026278938401</v>
      </c>
    </row>
    <row r="261" spans="3:6" x14ac:dyDescent="0.25">
      <c r="C261" s="79"/>
      <c r="D261" s="79"/>
      <c r="E261" s="47">
        <v>1888.9595112575801</v>
      </c>
      <c r="F261" s="47">
        <v>6991.6367224692403</v>
      </c>
    </row>
    <row r="262" spans="3:6" x14ac:dyDescent="0.25">
      <c r="C262" s="79"/>
      <c r="D262" s="79"/>
      <c r="E262" s="47">
        <v>1913.2863481965001</v>
      </c>
      <c r="F262" s="47">
        <v>7024.8127279663804</v>
      </c>
    </row>
    <row r="263" spans="3:6" x14ac:dyDescent="0.25">
      <c r="C263" s="79"/>
      <c r="D263" s="79"/>
      <c r="E263" s="47">
        <v>1942.45191695724</v>
      </c>
      <c r="F263" s="47">
        <v>7055.0096185728598</v>
      </c>
    </row>
    <row r="264" spans="3:6" x14ac:dyDescent="0.25">
      <c r="C264" s="79"/>
      <c r="D264" s="79"/>
      <c r="E264" s="47">
        <v>1976.9367497804201</v>
      </c>
      <c r="F264" s="47">
        <v>7083.5176376087802</v>
      </c>
    </row>
    <row r="265" spans="3:6" x14ac:dyDescent="0.25">
      <c r="C265" s="79"/>
      <c r="D265" s="79">
        <v>900</v>
      </c>
      <c r="E265" s="47">
        <v>1822.0577837886201</v>
      </c>
      <c r="F265" s="47">
        <v>6903.4132932702196</v>
      </c>
    </row>
    <row r="266" spans="3:6" x14ac:dyDescent="0.25">
      <c r="C266" s="79"/>
      <c r="D266" s="79"/>
      <c r="E266" s="47">
        <v>1828.9108080153501</v>
      </c>
      <c r="F266" s="47">
        <v>7077.0276440676198</v>
      </c>
    </row>
    <row r="267" spans="3:6" x14ac:dyDescent="0.25">
      <c r="C267" s="79"/>
      <c r="D267" s="79"/>
      <c r="E267" s="47">
        <v>1836.72774677899</v>
      </c>
      <c r="F267" s="47">
        <v>7190.8586216593903</v>
      </c>
    </row>
    <row r="268" spans="3:6" x14ac:dyDescent="0.25">
      <c r="C268" s="79"/>
      <c r="D268" s="79"/>
      <c r="E268" s="47">
        <v>1846.5853386875301</v>
      </c>
      <c r="F268" s="47">
        <v>7272.2225735619204</v>
      </c>
    </row>
    <row r="269" spans="3:6" x14ac:dyDescent="0.25">
      <c r="C269" s="79"/>
      <c r="D269" s="79"/>
      <c r="E269" s="47">
        <v>1859.1997342066099</v>
      </c>
      <c r="F269" s="47">
        <v>7334.1128730647197</v>
      </c>
    </row>
    <row r="270" spans="3:6" x14ac:dyDescent="0.25">
      <c r="C270" s="79"/>
      <c r="D270" s="79"/>
      <c r="E270" s="47">
        <v>1875.1539748300299</v>
      </c>
      <c r="F270" s="47">
        <v>7383.6593863327698</v>
      </c>
    </row>
    <row r="271" spans="3:6" x14ac:dyDescent="0.25">
      <c r="C271" s="79"/>
      <c r="D271" s="79"/>
      <c r="E271" s="47">
        <v>1894.97509770136</v>
      </c>
      <c r="F271" s="47">
        <v>7425.20874084139</v>
      </c>
    </row>
    <row r="272" spans="3:6" x14ac:dyDescent="0.25">
      <c r="C272" s="79"/>
      <c r="D272" s="79"/>
      <c r="E272" s="47">
        <v>1919.16163824976</v>
      </c>
      <c r="F272" s="47">
        <v>7461.4881518360498</v>
      </c>
    </row>
    <row r="273" spans="3:6" x14ac:dyDescent="0.25">
      <c r="C273" s="79"/>
      <c r="D273" s="79"/>
      <c r="E273" s="47">
        <v>1948.19713185039</v>
      </c>
      <c r="F273" s="47">
        <v>7494.4130280023901</v>
      </c>
    </row>
    <row r="274" spans="3:6" x14ac:dyDescent="0.25">
      <c r="C274" s="79"/>
      <c r="D274" s="79"/>
      <c r="E274" s="47">
        <v>1982.5561174299301</v>
      </c>
      <c r="F274" s="47">
        <v>7525.3688693445401</v>
      </c>
    </row>
    <row r="275" spans="3:6" x14ac:dyDescent="0.25">
      <c r="C275" s="79"/>
      <c r="D275" s="79">
        <v>1000</v>
      </c>
      <c r="E275" s="47">
        <v>1828.07657387569</v>
      </c>
      <c r="F275" s="47">
        <v>7299.7960371704803</v>
      </c>
    </row>
    <row r="276" spans="3:6" x14ac:dyDescent="0.25">
      <c r="C276" s="79"/>
      <c r="D276" s="79"/>
      <c r="E276" s="47">
        <v>1834.2823783111701</v>
      </c>
      <c r="F276" s="47">
        <v>7489.7015072958902</v>
      </c>
    </row>
    <row r="277" spans="3:6" x14ac:dyDescent="0.25">
      <c r="C277" s="79"/>
      <c r="D277" s="79"/>
      <c r="E277" s="47">
        <v>1841.6666376486</v>
      </c>
      <c r="F277" s="47">
        <v>7614.2561032283502</v>
      </c>
    </row>
    <row r="278" spans="3:6" x14ac:dyDescent="0.25">
      <c r="C278" s="79"/>
      <c r="D278" s="79"/>
      <c r="E278" s="47">
        <v>1851.21004015736</v>
      </c>
      <c r="F278" s="47">
        <v>7703.2994068462604</v>
      </c>
    </row>
    <row r="279" spans="3:6" x14ac:dyDescent="0.25">
      <c r="C279" s="79"/>
      <c r="D279" s="79"/>
      <c r="E279" s="47">
        <v>1863.58287367245</v>
      </c>
      <c r="F279" s="47">
        <v>7771.0061463629499</v>
      </c>
    </row>
    <row r="280" spans="3:6" x14ac:dyDescent="0.25">
      <c r="C280" s="79"/>
      <c r="D280" s="79"/>
      <c r="E280" s="47">
        <v>1879.34287644198</v>
      </c>
      <c r="F280" s="47">
        <v>7825.1684767643401</v>
      </c>
    </row>
    <row r="281" spans="3:6" x14ac:dyDescent="0.25">
      <c r="C281" s="79"/>
      <c r="D281" s="79"/>
      <c r="E281" s="47">
        <v>1898.99972627132</v>
      </c>
      <c r="F281" s="47">
        <v>7870.4607340786197</v>
      </c>
    </row>
    <row r="282" spans="3:6" x14ac:dyDescent="0.25">
      <c r="C282" s="79"/>
      <c r="D282" s="79"/>
      <c r="E282" s="47">
        <v>1923.0392550828501</v>
      </c>
      <c r="F282" s="47">
        <v>7909.9461125354601</v>
      </c>
    </row>
    <row r="283" spans="3:6" x14ac:dyDescent="0.25">
      <c r="C283" s="79"/>
      <c r="D283" s="79"/>
      <c r="E283" s="47">
        <v>1951.9395292824699</v>
      </c>
      <c r="F283" s="47">
        <v>7945.6536134409898</v>
      </c>
    </row>
    <row r="284" spans="3:6" x14ac:dyDescent="0.25">
      <c r="C284" s="79"/>
      <c r="D284" s="79"/>
      <c r="E284" s="47">
        <v>1986.16943393466</v>
      </c>
      <c r="F284" s="47">
        <v>7979.0726440688404</v>
      </c>
    </row>
    <row r="285" spans="3:6" x14ac:dyDescent="0.25">
      <c r="C285" s="79"/>
      <c r="D285" s="79">
        <v>1100</v>
      </c>
      <c r="E285" s="47">
        <v>1832.3747482369299</v>
      </c>
      <c r="F285" s="47">
        <v>7706.6045671065303</v>
      </c>
    </row>
    <row r="286" spans="3:6" x14ac:dyDescent="0.25">
      <c r="C286" s="79"/>
      <c r="D286" s="79"/>
      <c r="E286" s="47">
        <v>1837.8844196349901</v>
      </c>
      <c r="F286" s="47">
        <v>7912.3256289521596</v>
      </c>
    </row>
    <row r="287" spans="3:6" x14ac:dyDescent="0.25">
      <c r="C287" s="79"/>
      <c r="D287" s="79"/>
      <c r="E287" s="47">
        <v>1844.81135137415</v>
      </c>
      <c r="F287" s="47">
        <v>8047.3042622948196</v>
      </c>
    </row>
    <row r="288" spans="3:6" x14ac:dyDescent="0.25">
      <c r="C288" s="79"/>
      <c r="D288" s="79"/>
      <c r="E288" s="47">
        <v>1854.02924538246</v>
      </c>
      <c r="F288" s="47">
        <v>8143.8457684303103</v>
      </c>
    </row>
    <row r="289" spans="3:6" x14ac:dyDescent="0.25">
      <c r="C289" s="79"/>
      <c r="D289" s="79"/>
      <c r="E289" s="47">
        <v>1866.15174926793</v>
      </c>
      <c r="F289" s="47">
        <v>8217.3441314784905</v>
      </c>
    </row>
    <row r="290" spans="3:6" x14ac:dyDescent="0.25">
      <c r="C290" s="79"/>
      <c r="D290" s="79"/>
      <c r="E290" s="47">
        <v>1881.7099481411101</v>
      </c>
      <c r="F290" s="47">
        <v>8276.1481133963007</v>
      </c>
    </row>
    <row r="291" spans="3:6" x14ac:dyDescent="0.25">
      <c r="C291" s="79"/>
      <c r="D291" s="79"/>
      <c r="E291" s="47">
        <v>1901.1972521334801</v>
      </c>
      <c r="F291" s="47">
        <v>8325.2851468206409</v>
      </c>
    </row>
    <row r="292" spans="3:6" x14ac:dyDescent="0.25">
      <c r="C292" s="79"/>
      <c r="D292" s="79"/>
      <c r="E292" s="47">
        <v>1925.0887634885501</v>
      </c>
      <c r="F292" s="47">
        <v>8368.0238930796604</v>
      </c>
    </row>
    <row r="293" spans="3:6" x14ac:dyDescent="0.25">
      <c r="C293" s="79"/>
      <c r="D293" s="79"/>
      <c r="E293" s="47">
        <v>1953.8510228079399</v>
      </c>
      <c r="F293" s="47">
        <v>8406.5952367836308</v>
      </c>
    </row>
    <row r="294" spans="3:6" x14ac:dyDescent="0.25">
      <c r="C294" s="79"/>
      <c r="D294" s="79"/>
      <c r="E294" s="47">
        <v>1987.95010470592</v>
      </c>
      <c r="F294" s="47">
        <v>8442.5673224434104</v>
      </c>
    </row>
    <row r="295" spans="3:6" x14ac:dyDescent="0.25">
      <c r="C295" s="79"/>
      <c r="D295" s="79">
        <v>1200</v>
      </c>
      <c r="E295" s="47">
        <v>1835.0649575177599</v>
      </c>
      <c r="F295" s="47">
        <v>8120.7290025888497</v>
      </c>
    </row>
    <row r="296" spans="3:6" x14ac:dyDescent="0.25">
      <c r="C296" s="79"/>
      <c r="D296" s="79"/>
      <c r="E296" s="47">
        <v>1839.8685598496199</v>
      </c>
      <c r="F296" s="47">
        <v>8344.1094882437792</v>
      </c>
    </row>
    <row r="297" spans="3:6" x14ac:dyDescent="0.25">
      <c r="C297" s="79"/>
      <c r="D297" s="79"/>
      <c r="E297" s="47">
        <v>1846.32503511449</v>
      </c>
      <c r="F297" s="47">
        <v>8490.6721901097699</v>
      </c>
    </row>
    <row r="298" spans="3:6" x14ac:dyDescent="0.25">
      <c r="C298" s="79"/>
      <c r="D298" s="79"/>
      <c r="E298" s="47">
        <v>1855.2087009468601</v>
      </c>
      <c r="F298" s="47">
        <v>8595.4422452559993</v>
      </c>
    </row>
    <row r="299" spans="3:6" x14ac:dyDescent="0.25">
      <c r="C299" s="79"/>
      <c r="D299" s="79"/>
      <c r="E299" s="47">
        <v>1867.07087250417</v>
      </c>
      <c r="F299" s="47">
        <v>8675.1320146120306</v>
      </c>
    </row>
    <row r="300" spans="3:6" x14ac:dyDescent="0.25">
      <c r="C300" s="79"/>
      <c r="D300" s="79"/>
      <c r="E300" s="47">
        <v>1882.4208214236601</v>
      </c>
      <c r="F300" s="47">
        <v>8738.6559259764599</v>
      </c>
    </row>
    <row r="301" spans="3:6" x14ac:dyDescent="0.25">
      <c r="C301" s="79"/>
      <c r="D301" s="79"/>
      <c r="E301" s="47">
        <v>1901.73269443104</v>
      </c>
      <c r="F301" s="47">
        <v>8791.6319042469404</v>
      </c>
    </row>
    <row r="302" spans="3:6" x14ac:dyDescent="0.25">
      <c r="C302" s="79"/>
      <c r="D302" s="79"/>
      <c r="E302" s="47">
        <v>1925.47157847631</v>
      </c>
      <c r="F302" s="47">
        <v>8837.6165466896</v>
      </c>
    </row>
    <row r="303" spans="3:6" x14ac:dyDescent="0.25">
      <c r="C303" s="79"/>
      <c r="D303" s="79"/>
      <c r="E303" s="47">
        <v>1954.0927271323301</v>
      </c>
      <c r="F303" s="47">
        <v>8879.0372606671008</v>
      </c>
    </row>
    <row r="304" spans="3:6" x14ac:dyDescent="0.25">
      <c r="C304" s="79"/>
      <c r="D304" s="79"/>
      <c r="E304" s="47">
        <v>1988.05850227173</v>
      </c>
      <c r="F304" s="47">
        <v>8917.5527380183103</v>
      </c>
    </row>
    <row r="305" spans="3:6" x14ac:dyDescent="0.25">
      <c r="C305" s="79">
        <v>-5</v>
      </c>
      <c r="D305" s="79">
        <v>100</v>
      </c>
      <c r="E305" s="47">
        <v>1756.66158336536</v>
      </c>
      <c r="F305" s="47">
        <v>4682.76492089568</v>
      </c>
    </row>
    <row r="306" spans="3:6" x14ac:dyDescent="0.25">
      <c r="C306" s="79"/>
      <c r="D306" s="79"/>
      <c r="E306" s="47">
        <v>1756.66158336536</v>
      </c>
      <c r="F306" s="47">
        <v>4682.76492089568</v>
      </c>
    </row>
    <row r="307" spans="3:6" x14ac:dyDescent="0.25">
      <c r="C307" s="79"/>
      <c r="D307" s="79"/>
      <c r="E307" s="47">
        <v>1756.66158336536</v>
      </c>
      <c r="F307" s="47">
        <v>4682.76492089568</v>
      </c>
    </row>
    <row r="308" spans="3:6" x14ac:dyDescent="0.25">
      <c r="C308" s="79"/>
      <c r="D308" s="79"/>
      <c r="E308" s="47">
        <v>1756.66158336536</v>
      </c>
      <c r="F308" s="47">
        <v>4682.76492089568</v>
      </c>
    </row>
    <row r="309" spans="3:6" x14ac:dyDescent="0.25">
      <c r="C309" s="79"/>
      <c r="D309" s="79"/>
      <c r="E309" s="47">
        <v>1770.2752020632499</v>
      </c>
      <c r="F309" s="47">
        <v>4710.2432280174098</v>
      </c>
    </row>
    <row r="310" spans="3:6" x14ac:dyDescent="0.25">
      <c r="C310" s="79"/>
      <c r="D310" s="79"/>
      <c r="E310" s="47">
        <v>1787.0083621854999</v>
      </c>
      <c r="F310" s="47">
        <v>4731.6267778028496</v>
      </c>
    </row>
    <row r="311" spans="3:6" x14ac:dyDescent="0.25">
      <c r="C311" s="79"/>
      <c r="D311" s="79"/>
      <c r="E311" s="47">
        <v>1807.4907406022101</v>
      </c>
      <c r="F311" s="47">
        <v>4749.3920581160901</v>
      </c>
    </row>
    <row r="312" spans="3:6" x14ac:dyDescent="0.25">
      <c r="C312" s="79"/>
      <c r="D312" s="79"/>
      <c r="E312" s="47">
        <v>1832.28427616663</v>
      </c>
      <c r="F312" s="47">
        <v>4765.14025036372</v>
      </c>
    </row>
    <row r="313" spans="3:6" x14ac:dyDescent="0.25">
      <c r="C313" s="79"/>
      <c r="D313" s="79"/>
      <c r="E313" s="47">
        <v>1861.91645974426</v>
      </c>
      <c r="F313" s="47">
        <v>4779.9736019488901</v>
      </c>
    </row>
    <row r="314" spans="3:6" x14ac:dyDescent="0.25">
      <c r="C314" s="79"/>
      <c r="D314" s="79"/>
      <c r="E314" s="47">
        <v>1896.8961669421401</v>
      </c>
      <c r="F314" s="47">
        <v>4794.71063275907</v>
      </c>
    </row>
    <row r="315" spans="3:6" x14ac:dyDescent="0.25">
      <c r="C315" s="79"/>
      <c r="D315" s="79">
        <v>200</v>
      </c>
      <c r="E315" s="47">
        <v>1766.0802823394999</v>
      </c>
      <c r="F315" s="47">
        <v>4982.6739248204804</v>
      </c>
    </row>
    <row r="316" spans="3:6" x14ac:dyDescent="0.25">
      <c r="C316" s="79"/>
      <c r="D316" s="79"/>
      <c r="E316" s="47">
        <v>1766.0802823394999</v>
      </c>
      <c r="F316" s="47">
        <v>4982.6739248204804</v>
      </c>
    </row>
    <row r="317" spans="3:6" x14ac:dyDescent="0.25">
      <c r="C317" s="79"/>
      <c r="D317" s="79"/>
      <c r="E317" s="47">
        <v>1766.0802823394999</v>
      </c>
      <c r="F317" s="47">
        <v>4982.6739248204804</v>
      </c>
    </row>
    <row r="318" spans="3:6" x14ac:dyDescent="0.25">
      <c r="C318" s="79"/>
      <c r="D318" s="79"/>
      <c r="E318" s="47">
        <v>1777.3215628973901</v>
      </c>
      <c r="F318" s="47">
        <v>5027.3941117067798</v>
      </c>
    </row>
    <row r="319" spans="3:6" x14ac:dyDescent="0.25">
      <c r="C319" s="79"/>
      <c r="D319" s="79"/>
      <c r="E319" s="47">
        <v>1790.9638970347501</v>
      </c>
      <c r="F319" s="47">
        <v>5060.6709030833099</v>
      </c>
    </row>
    <row r="320" spans="3:6" x14ac:dyDescent="0.25">
      <c r="C320" s="79"/>
      <c r="D320" s="79"/>
      <c r="E320" s="47">
        <v>1807.7320699307299</v>
      </c>
      <c r="F320" s="47">
        <v>5086.8929049205599</v>
      </c>
    </row>
    <row r="321" spans="3:6" x14ac:dyDescent="0.25">
      <c r="C321" s="79"/>
      <c r="D321" s="79"/>
      <c r="E321" s="47">
        <v>1828.2403206688</v>
      </c>
      <c r="F321" s="47">
        <v>5108.7449746693901</v>
      </c>
    </row>
    <row r="322" spans="3:6" x14ac:dyDescent="0.25">
      <c r="C322" s="79"/>
      <c r="D322" s="79"/>
      <c r="E322" s="47">
        <v>1853.04692215047</v>
      </c>
      <c r="F322" s="47">
        <v>5128.0008935010701</v>
      </c>
    </row>
    <row r="323" spans="3:6" x14ac:dyDescent="0.25">
      <c r="C323" s="79"/>
      <c r="D323" s="79"/>
      <c r="E323" s="47">
        <v>1882.67629886706</v>
      </c>
      <c r="F323" s="47">
        <v>5145.8931451151202</v>
      </c>
    </row>
    <row r="324" spans="3:6" x14ac:dyDescent="0.25">
      <c r="C324" s="79"/>
      <c r="D324" s="79"/>
      <c r="E324" s="47">
        <v>1917.6347726046499</v>
      </c>
      <c r="F324" s="47">
        <v>5163.3293282981604</v>
      </c>
    </row>
    <row r="325" spans="3:6" x14ac:dyDescent="0.25">
      <c r="C325" s="79"/>
      <c r="D325" s="79">
        <v>300</v>
      </c>
      <c r="E325" s="47">
        <v>1765.3373757042</v>
      </c>
      <c r="F325" s="47">
        <v>5157.4760952467796</v>
      </c>
    </row>
    <row r="326" spans="3:6" x14ac:dyDescent="0.25">
      <c r="C326" s="79"/>
      <c r="D326" s="79"/>
      <c r="E326" s="47">
        <v>1774.7741904806501</v>
      </c>
      <c r="F326" s="47">
        <v>5267.1750119291901</v>
      </c>
    </row>
    <row r="327" spans="3:6" x14ac:dyDescent="0.25">
      <c r="C327" s="79"/>
      <c r="D327" s="79"/>
      <c r="E327" s="47">
        <v>1784.2992403947001</v>
      </c>
      <c r="F327" s="47">
        <v>5338.5130590163499</v>
      </c>
    </row>
    <row r="328" spans="3:6" x14ac:dyDescent="0.25">
      <c r="C328" s="79"/>
      <c r="D328" s="79"/>
      <c r="E328" s="47">
        <v>1795.3716717699201</v>
      </c>
      <c r="F328" s="47">
        <v>5388.9635020103897</v>
      </c>
    </row>
    <row r="329" spans="3:6" x14ac:dyDescent="0.25">
      <c r="C329" s="79"/>
      <c r="D329" s="79"/>
      <c r="E329" s="47">
        <v>1808.9100634231099</v>
      </c>
      <c r="F329" s="47">
        <v>5427.0283284828001</v>
      </c>
    </row>
    <row r="330" spans="3:6" x14ac:dyDescent="0.25">
      <c r="C330" s="79"/>
      <c r="D330" s="79"/>
      <c r="E330" s="47">
        <v>1825.6046422565901</v>
      </c>
      <c r="F330" s="47">
        <v>5457.3003442060399</v>
      </c>
    </row>
    <row r="331" spans="3:6" x14ac:dyDescent="0.25">
      <c r="C331" s="79"/>
      <c r="D331" s="79"/>
      <c r="E331" s="47">
        <v>1846.06302984999</v>
      </c>
      <c r="F331" s="47">
        <v>5482.75243057425</v>
      </c>
    </row>
    <row r="332" spans="3:6" x14ac:dyDescent="0.25">
      <c r="C332" s="79"/>
      <c r="D332" s="79"/>
      <c r="E332" s="47">
        <v>1870.8257362388099</v>
      </c>
      <c r="F332" s="47">
        <v>5505.2242594949303</v>
      </c>
    </row>
    <row r="333" spans="3:6" x14ac:dyDescent="0.25">
      <c r="C333" s="79"/>
      <c r="D333" s="79"/>
      <c r="E333" s="47">
        <v>1900.40900197663</v>
      </c>
      <c r="F333" s="47">
        <v>5526.01887777908</v>
      </c>
    </row>
    <row r="334" spans="3:6" x14ac:dyDescent="0.25">
      <c r="C334" s="79"/>
      <c r="D334" s="79"/>
      <c r="E334" s="47">
        <v>1935.31307763418</v>
      </c>
      <c r="F334" s="47">
        <v>5546.1040876438501</v>
      </c>
    </row>
    <row r="335" spans="3:6" x14ac:dyDescent="0.25">
      <c r="C335" s="79"/>
      <c r="D335" s="79">
        <v>400</v>
      </c>
      <c r="E335" s="47">
        <v>1781.8344657533801</v>
      </c>
      <c r="F335" s="47">
        <v>5510.8732900768</v>
      </c>
    </row>
    <row r="336" spans="3:6" x14ac:dyDescent="0.25">
      <c r="C336" s="79"/>
      <c r="D336" s="79"/>
      <c r="E336" s="47">
        <v>1790.82607252752</v>
      </c>
      <c r="F336" s="47">
        <v>5633.20082428977</v>
      </c>
    </row>
    <row r="337" spans="3:6" x14ac:dyDescent="0.25">
      <c r="C337" s="79"/>
      <c r="D337" s="79"/>
      <c r="E337" s="47">
        <v>1800.04787862736</v>
      </c>
      <c r="F337" s="47">
        <v>5712.8663505964896</v>
      </c>
    </row>
    <row r="338" spans="3:6" x14ac:dyDescent="0.25">
      <c r="C338" s="79"/>
      <c r="D338" s="79"/>
      <c r="E338" s="47">
        <v>1810.9079512728299</v>
      </c>
      <c r="F338" s="47">
        <v>5769.23901865068</v>
      </c>
    </row>
    <row r="339" spans="3:6" x14ac:dyDescent="0.25">
      <c r="C339" s="79"/>
      <c r="D339" s="79"/>
      <c r="E339" s="47">
        <v>1824.2842967454901</v>
      </c>
      <c r="F339" s="47">
        <v>5811.8649960377397</v>
      </c>
    </row>
    <row r="340" spans="3:6" x14ac:dyDescent="0.25">
      <c r="C340" s="79"/>
      <c r="D340" s="79"/>
      <c r="E340" s="47">
        <v>1840.85339324038</v>
      </c>
      <c r="F340" s="47">
        <v>5845.9150021476398</v>
      </c>
    </row>
    <row r="341" spans="3:6" x14ac:dyDescent="0.25">
      <c r="C341" s="79"/>
      <c r="D341" s="79"/>
      <c r="E341" s="47">
        <v>1861.1993354461299</v>
      </c>
      <c r="F341" s="47">
        <v>5874.5057222577998</v>
      </c>
    </row>
    <row r="342" spans="3:6" x14ac:dyDescent="0.25">
      <c r="C342" s="79"/>
      <c r="D342" s="79"/>
      <c r="E342" s="47">
        <v>1885.8576714415001</v>
      </c>
      <c r="F342" s="47">
        <v>5899.68311287284</v>
      </c>
    </row>
    <row r="343" spans="3:6" x14ac:dyDescent="0.25">
      <c r="C343" s="79"/>
      <c r="D343" s="79"/>
      <c r="E343" s="47">
        <v>1915.33909406065</v>
      </c>
      <c r="F343" s="47">
        <v>5922.8669772308003</v>
      </c>
    </row>
    <row r="344" spans="3:6" x14ac:dyDescent="0.25">
      <c r="C344" s="79"/>
      <c r="D344" s="79"/>
      <c r="E344" s="47">
        <v>1950.1387335752399</v>
      </c>
      <c r="F344" s="47">
        <v>5945.1149788388902</v>
      </c>
    </row>
    <row r="345" spans="3:6" x14ac:dyDescent="0.25">
      <c r="C345" s="79"/>
      <c r="D345" s="79">
        <v>500</v>
      </c>
      <c r="E345" s="47">
        <v>1795.7251181514</v>
      </c>
      <c r="F345" s="47">
        <v>5872.9571250217796</v>
      </c>
    </row>
    <row r="346" spans="3:6" x14ac:dyDescent="0.25">
      <c r="C346" s="79"/>
      <c r="D346" s="79"/>
      <c r="E346" s="47">
        <v>1804.1947663626499</v>
      </c>
      <c r="F346" s="47">
        <v>6008.0563180494401</v>
      </c>
    </row>
    <row r="347" spans="3:6" x14ac:dyDescent="0.25">
      <c r="C347" s="79"/>
      <c r="D347" s="79"/>
      <c r="E347" s="47">
        <v>1813.0813204824001</v>
      </c>
      <c r="F347" s="47">
        <v>6096.3633609193503</v>
      </c>
    </row>
    <row r="348" spans="3:6" x14ac:dyDescent="0.25">
      <c r="C348" s="79"/>
      <c r="D348" s="79"/>
      <c r="E348" s="47">
        <v>1823.70402059348</v>
      </c>
      <c r="F348" s="47">
        <v>6159.2059519125096</v>
      </c>
    </row>
    <row r="349" spans="3:6" x14ac:dyDescent="0.25">
      <c r="C349" s="79"/>
      <c r="D349" s="79"/>
      <c r="E349" s="47">
        <v>1836.9042088772601</v>
      </c>
      <c r="F349" s="47">
        <v>6206.8762760578102</v>
      </c>
    </row>
    <row r="350" spans="3:6" x14ac:dyDescent="0.25">
      <c r="C350" s="79"/>
      <c r="D350" s="79"/>
      <c r="E350" s="47">
        <v>1853.33262454549</v>
      </c>
      <c r="F350" s="47">
        <v>6245.0082595532404</v>
      </c>
    </row>
    <row r="351" spans="3:6" x14ac:dyDescent="0.25">
      <c r="C351" s="79"/>
      <c r="D351" s="79"/>
      <c r="E351" s="47">
        <v>1873.55757739827</v>
      </c>
      <c r="F351" s="47">
        <v>6277.0056702316897</v>
      </c>
    </row>
    <row r="352" spans="3:6" x14ac:dyDescent="0.25">
      <c r="C352" s="79"/>
      <c r="D352" s="79"/>
      <c r="E352" s="47">
        <v>1898.1048756187799</v>
      </c>
      <c r="F352" s="47">
        <v>6305.1004600106298</v>
      </c>
    </row>
    <row r="353" spans="3:6" x14ac:dyDescent="0.25">
      <c r="C353" s="79"/>
      <c r="D353" s="79"/>
      <c r="E353" s="47">
        <v>1927.4792691566599</v>
      </c>
      <c r="F353" s="47">
        <v>6330.8468473779603</v>
      </c>
    </row>
    <row r="354" spans="3:6" x14ac:dyDescent="0.25">
      <c r="C354" s="79"/>
      <c r="D354" s="79"/>
      <c r="E354" s="47">
        <v>1962.1689390034001</v>
      </c>
      <c r="F354" s="47">
        <v>6355.3713156297299</v>
      </c>
    </row>
    <row r="355" spans="3:6" x14ac:dyDescent="0.25">
      <c r="C355" s="79"/>
      <c r="D355" s="79">
        <v>600</v>
      </c>
      <c r="E355" s="47">
        <v>1807.29331318563</v>
      </c>
      <c r="F355" s="47">
        <v>6245.8633219216399</v>
      </c>
    </row>
    <row r="356" spans="3:6" x14ac:dyDescent="0.25">
      <c r="C356" s="79"/>
      <c r="D356" s="79"/>
      <c r="E356" s="47">
        <v>1815.21173284627</v>
      </c>
      <c r="F356" s="47">
        <v>6395.1112003401404</v>
      </c>
    </row>
    <row r="357" spans="3:6" x14ac:dyDescent="0.25">
      <c r="C357" s="79"/>
      <c r="D357" s="79"/>
      <c r="E357" s="47">
        <v>1823.72546944341</v>
      </c>
      <c r="F357" s="47">
        <v>6492.5600514126099</v>
      </c>
    </row>
    <row r="358" spans="3:6" x14ac:dyDescent="0.25">
      <c r="C358" s="79"/>
      <c r="D358" s="79"/>
      <c r="E358" s="47">
        <v>1834.0767323245</v>
      </c>
      <c r="F358" s="47">
        <v>6561.8092385209702</v>
      </c>
    </row>
    <row r="359" spans="3:6" x14ac:dyDescent="0.25">
      <c r="C359" s="79"/>
      <c r="D359" s="79"/>
      <c r="E359" s="47">
        <v>1847.0681136660701</v>
      </c>
      <c r="F359" s="47">
        <v>6614.4175172622299</v>
      </c>
    </row>
    <row r="360" spans="3:6" x14ac:dyDescent="0.25">
      <c r="C360" s="79"/>
      <c r="D360" s="79"/>
      <c r="E360" s="47">
        <v>1863.3278089837399</v>
      </c>
      <c r="F360" s="47">
        <v>6656.5249178304903</v>
      </c>
    </row>
    <row r="361" spans="3:6" x14ac:dyDescent="0.25">
      <c r="C361" s="79"/>
      <c r="D361" s="79"/>
      <c r="E361" s="47">
        <v>1883.4104225328399</v>
      </c>
      <c r="F361" s="47">
        <v>6691.9019842875496</v>
      </c>
    </row>
    <row r="362" spans="3:6" x14ac:dyDescent="0.25">
      <c r="C362" s="79"/>
      <c r="D362" s="79"/>
      <c r="E362" s="47">
        <v>1907.8311061959</v>
      </c>
      <c r="F362" s="47">
        <v>6722.9188925682802</v>
      </c>
    </row>
    <row r="363" spans="3:6" x14ac:dyDescent="0.25">
      <c r="C363" s="79"/>
      <c r="D363" s="79"/>
      <c r="E363" s="47">
        <v>1937.08545065833</v>
      </c>
      <c r="F363" s="47">
        <v>6751.2418743885501</v>
      </c>
    </row>
    <row r="364" spans="3:6" x14ac:dyDescent="0.25">
      <c r="C364" s="79"/>
      <c r="D364" s="79"/>
      <c r="E364" s="47">
        <v>1971.6567945527399</v>
      </c>
      <c r="F364" s="47">
        <v>6778.0918998385696</v>
      </c>
    </row>
    <row r="365" spans="3:6" x14ac:dyDescent="0.25">
      <c r="C365" s="79"/>
      <c r="D365" s="79">
        <v>700</v>
      </c>
      <c r="E365" s="47">
        <v>1816.6444288217001</v>
      </c>
      <c r="F365" s="47">
        <v>6627.0983186215399</v>
      </c>
    </row>
    <row r="366" spans="3:6" x14ac:dyDescent="0.25">
      <c r="C366" s="79"/>
      <c r="D366" s="79"/>
      <c r="E366" s="47">
        <v>1823.9517238189201</v>
      </c>
      <c r="F366" s="47">
        <v>6790.4590052878702</v>
      </c>
    </row>
    <row r="367" spans="3:6" x14ac:dyDescent="0.25">
      <c r="C367" s="79"/>
      <c r="D367" s="79"/>
      <c r="E367" s="47">
        <v>1832.06797507597</v>
      </c>
      <c r="F367" s="47">
        <v>6897.4970388167503</v>
      </c>
    </row>
    <row r="368" spans="3:6" x14ac:dyDescent="0.25">
      <c r="C368" s="79"/>
      <c r="D368" s="79"/>
      <c r="E368" s="47">
        <v>1842.1410176583499</v>
      </c>
      <c r="F368" s="47">
        <v>6973.9593782624397</v>
      </c>
    </row>
    <row r="369" spans="3:6" x14ac:dyDescent="0.25">
      <c r="C369" s="79"/>
      <c r="D369" s="79"/>
      <c r="E369" s="47">
        <v>1854.9192802289101</v>
      </c>
      <c r="F369" s="47">
        <v>7032.0825162005804</v>
      </c>
    </row>
    <row r="370" spans="3:6" x14ac:dyDescent="0.25">
      <c r="C370" s="79"/>
      <c r="D370" s="79"/>
      <c r="E370" s="47">
        <v>1871.00529032807</v>
      </c>
      <c r="F370" s="47">
        <v>7078.5808362114103</v>
      </c>
    </row>
    <row r="371" spans="3:6" x14ac:dyDescent="0.25">
      <c r="C371" s="79"/>
      <c r="D371" s="79"/>
      <c r="E371" s="47">
        <v>1890.93893351</v>
      </c>
      <c r="F371" s="47">
        <v>7117.5350039107097</v>
      </c>
    </row>
    <row r="372" spans="3:6" x14ac:dyDescent="0.25">
      <c r="C372" s="79"/>
      <c r="D372" s="79"/>
      <c r="E372" s="47">
        <v>1915.22500752733</v>
      </c>
      <c r="F372" s="47">
        <v>7151.60368668515</v>
      </c>
    </row>
    <row r="373" spans="3:6" x14ac:dyDescent="0.25">
      <c r="C373" s="79"/>
      <c r="D373" s="79"/>
      <c r="E373" s="47">
        <v>1944.35358356397</v>
      </c>
      <c r="F373" s="47">
        <v>7182.6210064634397</v>
      </c>
    </row>
    <row r="374" spans="3:6" x14ac:dyDescent="0.25">
      <c r="C374" s="79"/>
      <c r="D374" s="79"/>
      <c r="E374" s="47">
        <v>1978.8027272116301</v>
      </c>
      <c r="F374" s="47">
        <v>7211.8695244953096</v>
      </c>
    </row>
    <row r="375" spans="3:6" x14ac:dyDescent="0.25">
      <c r="C375" s="79"/>
      <c r="D375" s="79">
        <v>800</v>
      </c>
      <c r="E375" s="47">
        <v>1824.01123902739</v>
      </c>
      <c r="F375" s="47">
        <v>7018.7554989501796</v>
      </c>
    </row>
    <row r="376" spans="3:6" x14ac:dyDescent="0.25">
      <c r="C376" s="79"/>
      <c r="D376" s="79"/>
      <c r="E376" s="47">
        <v>1830.68811715274</v>
      </c>
      <c r="F376" s="47">
        <v>7197.7632755660898</v>
      </c>
    </row>
    <row r="377" spans="3:6" x14ac:dyDescent="0.25">
      <c r="C377" s="79"/>
      <c r="D377" s="79"/>
      <c r="E377" s="47">
        <v>1838.37681824782</v>
      </c>
      <c r="F377" s="47">
        <v>7314.4467091392198</v>
      </c>
    </row>
    <row r="378" spans="3:6" x14ac:dyDescent="0.25">
      <c r="C378" s="79"/>
      <c r="D378" s="79"/>
      <c r="E378" s="47">
        <v>1848.14288200691</v>
      </c>
      <c r="F378" s="47">
        <v>7397.8366706082697</v>
      </c>
    </row>
    <row r="379" spans="3:6" x14ac:dyDescent="0.25">
      <c r="C379" s="79"/>
      <c r="D379" s="79"/>
      <c r="E379" s="47">
        <v>1860.6863437228001</v>
      </c>
      <c r="F379" s="47">
        <v>7461.3314420628403</v>
      </c>
    </row>
    <row r="380" spans="3:6" x14ac:dyDescent="0.25">
      <c r="C380" s="79"/>
      <c r="D380" s="79"/>
      <c r="E380" s="47">
        <v>1876.5831255313201</v>
      </c>
      <c r="F380" s="47">
        <v>7512.1732551720797</v>
      </c>
    </row>
    <row r="381" spans="3:6" x14ac:dyDescent="0.25">
      <c r="C381" s="79"/>
      <c r="D381" s="79"/>
      <c r="E381" s="47">
        <v>1896.3556003515901</v>
      </c>
      <c r="F381" s="47">
        <v>7554.7491609829103</v>
      </c>
    </row>
    <row r="382" spans="3:6" x14ac:dyDescent="0.25">
      <c r="C382" s="79"/>
      <c r="D382" s="79"/>
      <c r="E382" s="47">
        <v>1920.4990836653101</v>
      </c>
      <c r="F382" s="47">
        <v>7591.90352035466</v>
      </c>
    </row>
    <row r="383" spans="3:6" x14ac:dyDescent="0.25">
      <c r="C383" s="79"/>
      <c r="D383" s="79"/>
      <c r="E383" s="47">
        <v>1949.4953055030501</v>
      </c>
      <c r="F383" s="47">
        <v>7625.5932881755498</v>
      </c>
    </row>
    <row r="384" spans="3:6" x14ac:dyDescent="0.25">
      <c r="C384" s="79"/>
      <c r="D384" s="79"/>
      <c r="E384" s="47">
        <v>1983.81595278435</v>
      </c>
      <c r="F384" s="47">
        <v>7657.2839455610401</v>
      </c>
    </row>
    <row r="385" spans="3:6" x14ac:dyDescent="0.25">
      <c r="C385" s="79"/>
      <c r="D385" s="79">
        <v>900</v>
      </c>
      <c r="E385" s="47">
        <v>1829.5114446483101</v>
      </c>
      <c r="F385" s="47">
        <v>7418.0262126804801</v>
      </c>
    </row>
    <row r="386" spans="3:6" x14ac:dyDescent="0.25">
      <c r="C386" s="79"/>
      <c r="D386" s="79"/>
      <c r="E386" s="47">
        <v>1835.51466366357</v>
      </c>
      <c r="F386" s="47">
        <v>7612.5187778552099</v>
      </c>
    </row>
    <row r="387" spans="3:6" x14ac:dyDescent="0.25">
      <c r="C387" s="79"/>
      <c r="D387" s="79"/>
      <c r="E387" s="47">
        <v>1842.76391343624</v>
      </c>
      <c r="F387" s="47">
        <v>7740.1243152508696</v>
      </c>
    </row>
    <row r="388" spans="3:6" x14ac:dyDescent="0.25">
      <c r="C388" s="79"/>
      <c r="D388" s="79"/>
      <c r="E388" s="47">
        <v>1852.21472307519</v>
      </c>
      <c r="F388" s="47">
        <v>7831.3432250159303</v>
      </c>
    </row>
    <row r="389" spans="3:6" x14ac:dyDescent="0.25">
      <c r="C389" s="79"/>
      <c r="D389" s="79"/>
      <c r="E389" s="47">
        <v>1864.5161068064999</v>
      </c>
      <c r="F389" s="47">
        <v>7900.7526120273296</v>
      </c>
    </row>
    <row r="390" spans="3:6" x14ac:dyDescent="0.25">
      <c r="C390" s="79"/>
      <c r="D390" s="79"/>
      <c r="E390" s="47">
        <v>1880.2165335807099</v>
      </c>
      <c r="F390" s="47">
        <v>7956.2903149021604</v>
      </c>
    </row>
    <row r="391" spans="3:6" x14ac:dyDescent="0.25">
      <c r="C391" s="79"/>
      <c r="D391" s="79"/>
      <c r="E391" s="47">
        <v>1899.8229886757999</v>
      </c>
      <c r="F391" s="47">
        <v>8002.72547803202</v>
      </c>
    </row>
    <row r="392" spans="3:6" x14ac:dyDescent="0.25">
      <c r="C392" s="79"/>
      <c r="D392" s="79"/>
      <c r="E392" s="47">
        <v>1923.82045017976</v>
      </c>
      <c r="F392" s="47">
        <v>8043.1414065196404</v>
      </c>
    </row>
    <row r="393" spans="3:6" x14ac:dyDescent="0.25">
      <c r="C393" s="79"/>
      <c r="D393" s="79"/>
      <c r="E393" s="47">
        <v>1952.6826933115401</v>
      </c>
      <c r="F393" s="47">
        <v>8079.6541403929896</v>
      </c>
    </row>
    <row r="394" spans="3:6" x14ac:dyDescent="0.25">
      <c r="C394" s="79"/>
      <c r="D394" s="79"/>
      <c r="E394" s="47">
        <v>1986.8752341879799</v>
      </c>
      <c r="F394" s="47">
        <v>8113.7996714006204</v>
      </c>
    </row>
    <row r="395" spans="3:6" x14ac:dyDescent="0.25">
      <c r="C395" s="79"/>
      <c r="D395" s="79">
        <v>1000</v>
      </c>
      <c r="E395" s="47">
        <v>1833.3248225165601</v>
      </c>
      <c r="F395" s="47">
        <v>7827.5481581203803</v>
      </c>
    </row>
    <row r="396" spans="3:6" x14ac:dyDescent="0.25">
      <c r="C396" s="79"/>
      <c r="D396" s="79"/>
      <c r="E396" s="47">
        <v>1838.6292165032801</v>
      </c>
      <c r="F396" s="47">
        <v>8038.4196394280598</v>
      </c>
    </row>
    <row r="397" spans="3:6" x14ac:dyDescent="0.25">
      <c r="C397" s="79"/>
      <c r="D397" s="79"/>
      <c r="E397" s="47">
        <v>1845.41957936107</v>
      </c>
      <c r="F397" s="47">
        <v>8176.5128762832601</v>
      </c>
    </row>
    <row r="398" spans="3:6" x14ac:dyDescent="0.25">
      <c r="C398" s="79"/>
      <c r="D398" s="79"/>
      <c r="E398" s="47">
        <v>1854.5384991866499</v>
      </c>
      <c r="F398" s="47">
        <v>8275.2823354062402</v>
      </c>
    </row>
    <row r="399" spans="3:6" x14ac:dyDescent="0.25">
      <c r="C399" s="79"/>
      <c r="D399" s="79"/>
      <c r="E399" s="47">
        <v>1866.5893208126399</v>
      </c>
      <c r="F399" s="47">
        <v>8350.4517084515792</v>
      </c>
    </row>
    <row r="400" spans="3:6" x14ac:dyDescent="0.25">
      <c r="C400" s="79"/>
      <c r="D400" s="79"/>
      <c r="E400" s="47">
        <v>1882.08485338483</v>
      </c>
      <c r="F400" s="47">
        <v>8410.6339672150807</v>
      </c>
    </row>
    <row r="401" spans="3:6" x14ac:dyDescent="0.25">
      <c r="C401" s="79"/>
      <c r="D401" s="79"/>
      <c r="E401" s="47">
        <v>1901.5187962989801</v>
      </c>
      <c r="F401" s="47">
        <v>8460.9181661618095</v>
      </c>
    </row>
    <row r="402" spans="3:6" x14ac:dyDescent="0.25">
      <c r="C402" s="79"/>
      <c r="D402" s="79"/>
      <c r="E402" s="47">
        <v>1925.36530908636</v>
      </c>
      <c r="F402" s="47">
        <v>8504.6189386726601</v>
      </c>
    </row>
    <row r="403" spans="3:6" x14ac:dyDescent="0.25">
      <c r="C403" s="79"/>
      <c r="D403" s="79"/>
      <c r="E403" s="47">
        <v>1954.0890716471399</v>
      </c>
      <c r="F403" s="47">
        <v>8544.0016764747506</v>
      </c>
    </row>
    <row r="404" spans="3:6" x14ac:dyDescent="0.25">
      <c r="C404" s="79"/>
      <c r="D404" s="79"/>
      <c r="E404" s="47">
        <v>1988.1520251440299</v>
      </c>
      <c r="F404" s="47">
        <v>8580.6954853114894</v>
      </c>
    </row>
    <row r="405" spans="3:6" x14ac:dyDescent="0.25">
      <c r="C405" s="79"/>
      <c r="D405" s="79">
        <v>1100</v>
      </c>
      <c r="E405" s="47">
        <v>1835.5696638690799</v>
      </c>
      <c r="F405" s="47">
        <v>8243.8987597688701</v>
      </c>
    </row>
    <row r="406" spans="3:6" x14ac:dyDescent="0.25">
      <c r="C406" s="79"/>
      <c r="D406" s="79"/>
      <c r="E406" s="47">
        <v>1840.1591619610999</v>
      </c>
      <c r="F406" s="47">
        <v>8472.2452423204395</v>
      </c>
    </row>
    <row r="407" spans="3:6" x14ac:dyDescent="0.25">
      <c r="C407" s="79"/>
      <c r="D407" s="79"/>
      <c r="E407" s="47">
        <v>1846.48024720994</v>
      </c>
      <c r="F407" s="47">
        <v>8622.0667209411695</v>
      </c>
    </row>
    <row r="408" spans="3:6" x14ac:dyDescent="0.25">
      <c r="C408" s="79"/>
      <c r="D408" s="79"/>
      <c r="E408" s="47">
        <v>1855.2579696713001</v>
      </c>
      <c r="F408" s="47">
        <v>8729.2128372315092</v>
      </c>
    </row>
    <row r="409" spans="3:6" x14ac:dyDescent="0.25">
      <c r="C409" s="79"/>
      <c r="D409" s="79"/>
      <c r="E409" s="47">
        <v>1867.0480007701999</v>
      </c>
      <c r="F409" s="47">
        <v>8810.6975987488404</v>
      </c>
    </row>
    <row r="410" spans="3:6" x14ac:dyDescent="0.25">
      <c r="C410" s="79"/>
      <c r="D410" s="79"/>
      <c r="E410" s="47">
        <v>1882.33465024732</v>
      </c>
      <c r="F410" s="47">
        <v>8875.8208732923395</v>
      </c>
    </row>
    <row r="411" spans="3:6" x14ac:dyDescent="0.25">
      <c r="C411" s="79"/>
      <c r="D411" s="79"/>
      <c r="E411" s="47">
        <v>1901.5895138815199</v>
      </c>
      <c r="F411" s="47">
        <v>8930.1575736730501</v>
      </c>
    </row>
    <row r="412" spans="3:6" x14ac:dyDescent="0.25">
      <c r="C412" s="79"/>
      <c r="D412" s="79"/>
      <c r="E412" s="47">
        <v>1925.2795555948401</v>
      </c>
      <c r="F412" s="47">
        <v>8977.2626598502102</v>
      </c>
    </row>
    <row r="413" spans="3:6" x14ac:dyDescent="0.25">
      <c r="C413" s="79"/>
      <c r="D413" s="79"/>
      <c r="E413" s="47">
        <v>1953.86179864724</v>
      </c>
      <c r="F413" s="47">
        <v>9019.5801030389594</v>
      </c>
    </row>
    <row r="414" spans="3:6" x14ac:dyDescent="0.25">
      <c r="C414" s="79"/>
      <c r="D414" s="79"/>
      <c r="E414" s="47">
        <v>1987.7925536733201</v>
      </c>
      <c r="F414" s="47">
        <v>9058.8573044300592</v>
      </c>
    </row>
    <row r="415" spans="3:6" x14ac:dyDescent="0.25">
      <c r="C415" s="79"/>
      <c r="D415" s="79">
        <v>1200</v>
      </c>
      <c r="E415" s="47">
        <v>1836.3939172948899</v>
      </c>
      <c r="F415" s="47">
        <v>8670.2225604231407</v>
      </c>
    </row>
    <row r="416" spans="3:6" x14ac:dyDescent="0.25">
      <c r="C416" s="79"/>
      <c r="D416" s="79"/>
      <c r="E416" s="47">
        <v>1840.2407268470499</v>
      </c>
      <c r="F416" s="47">
        <v>8915.6950429477401</v>
      </c>
    </row>
    <row r="417" spans="3:6" x14ac:dyDescent="0.25">
      <c r="C417" s="79"/>
      <c r="D417" s="79"/>
      <c r="E417" s="47">
        <v>1846.07164033763</v>
      </c>
      <c r="F417" s="47">
        <v>9076.7863115964392</v>
      </c>
    </row>
    <row r="418" spans="3:6" x14ac:dyDescent="0.25">
      <c r="C418" s="79"/>
      <c r="D418" s="79"/>
      <c r="E418" s="47">
        <v>1854.49496859909</v>
      </c>
      <c r="F418" s="47">
        <v>9192.0050409830401</v>
      </c>
    </row>
    <row r="419" spans="3:6" x14ac:dyDescent="0.25">
      <c r="C419" s="79"/>
      <c r="D419" s="79"/>
      <c r="E419" s="47">
        <v>1866.0171322061501</v>
      </c>
      <c r="F419" s="47">
        <v>9279.6582468932393</v>
      </c>
    </row>
    <row r="420" spans="3:6" x14ac:dyDescent="0.25">
      <c r="C420" s="79"/>
      <c r="D420" s="79"/>
      <c r="E420" s="47">
        <v>1881.0911136106199</v>
      </c>
      <c r="F420" s="47">
        <v>9349.7006591724694</v>
      </c>
    </row>
    <row r="421" spans="3:6" x14ac:dyDescent="0.25">
      <c r="C421" s="79"/>
      <c r="D421" s="79"/>
      <c r="E421" s="47">
        <v>1900.1669435663</v>
      </c>
      <c r="F421" s="47">
        <v>9408.1040047551305</v>
      </c>
    </row>
    <row r="422" spans="3:6" x14ac:dyDescent="0.25">
      <c r="C422" s="79"/>
      <c r="D422" s="79"/>
      <c r="E422" s="47">
        <v>1923.70049471435</v>
      </c>
      <c r="F422" s="47">
        <v>9458.6596584830004</v>
      </c>
    </row>
    <row r="423" spans="3:6" x14ac:dyDescent="0.25">
      <c r="C423" s="79"/>
      <c r="D423" s="79"/>
      <c r="E423" s="47">
        <v>1952.1418837338899</v>
      </c>
      <c r="F423" s="47">
        <v>9503.9742758785396</v>
      </c>
    </row>
    <row r="424" spans="3:6" x14ac:dyDescent="0.25">
      <c r="C424" s="79"/>
      <c r="D424" s="79"/>
      <c r="E424" s="47">
        <v>1985.94125322942</v>
      </c>
      <c r="F424" s="47">
        <v>9545.9036062462801</v>
      </c>
    </row>
    <row r="425" spans="3:6" x14ac:dyDescent="0.25">
      <c r="C425" s="79">
        <v>0</v>
      </c>
      <c r="D425" s="79">
        <v>0</v>
      </c>
      <c r="E425" s="47">
        <v>1793.4382035685001</v>
      </c>
      <c r="F425" s="47">
        <v>4835.0021737477</v>
      </c>
    </row>
    <row r="426" spans="3:6" x14ac:dyDescent="0.25">
      <c r="C426" s="79"/>
      <c r="D426" s="79"/>
      <c r="E426" s="47">
        <v>1793.4382035685001</v>
      </c>
      <c r="F426" s="47">
        <v>4835.0021737477</v>
      </c>
    </row>
    <row r="427" spans="3:6" x14ac:dyDescent="0.25">
      <c r="C427" s="79"/>
      <c r="D427" s="79"/>
      <c r="E427" s="47">
        <v>1793.4382035685001</v>
      </c>
      <c r="F427" s="47">
        <v>4835.0021737477</v>
      </c>
    </row>
    <row r="428" spans="3:6" x14ac:dyDescent="0.25">
      <c r="C428" s="79"/>
      <c r="D428" s="79"/>
      <c r="E428" s="47">
        <v>1793.4382035685001</v>
      </c>
      <c r="F428" s="47">
        <v>4835.0021737477</v>
      </c>
    </row>
    <row r="429" spans="3:6" x14ac:dyDescent="0.25">
      <c r="C429" s="79"/>
      <c r="D429" s="79"/>
      <c r="E429" s="47">
        <v>1793.4382035685001</v>
      </c>
      <c r="F429" s="47">
        <v>4835.0021737477</v>
      </c>
    </row>
    <row r="430" spans="3:6" x14ac:dyDescent="0.25">
      <c r="C430" s="79"/>
      <c r="D430" s="79"/>
      <c r="E430" s="47">
        <v>1793.4382035685001</v>
      </c>
      <c r="F430" s="47">
        <v>4835.0021737477</v>
      </c>
    </row>
    <row r="431" spans="3:6" x14ac:dyDescent="0.25">
      <c r="C431" s="79"/>
      <c r="D431" s="79"/>
      <c r="E431" s="47">
        <v>1813.93431304255</v>
      </c>
      <c r="F431" s="47">
        <v>4853.9661889085801</v>
      </c>
    </row>
    <row r="432" spans="3:6" x14ac:dyDescent="0.25">
      <c r="C432" s="79"/>
      <c r="D432" s="79"/>
      <c r="E432" s="47">
        <v>1838.7340007257701</v>
      </c>
      <c r="F432" s="47">
        <v>4870.7217913270697</v>
      </c>
    </row>
    <row r="433" spans="3:6" x14ac:dyDescent="0.25">
      <c r="C433" s="79"/>
      <c r="D433" s="79"/>
      <c r="E433" s="47">
        <v>1868.3670854858301</v>
      </c>
      <c r="F433" s="47">
        <v>4886.4288321228396</v>
      </c>
    </row>
    <row r="434" spans="3:6" x14ac:dyDescent="0.25">
      <c r="C434" s="79"/>
      <c r="D434" s="79"/>
      <c r="E434" s="47">
        <v>1903.3410002185101</v>
      </c>
      <c r="F434" s="47">
        <v>4901.9279121467098</v>
      </c>
    </row>
    <row r="435" spans="3:6" x14ac:dyDescent="0.25">
      <c r="C435" s="79"/>
      <c r="D435" s="79">
        <v>100</v>
      </c>
      <c r="E435" s="47">
        <v>1782.69791105371</v>
      </c>
      <c r="F435" s="47">
        <v>5128.0498675384297</v>
      </c>
    </row>
    <row r="436" spans="3:6" x14ac:dyDescent="0.25">
      <c r="C436" s="79"/>
      <c r="D436" s="79"/>
      <c r="E436" s="47">
        <v>1782.69791105371</v>
      </c>
      <c r="F436" s="47">
        <v>5128.0498675384297</v>
      </c>
    </row>
    <row r="437" spans="3:6" x14ac:dyDescent="0.25">
      <c r="C437" s="79"/>
      <c r="D437" s="79"/>
      <c r="E437" s="47">
        <v>1782.69791105371</v>
      </c>
      <c r="F437" s="47">
        <v>5128.0498675384297</v>
      </c>
    </row>
    <row r="438" spans="3:6" x14ac:dyDescent="0.25">
      <c r="C438" s="79"/>
      <c r="D438" s="79"/>
      <c r="E438" s="47">
        <v>1782.69791105371</v>
      </c>
      <c r="F438" s="47">
        <v>5128.0498675384297</v>
      </c>
    </row>
    <row r="439" spans="3:6" x14ac:dyDescent="0.25">
      <c r="C439" s="79"/>
      <c r="D439" s="79"/>
      <c r="E439" s="47">
        <v>1796.3214566673</v>
      </c>
      <c r="F439" s="47">
        <v>5162.8319339467398</v>
      </c>
    </row>
    <row r="440" spans="3:6" x14ac:dyDescent="0.25">
      <c r="C440" s="79"/>
      <c r="D440" s="79"/>
      <c r="E440" s="47">
        <v>1813.0847674076299</v>
      </c>
      <c r="F440" s="47">
        <v>5190.4615285768296</v>
      </c>
    </row>
    <row r="441" spans="3:6" x14ac:dyDescent="0.25">
      <c r="C441" s="79"/>
      <c r="D441" s="79"/>
      <c r="E441" s="47">
        <v>1833.5957512454099</v>
      </c>
      <c r="F441" s="47">
        <v>5213.6293298289602</v>
      </c>
    </row>
    <row r="442" spans="3:6" x14ac:dyDescent="0.25">
      <c r="C442" s="79"/>
      <c r="D442" s="79"/>
      <c r="E442" s="47">
        <v>1858.4109288209199</v>
      </c>
      <c r="F442" s="47">
        <v>5234.1431445541202</v>
      </c>
    </row>
    <row r="443" spans="3:6" x14ac:dyDescent="0.25">
      <c r="C443" s="79"/>
      <c r="D443" s="79"/>
      <c r="E443" s="47">
        <v>1888.05056553492</v>
      </c>
      <c r="F443" s="47">
        <v>5253.2282563221497</v>
      </c>
    </row>
    <row r="444" spans="3:6" x14ac:dyDescent="0.25">
      <c r="C444" s="79"/>
      <c r="D444" s="79"/>
      <c r="E444" s="47">
        <v>1923.01500536157</v>
      </c>
      <c r="F444" s="47">
        <v>5271.7745523897602</v>
      </c>
    </row>
    <row r="445" spans="3:6" x14ac:dyDescent="0.25">
      <c r="C445" s="79"/>
      <c r="D445" s="79">
        <v>200</v>
      </c>
      <c r="E445" s="47">
        <v>1789.1979988824601</v>
      </c>
      <c r="F445" s="47">
        <v>5446.9956783323896</v>
      </c>
    </row>
    <row r="446" spans="3:6" x14ac:dyDescent="0.25">
      <c r="C446" s="79"/>
      <c r="D446" s="79"/>
      <c r="E446" s="47">
        <v>1789.1979988824601</v>
      </c>
      <c r="F446" s="47">
        <v>5446.9956783323896</v>
      </c>
    </row>
    <row r="447" spans="3:6" x14ac:dyDescent="0.25">
      <c r="C447" s="79"/>
      <c r="D447" s="79"/>
      <c r="E447" s="47">
        <v>1789.1979988824601</v>
      </c>
      <c r="F447" s="47">
        <v>5446.9956783323896</v>
      </c>
    </row>
    <row r="448" spans="3:6" x14ac:dyDescent="0.25">
      <c r="C448" s="79"/>
      <c r="D448" s="79"/>
      <c r="E448" s="47">
        <v>1800.21479614805</v>
      </c>
      <c r="F448" s="47">
        <v>5499.1741782569998</v>
      </c>
    </row>
    <row r="449" spans="3:6" x14ac:dyDescent="0.25">
      <c r="C449" s="79"/>
      <c r="D449" s="79"/>
      <c r="E449" s="47">
        <v>1813.71150518633</v>
      </c>
      <c r="F449" s="47">
        <v>5538.5787179250401</v>
      </c>
    </row>
    <row r="450" spans="3:6" x14ac:dyDescent="0.25">
      <c r="C450" s="79"/>
      <c r="D450" s="79"/>
      <c r="E450" s="47">
        <v>1830.3756643316699</v>
      </c>
      <c r="F450" s="47">
        <v>5569.99771057833</v>
      </c>
    </row>
    <row r="451" spans="3:6" x14ac:dyDescent="0.25">
      <c r="C451" s="79"/>
      <c r="D451" s="79"/>
      <c r="E451" s="47">
        <v>1850.80208075012</v>
      </c>
      <c r="F451" s="47">
        <v>5596.3642219179701</v>
      </c>
    </row>
    <row r="452" spans="3:6" x14ac:dyDescent="0.25">
      <c r="C452" s="79"/>
      <c r="D452" s="79"/>
      <c r="E452" s="47">
        <v>1875.53385466074</v>
      </c>
      <c r="F452" s="47">
        <v>5619.6154510005699</v>
      </c>
    </row>
    <row r="453" spans="3:6" x14ac:dyDescent="0.25">
      <c r="C453" s="79"/>
      <c r="D453" s="79"/>
      <c r="E453" s="47">
        <v>1905.0872720698101</v>
      </c>
      <c r="F453" s="47">
        <v>5641.0989040064396</v>
      </c>
    </row>
    <row r="454" spans="3:6" x14ac:dyDescent="0.25">
      <c r="C454" s="79"/>
      <c r="D454" s="79"/>
      <c r="E454" s="47">
        <v>1939.95949197248</v>
      </c>
      <c r="F454" s="47">
        <v>5661.79901877878</v>
      </c>
    </row>
    <row r="455" spans="3:6" x14ac:dyDescent="0.25">
      <c r="C455" s="79"/>
      <c r="D455" s="79">
        <v>300</v>
      </c>
      <c r="E455" s="47">
        <v>1786.1568592523199</v>
      </c>
      <c r="F455" s="47">
        <v>5615.8582604692401</v>
      </c>
    </row>
    <row r="456" spans="3:6" x14ac:dyDescent="0.25">
      <c r="C456" s="79"/>
      <c r="D456" s="79"/>
      <c r="E456" s="47">
        <v>1794.99966591769</v>
      </c>
      <c r="F456" s="47">
        <v>5741.8998585047902</v>
      </c>
    </row>
    <row r="457" spans="3:6" x14ac:dyDescent="0.25">
      <c r="C457" s="79"/>
      <c r="D457" s="79"/>
      <c r="E457" s="47">
        <v>1804.1322429235199</v>
      </c>
      <c r="F457" s="47">
        <v>5824.1000120758699</v>
      </c>
    </row>
    <row r="458" spans="3:6" x14ac:dyDescent="0.25">
      <c r="C458" s="79"/>
      <c r="D458" s="79"/>
      <c r="E458" s="47">
        <v>1814.92803716092</v>
      </c>
      <c r="F458" s="47">
        <v>5882.4653810104501</v>
      </c>
    </row>
    <row r="459" spans="3:6" x14ac:dyDescent="0.25">
      <c r="C459" s="79"/>
      <c r="D459" s="79"/>
      <c r="E459" s="47">
        <v>1828.25542973898</v>
      </c>
      <c r="F459" s="47">
        <v>5926.6205182741696</v>
      </c>
    </row>
    <row r="460" spans="3:6" x14ac:dyDescent="0.25">
      <c r="C460" s="79"/>
      <c r="D460" s="79"/>
      <c r="E460" s="47">
        <v>1844.78779809353</v>
      </c>
      <c r="F460" s="47">
        <v>5961.9100619131004</v>
      </c>
    </row>
    <row r="461" spans="3:6" x14ac:dyDescent="0.25">
      <c r="C461" s="79"/>
      <c r="D461" s="79"/>
      <c r="E461" s="47">
        <v>1865.1026869950001</v>
      </c>
      <c r="F461" s="47">
        <v>5991.5373886117204</v>
      </c>
    </row>
    <row r="462" spans="3:6" x14ac:dyDescent="0.25">
      <c r="C462" s="79"/>
      <c r="D462" s="79"/>
      <c r="E462" s="47">
        <v>1889.7319728748901</v>
      </c>
      <c r="F462" s="47">
        <v>6017.5861535374197</v>
      </c>
    </row>
    <row r="463" spans="3:6" x14ac:dyDescent="0.25">
      <c r="C463" s="79"/>
      <c r="D463" s="79"/>
      <c r="E463" s="47">
        <v>1919.18429727427</v>
      </c>
      <c r="F463" s="47">
        <v>6041.5265625627699</v>
      </c>
    </row>
    <row r="464" spans="3:6" x14ac:dyDescent="0.25">
      <c r="C464" s="79"/>
      <c r="D464" s="79"/>
      <c r="E464" s="47">
        <v>1953.9530039366</v>
      </c>
      <c r="F464" s="47">
        <v>6064.4249198091802</v>
      </c>
    </row>
    <row r="465" spans="3:6" x14ac:dyDescent="0.25">
      <c r="C465" s="79"/>
      <c r="D465" s="79">
        <v>400</v>
      </c>
      <c r="E465" s="47">
        <v>1799.35938354363</v>
      </c>
      <c r="F465" s="47">
        <v>5981.48618736341</v>
      </c>
    </row>
    <row r="466" spans="3:6" x14ac:dyDescent="0.25">
      <c r="C466" s="79"/>
      <c r="D466" s="79"/>
      <c r="E466" s="47">
        <v>1807.66506188428</v>
      </c>
      <c r="F466" s="47">
        <v>6120.3966543086699</v>
      </c>
    </row>
    <row r="467" spans="3:6" x14ac:dyDescent="0.25">
      <c r="C467" s="79"/>
      <c r="D467" s="79"/>
      <c r="E467" s="47">
        <v>1816.44255276535</v>
      </c>
      <c r="F467" s="47">
        <v>6211.2426808878299</v>
      </c>
    </row>
    <row r="468" spans="3:6" x14ac:dyDescent="0.25">
      <c r="C468" s="79"/>
      <c r="D468" s="79"/>
      <c r="E468" s="47">
        <v>1826.9922391543801</v>
      </c>
      <c r="F468" s="47">
        <v>6275.9894274887201</v>
      </c>
    </row>
    <row r="469" spans="3:6" x14ac:dyDescent="0.25">
      <c r="C469" s="79"/>
      <c r="D469" s="79"/>
      <c r="E469" s="47">
        <v>1840.1338042385701</v>
      </c>
      <c r="F469" s="47">
        <v>6325.1147106318904</v>
      </c>
    </row>
    <row r="470" spans="3:6" x14ac:dyDescent="0.25">
      <c r="C470" s="79"/>
      <c r="D470" s="79"/>
      <c r="E470" s="47">
        <v>1856.5137738426099</v>
      </c>
      <c r="F470" s="47">
        <v>6364.4058657334699</v>
      </c>
    </row>
    <row r="471" spans="3:6" x14ac:dyDescent="0.25">
      <c r="C471" s="79"/>
      <c r="D471" s="79"/>
      <c r="E471" s="47">
        <v>1876.69704579007</v>
      </c>
      <c r="F471" s="47">
        <v>6397.3624054554102</v>
      </c>
    </row>
    <row r="472" spans="3:6" x14ac:dyDescent="0.25">
      <c r="C472" s="79"/>
      <c r="D472" s="79"/>
      <c r="E472" s="47">
        <v>1901.20793675507</v>
      </c>
      <c r="F472" s="47">
        <v>6426.2935327190198</v>
      </c>
    </row>
    <row r="473" spans="3:6" x14ac:dyDescent="0.25">
      <c r="C473" s="79"/>
      <c r="D473" s="79"/>
      <c r="E473" s="47">
        <v>1930.54846875928</v>
      </c>
      <c r="F473" s="47">
        <v>6452.8167550338103</v>
      </c>
    </row>
    <row r="474" spans="3:6" x14ac:dyDescent="0.25">
      <c r="C474" s="79"/>
      <c r="D474" s="79"/>
      <c r="E474" s="47">
        <v>1965.20495327769</v>
      </c>
      <c r="F474" s="47">
        <v>6478.0481356796599</v>
      </c>
    </row>
    <row r="475" spans="3:6" x14ac:dyDescent="0.25">
      <c r="C475" s="79"/>
      <c r="D475" s="79">
        <v>500</v>
      </c>
      <c r="E475" s="47">
        <v>1810.2501637468799</v>
      </c>
      <c r="F475" s="47">
        <v>6356.5183216488003</v>
      </c>
    </row>
    <row r="476" spans="3:6" x14ac:dyDescent="0.25">
      <c r="C476" s="79"/>
      <c r="D476" s="79"/>
      <c r="E476" s="47">
        <v>1817.99359440493</v>
      </c>
      <c r="F476" s="47">
        <v>6509.8712617744604</v>
      </c>
    </row>
    <row r="477" spans="3:6" x14ac:dyDescent="0.25">
      <c r="C477" s="79"/>
      <c r="D477" s="79"/>
      <c r="E477" s="47">
        <v>1826.3949917078601</v>
      </c>
      <c r="F477" s="47">
        <v>6610.2299303029004</v>
      </c>
    </row>
    <row r="478" spans="3:6" x14ac:dyDescent="0.25">
      <c r="C478" s="79"/>
      <c r="D478" s="79"/>
      <c r="E478" s="47">
        <v>1836.6710689316501</v>
      </c>
      <c r="F478" s="47">
        <v>6681.7741542229996</v>
      </c>
    </row>
    <row r="479" spans="3:6" x14ac:dyDescent="0.25">
      <c r="C479" s="79"/>
      <c r="D479" s="79"/>
      <c r="E479" s="47">
        <v>1849.6056701412101</v>
      </c>
      <c r="F479" s="47">
        <v>6736.1342225414301</v>
      </c>
    </row>
    <row r="480" spans="3:6" x14ac:dyDescent="0.25">
      <c r="C480" s="79"/>
      <c r="D480" s="79"/>
      <c r="E480" s="47">
        <v>1865.8177999350501</v>
      </c>
      <c r="F480" s="47">
        <v>6779.6154612350001</v>
      </c>
    </row>
    <row r="481" spans="3:6" x14ac:dyDescent="0.25">
      <c r="C481" s="79"/>
      <c r="D481" s="79"/>
      <c r="E481" s="47">
        <v>1885.85776666417</v>
      </c>
      <c r="F481" s="47">
        <v>6816.0511156800003</v>
      </c>
    </row>
    <row r="482" spans="3:6" x14ac:dyDescent="0.25">
      <c r="C482" s="79"/>
      <c r="D482" s="79"/>
      <c r="E482" s="47">
        <v>1910.2391907035999</v>
      </c>
      <c r="F482" s="47">
        <v>6847.93623185259</v>
      </c>
    </row>
    <row r="483" spans="3:6" x14ac:dyDescent="0.25">
      <c r="C483" s="79"/>
      <c r="D483" s="79"/>
      <c r="E483" s="47">
        <v>1939.4558894962199</v>
      </c>
      <c r="F483" s="47">
        <v>6876.9961737456997</v>
      </c>
    </row>
    <row r="484" spans="3:6" x14ac:dyDescent="0.25">
      <c r="C484" s="79"/>
      <c r="D484" s="79"/>
      <c r="E484" s="47">
        <v>1973.99108534878</v>
      </c>
      <c r="F484" s="47">
        <v>6904.4879893647903</v>
      </c>
    </row>
    <row r="485" spans="3:6" x14ac:dyDescent="0.25">
      <c r="C485" s="79"/>
      <c r="D485" s="79">
        <v>600</v>
      </c>
      <c r="E485" s="47">
        <v>1819.0082960806101</v>
      </c>
      <c r="F485" s="47">
        <v>6741.1134015837797</v>
      </c>
    </row>
    <row r="486" spans="3:6" x14ac:dyDescent="0.25">
      <c r="C486" s="79"/>
      <c r="D486" s="79"/>
      <c r="E486" s="47">
        <v>1826.1290349870701</v>
      </c>
      <c r="F486" s="47">
        <v>6908.6949164997704</v>
      </c>
    </row>
    <row r="487" spans="3:6" x14ac:dyDescent="0.25">
      <c r="C487" s="79"/>
      <c r="D487" s="79"/>
      <c r="E487" s="47">
        <v>1834.1229123303799</v>
      </c>
      <c r="F487" s="47">
        <v>7018.5640783480203</v>
      </c>
    </row>
    <row r="488" spans="3:6" x14ac:dyDescent="0.25">
      <c r="C488" s="79"/>
      <c r="D488" s="79"/>
      <c r="E488" s="47">
        <v>1844.1072297584799</v>
      </c>
      <c r="F488" s="47">
        <v>7097.0330151585604</v>
      </c>
    </row>
    <row r="489" spans="3:6" x14ac:dyDescent="0.25">
      <c r="C489" s="79"/>
      <c r="D489" s="79"/>
      <c r="E489" s="47">
        <v>1856.8181263152001</v>
      </c>
      <c r="F489" s="47">
        <v>7156.7092418780103</v>
      </c>
    </row>
    <row r="490" spans="3:6" x14ac:dyDescent="0.25">
      <c r="C490" s="79"/>
      <c r="D490" s="79"/>
      <c r="E490" s="47">
        <v>1872.8508264741299</v>
      </c>
      <c r="F490" s="47">
        <v>7204.51727219234</v>
      </c>
    </row>
    <row r="491" spans="3:6" x14ac:dyDescent="0.25">
      <c r="C491" s="79"/>
      <c r="D491" s="79"/>
      <c r="E491" s="47">
        <v>1892.7380725063099</v>
      </c>
      <c r="F491" s="47">
        <v>7244.5619565406696</v>
      </c>
    </row>
    <row r="492" spans="3:6" x14ac:dyDescent="0.25">
      <c r="C492" s="79"/>
      <c r="D492" s="79"/>
      <c r="E492" s="47">
        <v>1916.9836706451699</v>
      </c>
      <c r="F492" s="47">
        <v>7279.5429006039203</v>
      </c>
    </row>
    <row r="493" spans="3:6" x14ac:dyDescent="0.25">
      <c r="C493" s="79"/>
      <c r="D493" s="79"/>
      <c r="E493" s="47">
        <v>1946.07403212075</v>
      </c>
      <c r="F493" s="47">
        <v>7311.3285711897997</v>
      </c>
    </row>
    <row r="494" spans="3:6" x14ac:dyDescent="0.25">
      <c r="C494" s="79"/>
      <c r="D494" s="79"/>
      <c r="E494" s="47">
        <v>1980.4862292139701</v>
      </c>
      <c r="F494" s="47">
        <v>7341.2586253468498</v>
      </c>
    </row>
    <row r="495" spans="3:6" x14ac:dyDescent="0.25">
      <c r="C495" s="79"/>
      <c r="D495" s="79">
        <v>700</v>
      </c>
      <c r="E495" s="47">
        <v>1825.8058841587499</v>
      </c>
      <c r="F495" s="47">
        <v>7134.7829260399103</v>
      </c>
    </row>
    <row r="496" spans="3:6" x14ac:dyDescent="0.25">
      <c r="C496" s="79"/>
      <c r="D496" s="79"/>
      <c r="E496" s="47">
        <v>1832.28947556976</v>
      </c>
      <c r="F496" s="47">
        <v>7318.32519379938</v>
      </c>
    </row>
    <row r="497" spans="3:6" x14ac:dyDescent="0.25">
      <c r="C497" s="79"/>
      <c r="D497" s="79"/>
      <c r="E497" s="47">
        <v>1839.85917291501</v>
      </c>
      <c r="F497" s="47">
        <v>7438.6429570794098</v>
      </c>
    </row>
    <row r="498" spans="3:6" x14ac:dyDescent="0.25">
      <c r="C498" s="79"/>
      <c r="D498" s="79"/>
      <c r="E498" s="47">
        <v>1849.5351980610501</v>
      </c>
      <c r="F498" s="47">
        <v>7524.5530796124503</v>
      </c>
    </row>
    <row r="499" spans="3:6" x14ac:dyDescent="0.25">
      <c r="C499" s="79"/>
      <c r="D499" s="79"/>
      <c r="E499" s="47">
        <v>1862.0064016270201</v>
      </c>
      <c r="F499" s="47">
        <v>7589.5978795859701</v>
      </c>
    </row>
    <row r="500" spans="3:6" x14ac:dyDescent="0.25">
      <c r="C500" s="79"/>
      <c r="D500" s="79"/>
      <c r="E500" s="47">
        <v>1877.8453534791599</v>
      </c>
      <c r="F500" s="47">
        <v>7641.69555497698</v>
      </c>
    </row>
    <row r="501" spans="3:6" x14ac:dyDescent="0.25">
      <c r="C501" s="79"/>
      <c r="D501" s="79"/>
      <c r="E501" s="47">
        <v>1897.5685535222799</v>
      </c>
      <c r="F501" s="47">
        <v>7685.3498963334396</v>
      </c>
    </row>
    <row r="502" spans="3:6" x14ac:dyDescent="0.25">
      <c r="C502" s="79"/>
      <c r="D502" s="79"/>
      <c r="E502" s="47">
        <v>1921.6682280975299</v>
      </c>
      <c r="F502" s="47">
        <v>7723.4317327755098</v>
      </c>
    </row>
    <row r="503" spans="3:6" x14ac:dyDescent="0.25">
      <c r="C503" s="79"/>
      <c r="D503" s="79"/>
      <c r="E503" s="47">
        <v>1950.62429983984</v>
      </c>
      <c r="F503" s="47">
        <v>7757.9376397573496</v>
      </c>
    </row>
    <row r="504" spans="3:6" x14ac:dyDescent="0.25">
      <c r="C504" s="79"/>
      <c r="D504" s="79"/>
      <c r="E504" s="47">
        <v>1984.90821233267</v>
      </c>
      <c r="F504" s="47">
        <v>7790.3065707403002</v>
      </c>
    </row>
    <row r="505" spans="3:6" x14ac:dyDescent="0.25">
      <c r="C505" s="79"/>
      <c r="D505" s="79">
        <v>800</v>
      </c>
      <c r="E505" s="47">
        <v>1830.80005360313</v>
      </c>
      <c r="F505" s="47">
        <v>7537.1755897606899</v>
      </c>
    </row>
    <row r="506" spans="3:6" x14ac:dyDescent="0.25">
      <c r="C506" s="79"/>
      <c r="D506" s="79"/>
      <c r="E506" s="47">
        <v>1836.5975645450701</v>
      </c>
      <c r="F506" s="47">
        <v>7736.3118345186404</v>
      </c>
    </row>
    <row r="507" spans="3:6" x14ac:dyDescent="0.25">
      <c r="C507" s="79"/>
      <c r="D507" s="79"/>
      <c r="E507" s="47">
        <v>1843.7170298552901</v>
      </c>
      <c r="F507" s="47">
        <v>7866.9528820720298</v>
      </c>
    </row>
    <row r="508" spans="3:6" x14ac:dyDescent="0.25">
      <c r="C508" s="79"/>
      <c r="D508" s="79"/>
      <c r="E508" s="47">
        <v>1853.06962706378</v>
      </c>
      <c r="F508" s="47">
        <v>7960.3965399778199</v>
      </c>
    </row>
    <row r="509" spans="3:6" x14ac:dyDescent="0.25">
      <c r="C509" s="79"/>
      <c r="D509" s="79"/>
      <c r="E509" s="47">
        <v>1865.29767305881</v>
      </c>
      <c r="F509" s="47">
        <v>8031.4974082823001</v>
      </c>
    </row>
    <row r="510" spans="3:6" x14ac:dyDescent="0.25">
      <c r="C510" s="79"/>
      <c r="D510" s="79"/>
      <c r="E510" s="47">
        <v>1880.9417880788201</v>
      </c>
      <c r="F510" s="47">
        <v>8088.3760403142596</v>
      </c>
    </row>
    <row r="511" spans="3:6" x14ac:dyDescent="0.25">
      <c r="C511" s="79"/>
      <c r="D511" s="79"/>
      <c r="E511" s="47">
        <v>1900.49794213583</v>
      </c>
      <c r="F511" s="47">
        <v>8135.9338075485102</v>
      </c>
    </row>
    <row r="512" spans="3:6" x14ac:dyDescent="0.25">
      <c r="C512" s="79"/>
      <c r="D512" s="79"/>
      <c r="E512" s="47">
        <v>1924.4502343681099</v>
      </c>
      <c r="F512" s="47">
        <v>8177.3308984137102</v>
      </c>
    </row>
    <row r="513" spans="3:6" x14ac:dyDescent="0.25">
      <c r="C513" s="79"/>
      <c r="D513" s="79"/>
      <c r="E513" s="47">
        <v>1953.2706741248601</v>
      </c>
      <c r="F513" s="47">
        <v>8214.7055944637395</v>
      </c>
    </row>
    <row r="514" spans="3:6" x14ac:dyDescent="0.25">
      <c r="C514" s="79"/>
      <c r="D514" s="79"/>
      <c r="E514" s="47">
        <v>1987.4246736391301</v>
      </c>
      <c r="F514" s="47">
        <v>8249.6163140887493</v>
      </c>
    </row>
    <row r="515" spans="3:6" x14ac:dyDescent="0.25">
      <c r="C515" s="79"/>
      <c r="D515" s="79">
        <v>900</v>
      </c>
      <c r="E515" s="47">
        <v>1834.13674821728</v>
      </c>
      <c r="F515" s="47">
        <v>7948.65995665228</v>
      </c>
    </row>
    <row r="516" spans="3:6" x14ac:dyDescent="0.25">
      <c r="C516" s="79"/>
      <c r="D516" s="79"/>
      <c r="E516" s="47">
        <v>1839.23732599097</v>
      </c>
      <c r="F516" s="47">
        <v>8165.12849568824</v>
      </c>
    </row>
    <row r="517" spans="3:6" x14ac:dyDescent="0.25">
      <c r="C517" s="79"/>
      <c r="D517" s="79"/>
      <c r="E517" s="47">
        <v>1845.8912332515299</v>
      </c>
      <c r="F517" s="47">
        <v>8306.7027686888196</v>
      </c>
    </row>
    <row r="518" spans="3:6" x14ac:dyDescent="0.25">
      <c r="C518" s="79"/>
      <c r="D518" s="79"/>
      <c r="E518" s="47">
        <v>1854.91111206648</v>
      </c>
      <c r="F518" s="47">
        <v>8407.7030074606391</v>
      </c>
    </row>
    <row r="519" spans="3:6" x14ac:dyDescent="0.25">
      <c r="C519" s="79"/>
      <c r="D519" s="79"/>
      <c r="E519" s="47">
        <v>1866.8824520749799</v>
      </c>
      <c r="F519" s="47">
        <v>8484.5966360763105</v>
      </c>
    </row>
    <row r="520" spans="3:6" x14ac:dyDescent="0.25">
      <c r="C520" s="79"/>
      <c r="D520" s="79"/>
      <c r="E520" s="47">
        <v>1882.32050582594</v>
      </c>
      <c r="F520" s="47">
        <v>8546.1122210547692</v>
      </c>
    </row>
    <row r="521" spans="3:6" x14ac:dyDescent="0.25">
      <c r="C521" s="79"/>
      <c r="D521" s="79"/>
      <c r="E521" s="47">
        <v>1901.70607426938</v>
      </c>
      <c r="F521" s="47">
        <v>8597.4936036681993</v>
      </c>
    </row>
    <row r="522" spans="3:6" x14ac:dyDescent="0.25">
      <c r="C522" s="79"/>
      <c r="D522" s="79"/>
      <c r="E522" s="47">
        <v>1925.5050859882599</v>
      </c>
      <c r="F522" s="47">
        <v>8642.1718164906706</v>
      </c>
    </row>
    <row r="523" spans="3:6" x14ac:dyDescent="0.25">
      <c r="C523" s="79"/>
      <c r="D523" s="79"/>
      <c r="E523" s="47">
        <v>1954.18593473804</v>
      </c>
      <c r="F523" s="47">
        <v>8682.4137781956106</v>
      </c>
    </row>
    <row r="524" spans="3:6" x14ac:dyDescent="0.25">
      <c r="C524" s="79"/>
      <c r="D524" s="79"/>
      <c r="E524" s="47">
        <v>1988.2089965483999</v>
      </c>
      <c r="F524" s="47">
        <v>8719.8767167584192</v>
      </c>
    </row>
    <row r="525" spans="3:6" x14ac:dyDescent="0.25">
      <c r="C525" s="79"/>
      <c r="D525" s="79">
        <v>1000</v>
      </c>
      <c r="E525" s="47">
        <v>1835.9566118970199</v>
      </c>
      <c r="F525" s="47">
        <v>8367.9447280693694</v>
      </c>
    </row>
    <row r="526" spans="3:6" x14ac:dyDescent="0.25">
      <c r="C526" s="79"/>
      <c r="D526" s="79"/>
      <c r="E526" s="47">
        <v>1840.33178187818</v>
      </c>
      <c r="F526" s="47">
        <v>8601.2725290601993</v>
      </c>
    </row>
    <row r="527" spans="3:6" x14ac:dyDescent="0.25">
      <c r="C527" s="79"/>
      <c r="D527" s="79"/>
      <c r="E527" s="47">
        <v>1846.50642064613</v>
      </c>
      <c r="F527" s="47">
        <v>8754.3816843573804</v>
      </c>
    </row>
    <row r="528" spans="3:6" x14ac:dyDescent="0.25">
      <c r="C528" s="79"/>
      <c r="D528" s="79"/>
      <c r="E528" s="47">
        <v>1855.1854677947199</v>
      </c>
      <c r="F528" s="47">
        <v>8863.8773908952608</v>
      </c>
    </row>
    <row r="529" spans="3:6" x14ac:dyDescent="0.25">
      <c r="C529" s="79"/>
      <c r="D529" s="79"/>
      <c r="E529" s="47">
        <v>1866.8906456478601</v>
      </c>
      <c r="F529" s="47">
        <v>8947.1907394138507</v>
      </c>
    </row>
    <row r="530" spans="3:6" x14ac:dyDescent="0.25">
      <c r="C530" s="79"/>
      <c r="D530" s="79"/>
      <c r="E530" s="47">
        <v>1882.11546758482</v>
      </c>
      <c r="F530" s="47">
        <v>9013.7579504611404</v>
      </c>
    </row>
    <row r="531" spans="3:6" x14ac:dyDescent="0.25">
      <c r="C531" s="79"/>
      <c r="D531" s="79"/>
      <c r="E531" s="47">
        <v>1901.3231805679</v>
      </c>
      <c r="F531" s="47">
        <v>9069.2469661952</v>
      </c>
    </row>
    <row r="532" spans="3:6" x14ac:dyDescent="0.25">
      <c r="C532" s="79"/>
      <c r="D532" s="79"/>
      <c r="E532" s="47">
        <v>1924.9666534416799</v>
      </c>
      <c r="F532" s="47">
        <v>9117.3600177740409</v>
      </c>
    </row>
    <row r="533" spans="3:6" x14ac:dyDescent="0.25">
      <c r="C533" s="79"/>
      <c r="D533" s="79"/>
      <c r="E533" s="47">
        <v>1953.5046004952901</v>
      </c>
      <c r="F533" s="47">
        <v>9160.5717506565106</v>
      </c>
    </row>
    <row r="534" spans="3:6" x14ac:dyDescent="0.25">
      <c r="C534" s="79"/>
      <c r="D534" s="79"/>
      <c r="E534" s="47">
        <v>1987.39406832489</v>
      </c>
      <c r="F534" s="47">
        <v>9200.6497559586696</v>
      </c>
    </row>
    <row r="535" spans="3:6" x14ac:dyDescent="0.25">
      <c r="C535" s="79"/>
      <c r="D535" s="79">
        <v>1100</v>
      </c>
      <c r="E535" s="47">
        <v>1836.3820042697801</v>
      </c>
      <c r="F535" s="47">
        <v>8796.2066196652904</v>
      </c>
    </row>
    <row r="536" spans="3:6" x14ac:dyDescent="0.25">
      <c r="C536" s="79"/>
      <c r="D536" s="79"/>
      <c r="E536" s="47">
        <v>1840.00443696964</v>
      </c>
      <c r="F536" s="47">
        <v>9047.7395355649405</v>
      </c>
    </row>
    <row r="537" spans="3:6" x14ac:dyDescent="0.25">
      <c r="C537" s="79"/>
      <c r="D537" s="79"/>
      <c r="E537" s="47">
        <v>1845.6847212125499</v>
      </c>
      <c r="F537" s="47">
        <v>9212.1821156216592</v>
      </c>
    </row>
    <row r="538" spans="3:6" x14ac:dyDescent="0.25">
      <c r="C538" s="79"/>
      <c r="D538" s="79"/>
      <c r="E538" s="47">
        <v>1854.0140918808299</v>
      </c>
      <c r="F538" s="47">
        <v>9329.7764170288992</v>
      </c>
    </row>
    <row r="539" spans="3:6" x14ac:dyDescent="0.25">
      <c r="C539" s="79"/>
      <c r="D539" s="79"/>
      <c r="E539" s="47">
        <v>1865.4509829972901</v>
      </c>
      <c r="F539" s="47">
        <v>9419.2630591075304</v>
      </c>
    </row>
    <row r="540" spans="3:6" x14ac:dyDescent="0.25">
      <c r="C540" s="79"/>
      <c r="D540" s="79"/>
      <c r="E540" s="47">
        <v>1880.4609177208299</v>
      </c>
      <c r="F540" s="47">
        <v>9490.7584505752493</v>
      </c>
    </row>
    <row r="541" spans="3:6" x14ac:dyDescent="0.25">
      <c r="C541" s="79"/>
      <c r="D541" s="79"/>
      <c r="E541" s="47">
        <v>1899.4888096411901</v>
      </c>
      <c r="F541" s="47">
        <v>9550.3242304017695</v>
      </c>
    </row>
    <row r="542" spans="3:6" x14ac:dyDescent="0.25">
      <c r="C542" s="79"/>
      <c r="D542" s="79"/>
      <c r="E542" s="47">
        <v>1922.9764251642</v>
      </c>
      <c r="F542" s="47">
        <v>9601.8827828843896</v>
      </c>
    </row>
    <row r="543" spans="3:6" x14ac:dyDescent="0.25">
      <c r="C543" s="79"/>
      <c r="D543" s="79"/>
      <c r="E543" s="47">
        <v>1951.3729818711599</v>
      </c>
      <c r="F543" s="47">
        <v>9648.0908103326892</v>
      </c>
    </row>
    <row r="544" spans="3:6" x14ac:dyDescent="0.25">
      <c r="C544" s="79"/>
      <c r="D544" s="79"/>
      <c r="E544" s="47">
        <v>1985.13102969852</v>
      </c>
      <c r="F544" s="47">
        <v>9690.8248963733004</v>
      </c>
    </row>
    <row r="545" spans="3:6" x14ac:dyDescent="0.25">
      <c r="C545" s="79"/>
      <c r="D545" s="79">
        <v>1200</v>
      </c>
      <c r="E545" s="47">
        <v>1835.51862739336</v>
      </c>
      <c r="F545" s="47">
        <v>9230.1488266083907</v>
      </c>
    </row>
    <row r="546" spans="3:6" x14ac:dyDescent="0.25">
      <c r="C546" s="79"/>
      <c r="D546" s="79"/>
      <c r="E546" s="47">
        <v>1838.37937654232</v>
      </c>
      <c r="F546" s="47">
        <v>9500.6750324663808</v>
      </c>
    </row>
    <row r="547" spans="3:6" x14ac:dyDescent="0.25">
      <c r="C547" s="79"/>
      <c r="D547" s="79"/>
      <c r="E547" s="47">
        <v>1843.55873395192</v>
      </c>
      <c r="F547" s="47">
        <v>9678.0611770133601</v>
      </c>
    </row>
    <row r="548" spans="3:6" x14ac:dyDescent="0.25">
      <c r="C548" s="79"/>
      <c r="D548" s="79"/>
      <c r="E548" s="47">
        <v>1851.52541476128</v>
      </c>
      <c r="F548" s="47">
        <v>9804.8241950024494</v>
      </c>
    </row>
    <row r="549" spans="3:6" x14ac:dyDescent="0.25">
      <c r="C549" s="79"/>
      <c r="D549" s="79"/>
      <c r="E549" s="47">
        <v>1862.6874753910799</v>
      </c>
      <c r="F549" s="47">
        <v>9901.1744793764701</v>
      </c>
    </row>
    <row r="550" spans="3:6" x14ac:dyDescent="0.25">
      <c r="C550" s="79"/>
      <c r="D550" s="79"/>
      <c r="E550" s="47">
        <v>1877.4761900644701</v>
      </c>
      <c r="F550" s="47">
        <v>9978.0347271907503</v>
      </c>
    </row>
    <row r="551" spans="3:6" x14ac:dyDescent="0.25">
      <c r="C551" s="79"/>
      <c r="D551" s="79"/>
      <c r="E551" s="47">
        <v>1896.3200011229001</v>
      </c>
      <c r="F551" s="47">
        <v>10041.9474071817</v>
      </c>
    </row>
    <row r="552" spans="3:6" x14ac:dyDescent="0.25">
      <c r="C552" s="79"/>
      <c r="D552" s="79"/>
      <c r="E552" s="47">
        <v>1919.6492384085</v>
      </c>
      <c r="F552" s="47">
        <v>10096.9747877138</v>
      </c>
    </row>
    <row r="553" spans="3:6" x14ac:dyDescent="0.25">
      <c r="C553" s="79"/>
      <c r="D553" s="79"/>
      <c r="E553" s="47">
        <v>1947.90319305923</v>
      </c>
      <c r="F553" s="47">
        <v>10146.1518197156</v>
      </c>
    </row>
    <row r="554" spans="3:6" x14ac:dyDescent="0.25">
      <c r="C554" s="79"/>
      <c r="D554" s="79"/>
      <c r="E554" s="47">
        <v>1981.5294703550901</v>
      </c>
      <c r="F554" s="47">
        <v>10191.5133198562</v>
      </c>
    </row>
    <row r="555" spans="3:6" x14ac:dyDescent="0.25">
      <c r="C555" s="79">
        <v>5</v>
      </c>
      <c r="D555" s="79">
        <v>0</v>
      </c>
      <c r="E555" s="47">
        <v>1818.4671898127301</v>
      </c>
      <c r="F555" s="47">
        <v>5300.49693553216</v>
      </c>
    </row>
    <row r="556" spans="3:6" x14ac:dyDescent="0.25">
      <c r="C556" s="79"/>
      <c r="D556" s="79"/>
      <c r="E556" s="47">
        <v>1818.4671898127301</v>
      </c>
      <c r="F556" s="47">
        <v>5300.49693553216</v>
      </c>
    </row>
    <row r="557" spans="3:6" x14ac:dyDescent="0.25">
      <c r="C557" s="79"/>
      <c r="D557" s="79"/>
      <c r="E557" s="47">
        <v>1818.4671898127301</v>
      </c>
      <c r="F557" s="47">
        <v>5300.49693553216</v>
      </c>
    </row>
    <row r="558" spans="3:6" x14ac:dyDescent="0.25">
      <c r="C558" s="79"/>
      <c r="D558" s="79"/>
      <c r="E558" s="47">
        <v>1818.4671898127301</v>
      </c>
      <c r="F558" s="47">
        <v>5300.49693553216</v>
      </c>
    </row>
    <row r="559" spans="3:6" x14ac:dyDescent="0.25">
      <c r="C559" s="79"/>
      <c r="D559" s="79"/>
      <c r="E559" s="47">
        <v>1818.4671898127301</v>
      </c>
      <c r="F559" s="47">
        <v>5300.49693553216</v>
      </c>
    </row>
    <row r="560" spans="3:6" x14ac:dyDescent="0.25">
      <c r="C560" s="79"/>
      <c r="D560" s="79"/>
      <c r="E560" s="47">
        <v>1818.4671898127301</v>
      </c>
      <c r="F560" s="47">
        <v>5300.49693553216</v>
      </c>
    </row>
    <row r="561" spans="3:6" x14ac:dyDescent="0.25">
      <c r="C561" s="79"/>
      <c r="D561" s="79"/>
      <c r="E561" s="47">
        <v>1838.9600625123001</v>
      </c>
      <c r="F561" s="47">
        <v>5324.6350611033104</v>
      </c>
    </row>
    <row r="562" spans="3:6" x14ac:dyDescent="0.25">
      <c r="C562" s="79"/>
      <c r="D562" s="79"/>
      <c r="E562" s="47">
        <v>1863.75427528308</v>
      </c>
      <c r="F562" s="47">
        <v>5345.9569816661597</v>
      </c>
    </row>
    <row r="563" spans="3:6" x14ac:dyDescent="0.25">
      <c r="C563" s="79"/>
      <c r="D563" s="79"/>
      <c r="E563" s="47">
        <v>1893.3694954043201</v>
      </c>
      <c r="F563" s="47">
        <v>5365.73571078655</v>
      </c>
    </row>
    <row r="564" spans="3:6" x14ac:dyDescent="0.25">
      <c r="C564" s="79"/>
      <c r="D564" s="79"/>
      <c r="E564" s="47">
        <v>1928.32207428471</v>
      </c>
      <c r="F564" s="47">
        <v>5384.9630674290902</v>
      </c>
    </row>
    <row r="565" spans="3:6" x14ac:dyDescent="0.25">
      <c r="C565" s="79"/>
      <c r="D565" s="79">
        <v>100</v>
      </c>
      <c r="E565" s="47">
        <v>1804.8197336297001</v>
      </c>
      <c r="F565" s="47">
        <v>5610.4942982922403</v>
      </c>
    </row>
    <row r="566" spans="3:6" x14ac:dyDescent="0.25">
      <c r="C566" s="79"/>
      <c r="D566" s="79"/>
      <c r="E566" s="47">
        <v>1804.8197336297001</v>
      </c>
      <c r="F566" s="47">
        <v>5610.4942982922403</v>
      </c>
    </row>
    <row r="567" spans="3:6" x14ac:dyDescent="0.25">
      <c r="C567" s="79"/>
      <c r="D567" s="79"/>
      <c r="E567" s="47">
        <v>1804.8197336297001</v>
      </c>
      <c r="F567" s="47">
        <v>5610.4942982922403</v>
      </c>
    </row>
    <row r="568" spans="3:6" x14ac:dyDescent="0.25">
      <c r="C568" s="79"/>
      <c r="D568" s="79"/>
      <c r="E568" s="47">
        <v>1804.8197336297001</v>
      </c>
      <c r="F568" s="47">
        <v>5610.4942982922403</v>
      </c>
    </row>
    <row r="569" spans="3:6" x14ac:dyDescent="0.25">
      <c r="C569" s="79"/>
      <c r="D569" s="79"/>
      <c r="E569" s="47">
        <v>1818.2644266309601</v>
      </c>
      <c r="F569" s="47">
        <v>5651.2085809301698</v>
      </c>
    </row>
    <row r="570" spans="3:6" x14ac:dyDescent="0.25">
      <c r="C570" s="79"/>
      <c r="D570" s="79"/>
      <c r="E570" s="47">
        <v>1834.8879666791399</v>
      </c>
      <c r="F570" s="47">
        <v>5683.6949454771102</v>
      </c>
    </row>
    <row r="571" spans="3:6" x14ac:dyDescent="0.25">
      <c r="C571" s="79"/>
      <c r="D571" s="79"/>
      <c r="E571" s="47">
        <v>1855.2821450031299</v>
      </c>
      <c r="F571" s="47">
        <v>5710.9876728568997</v>
      </c>
    </row>
    <row r="572" spans="3:6" x14ac:dyDescent="0.25">
      <c r="C572" s="79"/>
      <c r="D572" s="79"/>
      <c r="E572" s="47">
        <v>1879.9880256283</v>
      </c>
      <c r="F572" s="47">
        <v>5735.07600474225</v>
      </c>
    </row>
    <row r="573" spans="3:6" x14ac:dyDescent="0.25">
      <c r="C573" s="79"/>
      <c r="D573" s="79"/>
      <c r="E573" s="47">
        <v>1909.51553088175</v>
      </c>
      <c r="F573" s="47">
        <v>5757.3028060155002</v>
      </c>
    </row>
    <row r="574" spans="3:6" x14ac:dyDescent="0.25">
      <c r="C574" s="79"/>
      <c r="D574" s="79"/>
      <c r="E574" s="47">
        <v>1944.3606901389501</v>
      </c>
      <c r="F574" s="47">
        <v>5778.6757282840399</v>
      </c>
    </row>
    <row r="575" spans="3:6" x14ac:dyDescent="0.25">
      <c r="C575" s="79"/>
      <c r="D575" s="79">
        <v>200</v>
      </c>
      <c r="E575" s="47">
        <v>1807.9927851925599</v>
      </c>
      <c r="F575" s="47">
        <v>5936.35481191897</v>
      </c>
    </row>
    <row r="576" spans="3:6" x14ac:dyDescent="0.25">
      <c r="C576" s="79"/>
      <c r="D576" s="79"/>
      <c r="E576" s="47">
        <v>1807.9927851925599</v>
      </c>
      <c r="F576" s="47">
        <v>5936.35481191897</v>
      </c>
    </row>
    <row r="577" spans="3:6" x14ac:dyDescent="0.25">
      <c r="C577" s="79"/>
      <c r="D577" s="79"/>
      <c r="E577" s="47">
        <v>1807.9927851925599</v>
      </c>
      <c r="F577" s="47">
        <v>5936.35481191897</v>
      </c>
    </row>
    <row r="578" spans="3:6" x14ac:dyDescent="0.25">
      <c r="C578" s="79"/>
      <c r="D578" s="79"/>
      <c r="E578" s="47">
        <v>1818.7228946458799</v>
      </c>
      <c r="F578" s="47">
        <v>5996.5989461048302</v>
      </c>
    </row>
    <row r="579" spans="3:6" x14ac:dyDescent="0.25">
      <c r="C579" s="79"/>
      <c r="D579" s="79"/>
      <c r="E579" s="47">
        <v>1832.00127337455</v>
      </c>
      <c r="F579" s="47">
        <v>6042.2339523338096</v>
      </c>
    </row>
    <row r="580" spans="3:6" x14ac:dyDescent="0.25">
      <c r="C580" s="79"/>
      <c r="D580" s="79"/>
      <c r="E580" s="47">
        <v>1848.4911253610001</v>
      </c>
      <c r="F580" s="47">
        <v>6078.6940041543903</v>
      </c>
    </row>
    <row r="581" spans="3:6" x14ac:dyDescent="0.25">
      <c r="C581" s="79"/>
      <c r="D581" s="79"/>
      <c r="E581" s="47">
        <v>1868.7678301608</v>
      </c>
      <c r="F581" s="47">
        <v>6109.2809623615303</v>
      </c>
    </row>
    <row r="582" spans="3:6" x14ac:dyDescent="0.25">
      <c r="C582" s="79"/>
      <c r="D582" s="79"/>
      <c r="E582" s="47">
        <v>1893.3628571086399</v>
      </c>
      <c r="F582" s="47">
        <v>6136.1589069336696</v>
      </c>
    </row>
    <row r="583" spans="3:6" x14ac:dyDescent="0.25">
      <c r="C583" s="79"/>
      <c r="D583" s="79"/>
      <c r="E583" s="47">
        <v>1922.78195593236</v>
      </c>
      <c r="F583" s="47">
        <v>6160.8236744218902</v>
      </c>
    </row>
    <row r="584" spans="3:6" x14ac:dyDescent="0.25">
      <c r="C584" s="79"/>
      <c r="D584" s="79"/>
      <c r="E584" s="47">
        <v>1957.51784250637</v>
      </c>
      <c r="F584" s="47">
        <v>6184.3866165118097</v>
      </c>
    </row>
    <row r="585" spans="3:6" x14ac:dyDescent="0.25">
      <c r="C585" s="79"/>
      <c r="D585" s="79">
        <v>300</v>
      </c>
      <c r="E585" s="47">
        <v>1802.80257105956</v>
      </c>
      <c r="F585" s="47">
        <v>6091.0663991076499</v>
      </c>
    </row>
    <row r="586" spans="3:6" x14ac:dyDescent="0.25">
      <c r="C586" s="79"/>
      <c r="D586" s="79"/>
      <c r="E586" s="47">
        <v>1810.9380932865799</v>
      </c>
      <c r="F586" s="47">
        <v>6233.8339434894797</v>
      </c>
    </row>
    <row r="587" spans="3:6" x14ac:dyDescent="0.25">
      <c r="C587" s="79"/>
      <c r="D587" s="79"/>
      <c r="E587" s="47">
        <v>1819.6058217797699</v>
      </c>
      <c r="F587" s="47">
        <v>6327.2572355417096</v>
      </c>
    </row>
    <row r="588" spans="3:6" x14ac:dyDescent="0.25">
      <c r="C588" s="79"/>
      <c r="D588" s="79"/>
      <c r="E588" s="47">
        <v>1830.0730503961599</v>
      </c>
      <c r="F588" s="47">
        <v>6393.8375254721605</v>
      </c>
    </row>
    <row r="589" spans="3:6" x14ac:dyDescent="0.25">
      <c r="C589" s="79"/>
      <c r="D589" s="79"/>
      <c r="E589" s="47">
        <v>1843.15387042305</v>
      </c>
      <c r="F589" s="47">
        <v>6444.4104224761004</v>
      </c>
    </row>
    <row r="590" spans="3:6" x14ac:dyDescent="0.25">
      <c r="C590" s="79"/>
      <c r="D590" s="79"/>
      <c r="E590" s="47">
        <v>1859.4862560261599</v>
      </c>
      <c r="F590" s="47">
        <v>6484.9087779743104</v>
      </c>
    </row>
    <row r="591" spans="3:6" x14ac:dyDescent="0.25">
      <c r="C591" s="79"/>
      <c r="D591" s="79"/>
      <c r="E591" s="47">
        <v>1879.62899222802</v>
      </c>
      <c r="F591" s="47">
        <v>6518.8905556892896</v>
      </c>
    </row>
    <row r="592" spans="3:6" x14ac:dyDescent="0.25">
      <c r="C592" s="79"/>
      <c r="D592" s="79"/>
      <c r="E592" s="47">
        <v>1904.1028911968499</v>
      </c>
      <c r="F592" s="47">
        <v>6548.6966705874902</v>
      </c>
    </row>
    <row r="593" spans="3:6" x14ac:dyDescent="0.25">
      <c r="C593" s="79"/>
      <c r="D593" s="79"/>
      <c r="E593" s="47">
        <v>1933.4077239967801</v>
      </c>
      <c r="F593" s="47">
        <v>6575.9530617741602</v>
      </c>
    </row>
    <row r="594" spans="3:6" x14ac:dyDescent="0.25">
      <c r="C594" s="79"/>
      <c r="D594" s="79"/>
      <c r="E594" s="47">
        <v>1968.0280431106301</v>
      </c>
      <c r="F594" s="47">
        <v>6601.8358291527402</v>
      </c>
    </row>
    <row r="595" spans="3:6" x14ac:dyDescent="0.25">
      <c r="C595" s="79"/>
      <c r="D595" s="79">
        <v>400</v>
      </c>
      <c r="E595" s="47">
        <v>1813.0278961194799</v>
      </c>
      <c r="F595" s="47">
        <v>6468.1574960989201</v>
      </c>
    </row>
    <row r="596" spans="3:6" x14ac:dyDescent="0.25">
      <c r="C596" s="79"/>
      <c r="D596" s="79"/>
      <c r="E596" s="47">
        <v>1820.5912161143201</v>
      </c>
      <c r="F596" s="47">
        <v>6625.63479019636</v>
      </c>
    </row>
    <row r="597" spans="3:6" x14ac:dyDescent="0.25">
      <c r="C597" s="79"/>
      <c r="D597" s="79"/>
      <c r="E597" s="47">
        <v>1828.87721040822</v>
      </c>
      <c r="F597" s="47">
        <v>6728.7793957996901</v>
      </c>
    </row>
    <row r="598" spans="3:6" x14ac:dyDescent="0.25">
      <c r="C598" s="79"/>
      <c r="D598" s="79"/>
      <c r="E598" s="47">
        <v>1839.0705330691501</v>
      </c>
      <c r="F598" s="47">
        <v>6802.3584078681297</v>
      </c>
    </row>
    <row r="599" spans="3:6" x14ac:dyDescent="0.25">
      <c r="C599" s="79"/>
      <c r="D599" s="79"/>
      <c r="E599" s="47">
        <v>1851.9403088357701</v>
      </c>
      <c r="F599" s="47">
        <v>6858.2415516000001</v>
      </c>
    </row>
    <row r="600" spans="3:6" x14ac:dyDescent="0.25">
      <c r="C600" s="79"/>
      <c r="D600" s="79"/>
      <c r="E600" s="47">
        <v>1868.10080188744</v>
      </c>
      <c r="F600" s="47">
        <v>6902.9494786914302</v>
      </c>
    </row>
    <row r="601" spans="3:6" x14ac:dyDescent="0.25">
      <c r="C601" s="79"/>
      <c r="D601" s="79"/>
      <c r="E601" s="47">
        <v>1888.0976305239501</v>
      </c>
      <c r="F601" s="47">
        <v>6940.46379730014</v>
      </c>
    </row>
    <row r="602" spans="3:6" x14ac:dyDescent="0.25">
      <c r="C602" s="79"/>
      <c r="D602" s="79"/>
      <c r="E602" s="47">
        <v>1912.4406471945499</v>
      </c>
      <c r="F602" s="47">
        <v>6973.2812795303898</v>
      </c>
    </row>
    <row r="603" spans="3:6" x14ac:dyDescent="0.25">
      <c r="C603" s="79"/>
      <c r="D603" s="79"/>
      <c r="E603" s="47">
        <v>1941.6215979443</v>
      </c>
      <c r="F603" s="47">
        <v>7003.1643684310802</v>
      </c>
    </row>
    <row r="604" spans="3:6" x14ac:dyDescent="0.25">
      <c r="C604" s="79"/>
      <c r="D604" s="79"/>
      <c r="E604" s="47">
        <v>1976.12146765231</v>
      </c>
      <c r="F604" s="47">
        <v>7031.3926352935696</v>
      </c>
    </row>
    <row r="605" spans="3:6" x14ac:dyDescent="0.25">
      <c r="C605" s="79"/>
      <c r="D605" s="79">
        <v>500</v>
      </c>
      <c r="E605" s="47">
        <v>1821.2061596948799</v>
      </c>
      <c r="F605" s="47">
        <v>6856.1232474333001</v>
      </c>
    </row>
    <row r="606" spans="3:6" x14ac:dyDescent="0.25">
      <c r="C606" s="79"/>
      <c r="D606" s="79"/>
      <c r="E606" s="47">
        <v>1828.1379330801301</v>
      </c>
      <c r="F606" s="47">
        <v>7027.9858379129701</v>
      </c>
    </row>
    <row r="607" spans="3:6" x14ac:dyDescent="0.25">
      <c r="C607" s="79"/>
      <c r="D607" s="79"/>
      <c r="E607" s="47">
        <v>1836.00647222918</v>
      </c>
      <c r="F607" s="47">
        <v>7140.6459621815302</v>
      </c>
    </row>
    <row r="608" spans="3:6" x14ac:dyDescent="0.25">
      <c r="C608" s="79"/>
      <c r="D608" s="79"/>
      <c r="E608" s="47">
        <v>1845.90130865988</v>
      </c>
      <c r="F608" s="47">
        <v>7221.1837887743004</v>
      </c>
    </row>
    <row r="609" spans="3:6" x14ac:dyDescent="0.25">
      <c r="C609" s="79"/>
      <c r="D609" s="79"/>
      <c r="E609" s="47">
        <v>1858.5434739187699</v>
      </c>
      <c r="F609" s="47">
        <v>7282.4463587710097</v>
      </c>
    </row>
    <row r="610" spans="3:6" x14ac:dyDescent="0.25">
      <c r="C610" s="79"/>
      <c r="D610" s="79"/>
      <c r="E610" s="47">
        <v>1874.5209552189999</v>
      </c>
      <c r="F610" s="47">
        <v>7331.48830937409</v>
      </c>
    </row>
    <row r="611" spans="3:6" x14ac:dyDescent="0.25">
      <c r="C611" s="79"/>
      <c r="D611" s="79"/>
      <c r="E611" s="47">
        <v>1894.36150377895</v>
      </c>
      <c r="F611" s="47">
        <v>7372.5622648588496</v>
      </c>
    </row>
    <row r="612" spans="3:6" x14ac:dyDescent="0.25">
      <c r="C612" s="79"/>
      <c r="D612" s="79"/>
      <c r="E612" s="47">
        <v>1918.56538742507</v>
      </c>
      <c r="F612" s="47">
        <v>7408.46854700327</v>
      </c>
    </row>
    <row r="613" spans="3:6" x14ac:dyDescent="0.25">
      <c r="C613" s="79"/>
      <c r="D613" s="79"/>
      <c r="E613" s="47">
        <v>1947.61752742115</v>
      </c>
      <c r="F613" s="47">
        <v>7441.0795065689999</v>
      </c>
    </row>
    <row r="614" spans="3:6" x14ac:dyDescent="0.25">
      <c r="C614" s="79"/>
      <c r="D614" s="79"/>
      <c r="E614" s="47">
        <v>1981.9917117774301</v>
      </c>
      <c r="F614" s="47">
        <v>7471.7500189872599</v>
      </c>
    </row>
    <row r="615" spans="3:6" x14ac:dyDescent="0.25">
      <c r="C615" s="79"/>
      <c r="D615" s="79">
        <v>600</v>
      </c>
      <c r="E615" s="47">
        <v>1827.4479994042599</v>
      </c>
      <c r="F615" s="47">
        <v>7251.73444580861</v>
      </c>
    </row>
    <row r="616" spans="3:6" x14ac:dyDescent="0.25">
      <c r="C616" s="79"/>
      <c r="D616" s="79"/>
      <c r="E616" s="47">
        <v>1833.7359820976001</v>
      </c>
      <c r="F616" s="47">
        <v>7439.78686467638</v>
      </c>
    </row>
    <row r="617" spans="3:6" x14ac:dyDescent="0.25">
      <c r="C617" s="79"/>
      <c r="D617" s="79"/>
      <c r="E617" s="47">
        <v>1841.1734690099299</v>
      </c>
      <c r="F617" s="47">
        <v>7563.1166555312802</v>
      </c>
    </row>
    <row r="618" spans="3:6" x14ac:dyDescent="0.25">
      <c r="C618" s="79"/>
      <c r="D618" s="79"/>
      <c r="E618" s="47">
        <v>1850.7564049515699</v>
      </c>
      <c r="F618" s="47">
        <v>7651.2369688773497</v>
      </c>
    </row>
    <row r="619" spans="3:6" x14ac:dyDescent="0.25">
      <c r="C619" s="79"/>
      <c r="D619" s="79"/>
      <c r="E619" s="47">
        <v>1863.1580310035499</v>
      </c>
      <c r="F619" s="47">
        <v>7718.2686109179003</v>
      </c>
    </row>
    <row r="620" spans="3:6" x14ac:dyDescent="0.25">
      <c r="C620" s="79"/>
      <c r="D620" s="79"/>
      <c r="E620" s="47">
        <v>1878.9409624063101</v>
      </c>
      <c r="F620" s="47">
        <v>7771.8933064458297</v>
      </c>
    </row>
    <row r="621" spans="3:6" x14ac:dyDescent="0.25">
      <c r="C621" s="79"/>
      <c r="D621" s="79"/>
      <c r="E621" s="47">
        <v>1898.6173486959599</v>
      </c>
      <c r="F621" s="47">
        <v>7816.73572345906</v>
      </c>
    </row>
    <row r="622" spans="3:6" x14ac:dyDescent="0.25">
      <c r="C622" s="79"/>
      <c r="D622" s="79"/>
      <c r="E622" s="47">
        <v>1922.6759230743901</v>
      </c>
      <c r="F622" s="47">
        <v>7855.7882997265997</v>
      </c>
    </row>
    <row r="623" spans="3:6" x14ac:dyDescent="0.25">
      <c r="C623" s="79"/>
      <c r="D623" s="79"/>
      <c r="E623" s="47">
        <v>1951.5926075587299</v>
      </c>
      <c r="F623" s="47">
        <v>7891.1485853603299</v>
      </c>
    </row>
    <row r="624" spans="3:6" x14ac:dyDescent="0.25">
      <c r="C624" s="79"/>
      <c r="D624" s="79"/>
      <c r="E624" s="47">
        <v>1985.8375780889601</v>
      </c>
      <c r="F624" s="47">
        <v>7924.2733466911995</v>
      </c>
    </row>
    <row r="625" spans="3:6" x14ac:dyDescent="0.25">
      <c r="C625" s="79"/>
      <c r="D625" s="79">
        <v>700</v>
      </c>
      <c r="E625" s="47">
        <v>1831.94685382793</v>
      </c>
      <c r="F625" s="47">
        <v>7657.2643552814698</v>
      </c>
    </row>
    <row r="626" spans="3:6" x14ac:dyDescent="0.25">
      <c r="C626" s="79"/>
      <c r="D626" s="79"/>
      <c r="E626" s="47">
        <v>1837.54097523686</v>
      </c>
      <c r="F626" s="47">
        <v>7861.0664331096896</v>
      </c>
    </row>
    <row r="627" spans="3:6" x14ac:dyDescent="0.25">
      <c r="C627" s="79"/>
      <c r="D627" s="79"/>
      <c r="E627" s="47">
        <v>1844.5219104565499</v>
      </c>
      <c r="F627" s="47">
        <v>7994.7890323793799</v>
      </c>
    </row>
    <row r="628" spans="3:6" x14ac:dyDescent="0.25">
      <c r="C628" s="79"/>
      <c r="D628" s="79"/>
      <c r="E628" s="47">
        <v>1853.78140877433</v>
      </c>
      <c r="F628" s="47">
        <v>8090.4173449142199</v>
      </c>
    </row>
    <row r="629" spans="3:6" x14ac:dyDescent="0.25">
      <c r="C629" s="79"/>
      <c r="D629" s="79"/>
      <c r="E629" s="47">
        <v>1865.9338044640299</v>
      </c>
      <c r="F629" s="47">
        <v>8163.2205172567201</v>
      </c>
    </row>
    <row r="630" spans="3:6" x14ac:dyDescent="0.25">
      <c r="C630" s="79"/>
      <c r="D630" s="79"/>
      <c r="E630" s="47">
        <v>1881.5160081311201</v>
      </c>
      <c r="F630" s="47">
        <v>8221.4814341225392</v>
      </c>
    </row>
    <row r="631" spans="3:6" x14ac:dyDescent="0.25">
      <c r="C631" s="79"/>
      <c r="D631" s="79"/>
      <c r="E631" s="47">
        <v>1901.02271508128</v>
      </c>
      <c r="F631" s="47">
        <v>8270.1710682664307</v>
      </c>
    </row>
    <row r="632" spans="3:6" x14ac:dyDescent="0.25">
      <c r="C632" s="79"/>
      <c r="D632" s="79"/>
      <c r="E632" s="47">
        <v>1924.9325308341899</v>
      </c>
      <c r="F632" s="47">
        <v>8312.5084799668493</v>
      </c>
    </row>
    <row r="633" spans="3:6" x14ac:dyDescent="0.25">
      <c r="C633" s="79"/>
      <c r="D633" s="79"/>
      <c r="E633" s="47">
        <v>1953.7145496118101</v>
      </c>
      <c r="F633" s="47">
        <v>8350.69044424811</v>
      </c>
    </row>
    <row r="634" spans="3:6" x14ac:dyDescent="0.25">
      <c r="C634" s="79"/>
      <c r="D634" s="79"/>
      <c r="E634" s="47">
        <v>1987.8294480879999</v>
      </c>
      <c r="F634" s="47">
        <v>8386.3669743405007</v>
      </c>
    </row>
    <row r="635" spans="3:6" x14ac:dyDescent="0.25">
      <c r="C635" s="79"/>
      <c r="D635" s="79">
        <v>800</v>
      </c>
      <c r="E635" s="47">
        <v>1834.8216441125201</v>
      </c>
      <c r="F635" s="47">
        <v>8070.6376173409099</v>
      </c>
    </row>
    <row r="636" spans="3:6" x14ac:dyDescent="0.25">
      <c r="C636" s="79"/>
      <c r="D636" s="79"/>
      <c r="E636" s="47">
        <v>1839.7104310206601</v>
      </c>
      <c r="F636" s="47">
        <v>8292.0034605271994</v>
      </c>
    </row>
    <row r="637" spans="3:6" x14ac:dyDescent="0.25">
      <c r="C637" s="79"/>
      <c r="D637" s="79"/>
      <c r="E637" s="47">
        <v>1846.2258182286801</v>
      </c>
      <c r="F637" s="47">
        <v>8437.2388745492299</v>
      </c>
    </row>
    <row r="638" spans="3:6" x14ac:dyDescent="0.25">
      <c r="C638" s="79"/>
      <c r="D638" s="79"/>
      <c r="E638" s="47">
        <v>1855.14826818702</v>
      </c>
      <c r="F638" s="47">
        <v>8541.0496600346105</v>
      </c>
    </row>
    <row r="639" spans="3:6" x14ac:dyDescent="0.25">
      <c r="C639" s="79"/>
      <c r="D639" s="79"/>
      <c r="E639" s="47">
        <v>1867.0453985914901</v>
      </c>
      <c r="F639" s="47">
        <v>8619.6986814804004</v>
      </c>
    </row>
    <row r="640" spans="3:6" x14ac:dyDescent="0.25">
      <c r="C640" s="79"/>
      <c r="D640" s="79"/>
      <c r="E640" s="47">
        <v>1882.4186804613701</v>
      </c>
      <c r="F640" s="47">
        <v>8682.5974489937707</v>
      </c>
    </row>
    <row r="641" spans="3:6" x14ac:dyDescent="0.25">
      <c r="C641" s="79"/>
      <c r="D641" s="79"/>
      <c r="E641" s="47">
        <v>1901.7507085264201</v>
      </c>
      <c r="F641" s="47">
        <v>8735.1266052991596</v>
      </c>
    </row>
    <row r="642" spans="3:6" x14ac:dyDescent="0.25">
      <c r="C642" s="79"/>
      <c r="D642" s="79"/>
      <c r="E642" s="47">
        <v>1925.5070948431901</v>
      </c>
      <c r="F642" s="47">
        <v>8780.7335876555208</v>
      </c>
    </row>
    <row r="643" spans="3:6" x14ac:dyDescent="0.25">
      <c r="C643" s="79"/>
      <c r="D643" s="79"/>
      <c r="E643" s="47">
        <v>1954.1492427994301</v>
      </c>
      <c r="F643" s="47">
        <v>8821.7793343959493</v>
      </c>
    </row>
    <row r="644" spans="3:6" x14ac:dyDescent="0.25">
      <c r="C644" s="79"/>
      <c r="D644" s="79"/>
      <c r="E644" s="47">
        <v>1988.1329824976499</v>
      </c>
      <c r="F644" s="47">
        <v>8859.9818099977801</v>
      </c>
    </row>
    <row r="645" spans="3:6" x14ac:dyDescent="0.25">
      <c r="C645" s="79"/>
      <c r="D645" s="79">
        <v>900</v>
      </c>
      <c r="E645" s="47">
        <v>1836.2188624492701</v>
      </c>
      <c r="F645" s="47">
        <v>8492.8346347425704</v>
      </c>
    </row>
    <row r="646" spans="3:6" x14ac:dyDescent="0.25">
      <c r="C646" s="79"/>
      <c r="D646" s="79"/>
      <c r="E646" s="47">
        <v>1840.3769226755201</v>
      </c>
      <c r="F646" s="47">
        <v>8731.1904502340694</v>
      </c>
    </row>
    <row r="647" spans="3:6" x14ac:dyDescent="0.25">
      <c r="C647" s="79"/>
      <c r="D647" s="79"/>
      <c r="E647" s="47">
        <v>1846.4109735342299</v>
      </c>
      <c r="F647" s="47">
        <v>8887.6006754577302</v>
      </c>
    </row>
    <row r="648" spans="3:6" x14ac:dyDescent="0.25">
      <c r="C648" s="79"/>
      <c r="D648" s="79"/>
      <c r="E648" s="47">
        <v>1854.9821856257299</v>
      </c>
      <c r="F648" s="47">
        <v>8999.4679675461994</v>
      </c>
    </row>
    <row r="649" spans="3:6" x14ac:dyDescent="0.25">
      <c r="C649" s="79"/>
      <c r="D649" s="79"/>
      <c r="E649" s="47">
        <v>1866.6164940725901</v>
      </c>
      <c r="F649" s="47">
        <v>9084.5576517631107</v>
      </c>
    </row>
    <row r="650" spans="3:6" x14ac:dyDescent="0.25">
      <c r="C650" s="79"/>
      <c r="D650" s="79"/>
      <c r="E650" s="47">
        <v>1881.7739127432801</v>
      </c>
      <c r="F650" s="47">
        <v>9152.5912248392397</v>
      </c>
    </row>
    <row r="651" spans="3:6" x14ac:dyDescent="0.25">
      <c r="C651" s="79"/>
      <c r="D651" s="79"/>
      <c r="E651" s="47">
        <v>1900.92526060509</v>
      </c>
      <c r="F651" s="47">
        <v>9209.3075372187504</v>
      </c>
    </row>
    <row r="652" spans="3:6" x14ac:dyDescent="0.25">
      <c r="C652" s="79"/>
      <c r="D652" s="79"/>
      <c r="E652" s="47">
        <v>1924.52565723679</v>
      </c>
      <c r="F652" s="47">
        <v>9258.4164042534794</v>
      </c>
    </row>
    <row r="653" spans="3:6" x14ac:dyDescent="0.25">
      <c r="C653" s="79"/>
      <c r="D653" s="79"/>
      <c r="E653" s="47">
        <v>1953.0263207774899</v>
      </c>
      <c r="F653" s="47">
        <v>9302.47329815185</v>
      </c>
    </row>
    <row r="654" spans="3:6" x14ac:dyDescent="0.25">
      <c r="C654" s="79"/>
      <c r="D654" s="79"/>
      <c r="E654" s="47">
        <v>1986.8787148988899</v>
      </c>
      <c r="F654" s="47">
        <v>9343.3147473523495</v>
      </c>
    </row>
    <row r="655" spans="3:6" x14ac:dyDescent="0.25">
      <c r="C655" s="79"/>
      <c r="D655" s="79">
        <v>1000</v>
      </c>
      <c r="E655" s="47">
        <v>1836.25547179051</v>
      </c>
      <c r="F655" s="47">
        <v>8922.5719681007304</v>
      </c>
    </row>
    <row r="656" spans="3:6" x14ac:dyDescent="0.25">
      <c r="C656" s="79"/>
      <c r="D656" s="79"/>
      <c r="E656" s="47">
        <v>1839.65301980258</v>
      </c>
      <c r="F656" s="47">
        <v>9180.1835263047906</v>
      </c>
    </row>
    <row r="657" spans="3:6" x14ac:dyDescent="0.25">
      <c r="C657" s="79"/>
      <c r="D657" s="79"/>
      <c r="E657" s="47">
        <v>1845.1926579813301</v>
      </c>
      <c r="F657" s="47">
        <v>9348.4626445038593</v>
      </c>
    </row>
    <row r="658" spans="3:6" x14ac:dyDescent="0.25">
      <c r="C658" s="79"/>
      <c r="D658" s="79"/>
      <c r="E658" s="47">
        <v>1853.4102234013601</v>
      </c>
      <c r="F658" s="47">
        <v>9468.48036852314</v>
      </c>
    </row>
    <row r="659" spans="3:6" x14ac:dyDescent="0.25">
      <c r="C659" s="79"/>
      <c r="D659" s="79"/>
      <c r="E659" s="47">
        <v>1864.7756733690201</v>
      </c>
      <c r="F659" s="47">
        <v>9559.7661122916506</v>
      </c>
    </row>
    <row r="660" spans="3:6" x14ac:dyDescent="0.25">
      <c r="C660" s="79"/>
      <c r="D660" s="79"/>
      <c r="E660" s="47">
        <v>1879.7189448910699</v>
      </c>
      <c r="F660" s="47">
        <v>9632.7155194313309</v>
      </c>
    </row>
    <row r="661" spans="3:6" x14ac:dyDescent="0.25">
      <c r="C661" s="79"/>
      <c r="D661" s="79"/>
      <c r="E661" s="47">
        <v>1898.69005187012</v>
      </c>
      <c r="F661" s="47">
        <v>9693.4895884643993</v>
      </c>
    </row>
    <row r="662" spans="3:6" x14ac:dyDescent="0.25">
      <c r="C662" s="79"/>
      <c r="D662" s="79"/>
      <c r="E662" s="47">
        <v>1922.1321689198801</v>
      </c>
      <c r="F662" s="47">
        <v>9746.0506377601996</v>
      </c>
    </row>
    <row r="663" spans="3:6" x14ac:dyDescent="0.25">
      <c r="C663" s="79"/>
      <c r="D663" s="79"/>
      <c r="E663" s="47">
        <v>1950.4913179467801</v>
      </c>
      <c r="F663" s="47">
        <v>9793.1012890617603</v>
      </c>
    </row>
    <row r="664" spans="3:6" x14ac:dyDescent="0.25">
      <c r="C664" s="79"/>
      <c r="D664" s="79"/>
      <c r="E664" s="47">
        <v>1984.2121770173201</v>
      </c>
      <c r="F664" s="47">
        <v>9836.5942477027693</v>
      </c>
    </row>
    <row r="665" spans="3:6" x14ac:dyDescent="0.25">
      <c r="C665" s="79"/>
      <c r="D665" s="79">
        <v>1100</v>
      </c>
      <c r="E665" s="47">
        <v>1835.0414995220401</v>
      </c>
      <c r="F665" s="47">
        <v>9359.18535498645</v>
      </c>
    </row>
    <row r="666" spans="3:6" x14ac:dyDescent="0.25">
      <c r="C666" s="79"/>
      <c r="D666" s="79"/>
      <c r="E666" s="47">
        <v>1837.6738104099099</v>
      </c>
      <c r="F666" s="47">
        <v>9635.1142877904804</v>
      </c>
    </row>
    <row r="667" spans="3:6" x14ac:dyDescent="0.25">
      <c r="C667" s="79"/>
      <c r="D667" s="79"/>
      <c r="E667" s="47">
        <v>1842.70885953427</v>
      </c>
      <c r="F667" s="47">
        <v>9816.0395663739691</v>
      </c>
    </row>
    <row r="668" spans="3:6" x14ac:dyDescent="0.25">
      <c r="C668" s="79"/>
      <c r="D668" s="79"/>
      <c r="E668" s="47">
        <v>1850.5613062125799</v>
      </c>
      <c r="F668" s="47">
        <v>9945.3470480873093</v>
      </c>
    </row>
    <row r="669" spans="3:6" x14ac:dyDescent="0.25">
      <c r="C669" s="79"/>
      <c r="D669" s="79"/>
      <c r="E669" s="47">
        <v>1861.6488885464501</v>
      </c>
      <c r="F669" s="47">
        <v>10043.6138889212</v>
      </c>
    </row>
    <row r="670" spans="3:6" x14ac:dyDescent="0.25">
      <c r="C670" s="79"/>
      <c r="D670" s="79"/>
      <c r="E670" s="47">
        <v>1876.37084242732</v>
      </c>
      <c r="F670" s="47">
        <v>10122.0229710563</v>
      </c>
    </row>
    <row r="671" spans="3:6" x14ac:dyDescent="0.25">
      <c r="C671" s="79"/>
      <c r="D671" s="79"/>
      <c r="E671" s="47">
        <v>1895.15646510123</v>
      </c>
      <c r="F671" s="47">
        <v>10187.2135739965</v>
      </c>
    </row>
    <row r="672" spans="3:6" x14ac:dyDescent="0.25">
      <c r="C672" s="79"/>
      <c r="D672" s="79"/>
      <c r="E672" s="47">
        <v>1918.4386012375501</v>
      </c>
      <c r="F672" s="47">
        <v>10243.4562195577</v>
      </c>
    </row>
    <row r="673" spans="3:6" x14ac:dyDescent="0.25">
      <c r="C673" s="79"/>
      <c r="D673" s="79"/>
      <c r="E673" s="47">
        <v>1946.6547869240101</v>
      </c>
      <c r="F673" s="47">
        <v>10293.6529241875</v>
      </c>
    </row>
    <row r="674" spans="3:6" x14ac:dyDescent="0.25">
      <c r="C674" s="79"/>
      <c r="D674" s="79"/>
      <c r="E674" s="47">
        <v>1980.24208131605</v>
      </c>
      <c r="F674" s="47">
        <v>10339.8958073538</v>
      </c>
    </row>
    <row r="675" spans="3:6" x14ac:dyDescent="0.25">
      <c r="C675" s="79"/>
      <c r="D675" s="79">
        <v>1200</v>
      </c>
      <c r="E675" s="47">
        <v>1832.6788526043799</v>
      </c>
      <c r="F675" s="47">
        <v>9804.3033436620299</v>
      </c>
    </row>
    <row r="676" spans="3:6" x14ac:dyDescent="0.25">
      <c r="C676" s="79"/>
      <c r="D676" s="79"/>
      <c r="E676" s="47">
        <v>1834.52820389403</v>
      </c>
      <c r="F676" s="47">
        <v>10099.3435994963</v>
      </c>
    </row>
    <row r="677" spans="3:6" x14ac:dyDescent="0.25">
      <c r="C677" s="79"/>
      <c r="D677" s="79"/>
      <c r="E677" s="47">
        <v>1839.0488587356999</v>
      </c>
      <c r="F677" s="47">
        <v>10292.519145419799</v>
      </c>
    </row>
    <row r="678" spans="3:6" x14ac:dyDescent="0.25">
      <c r="C678" s="79"/>
      <c r="D678" s="79"/>
      <c r="E678" s="47">
        <v>1846.5361747371701</v>
      </c>
      <c r="F678" s="47">
        <v>10430.5668664776</v>
      </c>
    </row>
    <row r="679" spans="3:6" x14ac:dyDescent="0.25">
      <c r="C679" s="79"/>
      <c r="D679" s="79"/>
      <c r="E679" s="47">
        <v>1857.3437118491499</v>
      </c>
      <c r="F679" s="47">
        <v>10535.449457049401</v>
      </c>
    </row>
    <row r="680" spans="3:6" x14ac:dyDescent="0.25">
      <c r="C680" s="79"/>
      <c r="D680" s="79"/>
      <c r="E680" s="47">
        <v>1871.84027953228</v>
      </c>
      <c r="F680" s="47">
        <v>10619.1039108327</v>
      </c>
    </row>
    <row r="681" spans="3:6" x14ac:dyDescent="0.25">
      <c r="C681" s="79"/>
      <c r="D681" s="79"/>
      <c r="E681" s="47">
        <v>1890.4377092814</v>
      </c>
      <c r="F681" s="47">
        <v>10688.610063611701</v>
      </c>
    </row>
    <row r="682" spans="3:6" x14ac:dyDescent="0.25">
      <c r="C682" s="79"/>
      <c r="D682" s="79"/>
      <c r="E682" s="47">
        <v>1913.55880584892</v>
      </c>
      <c r="F682" s="47">
        <v>10748.4954844858</v>
      </c>
    </row>
    <row r="683" spans="3:6" x14ac:dyDescent="0.25">
      <c r="C683" s="79"/>
      <c r="D683" s="79"/>
      <c r="E683" s="47">
        <v>1941.63155154693</v>
      </c>
      <c r="F683" s="47">
        <v>10801.837152075101</v>
      </c>
    </row>
    <row r="684" spans="3:6" x14ac:dyDescent="0.25">
      <c r="C684" s="79"/>
      <c r="D684" s="79"/>
      <c r="E684" s="47">
        <v>1975.08276116154</v>
      </c>
      <c r="F684" s="47">
        <v>10850.862026753601</v>
      </c>
    </row>
    <row r="685" spans="3:6" x14ac:dyDescent="0.25">
      <c r="C685" s="79">
        <v>10</v>
      </c>
      <c r="D685" s="79">
        <v>0</v>
      </c>
      <c r="E685" s="47">
        <v>1839.17177753177</v>
      </c>
      <c r="F685" s="47">
        <v>5798.6308002633796</v>
      </c>
    </row>
    <row r="686" spans="3:6" x14ac:dyDescent="0.25">
      <c r="C686" s="79"/>
      <c r="D686" s="79"/>
      <c r="E686" s="47">
        <v>1839.17177753177</v>
      </c>
      <c r="F686" s="47">
        <v>5798.6308002633796</v>
      </c>
    </row>
    <row r="687" spans="3:6" x14ac:dyDescent="0.25">
      <c r="C687" s="79"/>
      <c r="D687" s="79"/>
      <c r="E687" s="47">
        <v>1839.17177753177</v>
      </c>
      <c r="F687" s="47">
        <v>5798.6308002633796</v>
      </c>
    </row>
    <row r="688" spans="3:6" x14ac:dyDescent="0.25">
      <c r="C688" s="79"/>
      <c r="D688" s="79"/>
      <c r="E688" s="47">
        <v>1839.17177753177</v>
      </c>
      <c r="F688" s="47">
        <v>5798.6308002633796</v>
      </c>
    </row>
    <row r="689" spans="3:6" x14ac:dyDescent="0.25">
      <c r="C689" s="79"/>
      <c r="D689" s="79"/>
      <c r="E689" s="47">
        <v>1839.17177753177</v>
      </c>
      <c r="F689" s="47">
        <v>5798.6308002633796</v>
      </c>
    </row>
    <row r="690" spans="3:6" x14ac:dyDescent="0.25">
      <c r="C690" s="79"/>
      <c r="D690" s="79"/>
      <c r="E690" s="47">
        <v>1839.17177753177</v>
      </c>
      <c r="F690" s="47">
        <v>5798.6308002633796</v>
      </c>
    </row>
    <row r="691" spans="3:6" x14ac:dyDescent="0.25">
      <c r="C691" s="79"/>
      <c r="D691" s="79"/>
      <c r="E691" s="47">
        <v>1859.53307464063</v>
      </c>
      <c r="F691" s="47">
        <v>5826.8580541190604</v>
      </c>
    </row>
    <row r="692" spans="3:6" x14ac:dyDescent="0.25">
      <c r="C692" s="79"/>
      <c r="D692" s="79"/>
      <c r="E692" s="47">
        <v>1884.2055703518299</v>
      </c>
      <c r="F692" s="47">
        <v>5851.7217828050598</v>
      </c>
    </row>
    <row r="693" spans="3:6" x14ac:dyDescent="0.25">
      <c r="C693" s="79"/>
      <c r="D693" s="79"/>
      <c r="E693" s="47">
        <v>1913.70069406883</v>
      </c>
      <c r="F693" s="47">
        <v>5874.6295946985501</v>
      </c>
    </row>
    <row r="694" spans="3:6" x14ac:dyDescent="0.25">
      <c r="C694" s="79"/>
      <c r="D694" s="79"/>
      <c r="E694" s="47">
        <v>1948.5128284366201</v>
      </c>
      <c r="F694" s="47">
        <v>5896.6162948125802</v>
      </c>
    </row>
    <row r="695" spans="3:6" x14ac:dyDescent="0.25">
      <c r="C695" s="79"/>
      <c r="D695" s="79">
        <v>100</v>
      </c>
      <c r="E695" s="47">
        <v>1822.30362635289</v>
      </c>
      <c r="F695" s="47">
        <v>6111.8316057058601</v>
      </c>
    </row>
    <row r="696" spans="3:6" x14ac:dyDescent="0.25">
      <c r="C696" s="79"/>
      <c r="D696" s="79"/>
      <c r="E696" s="47">
        <v>1822.30362635289</v>
      </c>
      <c r="F696" s="47">
        <v>6111.8316057058601</v>
      </c>
    </row>
    <row r="697" spans="3:6" x14ac:dyDescent="0.25">
      <c r="C697" s="79"/>
      <c r="D697" s="79"/>
      <c r="E697" s="47">
        <v>1822.30362635289</v>
      </c>
      <c r="F697" s="47">
        <v>6111.8316057058601</v>
      </c>
    </row>
    <row r="698" spans="3:6" x14ac:dyDescent="0.25">
      <c r="C698" s="79"/>
      <c r="D698" s="79"/>
      <c r="E698" s="47">
        <v>1822.30362635289</v>
      </c>
      <c r="F698" s="47">
        <v>6111.8316057058601</v>
      </c>
    </row>
    <row r="699" spans="3:6" x14ac:dyDescent="0.25">
      <c r="C699" s="79"/>
      <c r="D699" s="79"/>
      <c r="E699" s="47">
        <v>1835.52420245648</v>
      </c>
      <c r="F699" s="47">
        <v>6158.8744322999601</v>
      </c>
    </row>
    <row r="700" spans="3:6" x14ac:dyDescent="0.25">
      <c r="C700" s="79"/>
      <c r="D700" s="79"/>
      <c r="E700" s="47">
        <v>1851.9699082212401</v>
      </c>
      <c r="F700" s="47">
        <v>6196.5024308708498</v>
      </c>
    </row>
    <row r="701" spans="3:6" x14ac:dyDescent="0.25">
      <c r="C701" s="79"/>
      <c r="D701" s="79"/>
      <c r="E701" s="47">
        <v>1872.21113272414</v>
      </c>
      <c r="F701" s="47">
        <v>6228.1068270211699</v>
      </c>
    </row>
    <row r="702" spans="3:6" x14ac:dyDescent="0.25">
      <c r="C702" s="79"/>
      <c r="D702" s="79"/>
      <c r="E702" s="47">
        <v>1896.77388245118</v>
      </c>
      <c r="F702" s="47">
        <v>6255.8649307271799</v>
      </c>
    </row>
    <row r="703" spans="3:6" x14ac:dyDescent="0.25">
      <c r="C703" s="79"/>
      <c r="D703" s="79"/>
      <c r="E703" s="47">
        <v>1926.16251939208</v>
      </c>
      <c r="F703" s="47">
        <v>6281.3150767977504</v>
      </c>
    </row>
    <row r="704" spans="3:6" x14ac:dyDescent="0.25">
      <c r="C704" s="79"/>
      <c r="D704" s="79"/>
      <c r="E704" s="47">
        <v>1960.8662445386401</v>
      </c>
      <c r="F704" s="47">
        <v>6305.5735194834697</v>
      </c>
    </row>
    <row r="705" spans="3:6" x14ac:dyDescent="0.25">
      <c r="C705" s="79"/>
      <c r="D705" s="79">
        <v>200</v>
      </c>
      <c r="E705" s="47">
        <v>1822.5693319091499</v>
      </c>
      <c r="F705" s="47">
        <v>6444.3618005434801</v>
      </c>
    </row>
    <row r="706" spans="3:6" x14ac:dyDescent="0.25">
      <c r="C706" s="79"/>
      <c r="D706" s="79"/>
      <c r="E706" s="47">
        <v>1822.5693319091499</v>
      </c>
      <c r="F706" s="47">
        <v>6444.3618005434801</v>
      </c>
    </row>
    <row r="707" spans="3:6" x14ac:dyDescent="0.25">
      <c r="C707" s="79"/>
      <c r="D707" s="79"/>
      <c r="E707" s="47">
        <v>1822.5693319091499</v>
      </c>
      <c r="F707" s="47">
        <v>6444.3618005434801</v>
      </c>
    </row>
    <row r="708" spans="3:6" x14ac:dyDescent="0.25">
      <c r="C708" s="79"/>
      <c r="D708" s="79"/>
      <c r="E708" s="47">
        <v>1832.9558055564301</v>
      </c>
      <c r="F708" s="47">
        <v>6512.8551866305397</v>
      </c>
    </row>
    <row r="709" spans="3:6" x14ac:dyDescent="0.25">
      <c r="C709" s="79"/>
      <c r="D709" s="79"/>
      <c r="E709" s="47">
        <v>1845.97390288313</v>
      </c>
      <c r="F709" s="47">
        <v>6564.8842312473998</v>
      </c>
    </row>
    <row r="710" spans="3:6" x14ac:dyDescent="0.25">
      <c r="C710" s="79"/>
      <c r="D710" s="79"/>
      <c r="E710" s="47">
        <v>1862.25438485834</v>
      </c>
      <c r="F710" s="47">
        <v>6606.5266917463396</v>
      </c>
    </row>
    <row r="711" spans="3:6" x14ac:dyDescent="0.25">
      <c r="C711" s="79"/>
      <c r="D711" s="79"/>
      <c r="E711" s="47">
        <v>1882.3535534734599</v>
      </c>
      <c r="F711" s="47">
        <v>6641.4612483559104</v>
      </c>
    </row>
    <row r="712" spans="3:6" x14ac:dyDescent="0.25">
      <c r="C712" s="79"/>
      <c r="D712" s="79"/>
      <c r="E712" s="47">
        <v>1906.78922758874</v>
      </c>
      <c r="F712" s="47">
        <v>6672.1102070046099</v>
      </c>
    </row>
    <row r="713" spans="3:6" x14ac:dyDescent="0.25">
      <c r="C713" s="79"/>
      <c r="D713" s="79"/>
      <c r="E713" s="47">
        <v>1936.05866091443</v>
      </c>
      <c r="F713" s="47">
        <v>6700.1388218791199</v>
      </c>
    </row>
    <row r="714" spans="3:6" x14ac:dyDescent="0.25">
      <c r="C714" s="79"/>
      <c r="D714" s="79"/>
      <c r="E714" s="47">
        <v>1970.6451280414799</v>
      </c>
      <c r="F714" s="47">
        <v>6726.7250359625295</v>
      </c>
    </row>
    <row r="715" spans="3:6" x14ac:dyDescent="0.25">
      <c r="C715" s="79"/>
      <c r="D715" s="79">
        <v>300</v>
      </c>
      <c r="E715" s="47">
        <v>1815.63081545918</v>
      </c>
      <c r="F715" s="47">
        <v>6580.7865487076097</v>
      </c>
    </row>
    <row r="716" spans="3:6" x14ac:dyDescent="0.25">
      <c r="C716" s="79"/>
      <c r="D716" s="79"/>
      <c r="E716" s="47">
        <v>1823.0128126634099</v>
      </c>
      <c r="F716" s="47">
        <v>6742.4346570225698</v>
      </c>
    </row>
    <row r="717" spans="3:6" x14ac:dyDescent="0.25">
      <c r="C717" s="79"/>
      <c r="D717" s="79"/>
      <c r="E717" s="47">
        <v>1831.17872736241</v>
      </c>
      <c r="F717" s="47">
        <v>6848.3457398855699</v>
      </c>
    </row>
    <row r="718" spans="3:6" x14ac:dyDescent="0.25">
      <c r="C718" s="79"/>
      <c r="D718" s="79"/>
      <c r="E718" s="47">
        <v>1841.28682774086</v>
      </c>
      <c r="F718" s="47">
        <v>6923.9523132598597</v>
      </c>
    </row>
    <row r="719" spans="3:6" x14ac:dyDescent="0.25">
      <c r="C719" s="79"/>
      <c r="D719" s="79"/>
      <c r="E719" s="47">
        <v>1854.0919326552801</v>
      </c>
      <c r="F719" s="47">
        <v>6981.4358692051601</v>
      </c>
    </row>
    <row r="720" spans="3:6" x14ac:dyDescent="0.25">
      <c r="C720" s="79"/>
      <c r="D720" s="79"/>
      <c r="E720" s="47">
        <v>1870.20031860733</v>
      </c>
      <c r="F720" s="47">
        <v>7027.4320196911804</v>
      </c>
    </row>
    <row r="721" spans="3:6" x14ac:dyDescent="0.25">
      <c r="C721" s="79"/>
      <c r="D721" s="79"/>
      <c r="E721" s="47">
        <v>1890.15178962812</v>
      </c>
      <c r="F721" s="47">
        <v>7065.9695446556398</v>
      </c>
    </row>
    <row r="722" spans="3:6" x14ac:dyDescent="0.25">
      <c r="C722" s="79"/>
      <c r="D722" s="79"/>
      <c r="E722" s="47">
        <v>1914.4547692779299</v>
      </c>
      <c r="F722" s="47">
        <v>7099.66357660837</v>
      </c>
    </row>
    <row r="723" spans="3:6" x14ac:dyDescent="0.25">
      <c r="C723" s="79"/>
      <c r="D723" s="79"/>
      <c r="E723" s="47">
        <v>1943.59862983418</v>
      </c>
      <c r="F723" s="47">
        <v>7130.3124458129696</v>
      </c>
    </row>
    <row r="724" spans="3:6" x14ac:dyDescent="0.25">
      <c r="C724" s="79"/>
      <c r="D724" s="79"/>
      <c r="E724" s="47">
        <v>1978.0620786537299</v>
      </c>
      <c r="F724" s="47">
        <v>7159.26006755249</v>
      </c>
    </row>
    <row r="725" spans="3:6" x14ac:dyDescent="0.25">
      <c r="C725" s="79"/>
      <c r="D725" s="79">
        <v>400</v>
      </c>
      <c r="E725" s="47">
        <v>1823.23353151693</v>
      </c>
      <c r="F725" s="47">
        <v>6971.6093935254803</v>
      </c>
    </row>
    <row r="726" spans="3:6" x14ac:dyDescent="0.25">
      <c r="C726" s="79"/>
      <c r="D726" s="79"/>
      <c r="E726" s="47">
        <v>1829.98157302546</v>
      </c>
      <c r="F726" s="47">
        <v>7148.2969979741902</v>
      </c>
    </row>
    <row r="727" spans="3:6" x14ac:dyDescent="0.25">
      <c r="C727" s="79"/>
      <c r="D727" s="79"/>
      <c r="E727" s="47">
        <v>1837.72252898084</v>
      </c>
      <c r="F727" s="47">
        <v>7263.8207783852004</v>
      </c>
    </row>
    <row r="728" spans="3:6" x14ac:dyDescent="0.25">
      <c r="C728" s="79"/>
      <c r="D728" s="79"/>
      <c r="E728" s="47">
        <v>1847.5265647118599</v>
      </c>
      <c r="F728" s="47">
        <v>7346.3742219823698</v>
      </c>
    </row>
    <row r="729" spans="3:6" x14ac:dyDescent="0.25">
      <c r="C729" s="79"/>
      <c r="D729" s="79"/>
      <c r="E729" s="47">
        <v>1860.09904084033</v>
      </c>
      <c r="F729" s="47">
        <v>7409.2029951695804</v>
      </c>
    </row>
    <row r="730" spans="3:6" x14ac:dyDescent="0.25">
      <c r="C730" s="79"/>
      <c r="D730" s="79"/>
      <c r="E730" s="47">
        <v>1876.0196685328101</v>
      </c>
      <c r="F730" s="47">
        <v>7459.5379897151997</v>
      </c>
    </row>
    <row r="731" spans="3:6" x14ac:dyDescent="0.25">
      <c r="C731" s="79"/>
      <c r="D731" s="79"/>
      <c r="E731" s="47">
        <v>1895.8119552181399</v>
      </c>
      <c r="F731" s="47">
        <v>7501.6947374156098</v>
      </c>
    </row>
    <row r="732" spans="3:6" x14ac:dyDescent="0.25">
      <c r="C732" s="79"/>
      <c r="D732" s="79"/>
      <c r="E732" s="47">
        <v>1919.9729902833501</v>
      </c>
      <c r="F732" s="47">
        <v>7538.4933566957498</v>
      </c>
    </row>
    <row r="733" spans="3:6" x14ac:dyDescent="0.25">
      <c r="C733" s="79"/>
      <c r="D733" s="79"/>
      <c r="E733" s="47">
        <v>1948.9850135901499</v>
      </c>
      <c r="F733" s="47">
        <v>7571.8693765307498</v>
      </c>
    </row>
    <row r="734" spans="3:6" x14ac:dyDescent="0.25">
      <c r="C734" s="79"/>
      <c r="D734" s="79"/>
      <c r="E734" s="47">
        <v>1983.32185752493</v>
      </c>
      <c r="F734" s="47">
        <v>7603.2268943651397</v>
      </c>
    </row>
    <row r="735" spans="3:6" x14ac:dyDescent="0.25">
      <c r="C735" s="79"/>
      <c r="D735" s="79">
        <v>500</v>
      </c>
      <c r="E735" s="47">
        <v>1828.9431661690301</v>
      </c>
      <c r="F735" s="47">
        <v>7369.6042455105198</v>
      </c>
    </row>
    <row r="736" spans="3:6" x14ac:dyDescent="0.25">
      <c r="C736" s="79"/>
      <c r="D736" s="79"/>
      <c r="E736" s="47">
        <v>1835.0287600301499</v>
      </c>
      <c r="F736" s="47">
        <v>7562.2133586722002</v>
      </c>
    </row>
    <row r="737" spans="3:6" x14ac:dyDescent="0.25">
      <c r="C737" s="79"/>
      <c r="D737" s="79"/>
      <c r="E737" s="47">
        <v>1842.33376389878</v>
      </c>
      <c r="F737" s="47">
        <v>7688.5718759100801</v>
      </c>
    </row>
    <row r="738" spans="3:6" x14ac:dyDescent="0.25">
      <c r="C738" s="79"/>
      <c r="D738" s="79"/>
      <c r="E738" s="47">
        <v>1851.8219081421601</v>
      </c>
      <c r="F738" s="47">
        <v>7778.90425937086</v>
      </c>
    </row>
    <row r="739" spans="3:6" x14ac:dyDescent="0.25">
      <c r="C739" s="79"/>
      <c r="D739" s="79"/>
      <c r="E739" s="47">
        <v>1864.15356668044</v>
      </c>
      <c r="F739" s="47">
        <v>7847.5983942555204</v>
      </c>
    </row>
    <row r="740" spans="3:6" x14ac:dyDescent="0.25">
      <c r="C740" s="79"/>
      <c r="D740" s="79"/>
      <c r="E740" s="47">
        <v>1879.87843915079</v>
      </c>
      <c r="F740" s="47">
        <v>7902.5773625225502</v>
      </c>
    </row>
    <row r="741" spans="3:6" x14ac:dyDescent="0.25">
      <c r="C741" s="79"/>
      <c r="D741" s="79"/>
      <c r="E741" s="47">
        <v>1899.50475621894</v>
      </c>
      <c r="F741" s="47">
        <v>7948.5657441883104</v>
      </c>
    </row>
    <row r="742" spans="3:6" x14ac:dyDescent="0.25">
      <c r="C742" s="79"/>
      <c r="D742" s="79"/>
      <c r="E742" s="47">
        <v>1923.51918777624</v>
      </c>
      <c r="F742" s="47">
        <v>7988.6031944632196</v>
      </c>
    </row>
    <row r="743" spans="3:6" x14ac:dyDescent="0.25">
      <c r="C743" s="79"/>
      <c r="D743" s="79"/>
      <c r="E743" s="47">
        <v>1952.39644222841</v>
      </c>
      <c r="F743" s="47">
        <v>8024.7869019206501</v>
      </c>
    </row>
    <row r="744" spans="3:6" x14ac:dyDescent="0.25">
      <c r="C744" s="79"/>
      <c r="D744" s="79"/>
      <c r="E744" s="47">
        <v>1986.6050656049899</v>
      </c>
      <c r="F744" s="47">
        <v>8058.6318037479696</v>
      </c>
    </row>
    <row r="745" spans="3:6" x14ac:dyDescent="0.25">
      <c r="C745" s="79"/>
      <c r="D745" s="79">
        <v>600</v>
      </c>
      <c r="E745" s="47">
        <v>1832.9544486855</v>
      </c>
      <c r="F745" s="47">
        <v>7778.2843484000196</v>
      </c>
    </row>
    <row r="746" spans="3:6" x14ac:dyDescent="0.25">
      <c r="C746" s="79"/>
      <c r="D746" s="79"/>
      <c r="E746" s="47">
        <v>1838.34090650248</v>
      </c>
      <c r="F746" s="47">
        <v>7986.7752075898097</v>
      </c>
    </row>
    <row r="747" spans="3:6" x14ac:dyDescent="0.25">
      <c r="C747" s="79"/>
      <c r="D747" s="79"/>
      <c r="E747" s="47">
        <v>1845.18903024166</v>
      </c>
      <c r="F747" s="47">
        <v>8123.5870098474998</v>
      </c>
    </row>
    <row r="748" spans="3:6" x14ac:dyDescent="0.25">
      <c r="C748" s="79"/>
      <c r="D748" s="79"/>
      <c r="E748" s="47">
        <v>1854.3468313835699</v>
      </c>
      <c r="F748" s="47">
        <v>8221.45625321222</v>
      </c>
    </row>
    <row r="749" spans="3:6" x14ac:dyDescent="0.25">
      <c r="C749" s="79"/>
      <c r="D749" s="79"/>
      <c r="E749" s="47">
        <v>1866.42642493227</v>
      </c>
      <c r="F749" s="47">
        <v>8295.9433964717791</v>
      </c>
    </row>
    <row r="750" spans="3:6" x14ac:dyDescent="0.25">
      <c r="C750" s="79"/>
      <c r="D750" s="79"/>
      <c r="E750" s="47">
        <v>1881.95083277605</v>
      </c>
      <c r="F750" s="47">
        <v>8355.5354056651795</v>
      </c>
    </row>
    <row r="751" spans="3:6" x14ac:dyDescent="0.25">
      <c r="C751" s="79"/>
      <c r="D751" s="79"/>
      <c r="E751" s="47">
        <v>1901.4050226294401</v>
      </c>
      <c r="F751" s="47">
        <v>8405.3709858602597</v>
      </c>
    </row>
    <row r="752" spans="3:6" x14ac:dyDescent="0.25">
      <c r="C752" s="79"/>
      <c r="D752" s="79"/>
      <c r="E752" s="47">
        <v>1925.26801918257</v>
      </c>
      <c r="F752" s="47">
        <v>8448.6906421556596</v>
      </c>
    </row>
    <row r="753" spans="3:6" x14ac:dyDescent="0.25">
      <c r="C753" s="79"/>
      <c r="D753" s="79"/>
      <c r="E753" s="47">
        <v>1954.00763914493</v>
      </c>
      <c r="F753" s="47">
        <v>8487.7445483542706</v>
      </c>
    </row>
    <row r="754" spans="3:6" x14ac:dyDescent="0.25">
      <c r="C754" s="79"/>
      <c r="D754" s="79"/>
      <c r="E754" s="47">
        <v>1988.0860334650599</v>
      </c>
      <c r="F754" s="47">
        <v>8524.1466985227507</v>
      </c>
    </row>
    <row r="755" spans="3:6" x14ac:dyDescent="0.25">
      <c r="C755" s="79"/>
      <c r="D755" s="79">
        <v>700</v>
      </c>
      <c r="E755" s="47">
        <v>1835.3778795180599</v>
      </c>
      <c r="F755" s="47">
        <v>8193.4591279067299</v>
      </c>
    </row>
    <row r="756" spans="3:6" x14ac:dyDescent="0.25">
      <c r="C756" s="79"/>
      <c r="D756" s="79"/>
      <c r="E756" s="47">
        <v>1840.0551394300301</v>
      </c>
      <c r="F756" s="47">
        <v>8419.7765318066995</v>
      </c>
    </row>
    <row r="757" spans="3:6" x14ac:dyDescent="0.25">
      <c r="C757" s="79"/>
      <c r="D757" s="79"/>
      <c r="E757" s="47">
        <v>1846.43285239335</v>
      </c>
      <c r="F757" s="47">
        <v>8568.2593107819703</v>
      </c>
    </row>
    <row r="758" spans="3:6" x14ac:dyDescent="0.25">
      <c r="C758" s="79"/>
      <c r="D758" s="79"/>
      <c r="E758" s="47">
        <v>1855.2521092330001</v>
      </c>
      <c r="F758" s="47">
        <v>8674.4425606912901</v>
      </c>
    </row>
    <row r="759" spans="3:6" x14ac:dyDescent="0.25">
      <c r="C759" s="79"/>
      <c r="D759" s="79"/>
      <c r="E759" s="47">
        <v>1867.07191204731</v>
      </c>
      <c r="F759" s="47">
        <v>8755.1919481530404</v>
      </c>
    </row>
    <row r="760" spans="3:6" x14ac:dyDescent="0.25">
      <c r="C760" s="79"/>
      <c r="D760" s="79"/>
      <c r="E760" s="47">
        <v>1882.3872398547001</v>
      </c>
      <c r="F760" s="47">
        <v>8819.7143879641098</v>
      </c>
    </row>
    <row r="761" spans="3:6" x14ac:dyDescent="0.25">
      <c r="C761" s="79"/>
      <c r="D761" s="79"/>
      <c r="E761" s="47">
        <v>1901.66568558941</v>
      </c>
      <c r="F761" s="47">
        <v>8873.5618109872194</v>
      </c>
    </row>
    <row r="762" spans="3:6" x14ac:dyDescent="0.25">
      <c r="C762" s="79"/>
      <c r="D762" s="79"/>
      <c r="E762" s="47">
        <v>1925.37231747908</v>
      </c>
      <c r="F762" s="47">
        <v>8920.2686681122395</v>
      </c>
    </row>
    <row r="763" spans="3:6" x14ac:dyDescent="0.25">
      <c r="C763" s="79"/>
      <c r="D763" s="79"/>
      <c r="E763" s="47">
        <v>1953.97000763499</v>
      </c>
      <c r="F763" s="47">
        <v>8962.1814142981693</v>
      </c>
    </row>
    <row r="764" spans="3:6" x14ac:dyDescent="0.25">
      <c r="C764" s="79"/>
      <c r="D764" s="79"/>
      <c r="E764" s="47">
        <v>1987.9153321498</v>
      </c>
      <c r="F764" s="47">
        <v>9001.1165315491999</v>
      </c>
    </row>
    <row r="765" spans="3:6" x14ac:dyDescent="0.25">
      <c r="C765" s="79"/>
      <c r="D765" s="79">
        <v>800</v>
      </c>
      <c r="E765" s="47">
        <v>1836.3686031714301</v>
      </c>
      <c r="F765" s="47">
        <v>8618.5922344507107</v>
      </c>
    </row>
    <row r="766" spans="3:6" x14ac:dyDescent="0.25">
      <c r="C766" s="79"/>
      <c r="D766" s="79"/>
      <c r="E766" s="47">
        <v>1840.3072708340801</v>
      </c>
      <c r="F766" s="47">
        <v>8861.9911479130606</v>
      </c>
    </row>
    <row r="767" spans="3:6" x14ac:dyDescent="0.25">
      <c r="C767" s="79"/>
      <c r="D767" s="79"/>
      <c r="E767" s="47">
        <v>1846.19171030659</v>
      </c>
      <c r="F767" s="47">
        <v>9021.7214869907202</v>
      </c>
    </row>
    <row r="768" spans="3:6" x14ac:dyDescent="0.25">
      <c r="C768" s="79"/>
      <c r="D768" s="79"/>
      <c r="E768" s="47">
        <v>1854.6620019161701</v>
      </c>
      <c r="F768" s="47">
        <v>9135.9598419205504</v>
      </c>
    </row>
    <row r="769" spans="3:6" x14ac:dyDescent="0.25">
      <c r="C769" s="79"/>
      <c r="D769" s="79"/>
      <c r="E769" s="47">
        <v>1866.2121979425699</v>
      </c>
      <c r="F769" s="47">
        <v>9222.8808075885299</v>
      </c>
    </row>
    <row r="770" spans="3:6" x14ac:dyDescent="0.25">
      <c r="C770" s="79"/>
      <c r="D770" s="79"/>
      <c r="E770" s="47">
        <v>1881.3134370773701</v>
      </c>
      <c r="F770" s="47">
        <v>9292.3313018230801</v>
      </c>
    </row>
    <row r="771" spans="3:6" x14ac:dyDescent="0.25">
      <c r="C771" s="79"/>
      <c r="D771" s="79"/>
      <c r="E771" s="47">
        <v>1900.41393239325</v>
      </c>
      <c r="F771" s="47">
        <v>9350.2287970175603</v>
      </c>
    </row>
    <row r="772" spans="3:6" x14ac:dyDescent="0.25">
      <c r="C772" s="79"/>
      <c r="D772" s="79"/>
      <c r="E772" s="47">
        <v>1923.9647146772099</v>
      </c>
      <c r="F772" s="47">
        <v>9400.3835356407599</v>
      </c>
    </row>
    <row r="773" spans="3:6" x14ac:dyDescent="0.25">
      <c r="C773" s="79"/>
      <c r="D773" s="79"/>
      <c r="E773" s="47">
        <v>1952.4212827429401</v>
      </c>
      <c r="F773" s="47">
        <v>9445.3422907785698</v>
      </c>
    </row>
    <row r="774" spans="3:6" x14ac:dyDescent="0.25">
      <c r="C774" s="79"/>
      <c r="D774" s="79"/>
      <c r="E774" s="47">
        <v>1986.2350127186401</v>
      </c>
      <c r="F774" s="47">
        <v>9486.96592267495</v>
      </c>
    </row>
    <row r="775" spans="3:6" x14ac:dyDescent="0.25">
      <c r="C775" s="79"/>
      <c r="D775" s="79">
        <v>900</v>
      </c>
      <c r="E775" s="47">
        <v>1836.0248550225001</v>
      </c>
      <c r="F775" s="47">
        <v>9049.7236232830801</v>
      </c>
    </row>
    <row r="776" spans="3:6" x14ac:dyDescent="0.25">
      <c r="C776" s="79"/>
      <c r="D776" s="79"/>
      <c r="E776" s="47">
        <v>1839.2014607988799</v>
      </c>
      <c r="F776" s="47">
        <v>9312.6691380131706</v>
      </c>
    </row>
    <row r="777" spans="3:6" x14ac:dyDescent="0.25">
      <c r="C777" s="79"/>
      <c r="D777" s="79"/>
      <c r="E777" s="47">
        <v>1844.5863075182399</v>
      </c>
      <c r="F777" s="47">
        <v>9485.0902516822807</v>
      </c>
    </row>
    <row r="778" spans="3:6" x14ac:dyDescent="0.25">
      <c r="C778" s="79"/>
      <c r="D778" s="79"/>
      <c r="E778" s="47">
        <v>1852.7014251258399</v>
      </c>
      <c r="F778" s="47">
        <v>9608.0755642968106</v>
      </c>
    </row>
    <row r="779" spans="3:6" x14ac:dyDescent="0.25">
      <c r="C779" s="79"/>
      <c r="D779" s="79"/>
      <c r="E779" s="47">
        <v>1863.98148484987</v>
      </c>
      <c r="F779" s="47">
        <v>9701.2018177309892</v>
      </c>
    </row>
    <row r="780" spans="3:6" x14ac:dyDescent="0.25">
      <c r="C780" s="79"/>
      <c r="D780" s="79"/>
      <c r="E780" s="47">
        <v>1878.8648988017901</v>
      </c>
      <c r="F780" s="47">
        <v>9775.5803335997698</v>
      </c>
    </row>
    <row r="781" spans="3:6" x14ac:dyDescent="0.25">
      <c r="C781" s="79"/>
      <c r="D781" s="79"/>
      <c r="E781" s="47">
        <v>1897.7855529870701</v>
      </c>
      <c r="F781" s="47">
        <v>9837.5257516960701</v>
      </c>
    </row>
    <row r="782" spans="3:6" x14ac:dyDescent="0.25">
      <c r="C782" s="79"/>
      <c r="D782" s="79"/>
      <c r="E782" s="47">
        <v>1921.17757184775</v>
      </c>
      <c r="F782" s="47">
        <v>9891.1102950276309</v>
      </c>
    </row>
    <row r="783" spans="3:6" x14ac:dyDescent="0.25">
      <c r="C783" s="79"/>
      <c r="D783" s="79"/>
      <c r="E783" s="47">
        <v>1949.49199649408</v>
      </c>
      <c r="F783" s="47">
        <v>9939.0530832278891</v>
      </c>
    </row>
    <row r="784" spans="3:6" x14ac:dyDescent="0.25">
      <c r="C784" s="79"/>
      <c r="D784" s="79"/>
      <c r="E784" s="47">
        <v>1983.17345181882</v>
      </c>
      <c r="F784" s="47">
        <v>9983.3234362472995</v>
      </c>
    </row>
    <row r="785" spans="3:6" x14ac:dyDescent="0.25">
      <c r="C785" s="79"/>
      <c r="D785" s="79">
        <v>1000</v>
      </c>
      <c r="E785" s="47">
        <v>1834.46109970311</v>
      </c>
      <c r="F785" s="47">
        <v>9488.9859793446194</v>
      </c>
    </row>
    <row r="786" spans="3:6" x14ac:dyDescent="0.25">
      <c r="C786" s="79"/>
      <c r="D786" s="79"/>
      <c r="E786" s="47">
        <v>1836.8682866909101</v>
      </c>
      <c r="F786" s="47">
        <v>9770.3419857646895</v>
      </c>
    </row>
    <row r="787" spans="3:6" x14ac:dyDescent="0.25">
      <c r="C787" s="79"/>
      <c r="D787" s="79"/>
      <c r="E787" s="47">
        <v>1841.74908855012</v>
      </c>
      <c r="F787" s="47">
        <v>9954.8441810063305</v>
      </c>
    </row>
    <row r="788" spans="3:6" x14ac:dyDescent="0.25">
      <c r="C788" s="79"/>
      <c r="D788" s="79"/>
      <c r="E788" s="47">
        <v>1849.50292465338</v>
      </c>
      <c r="F788" s="47">
        <v>10086.693151664</v>
      </c>
    </row>
    <row r="789" spans="3:6" x14ac:dyDescent="0.25">
      <c r="C789" s="79"/>
      <c r="D789" s="79"/>
      <c r="E789" s="47">
        <v>1860.50234855909</v>
      </c>
      <c r="F789" s="47">
        <v>10186.9091052451</v>
      </c>
    </row>
    <row r="790" spans="3:6" x14ac:dyDescent="0.25">
      <c r="C790" s="79"/>
      <c r="D790" s="79"/>
      <c r="E790" s="47">
        <v>1875.1628352263799</v>
      </c>
      <c r="F790" s="47">
        <v>10266.8448934848</v>
      </c>
    </row>
    <row r="791" spans="3:6" x14ac:dyDescent="0.25">
      <c r="C791" s="79"/>
      <c r="D791" s="79"/>
      <c r="E791" s="47">
        <v>1893.8977619925899</v>
      </c>
      <c r="F791" s="47">
        <v>10333.2935153816</v>
      </c>
    </row>
    <row r="792" spans="3:6" x14ac:dyDescent="0.25">
      <c r="C792" s="79"/>
      <c r="D792" s="79"/>
      <c r="E792" s="47">
        <v>1917.12869022105</v>
      </c>
      <c r="F792" s="47">
        <v>10390.618212025</v>
      </c>
    </row>
    <row r="793" spans="3:6" x14ac:dyDescent="0.25">
      <c r="C793" s="79"/>
      <c r="D793" s="79"/>
      <c r="E793" s="47">
        <v>1945.29851483074</v>
      </c>
      <c r="F793" s="47">
        <v>10441.7557538289</v>
      </c>
    </row>
    <row r="794" spans="3:6" x14ac:dyDescent="0.25">
      <c r="C794" s="79"/>
      <c r="D794" s="79"/>
      <c r="E794" s="47">
        <v>1978.8469629649801</v>
      </c>
      <c r="F794" s="47">
        <v>10488.8076713111</v>
      </c>
    </row>
    <row r="795" spans="3:6" x14ac:dyDescent="0.25">
      <c r="C795" s="79"/>
      <c r="D795" s="79">
        <v>1100</v>
      </c>
      <c r="E795" s="47">
        <v>1831.77885271839</v>
      </c>
      <c r="F795" s="47">
        <v>9936.0263382615303</v>
      </c>
    </row>
    <row r="796" spans="3:6" x14ac:dyDescent="0.25">
      <c r="C796" s="79"/>
      <c r="D796" s="79"/>
      <c r="E796" s="47">
        <v>1833.39408348912</v>
      </c>
      <c r="F796" s="47">
        <v>10237.2106545797</v>
      </c>
    </row>
    <row r="797" spans="3:6" x14ac:dyDescent="0.25">
      <c r="C797" s="79"/>
      <c r="D797" s="79"/>
      <c r="E797" s="47">
        <v>1837.76062004247</v>
      </c>
      <c r="F797" s="47">
        <v>10434.085138902399</v>
      </c>
    </row>
    <row r="798" spans="3:6" x14ac:dyDescent="0.25">
      <c r="C798" s="79"/>
      <c r="D798" s="79"/>
      <c r="E798" s="47">
        <v>1845.1450451972501</v>
      </c>
      <c r="F798" s="47">
        <v>10574.729034596599</v>
      </c>
    </row>
    <row r="799" spans="3:6" x14ac:dyDescent="0.25">
      <c r="C799" s="79"/>
      <c r="D799" s="79"/>
      <c r="E799" s="47">
        <v>1855.86047197229</v>
      </c>
      <c r="F799" s="47">
        <v>10681.572985098501</v>
      </c>
    </row>
    <row r="800" spans="3:6" x14ac:dyDescent="0.25">
      <c r="C800" s="79"/>
      <c r="D800" s="79"/>
      <c r="E800" s="47">
        <v>1870.29704918825</v>
      </c>
      <c r="F800" s="47">
        <v>10766.761612181101</v>
      </c>
    </row>
    <row r="801" spans="3:6" x14ac:dyDescent="0.25">
      <c r="C801" s="79"/>
      <c r="D801" s="79"/>
      <c r="E801" s="47">
        <v>1888.84315574435</v>
      </c>
      <c r="F801" s="47">
        <v>10837.521253512499</v>
      </c>
    </row>
    <row r="802" spans="3:6" x14ac:dyDescent="0.25">
      <c r="C802" s="79"/>
      <c r="D802" s="79"/>
      <c r="E802" s="47">
        <v>1911.9111179875599</v>
      </c>
      <c r="F802" s="47">
        <v>10898.487460940099</v>
      </c>
    </row>
    <row r="803" spans="3:6" x14ac:dyDescent="0.25">
      <c r="C803" s="79"/>
      <c r="D803" s="79"/>
      <c r="E803" s="47">
        <v>1939.9370825001899</v>
      </c>
      <c r="F803" s="47">
        <v>10952.766304851501</v>
      </c>
    </row>
    <row r="804" spans="3:6" x14ac:dyDescent="0.25">
      <c r="C804" s="79"/>
      <c r="D804" s="79"/>
      <c r="E804" s="47">
        <v>1973.35450342274</v>
      </c>
      <c r="F804" s="47">
        <v>11002.5843836609</v>
      </c>
    </row>
    <row r="805" spans="3:6" x14ac:dyDescent="0.25">
      <c r="C805" s="79"/>
      <c r="D805" s="79">
        <v>1200</v>
      </c>
      <c r="E805" s="47">
        <v>1828.06264750369</v>
      </c>
      <c r="F805" s="47">
        <v>10390.517430043299</v>
      </c>
    </row>
    <row r="806" spans="3:6" x14ac:dyDescent="0.25">
      <c r="C806" s="79"/>
      <c r="D806" s="79"/>
      <c r="E806" s="47">
        <v>1828.87038782883</v>
      </c>
      <c r="F806" s="47">
        <v>10711.1055673065</v>
      </c>
    </row>
    <row r="807" spans="3:6" x14ac:dyDescent="0.25">
      <c r="C807" s="79"/>
      <c r="D807" s="79"/>
      <c r="E807" s="47">
        <v>1832.70511542381</v>
      </c>
      <c r="F807" s="47">
        <v>10921.219888764699</v>
      </c>
    </row>
    <row r="808" spans="3:6" x14ac:dyDescent="0.25">
      <c r="C808" s="79"/>
      <c r="D808" s="79"/>
      <c r="E808" s="47">
        <v>1839.7137323908701</v>
      </c>
      <c r="F808" s="47">
        <v>11071.279606959801</v>
      </c>
    </row>
    <row r="809" spans="3:6" x14ac:dyDescent="0.25">
      <c r="C809" s="79"/>
      <c r="D809" s="79"/>
      <c r="E809" s="47">
        <v>1850.1427757358399</v>
      </c>
      <c r="F809" s="47">
        <v>11185.2213993155</v>
      </c>
    </row>
    <row r="810" spans="3:6" x14ac:dyDescent="0.25">
      <c r="C810" s="79"/>
      <c r="D810" s="79"/>
      <c r="E810" s="47">
        <v>1864.3517815707901</v>
      </c>
      <c r="F810" s="47">
        <v>11275.9777417653</v>
      </c>
    </row>
    <row r="811" spans="3:6" x14ac:dyDescent="0.25">
      <c r="C811" s="79"/>
      <c r="D811" s="79"/>
      <c r="E811" s="47">
        <v>1882.7079607703899</v>
      </c>
      <c r="F811" s="47">
        <v>11351.2370592157</v>
      </c>
    </row>
    <row r="812" spans="3:6" x14ac:dyDescent="0.25">
      <c r="C812" s="79"/>
      <c r="D812" s="79"/>
      <c r="E812" s="47">
        <v>1905.61558230999</v>
      </c>
      <c r="F812" s="47">
        <v>11415.8707745145</v>
      </c>
    </row>
    <row r="813" spans="3:6" x14ac:dyDescent="0.25">
      <c r="C813" s="79"/>
      <c r="D813" s="79"/>
      <c r="E813" s="47">
        <v>1933.50006185286</v>
      </c>
      <c r="F813" s="47">
        <v>11473.270822411499</v>
      </c>
    </row>
    <row r="814" spans="3:6" x14ac:dyDescent="0.25">
      <c r="C814" s="79"/>
      <c r="D814" s="79"/>
      <c r="E814" s="47">
        <v>1966.78734778734</v>
      </c>
      <c r="F814" s="47">
        <v>11525.837656548299</v>
      </c>
    </row>
    <row r="815" spans="3:6" x14ac:dyDescent="0.25">
      <c r="C815" s="79">
        <v>15</v>
      </c>
      <c r="D815" s="79">
        <v>0</v>
      </c>
      <c r="E815" s="47">
        <v>1855.2399285742499</v>
      </c>
      <c r="F815" s="47">
        <v>6315.4953977281102</v>
      </c>
    </row>
    <row r="816" spans="3:6" x14ac:dyDescent="0.25">
      <c r="C816" s="79"/>
      <c r="D816" s="79"/>
      <c r="E816" s="47">
        <v>1855.2399285742499</v>
      </c>
      <c r="F816" s="47">
        <v>6315.4953977281102</v>
      </c>
    </row>
    <row r="817" spans="3:6" x14ac:dyDescent="0.25">
      <c r="C817" s="79"/>
      <c r="D817" s="79"/>
      <c r="E817" s="47">
        <v>1855.2399285742499</v>
      </c>
      <c r="F817" s="47">
        <v>6315.4953977281102</v>
      </c>
    </row>
    <row r="818" spans="3:6" x14ac:dyDescent="0.25">
      <c r="C818" s="79"/>
      <c r="D818" s="79"/>
      <c r="E818" s="47">
        <v>1855.2399285742499</v>
      </c>
      <c r="F818" s="47">
        <v>6315.4953977281102</v>
      </c>
    </row>
    <row r="819" spans="3:6" x14ac:dyDescent="0.25">
      <c r="C819" s="79"/>
      <c r="D819" s="79"/>
      <c r="E819" s="47">
        <v>1855.2399285742499</v>
      </c>
      <c r="F819" s="47">
        <v>6315.4953977281102</v>
      </c>
    </row>
    <row r="820" spans="3:6" x14ac:dyDescent="0.25">
      <c r="C820" s="79"/>
      <c r="D820" s="79"/>
      <c r="E820" s="47">
        <v>1855.2399285742499</v>
      </c>
      <c r="F820" s="47">
        <v>6315.4953977281102</v>
      </c>
    </row>
    <row r="821" spans="3:6" x14ac:dyDescent="0.25">
      <c r="C821" s="79"/>
      <c r="D821" s="79"/>
      <c r="E821" s="47">
        <v>1875.4402330084499</v>
      </c>
      <c r="F821" s="47">
        <v>6348.0566309879996</v>
      </c>
    </row>
    <row r="822" spans="3:6" x14ac:dyDescent="0.25">
      <c r="C822" s="79"/>
      <c r="D822" s="79"/>
      <c r="E822" s="47">
        <v>1899.9657317721501</v>
      </c>
      <c r="F822" s="47">
        <v>6376.6396362591804</v>
      </c>
    </row>
    <row r="823" spans="3:6" x14ac:dyDescent="0.25">
      <c r="C823" s="79"/>
      <c r="D823" s="79"/>
      <c r="E823" s="47">
        <v>1929.3191098258501</v>
      </c>
      <c r="F823" s="47">
        <v>6402.8115120070497</v>
      </c>
    </row>
    <row r="824" spans="3:6" x14ac:dyDescent="0.25">
      <c r="C824" s="79"/>
      <c r="D824" s="79"/>
      <c r="E824" s="47">
        <v>1963.9889419722199</v>
      </c>
      <c r="F824" s="47">
        <v>6427.73950448703</v>
      </c>
    </row>
    <row r="825" spans="3:6" x14ac:dyDescent="0.25">
      <c r="C825" s="79"/>
      <c r="D825" s="79">
        <v>100</v>
      </c>
      <c r="E825" s="47">
        <v>1835.6376311634899</v>
      </c>
      <c r="F825" s="47">
        <v>6632.8076721321804</v>
      </c>
    </row>
    <row r="826" spans="3:6" x14ac:dyDescent="0.25">
      <c r="C826" s="79"/>
      <c r="D826" s="79"/>
      <c r="E826" s="47">
        <v>1835.6376311634899</v>
      </c>
      <c r="F826" s="47">
        <v>6632.8076721321804</v>
      </c>
    </row>
    <row r="827" spans="3:6" x14ac:dyDescent="0.25">
      <c r="C827" s="79"/>
      <c r="D827" s="79"/>
      <c r="E827" s="47">
        <v>1835.6376311634899</v>
      </c>
      <c r="F827" s="47">
        <v>6632.8076721321804</v>
      </c>
    </row>
    <row r="828" spans="3:6" x14ac:dyDescent="0.25">
      <c r="C828" s="79"/>
      <c r="D828" s="79"/>
      <c r="E828" s="47">
        <v>1835.6376311634899</v>
      </c>
      <c r="F828" s="47">
        <v>6632.8076721321804</v>
      </c>
    </row>
    <row r="829" spans="3:6" x14ac:dyDescent="0.25">
      <c r="C829" s="79"/>
      <c r="D829" s="79"/>
      <c r="E829" s="47">
        <v>1848.5952778993999</v>
      </c>
      <c r="F829" s="47">
        <v>6686.4462851952003</v>
      </c>
    </row>
    <row r="830" spans="3:6" x14ac:dyDescent="0.25">
      <c r="C830" s="79"/>
      <c r="D830" s="79"/>
      <c r="E830" s="47">
        <v>1864.8259829731401</v>
      </c>
      <c r="F830" s="47">
        <v>6729.2917087481701</v>
      </c>
    </row>
    <row r="831" spans="3:6" x14ac:dyDescent="0.25">
      <c r="C831" s="79"/>
      <c r="D831" s="79"/>
      <c r="E831" s="47">
        <v>1884.88253308803</v>
      </c>
      <c r="F831" s="47">
        <v>6765.2384022165897</v>
      </c>
    </row>
    <row r="832" spans="3:6" x14ac:dyDescent="0.25">
      <c r="C832" s="79"/>
      <c r="D832" s="79"/>
      <c r="E832" s="47">
        <v>1909.2791425642499</v>
      </c>
      <c r="F832" s="47">
        <v>6796.7377376395198</v>
      </c>
    </row>
    <row r="833" spans="3:6" x14ac:dyDescent="0.25">
      <c r="C833" s="79"/>
      <c r="D833" s="79"/>
      <c r="E833" s="47">
        <v>1938.5114177171999</v>
      </c>
      <c r="F833" s="47">
        <v>6825.4870190833899</v>
      </c>
    </row>
    <row r="834" spans="3:6" x14ac:dyDescent="0.25">
      <c r="C834" s="79"/>
      <c r="D834" s="79"/>
      <c r="E834" s="47">
        <v>1973.0610385632899</v>
      </c>
      <c r="F834" s="47">
        <v>6852.7138238932503</v>
      </c>
    </row>
    <row r="835" spans="3:6" x14ac:dyDescent="0.25">
      <c r="C835" s="79"/>
      <c r="D835" s="79">
        <v>200</v>
      </c>
      <c r="E835" s="47">
        <v>1833.30404213716</v>
      </c>
      <c r="F835" s="47">
        <v>6968.9678435171199</v>
      </c>
    </row>
    <row r="836" spans="3:6" x14ac:dyDescent="0.25">
      <c r="C836" s="79"/>
      <c r="D836" s="79"/>
      <c r="E836" s="47">
        <v>1833.30404213716</v>
      </c>
      <c r="F836" s="47">
        <v>6968.9678435171199</v>
      </c>
    </row>
    <row r="837" spans="3:6" x14ac:dyDescent="0.25">
      <c r="C837" s="79"/>
      <c r="D837" s="79"/>
      <c r="E837" s="47">
        <v>1833.30404213716</v>
      </c>
      <c r="F837" s="47">
        <v>6968.9678435171199</v>
      </c>
    </row>
    <row r="838" spans="3:6" x14ac:dyDescent="0.25">
      <c r="C838" s="79"/>
      <c r="D838" s="79"/>
      <c r="E838" s="47">
        <v>1843.32493594119</v>
      </c>
      <c r="F838" s="47">
        <v>7046.6177841258896</v>
      </c>
    </row>
    <row r="839" spans="3:6" x14ac:dyDescent="0.25">
      <c r="C839" s="79"/>
      <c r="D839" s="79"/>
      <c r="E839" s="47">
        <v>1856.0634320372301</v>
      </c>
      <c r="F839" s="47">
        <v>7105.6500575403697</v>
      </c>
    </row>
    <row r="840" spans="3:6" x14ac:dyDescent="0.25">
      <c r="C840" s="79"/>
      <c r="D840" s="79"/>
      <c r="E840" s="47">
        <v>1872.1179010706201</v>
      </c>
      <c r="F840" s="47">
        <v>7152.90485547963</v>
      </c>
    </row>
    <row r="841" spans="3:6" x14ac:dyDescent="0.25">
      <c r="C841" s="79"/>
      <c r="D841" s="79"/>
      <c r="E841" s="47">
        <v>1892.02433055956</v>
      </c>
      <c r="F841" s="47">
        <v>7192.5224827700204</v>
      </c>
    </row>
    <row r="842" spans="3:6" x14ac:dyDescent="0.25">
      <c r="C842" s="79"/>
      <c r="D842" s="79"/>
      <c r="E842" s="47">
        <v>1916.28685166633</v>
      </c>
      <c r="F842" s="47">
        <v>7227.1457729261201</v>
      </c>
    </row>
    <row r="843" spans="3:6" x14ac:dyDescent="0.25">
      <c r="C843" s="79"/>
      <c r="D843" s="79"/>
      <c r="E843" s="47">
        <v>1945.3926828583899</v>
      </c>
      <c r="F843" s="47">
        <v>7258.6193556707403</v>
      </c>
    </row>
    <row r="844" spans="3:6" x14ac:dyDescent="0.25">
      <c r="C844" s="79"/>
      <c r="D844" s="79"/>
      <c r="E844" s="47">
        <v>1979.8197697570299</v>
      </c>
      <c r="F844" s="47">
        <v>7288.2714499208296</v>
      </c>
    </row>
    <row r="845" spans="3:6" x14ac:dyDescent="0.25">
      <c r="C845" s="79"/>
      <c r="D845" s="79">
        <v>300</v>
      </c>
      <c r="E845" s="47">
        <v>1825.0905657416599</v>
      </c>
      <c r="F845" s="47">
        <v>7087.2551407678302</v>
      </c>
    </row>
    <row r="846" spans="3:6" x14ac:dyDescent="0.25">
      <c r="C846" s="79"/>
      <c r="D846" s="79"/>
      <c r="E846" s="47">
        <v>1831.6539791519699</v>
      </c>
      <c r="F846" s="47">
        <v>7268.9670774945898</v>
      </c>
    </row>
    <row r="847" spans="3:6" x14ac:dyDescent="0.25">
      <c r="C847" s="79"/>
      <c r="D847" s="79"/>
      <c r="E847" s="47">
        <v>1839.2758776166399</v>
      </c>
      <c r="F847" s="47">
        <v>7388.0116916929901</v>
      </c>
    </row>
    <row r="848" spans="3:6" x14ac:dyDescent="0.25">
      <c r="C848" s="79"/>
      <c r="D848" s="79"/>
      <c r="E848" s="47">
        <v>1848.9860377326399</v>
      </c>
      <c r="F848" s="47">
        <v>7472.6481996120601</v>
      </c>
    </row>
    <row r="849" spans="3:6" x14ac:dyDescent="0.25">
      <c r="C849" s="79"/>
      <c r="D849" s="79"/>
      <c r="E849" s="47">
        <v>1861.48667623647</v>
      </c>
      <c r="F849" s="47">
        <v>7537.0604620480999</v>
      </c>
    </row>
    <row r="850" spans="3:6" x14ac:dyDescent="0.25">
      <c r="C850" s="79"/>
      <c r="D850" s="79"/>
      <c r="E850" s="47">
        <v>1877.34934266298</v>
      </c>
      <c r="F850" s="47">
        <v>7588.6333416056696</v>
      </c>
    </row>
    <row r="851" spans="3:6" x14ac:dyDescent="0.25">
      <c r="C851" s="79"/>
      <c r="D851" s="79"/>
      <c r="E851" s="47">
        <v>1897.09315587375</v>
      </c>
      <c r="F851" s="47">
        <v>7631.8237969845204</v>
      </c>
    </row>
    <row r="852" spans="3:6" x14ac:dyDescent="0.25">
      <c r="C852" s="79"/>
      <c r="D852" s="79"/>
      <c r="E852" s="47">
        <v>1921.2107656148301</v>
      </c>
      <c r="F852" s="47">
        <v>7669.5471881519397</v>
      </c>
    </row>
    <row r="853" spans="3:6" x14ac:dyDescent="0.25">
      <c r="C853" s="79"/>
      <c r="D853" s="79"/>
      <c r="E853" s="47">
        <v>1950.18277830897</v>
      </c>
      <c r="F853" s="47">
        <v>7703.7417979133597</v>
      </c>
    </row>
    <row r="854" spans="3:6" x14ac:dyDescent="0.25">
      <c r="C854" s="79"/>
      <c r="D854" s="79"/>
      <c r="E854" s="47">
        <v>1984.48103339363</v>
      </c>
      <c r="F854" s="47">
        <v>7735.83373727041</v>
      </c>
    </row>
    <row r="855" spans="3:6" x14ac:dyDescent="0.25">
      <c r="C855" s="79"/>
      <c r="D855" s="79">
        <v>400</v>
      </c>
      <c r="E855" s="47">
        <v>1830.2909616960301</v>
      </c>
      <c r="F855" s="47">
        <v>7488.3712703380897</v>
      </c>
    </row>
    <row r="856" spans="3:6" x14ac:dyDescent="0.25">
      <c r="C856" s="79"/>
      <c r="D856" s="79"/>
      <c r="E856" s="47">
        <v>1836.1727377009299</v>
      </c>
      <c r="F856" s="47">
        <v>7685.6078135549797</v>
      </c>
    </row>
    <row r="857" spans="3:6" x14ac:dyDescent="0.25">
      <c r="C857" s="79"/>
      <c r="D857" s="79"/>
      <c r="E857" s="47">
        <v>1843.3448243297</v>
      </c>
      <c r="F857" s="47">
        <v>7815.0080221506096</v>
      </c>
    </row>
    <row r="858" spans="3:6" x14ac:dyDescent="0.25">
      <c r="C858" s="79"/>
      <c r="D858" s="79"/>
      <c r="E858" s="47">
        <v>1852.7384927826599</v>
      </c>
      <c r="F858" s="47">
        <v>7907.5351182191098</v>
      </c>
    </row>
    <row r="859" spans="3:6" x14ac:dyDescent="0.25">
      <c r="C859" s="79"/>
      <c r="D859" s="79"/>
      <c r="E859" s="47">
        <v>1864.9957681967901</v>
      </c>
      <c r="F859" s="47">
        <v>7977.9571898963904</v>
      </c>
    </row>
    <row r="860" spans="3:6" x14ac:dyDescent="0.25">
      <c r="C860" s="79"/>
      <c r="D860" s="79"/>
      <c r="E860" s="47">
        <v>1880.6623846769101</v>
      </c>
      <c r="F860" s="47">
        <v>8034.2889037027799</v>
      </c>
    </row>
    <row r="861" spans="3:6" x14ac:dyDescent="0.25">
      <c r="C861" s="79"/>
      <c r="D861" s="79"/>
      <c r="E861" s="47">
        <v>1900.24138625763</v>
      </c>
      <c r="F861" s="47">
        <v>8081.3668537425101</v>
      </c>
    </row>
    <row r="862" spans="3:6" x14ac:dyDescent="0.25">
      <c r="C862" s="79"/>
      <c r="D862" s="79"/>
      <c r="E862" s="47">
        <v>1924.21224985974</v>
      </c>
      <c r="F862" s="47">
        <v>8122.3488989980196</v>
      </c>
    </row>
    <row r="863" spans="3:6" x14ac:dyDescent="0.25">
      <c r="C863" s="79"/>
      <c r="D863" s="79"/>
      <c r="E863" s="47">
        <v>1953.04832756722</v>
      </c>
      <c r="F863" s="47">
        <v>8159.3925642797103</v>
      </c>
    </row>
    <row r="864" spans="3:6" x14ac:dyDescent="0.25">
      <c r="C864" s="79"/>
      <c r="D864" s="79"/>
      <c r="E864" s="47">
        <v>1987.2177686180901</v>
      </c>
      <c r="F864" s="47">
        <v>8194.0088189413691</v>
      </c>
    </row>
    <row r="865" spans="3:6" x14ac:dyDescent="0.25">
      <c r="C865" s="79"/>
      <c r="D865" s="79">
        <v>500</v>
      </c>
      <c r="E865" s="47">
        <v>1833.8212622931301</v>
      </c>
      <c r="F865" s="47">
        <v>7899.06546096702</v>
      </c>
    </row>
    <row r="866" spans="3:6" x14ac:dyDescent="0.25">
      <c r="C866" s="79"/>
      <c r="D866" s="79"/>
      <c r="E866" s="47">
        <v>1839.00772846942</v>
      </c>
      <c r="F866" s="47">
        <v>8113.4383828237997</v>
      </c>
    </row>
    <row r="867" spans="3:6" x14ac:dyDescent="0.25">
      <c r="C867" s="79"/>
      <c r="D867" s="79"/>
      <c r="E867" s="47">
        <v>1845.7140568745899</v>
      </c>
      <c r="F867" s="47">
        <v>8253.3842551357702</v>
      </c>
    </row>
    <row r="868" spans="3:6" x14ac:dyDescent="0.25">
      <c r="C868" s="79"/>
      <c r="D868" s="79"/>
      <c r="E868" s="47">
        <v>1854.7775252255201</v>
      </c>
      <c r="F868" s="47">
        <v>8353.4577338764902</v>
      </c>
    </row>
    <row r="869" spans="3:6" x14ac:dyDescent="0.25">
      <c r="C869" s="79"/>
      <c r="D869" s="79"/>
      <c r="E869" s="47">
        <v>1866.7782936308699</v>
      </c>
      <c r="F869" s="47">
        <v>8429.6655061654892</v>
      </c>
    </row>
    <row r="870" spans="3:6" x14ac:dyDescent="0.25">
      <c r="C870" s="79"/>
      <c r="D870" s="79"/>
      <c r="E870" s="47">
        <v>1882.2396596522501</v>
      </c>
      <c r="F870" s="47">
        <v>8490.6372179950795</v>
      </c>
    </row>
    <row r="871" spans="3:6" x14ac:dyDescent="0.25">
      <c r="C871" s="79"/>
      <c r="D871" s="79"/>
      <c r="E871" s="47">
        <v>1901.6456424042201</v>
      </c>
      <c r="F871" s="47">
        <v>8541.5702074586297</v>
      </c>
    </row>
    <row r="872" spans="3:6" x14ac:dyDescent="0.25">
      <c r="C872" s="79"/>
      <c r="D872" s="79"/>
      <c r="E872" s="47">
        <v>1925.46652909103</v>
      </c>
      <c r="F872" s="47">
        <v>8585.8168911391003</v>
      </c>
    </row>
    <row r="873" spans="3:6" x14ac:dyDescent="0.25">
      <c r="C873" s="79"/>
      <c r="D873" s="79"/>
      <c r="E873" s="47">
        <v>1954.1643441500901</v>
      </c>
      <c r="F873" s="47">
        <v>8625.7161244996896</v>
      </c>
    </row>
    <row r="874" spans="3:6" x14ac:dyDescent="0.25">
      <c r="C874" s="79"/>
      <c r="D874" s="79"/>
      <c r="E874" s="47">
        <v>1988.2018568615099</v>
      </c>
      <c r="F874" s="47">
        <v>8662.8871894577405</v>
      </c>
    </row>
    <row r="875" spans="3:6" x14ac:dyDescent="0.25">
      <c r="C875" s="79"/>
      <c r="D875" s="79">
        <v>600</v>
      </c>
      <c r="E875" s="47">
        <v>1835.8130132660999</v>
      </c>
      <c r="F875" s="47">
        <v>8317.1493567646394</v>
      </c>
    </row>
    <row r="876" spans="3:6" x14ac:dyDescent="0.25">
      <c r="C876" s="79"/>
      <c r="D876" s="79"/>
      <c r="E876" s="47">
        <v>1840.2757620582599</v>
      </c>
      <c r="F876" s="47">
        <v>8548.4368675980004</v>
      </c>
    </row>
    <row r="877" spans="3:6" x14ac:dyDescent="0.25">
      <c r="C877" s="79"/>
      <c r="D877" s="79"/>
      <c r="E877" s="47">
        <v>1846.50985191066</v>
      </c>
      <c r="F877" s="47">
        <v>8700.2028980307095</v>
      </c>
    </row>
    <row r="878" spans="3:6" x14ac:dyDescent="0.25">
      <c r="C878" s="79"/>
      <c r="D878" s="79"/>
      <c r="E878" s="47">
        <v>1855.2312347821101</v>
      </c>
      <c r="F878" s="47">
        <v>8808.7329255350705</v>
      </c>
    </row>
    <row r="879" spans="3:6" x14ac:dyDescent="0.25">
      <c r="C879" s="79"/>
      <c r="D879" s="79"/>
      <c r="E879" s="47">
        <v>1866.9710056987201</v>
      </c>
      <c r="F879" s="47">
        <v>8891.3053257710999</v>
      </c>
    </row>
    <row r="880" spans="3:6" x14ac:dyDescent="0.25">
      <c r="C880" s="79"/>
      <c r="D880" s="79"/>
      <c r="E880" s="47">
        <v>1882.21857814491</v>
      </c>
      <c r="F880" s="47">
        <v>8957.2861756107504</v>
      </c>
    </row>
    <row r="881" spans="3:6" x14ac:dyDescent="0.25">
      <c r="C881" s="79"/>
      <c r="D881" s="79"/>
      <c r="E881" s="47">
        <v>1901.4457604070601</v>
      </c>
      <c r="F881" s="47">
        <v>9012.3054503637195</v>
      </c>
    </row>
    <row r="882" spans="3:6" x14ac:dyDescent="0.25">
      <c r="C882" s="79"/>
      <c r="D882" s="79"/>
      <c r="E882" s="47">
        <v>1925.11116009232</v>
      </c>
      <c r="F882" s="47">
        <v>9059.9861193546803</v>
      </c>
    </row>
    <row r="883" spans="3:6" x14ac:dyDescent="0.25">
      <c r="C883" s="79"/>
      <c r="D883" s="79"/>
      <c r="E883" s="47">
        <v>1953.6685432033601</v>
      </c>
      <c r="F883" s="47">
        <v>9102.8211229054796</v>
      </c>
    </row>
    <row r="884" spans="3:6" x14ac:dyDescent="0.25">
      <c r="C884" s="79"/>
      <c r="D884" s="79"/>
      <c r="E884" s="47">
        <v>1987.57230960074</v>
      </c>
      <c r="F884" s="47">
        <v>9142.5934623897792</v>
      </c>
    </row>
    <row r="885" spans="3:6" x14ac:dyDescent="0.25">
      <c r="C885" s="79"/>
      <c r="D885" s="79">
        <v>700</v>
      </c>
      <c r="E885" s="47">
        <v>1836.39957734829</v>
      </c>
      <c r="F885" s="47">
        <v>8744.7791750065808</v>
      </c>
    </row>
    <row r="886" spans="3:6" x14ac:dyDescent="0.25">
      <c r="C886" s="79"/>
      <c r="D886" s="79"/>
      <c r="E886" s="47">
        <v>1840.11357880233</v>
      </c>
      <c r="F886" s="47">
        <v>8993.6719183243895</v>
      </c>
    </row>
    <row r="887" spans="3:6" x14ac:dyDescent="0.25">
      <c r="C887" s="79"/>
      <c r="D887" s="79"/>
      <c r="E887" s="47">
        <v>1845.8557423515001</v>
      </c>
      <c r="F887" s="47">
        <v>9156.7445867630995</v>
      </c>
    </row>
    <row r="888" spans="3:6" x14ac:dyDescent="0.25">
      <c r="C888" s="79"/>
      <c r="D888" s="79"/>
      <c r="E888" s="47">
        <v>1854.2237264043199</v>
      </c>
      <c r="F888" s="47">
        <v>9273.3687341345194</v>
      </c>
    </row>
    <row r="889" spans="3:6" x14ac:dyDescent="0.25">
      <c r="C889" s="79"/>
      <c r="D889" s="79"/>
      <c r="E889" s="47">
        <v>1865.69766380841</v>
      </c>
      <c r="F889" s="47">
        <v>9362.0966927441405</v>
      </c>
    </row>
    <row r="890" spans="3:6" x14ac:dyDescent="0.25">
      <c r="C890" s="79"/>
      <c r="D890" s="79"/>
      <c r="E890" s="47">
        <v>1880.73085795783</v>
      </c>
      <c r="F890" s="47">
        <v>9433.0111847191802</v>
      </c>
    </row>
    <row r="891" spans="3:6" x14ac:dyDescent="0.25">
      <c r="C891" s="79"/>
      <c r="D891" s="79"/>
      <c r="E891" s="47">
        <v>1899.7784298783399</v>
      </c>
      <c r="F891" s="47">
        <v>9492.1031831039109</v>
      </c>
    </row>
    <row r="892" spans="3:6" x14ac:dyDescent="0.25">
      <c r="C892" s="79"/>
      <c r="D892" s="79"/>
      <c r="E892" s="47">
        <v>1923.287467485</v>
      </c>
      <c r="F892" s="47">
        <v>9543.2380477203806</v>
      </c>
    </row>
    <row r="893" spans="3:6" x14ac:dyDescent="0.25">
      <c r="C893" s="79"/>
      <c r="D893" s="79"/>
      <c r="E893" s="47">
        <v>1951.7044088428599</v>
      </c>
      <c r="F893" s="47">
        <v>9589.0647111014005</v>
      </c>
    </row>
    <row r="894" spans="3:6" x14ac:dyDescent="0.25">
      <c r="C894" s="79"/>
      <c r="D894" s="79"/>
      <c r="E894" s="47">
        <v>1985.4761035425399</v>
      </c>
      <c r="F894" s="47">
        <v>9631.4949300589997</v>
      </c>
    </row>
    <row r="895" spans="3:6" x14ac:dyDescent="0.25">
      <c r="C895" s="79"/>
      <c r="D895" s="79">
        <v>800</v>
      </c>
      <c r="E895" s="47">
        <v>1835.6856752716601</v>
      </c>
      <c r="F895" s="47">
        <v>9177.6461473987492</v>
      </c>
    </row>
    <row r="896" spans="3:6" x14ac:dyDescent="0.25">
      <c r="C896" s="79"/>
      <c r="D896" s="79"/>
      <c r="E896" s="47">
        <v>1838.6375133419699</v>
      </c>
      <c r="F896" s="47">
        <v>9445.96632012191</v>
      </c>
    </row>
    <row r="897" spans="3:6" x14ac:dyDescent="0.25">
      <c r="C897" s="79"/>
      <c r="D897" s="79"/>
      <c r="E897" s="47">
        <v>1843.8795331474701</v>
      </c>
      <c r="F897" s="47">
        <v>9621.9097698804198</v>
      </c>
    </row>
    <row r="898" spans="3:6" x14ac:dyDescent="0.25">
      <c r="C898" s="79"/>
      <c r="D898" s="79"/>
      <c r="E898" s="47">
        <v>1851.8852371077101</v>
      </c>
      <c r="F898" s="47">
        <v>9747.6480298986608</v>
      </c>
    </row>
    <row r="899" spans="3:6" x14ac:dyDescent="0.25">
      <c r="C899" s="79"/>
      <c r="D899" s="79"/>
      <c r="E899" s="47">
        <v>1863.0863502350501</v>
      </c>
      <c r="F899" s="47">
        <v>9843.1943707782102</v>
      </c>
    </row>
    <row r="900" spans="3:6" x14ac:dyDescent="0.25">
      <c r="C900" s="79"/>
      <c r="D900" s="79"/>
      <c r="E900" s="47">
        <v>1877.8985746969199</v>
      </c>
      <c r="F900" s="47">
        <v>9919.3602399567008</v>
      </c>
    </row>
    <row r="901" spans="3:6" x14ac:dyDescent="0.25">
      <c r="C901" s="79"/>
      <c r="D901" s="79"/>
      <c r="E901" s="47">
        <v>1896.7639482382299</v>
      </c>
      <c r="F901" s="47">
        <v>9982.5039968235196</v>
      </c>
    </row>
    <row r="902" spans="3:6" x14ac:dyDescent="0.25">
      <c r="C902" s="79"/>
      <c r="D902" s="79"/>
      <c r="E902" s="47">
        <v>1920.11520887811</v>
      </c>
      <c r="F902" s="47">
        <v>10037.066572822199</v>
      </c>
    </row>
    <row r="903" spans="3:6" x14ac:dyDescent="0.25">
      <c r="C903" s="79"/>
      <c r="D903" s="79"/>
      <c r="E903" s="47">
        <v>1948.3897992429199</v>
      </c>
      <c r="F903" s="47">
        <v>10085.866550536401</v>
      </c>
    </row>
    <row r="904" spans="3:6" x14ac:dyDescent="0.25">
      <c r="C904" s="79"/>
      <c r="D904" s="79"/>
      <c r="E904" s="47">
        <v>1982.02914814828</v>
      </c>
      <c r="F904" s="47">
        <v>10130.926045787901</v>
      </c>
    </row>
    <row r="905" spans="3:6" x14ac:dyDescent="0.25">
      <c r="C905" s="79"/>
      <c r="D905" s="79">
        <v>900</v>
      </c>
      <c r="E905" s="47">
        <v>1833.78643902622</v>
      </c>
      <c r="F905" s="47">
        <v>9619.5727523220103</v>
      </c>
    </row>
    <row r="906" spans="3:6" x14ac:dyDescent="0.25">
      <c r="C906" s="79"/>
      <c r="D906" s="79"/>
      <c r="E906" s="47">
        <v>1835.96262465261</v>
      </c>
      <c r="F906" s="47">
        <v>9906.3662726648708</v>
      </c>
    </row>
    <row r="907" spans="3:6" x14ac:dyDescent="0.25">
      <c r="C907" s="79"/>
      <c r="D907" s="79"/>
      <c r="E907" s="47">
        <v>1840.6976393065099</v>
      </c>
      <c r="F907" s="47">
        <v>10094.469725847801</v>
      </c>
    </row>
    <row r="908" spans="3:6" x14ac:dyDescent="0.25">
      <c r="C908" s="79"/>
      <c r="D908" s="79"/>
      <c r="E908" s="47">
        <v>1848.3381662592101</v>
      </c>
      <c r="F908" s="47">
        <v>10228.879613286599</v>
      </c>
    </row>
    <row r="909" spans="3:6" x14ac:dyDescent="0.25">
      <c r="C909" s="79"/>
      <c r="D909" s="79"/>
      <c r="E909" s="47">
        <v>1859.26345319129</v>
      </c>
      <c r="F909" s="47">
        <v>10331.021571417101</v>
      </c>
    </row>
    <row r="910" spans="3:6" x14ac:dyDescent="0.25">
      <c r="C910" s="79"/>
      <c r="D910" s="79"/>
      <c r="E910" s="47">
        <v>1873.8526501103599</v>
      </c>
      <c r="F910" s="47">
        <v>10412.5112669593</v>
      </c>
    </row>
    <row r="911" spans="3:6" x14ac:dyDescent="0.25">
      <c r="C911" s="79"/>
      <c r="D911" s="79"/>
      <c r="E911" s="47">
        <v>1892.5297910106301</v>
      </c>
      <c r="F911" s="47">
        <v>10480.2307361286</v>
      </c>
    </row>
    <row r="912" spans="3:6" x14ac:dyDescent="0.25">
      <c r="C912" s="79"/>
      <c r="D912" s="79"/>
      <c r="E912" s="47">
        <v>1915.71907976342</v>
      </c>
      <c r="F912" s="47">
        <v>10538.6047139603</v>
      </c>
    </row>
    <row r="913" spans="3:6" x14ac:dyDescent="0.25">
      <c r="C913" s="79"/>
      <c r="D913" s="79"/>
      <c r="E913" s="47">
        <v>1943.84636069419</v>
      </c>
      <c r="F913" s="47">
        <v>10590.6604830082</v>
      </c>
    </row>
    <row r="914" spans="3:6" x14ac:dyDescent="0.25">
      <c r="C914" s="79"/>
      <c r="D914" s="79"/>
      <c r="E914" s="47">
        <v>1977.3514024850899</v>
      </c>
      <c r="F914" s="47">
        <v>10638.542873902101</v>
      </c>
    </row>
    <row r="915" spans="3:6" x14ac:dyDescent="0.25">
      <c r="C915" s="79"/>
      <c r="D915" s="79">
        <v>1000</v>
      </c>
      <c r="E915" s="47">
        <v>1830.79793689145</v>
      </c>
      <c r="F915" s="47">
        <v>10068.5042484643</v>
      </c>
    </row>
    <row r="916" spans="3:6" x14ac:dyDescent="0.25">
      <c r="C916" s="79"/>
      <c r="D916" s="79"/>
      <c r="E916" s="47">
        <v>1832.17597099765</v>
      </c>
      <c r="F916" s="47">
        <v>10375.339632187801</v>
      </c>
    </row>
    <row r="917" spans="3:6" x14ac:dyDescent="0.25">
      <c r="C917" s="79"/>
      <c r="D917" s="79"/>
      <c r="E917" s="47">
        <v>1836.38549127593</v>
      </c>
      <c r="F917" s="47">
        <v>10576.4602184247</v>
      </c>
    </row>
    <row r="918" spans="3:6" x14ac:dyDescent="0.25">
      <c r="C918" s="79"/>
      <c r="D918" s="79"/>
      <c r="E918" s="47">
        <v>1843.6512397757299</v>
      </c>
      <c r="F918" s="47">
        <v>10719.698024281301</v>
      </c>
    </row>
    <row r="919" spans="3:6" x14ac:dyDescent="0.25">
      <c r="C919" s="79"/>
      <c r="D919" s="79"/>
      <c r="E919" s="47">
        <v>1854.29440027028</v>
      </c>
      <c r="F919" s="47">
        <v>10828.501902088899</v>
      </c>
    </row>
    <row r="920" spans="3:6" x14ac:dyDescent="0.25">
      <c r="C920" s="79"/>
      <c r="D920" s="79"/>
      <c r="E920" s="47">
        <v>1868.6568271042499</v>
      </c>
      <c r="F920" s="47">
        <v>10915.247252617401</v>
      </c>
    </row>
    <row r="921" spans="3:6" x14ac:dyDescent="0.25">
      <c r="C921" s="79"/>
      <c r="D921" s="79"/>
      <c r="E921" s="47">
        <v>1887.14762100596</v>
      </c>
      <c r="F921" s="47">
        <v>10987.274239554799</v>
      </c>
    </row>
    <row r="922" spans="3:6" x14ac:dyDescent="0.25">
      <c r="C922" s="79"/>
      <c r="D922" s="79"/>
      <c r="E922" s="47">
        <v>1910.1775580686599</v>
      </c>
      <c r="F922" s="47">
        <v>11049.279410941699</v>
      </c>
    </row>
    <row r="923" spans="3:6" x14ac:dyDescent="0.25">
      <c r="C923" s="79"/>
      <c r="D923" s="79"/>
      <c r="E923" s="47">
        <v>1938.16034982582</v>
      </c>
      <c r="F923" s="47">
        <v>11104.480455142901</v>
      </c>
    </row>
    <row r="924" spans="3:6" x14ac:dyDescent="0.25">
      <c r="C924" s="79"/>
      <c r="D924" s="79"/>
      <c r="E924" s="47">
        <v>1971.53458394632</v>
      </c>
      <c r="F924" s="47">
        <v>11155.124334476501</v>
      </c>
    </row>
    <row r="925" spans="3:6" x14ac:dyDescent="0.25">
      <c r="C925" s="79"/>
      <c r="D925" s="79">
        <v>1100</v>
      </c>
      <c r="E925" s="47">
        <v>1826.7847354882899</v>
      </c>
      <c r="F925" s="47">
        <v>10525.430645554299</v>
      </c>
    </row>
    <row r="926" spans="3:6" x14ac:dyDescent="0.25">
      <c r="C926" s="79"/>
      <c r="D926" s="79"/>
      <c r="E926" s="47">
        <v>1827.35574766994</v>
      </c>
      <c r="F926" s="47">
        <v>10851.777864969699</v>
      </c>
    </row>
    <row r="927" spans="3:6" x14ac:dyDescent="0.25">
      <c r="C927" s="79"/>
      <c r="D927" s="79"/>
      <c r="E927" s="47">
        <v>1831.0400806612799</v>
      </c>
      <c r="F927" s="47">
        <v>11065.657243243801</v>
      </c>
    </row>
    <row r="928" spans="3:6" x14ac:dyDescent="0.25">
      <c r="C928" s="79"/>
      <c r="D928" s="79"/>
      <c r="E928" s="47">
        <v>1837.9267075755699</v>
      </c>
      <c r="F928" s="47">
        <v>11218.3764351952</v>
      </c>
    </row>
    <row r="929" spans="3:6" x14ac:dyDescent="0.25">
      <c r="C929" s="79"/>
      <c r="D929" s="79"/>
      <c r="E929" s="47">
        <v>1848.28306992943</v>
      </c>
      <c r="F929" s="47">
        <v>11334.3257359459</v>
      </c>
    </row>
    <row r="930" spans="3:6" x14ac:dyDescent="0.25">
      <c r="C930" s="79"/>
      <c r="D930" s="79"/>
      <c r="E930" s="47">
        <v>1862.4171614817801</v>
      </c>
      <c r="F930" s="47">
        <v>11426.6876600819</v>
      </c>
    </row>
    <row r="931" spans="3:6" x14ac:dyDescent="0.25">
      <c r="C931" s="79"/>
      <c r="D931" s="79"/>
      <c r="E931" s="47">
        <v>1880.7200638413401</v>
      </c>
      <c r="F931" s="47">
        <v>11503.268451259401</v>
      </c>
    </row>
    <row r="932" spans="3:6" x14ac:dyDescent="0.25">
      <c r="C932" s="79"/>
      <c r="D932" s="79"/>
      <c r="E932" s="47">
        <v>1903.58725094288</v>
      </c>
      <c r="F932" s="47">
        <v>11569.056450080599</v>
      </c>
    </row>
    <row r="933" spans="3:6" x14ac:dyDescent="0.25">
      <c r="C933" s="79"/>
      <c r="D933" s="79"/>
      <c r="E933" s="47">
        <v>1931.42163203173</v>
      </c>
      <c r="F933" s="47">
        <v>11627.500687437199</v>
      </c>
    </row>
    <row r="934" spans="3:6" x14ac:dyDescent="0.25">
      <c r="C934" s="79"/>
      <c r="D934" s="79"/>
      <c r="E934" s="47">
        <v>1964.6645833842399</v>
      </c>
      <c r="F934" s="47">
        <v>11680.9664066266</v>
      </c>
    </row>
    <row r="935" spans="3:6" x14ac:dyDescent="0.25">
      <c r="C935" s="79"/>
      <c r="D935" s="79">
        <v>1200</v>
      </c>
      <c r="E935" s="47">
        <v>1821.8317518767899</v>
      </c>
      <c r="F935" s="47">
        <v>10988.749258956699</v>
      </c>
    </row>
    <row r="936" spans="3:6" x14ac:dyDescent="0.25">
      <c r="C936" s="79"/>
      <c r="D936" s="79"/>
      <c r="E936" s="47">
        <v>1821.5753022042099</v>
      </c>
      <c r="F936" s="47">
        <v>11336.808358456599</v>
      </c>
    </row>
    <row r="937" spans="3:6" x14ac:dyDescent="0.25">
      <c r="C937" s="79"/>
      <c r="D937" s="79"/>
      <c r="E937" s="47">
        <v>1824.7309174925499</v>
      </c>
      <c r="F937" s="47">
        <v>11563.565380981599</v>
      </c>
    </row>
    <row r="938" spans="3:6" x14ac:dyDescent="0.25">
      <c r="C938" s="79"/>
      <c r="D938" s="79"/>
      <c r="E938" s="47">
        <v>1831.23926481784</v>
      </c>
      <c r="F938" s="47">
        <v>11725.481241822599</v>
      </c>
    </row>
    <row r="939" spans="3:6" x14ac:dyDescent="0.25">
      <c r="C939" s="79"/>
      <c r="D939" s="79"/>
      <c r="E939" s="47">
        <v>1841.30864462215</v>
      </c>
      <c r="F939" s="47">
        <v>11848.3385889397</v>
      </c>
    </row>
    <row r="940" spans="3:6" x14ac:dyDescent="0.25">
      <c r="C940" s="79"/>
      <c r="D940" s="79"/>
      <c r="E940" s="47">
        <v>1855.2156844244901</v>
      </c>
      <c r="F940" s="47">
        <v>11946.141665462301</v>
      </c>
    </row>
    <row r="941" spans="3:6" x14ac:dyDescent="0.25">
      <c r="C941" s="79"/>
      <c r="D941" s="79"/>
      <c r="E941" s="47">
        <v>1873.3315944906001</v>
      </c>
      <c r="F941" s="47">
        <v>12027.163774975499</v>
      </c>
    </row>
    <row r="942" spans="3:6" x14ac:dyDescent="0.25">
      <c r="C942" s="79"/>
      <c r="D942" s="79"/>
      <c r="E942" s="47">
        <v>1896.0313657775901</v>
      </c>
      <c r="F942" s="47">
        <v>12096.7147428973</v>
      </c>
    </row>
    <row r="943" spans="3:6" x14ac:dyDescent="0.25">
      <c r="C943" s="79"/>
      <c r="D943" s="79"/>
      <c r="E943" s="47">
        <v>1923.7240630982801</v>
      </c>
      <c r="F943" s="47">
        <v>12158.3733193468</v>
      </c>
    </row>
    <row r="944" spans="3:6" x14ac:dyDescent="0.25">
      <c r="C944" s="79"/>
      <c r="D944" s="79"/>
      <c r="E944" s="47">
        <v>1956.8378772395499</v>
      </c>
      <c r="F944" s="47">
        <v>12214.6590998137</v>
      </c>
    </row>
    <row r="945" spans="3:6" x14ac:dyDescent="0.25">
      <c r="C945" s="79">
        <v>20</v>
      </c>
      <c r="D945" s="79">
        <v>0</v>
      </c>
      <c r="E945" s="47">
        <v>1867.1905203396</v>
      </c>
      <c r="F945" s="47">
        <v>6852.4279146260096</v>
      </c>
    </row>
    <row r="946" spans="3:6" x14ac:dyDescent="0.25">
      <c r="C946" s="79"/>
      <c r="D946" s="79"/>
      <c r="E946" s="47">
        <v>1867.1905203396</v>
      </c>
      <c r="F946" s="47">
        <v>6852.4279146260096</v>
      </c>
    </row>
    <row r="947" spans="3:6" x14ac:dyDescent="0.25">
      <c r="C947" s="79"/>
      <c r="D947" s="79"/>
      <c r="E947" s="47">
        <v>1867.1905203396</v>
      </c>
      <c r="F947" s="47">
        <v>6852.4279146260096</v>
      </c>
    </row>
    <row r="948" spans="3:6" x14ac:dyDescent="0.25">
      <c r="C948" s="79"/>
      <c r="D948" s="79"/>
      <c r="E948" s="47">
        <v>1867.1905203396</v>
      </c>
      <c r="F948" s="47">
        <v>6852.4279146260096</v>
      </c>
    </row>
    <row r="949" spans="3:6" x14ac:dyDescent="0.25">
      <c r="C949" s="79"/>
      <c r="D949" s="79"/>
      <c r="E949" s="47">
        <v>1867.1905203396</v>
      </c>
      <c r="F949" s="47">
        <v>6852.4279146260096</v>
      </c>
    </row>
    <row r="950" spans="3:6" x14ac:dyDescent="0.25">
      <c r="C950" s="79"/>
      <c r="D950" s="79"/>
      <c r="E950" s="47">
        <v>1867.1905203396</v>
      </c>
      <c r="F950" s="47">
        <v>6852.4279146260096</v>
      </c>
    </row>
    <row r="951" spans="3:6" x14ac:dyDescent="0.25">
      <c r="C951" s="79"/>
      <c r="D951" s="79"/>
      <c r="E951" s="47">
        <v>1887.2043649474399</v>
      </c>
      <c r="F951" s="47">
        <v>6889.46655935736</v>
      </c>
    </row>
    <row r="952" spans="3:6" x14ac:dyDescent="0.25">
      <c r="C952" s="79"/>
      <c r="D952" s="79"/>
      <c r="E952" s="47">
        <v>1911.5635878533001</v>
      </c>
      <c r="F952" s="47">
        <v>6921.90677785349</v>
      </c>
    </row>
    <row r="953" spans="3:6" x14ac:dyDescent="0.25">
      <c r="C953" s="79"/>
      <c r="D953" s="79"/>
      <c r="E953" s="47">
        <v>1940.75954827586</v>
      </c>
      <c r="F953" s="47">
        <v>6951.4749786315997</v>
      </c>
    </row>
    <row r="954" spans="3:6" x14ac:dyDescent="0.25">
      <c r="C954" s="79"/>
      <c r="D954" s="79"/>
      <c r="E954" s="47">
        <v>1975.27413422309</v>
      </c>
      <c r="F954" s="47">
        <v>6979.42253980439</v>
      </c>
    </row>
    <row r="955" spans="3:6" x14ac:dyDescent="0.25">
      <c r="C955" s="79"/>
      <c r="D955" s="79">
        <v>100</v>
      </c>
      <c r="E955" s="47">
        <v>1845.18857435479</v>
      </c>
      <c r="F955" s="47">
        <v>7170.3120432841697</v>
      </c>
    </row>
    <row r="956" spans="3:6" x14ac:dyDescent="0.25">
      <c r="C956" s="79"/>
      <c r="D956" s="79"/>
      <c r="E956" s="47">
        <v>1845.18857435479</v>
      </c>
      <c r="F956" s="47">
        <v>7170.3120432841697</v>
      </c>
    </row>
    <row r="957" spans="3:6" x14ac:dyDescent="0.25">
      <c r="C957" s="79"/>
      <c r="D957" s="79"/>
      <c r="E957" s="47">
        <v>1845.18857435479</v>
      </c>
      <c r="F957" s="47">
        <v>7170.3120432841697</v>
      </c>
    </row>
    <row r="958" spans="3:6" x14ac:dyDescent="0.25">
      <c r="C958" s="79"/>
      <c r="D958" s="79"/>
      <c r="E958" s="47">
        <v>1845.18857435479</v>
      </c>
      <c r="F958" s="47">
        <v>7170.3120432841697</v>
      </c>
    </row>
    <row r="959" spans="3:6" x14ac:dyDescent="0.25">
      <c r="C959" s="79"/>
      <c r="D959" s="79"/>
      <c r="E959" s="47">
        <v>1857.85932480376</v>
      </c>
      <c r="F959" s="47">
        <v>7230.9448310461403</v>
      </c>
    </row>
    <row r="960" spans="3:6" x14ac:dyDescent="0.25">
      <c r="C960" s="79"/>
      <c r="D960" s="79"/>
      <c r="E960" s="47">
        <v>1873.8590868666299</v>
      </c>
      <c r="F960" s="47">
        <v>7279.4835337018203</v>
      </c>
    </row>
    <row r="961" spans="3:6" x14ac:dyDescent="0.25">
      <c r="C961" s="79"/>
      <c r="D961" s="79"/>
      <c r="E961" s="47">
        <v>1893.7190931555699</v>
      </c>
      <c r="F961" s="47">
        <v>7320.1413651082003</v>
      </c>
    </row>
    <row r="962" spans="3:6" x14ac:dyDescent="0.25">
      <c r="C962" s="79"/>
      <c r="D962" s="79"/>
      <c r="E962" s="47">
        <v>1917.9403817426901</v>
      </c>
      <c r="F962" s="47">
        <v>7355.6473354313503</v>
      </c>
    </row>
    <row r="963" spans="3:6" x14ac:dyDescent="0.25">
      <c r="C963" s="79"/>
      <c r="D963" s="79"/>
      <c r="E963" s="47">
        <v>1947.00777577841</v>
      </c>
      <c r="F963" s="47">
        <v>7387.8911972462802</v>
      </c>
    </row>
    <row r="964" spans="3:6" x14ac:dyDescent="0.25">
      <c r="C964" s="79"/>
      <c r="D964" s="79"/>
      <c r="E964" s="47">
        <v>1981.39780245158</v>
      </c>
      <c r="F964" s="47">
        <v>7418.2818860053903</v>
      </c>
    </row>
    <row r="965" spans="3:6" x14ac:dyDescent="0.25">
      <c r="C965" s="79"/>
      <c r="D965" s="79">
        <v>200</v>
      </c>
      <c r="E965" s="47">
        <v>1840.65505171107</v>
      </c>
      <c r="F965" s="47">
        <v>7512.1373767105597</v>
      </c>
    </row>
    <row r="966" spans="3:6" x14ac:dyDescent="0.25">
      <c r="C966" s="79"/>
      <c r="D966" s="79"/>
      <c r="E966" s="47">
        <v>1840.65505171107</v>
      </c>
      <c r="F966" s="47">
        <v>7512.1373767105597</v>
      </c>
    </row>
    <row r="967" spans="3:6" x14ac:dyDescent="0.25">
      <c r="C967" s="79"/>
      <c r="D967" s="79"/>
      <c r="E967" s="47">
        <v>1840.65505171107</v>
      </c>
      <c r="F967" s="47">
        <v>7512.1373767105597</v>
      </c>
    </row>
    <row r="968" spans="3:6" x14ac:dyDescent="0.25">
      <c r="C968" s="79"/>
      <c r="D968" s="79"/>
      <c r="E968" s="47">
        <v>1850.27659466159</v>
      </c>
      <c r="F968" s="47">
        <v>7599.34956418619</v>
      </c>
    </row>
    <row r="969" spans="3:6" x14ac:dyDescent="0.25">
      <c r="C969" s="79"/>
      <c r="D969" s="79"/>
      <c r="E969" s="47">
        <v>1862.7080267618201</v>
      </c>
      <c r="F969" s="47">
        <v>7665.68702953711</v>
      </c>
    </row>
    <row r="970" spans="3:6" x14ac:dyDescent="0.25">
      <c r="C970" s="79"/>
      <c r="D970" s="79"/>
      <c r="E970" s="47">
        <v>1878.5136858087101</v>
      </c>
      <c r="F970" s="47">
        <v>7718.7729719572098</v>
      </c>
    </row>
    <row r="971" spans="3:6" x14ac:dyDescent="0.25">
      <c r="C971" s="79"/>
      <c r="D971" s="79"/>
      <c r="E971" s="47">
        <v>1898.20855885741</v>
      </c>
      <c r="F971" s="47">
        <v>7763.0935136634798</v>
      </c>
    </row>
    <row r="972" spans="3:6" x14ac:dyDescent="0.25">
      <c r="C972" s="79"/>
      <c r="D972" s="79"/>
      <c r="E972" s="47">
        <v>1922.28405870796</v>
      </c>
      <c r="F972" s="47">
        <v>7801.6899583449303</v>
      </c>
    </row>
    <row r="973" spans="3:6" x14ac:dyDescent="0.25">
      <c r="C973" s="79"/>
      <c r="D973" s="79"/>
      <c r="E973" s="47">
        <v>1951.2169047976399</v>
      </c>
      <c r="F973" s="47">
        <v>7836.6436705922397</v>
      </c>
    </row>
    <row r="974" spans="3:6" x14ac:dyDescent="0.25">
      <c r="C974" s="79"/>
      <c r="D974" s="79"/>
      <c r="E974" s="47">
        <v>1985.47852771365</v>
      </c>
      <c r="F974" s="47">
        <v>7869.4197841957002</v>
      </c>
    </row>
    <row r="975" spans="3:6" x14ac:dyDescent="0.25">
      <c r="C975" s="79"/>
      <c r="D975" s="79">
        <v>300</v>
      </c>
      <c r="E975" s="47">
        <v>1831.49572641595</v>
      </c>
      <c r="F975" s="47">
        <v>7608.0790282663102</v>
      </c>
    </row>
    <row r="976" spans="3:6" x14ac:dyDescent="0.25">
      <c r="C976" s="79"/>
      <c r="D976" s="79"/>
      <c r="E976" s="47">
        <v>1837.1722518767201</v>
      </c>
      <c r="F976" s="47">
        <v>7809.9689884528798</v>
      </c>
    </row>
    <row r="977" spans="3:6" x14ac:dyDescent="0.25">
      <c r="C977" s="79"/>
      <c r="D977" s="79"/>
      <c r="E977" s="47">
        <v>1844.20998929849</v>
      </c>
      <c r="F977" s="47">
        <v>7942.4334923777997</v>
      </c>
    </row>
    <row r="978" spans="3:6" x14ac:dyDescent="0.25">
      <c r="C978" s="79"/>
      <c r="D978" s="79"/>
      <c r="E978" s="47">
        <v>1853.50695628006</v>
      </c>
      <c r="F978" s="47">
        <v>8037.1702694792502</v>
      </c>
    </row>
    <row r="979" spans="3:6" x14ac:dyDescent="0.25">
      <c r="C979" s="79"/>
      <c r="D979" s="79"/>
      <c r="E979" s="47">
        <v>1865.6933117773301</v>
      </c>
      <c r="F979" s="47">
        <v>8109.25245344411</v>
      </c>
    </row>
    <row r="980" spans="3:6" x14ac:dyDescent="0.25">
      <c r="C980" s="79"/>
      <c r="D980" s="79"/>
      <c r="E980" s="47">
        <v>1881.2985285944501</v>
      </c>
      <c r="F980" s="47">
        <v>8166.9688947058003</v>
      </c>
    </row>
    <row r="981" spans="3:6" x14ac:dyDescent="0.25">
      <c r="C981" s="79"/>
      <c r="D981" s="79"/>
      <c r="E981" s="47">
        <v>1900.82547125006</v>
      </c>
      <c r="F981" s="47">
        <v>8215.2108411844492</v>
      </c>
    </row>
    <row r="982" spans="3:6" x14ac:dyDescent="0.25">
      <c r="C982" s="79"/>
      <c r="D982" s="79"/>
      <c r="E982" s="47">
        <v>1924.75225500479</v>
      </c>
      <c r="F982" s="47">
        <v>8257.1586049114103</v>
      </c>
    </row>
    <row r="983" spans="3:6" x14ac:dyDescent="0.25">
      <c r="C983" s="79"/>
      <c r="D983" s="79"/>
      <c r="E983" s="47">
        <v>1953.5498311481999</v>
      </c>
      <c r="F983" s="47">
        <v>8295.0123039504106</v>
      </c>
    </row>
    <row r="984" spans="3:6" x14ac:dyDescent="0.25">
      <c r="C984" s="79"/>
      <c r="D984" s="79"/>
      <c r="E984" s="47">
        <v>1987.6825748799099</v>
      </c>
      <c r="F984" s="47">
        <v>8330.3438450003596</v>
      </c>
    </row>
    <row r="985" spans="3:6" x14ac:dyDescent="0.25">
      <c r="C985" s="79"/>
      <c r="D985" s="79">
        <v>400</v>
      </c>
      <c r="E985" s="47">
        <v>1834.5561412847501</v>
      </c>
      <c r="F985" s="47">
        <v>8020.6863898630199</v>
      </c>
    </row>
    <row r="986" spans="3:6" x14ac:dyDescent="0.25">
      <c r="C986" s="79"/>
      <c r="D986" s="79"/>
      <c r="E986" s="47">
        <v>1839.53201215486</v>
      </c>
      <c r="F986" s="47">
        <v>8240.0476682700591</v>
      </c>
    </row>
    <row r="987" spans="3:6" x14ac:dyDescent="0.25">
      <c r="C987" s="79"/>
      <c r="D987" s="79"/>
      <c r="E987" s="47">
        <v>1846.1069133989899</v>
      </c>
      <c r="F987" s="47">
        <v>8383.9541261252998</v>
      </c>
    </row>
    <row r="988" spans="3:6" x14ac:dyDescent="0.25">
      <c r="C988" s="79"/>
      <c r="D988" s="79"/>
      <c r="E988" s="47">
        <v>1855.0662748464499</v>
      </c>
      <c r="F988" s="47">
        <v>8486.47898503137</v>
      </c>
    </row>
    <row r="989" spans="3:6" x14ac:dyDescent="0.25">
      <c r="C989" s="79"/>
      <c r="D989" s="79"/>
      <c r="E989" s="47">
        <v>1866.99557601484</v>
      </c>
      <c r="F989" s="47">
        <v>8564.3642872750206</v>
      </c>
    </row>
    <row r="990" spans="3:6" x14ac:dyDescent="0.25">
      <c r="C990" s="79"/>
      <c r="D990" s="79"/>
      <c r="E990" s="47">
        <v>1882.3960496391901</v>
      </c>
      <c r="F990" s="47">
        <v>8626.6928462504602</v>
      </c>
    </row>
    <row r="991" spans="3:6" x14ac:dyDescent="0.25">
      <c r="C991" s="79"/>
      <c r="D991" s="79"/>
      <c r="E991" s="47">
        <v>1901.74759152856</v>
      </c>
      <c r="F991" s="47">
        <v>8678.7735066928708</v>
      </c>
    </row>
    <row r="992" spans="3:6" x14ac:dyDescent="0.25">
      <c r="C992" s="79"/>
      <c r="D992" s="79"/>
      <c r="E992" s="47">
        <v>1925.52167131749</v>
      </c>
      <c r="F992" s="47">
        <v>8724.0023591590707</v>
      </c>
    </row>
    <row r="993" spans="3:6" x14ac:dyDescent="0.25">
      <c r="C993" s="79"/>
      <c r="D993" s="79"/>
      <c r="E993" s="47">
        <v>1954.17959753882</v>
      </c>
      <c r="F993" s="47">
        <v>8764.7195402240704</v>
      </c>
    </row>
    <row r="994" spans="3:6" x14ac:dyDescent="0.25">
      <c r="C994" s="79"/>
      <c r="D994" s="79"/>
      <c r="E994" s="47">
        <v>1988.18107236796</v>
      </c>
      <c r="F994" s="47">
        <v>8802.6051262773799</v>
      </c>
    </row>
    <row r="995" spans="3:6" x14ac:dyDescent="0.25">
      <c r="C995" s="79"/>
      <c r="D995" s="79">
        <v>500</v>
      </c>
      <c r="E995" s="47">
        <v>1836.124889206</v>
      </c>
      <c r="F995" s="47">
        <v>8441.6934863287897</v>
      </c>
    </row>
    <row r="996" spans="3:6" x14ac:dyDescent="0.25">
      <c r="C996" s="79"/>
      <c r="D996" s="79"/>
      <c r="E996" s="47">
        <v>1840.37193666487</v>
      </c>
      <c r="F996" s="47">
        <v>8677.9922555827106</v>
      </c>
    </row>
    <row r="997" spans="3:6" x14ac:dyDescent="0.25">
      <c r="C997" s="79"/>
      <c r="D997" s="79"/>
      <c r="E997" s="47">
        <v>1846.4674643056101</v>
      </c>
      <c r="F997" s="47">
        <v>8833.0474356529303</v>
      </c>
    </row>
    <row r="998" spans="3:6" x14ac:dyDescent="0.25">
      <c r="C998" s="79"/>
      <c r="D998" s="79"/>
      <c r="E998" s="47">
        <v>1855.07838305532</v>
      </c>
      <c r="F998" s="47">
        <v>8943.9529140080103</v>
      </c>
    </row>
    <row r="999" spans="3:6" x14ac:dyDescent="0.25">
      <c r="C999" s="79"/>
      <c r="D999" s="79"/>
      <c r="E999" s="47">
        <v>1866.7419178851301</v>
      </c>
      <c r="F999" s="47">
        <v>9028.3166892727295</v>
      </c>
    </row>
    <row r="1000" spans="3:6" x14ac:dyDescent="0.25">
      <c r="C1000" s="79"/>
      <c r="D1000" s="79"/>
      <c r="E1000" s="47">
        <v>1881.93134673228</v>
      </c>
      <c r="F1000" s="47">
        <v>9095.7335016264606</v>
      </c>
    </row>
    <row r="1001" spans="3:6" x14ac:dyDescent="0.25">
      <c r="C1001" s="79"/>
      <c r="D1001" s="79"/>
      <c r="E1001" s="47">
        <v>1901.10214676488</v>
      </c>
      <c r="F1001" s="47">
        <v>9151.9630270868292</v>
      </c>
    </row>
    <row r="1002" spans="3:6" x14ac:dyDescent="0.25">
      <c r="C1002" s="79"/>
      <c r="D1002" s="79"/>
      <c r="E1002" s="47">
        <v>1924.7185573945101</v>
      </c>
      <c r="F1002" s="47">
        <v>9200.6726261571093</v>
      </c>
    </row>
    <row r="1003" spans="3:6" x14ac:dyDescent="0.25">
      <c r="C1003" s="79"/>
      <c r="D1003" s="79"/>
      <c r="E1003" s="47">
        <v>1953.2351750918299</v>
      </c>
      <c r="F1003" s="47">
        <v>9244.3840734547994</v>
      </c>
    </row>
    <row r="1004" spans="3:6" x14ac:dyDescent="0.25">
      <c r="C1004" s="79"/>
      <c r="D1004" s="79"/>
      <c r="E1004" s="47">
        <v>1987.1043359284799</v>
      </c>
      <c r="F1004" s="47">
        <v>9284.9042040627901</v>
      </c>
    </row>
    <row r="1005" spans="3:6" x14ac:dyDescent="0.25">
      <c r="C1005" s="79"/>
      <c r="D1005" s="79">
        <v>600</v>
      </c>
      <c r="E1005" s="47">
        <v>1836.3222255606099</v>
      </c>
      <c r="F1005" s="47">
        <v>8870.8437793646208</v>
      </c>
    </row>
    <row r="1006" spans="3:6" x14ac:dyDescent="0.25">
      <c r="C1006" s="79"/>
      <c r="D1006" s="79"/>
      <c r="E1006" s="47">
        <v>1839.8104043081901</v>
      </c>
      <c r="F1006" s="47">
        <v>9126.2406980920096</v>
      </c>
    </row>
    <row r="1007" spans="3:6" x14ac:dyDescent="0.25">
      <c r="C1007" s="79"/>
      <c r="D1007" s="79"/>
      <c r="E1007" s="47">
        <v>1845.4079769111299</v>
      </c>
      <c r="F1007" s="47">
        <v>9292.6615649498108</v>
      </c>
    </row>
    <row r="1008" spans="3:6" x14ac:dyDescent="0.25">
      <c r="C1008" s="79"/>
      <c r="D1008" s="79"/>
      <c r="E1008" s="47">
        <v>1853.6692042992699</v>
      </c>
      <c r="F1008" s="47">
        <v>9411.69263795603</v>
      </c>
    </row>
    <row r="1009" spans="3:6" x14ac:dyDescent="0.25">
      <c r="C1009" s="79"/>
      <c r="D1009" s="79"/>
      <c r="E1009" s="47">
        <v>1865.06387926708</v>
      </c>
      <c r="F1009" s="47">
        <v>9502.2435046418195</v>
      </c>
    </row>
    <row r="1010" spans="3:6" x14ac:dyDescent="0.25">
      <c r="C1010" s="79"/>
      <c r="D1010" s="79"/>
      <c r="E1010" s="47">
        <v>1880.03979200455</v>
      </c>
      <c r="F1010" s="47">
        <v>9574.5772139261899</v>
      </c>
    </row>
    <row r="1011" spans="3:6" x14ac:dyDescent="0.25">
      <c r="C1011" s="79"/>
      <c r="D1011" s="79"/>
      <c r="E1011" s="47">
        <v>1899.0297611460101</v>
      </c>
      <c r="F1011" s="47">
        <v>9634.8757330824901</v>
      </c>
    </row>
    <row r="1012" spans="3:6" x14ac:dyDescent="0.25">
      <c r="C1012" s="79"/>
      <c r="D1012" s="79"/>
      <c r="E1012" s="47">
        <v>1922.4894926811601</v>
      </c>
      <c r="F1012" s="47">
        <v>9687.0371810651504</v>
      </c>
    </row>
    <row r="1013" spans="3:6" x14ac:dyDescent="0.25">
      <c r="C1013" s="79"/>
      <c r="D1013" s="79"/>
      <c r="E1013" s="47">
        <v>1950.8639546294501</v>
      </c>
      <c r="F1013" s="47">
        <v>9733.7440738973601</v>
      </c>
    </row>
    <row r="1014" spans="3:6" x14ac:dyDescent="0.25">
      <c r="C1014" s="79"/>
      <c r="D1014" s="79"/>
      <c r="E1014" s="47">
        <v>1984.6007945205099</v>
      </c>
      <c r="F1014" s="47">
        <v>9776.9176234360893</v>
      </c>
    </row>
    <row r="1015" spans="3:6" x14ac:dyDescent="0.25">
      <c r="C1015" s="79"/>
      <c r="D1015" s="79">
        <v>700</v>
      </c>
      <c r="E1015" s="47">
        <v>1835.2501669675501</v>
      </c>
      <c r="F1015" s="47">
        <v>9306.3640167769408</v>
      </c>
    </row>
    <row r="1016" spans="3:6" x14ac:dyDescent="0.25">
      <c r="C1016" s="79"/>
      <c r="D1016" s="79"/>
      <c r="E1016" s="47">
        <v>1837.97793994322</v>
      </c>
      <c r="F1016" s="47">
        <v>9580.0865020806705</v>
      </c>
    </row>
    <row r="1017" spans="3:6" x14ac:dyDescent="0.25">
      <c r="C1017" s="79"/>
      <c r="D1017" s="79"/>
      <c r="E1017" s="47">
        <v>1843.0669003969299</v>
      </c>
      <c r="F1017" s="47">
        <v>9759.5555822357601</v>
      </c>
    </row>
    <row r="1018" spans="3:6" x14ac:dyDescent="0.25">
      <c r="C1018" s="79"/>
      <c r="D1018" s="79"/>
      <c r="E1018" s="47">
        <v>1850.96711689872</v>
      </c>
      <c r="F1018" s="47">
        <v>9887.8226974856207</v>
      </c>
    </row>
    <row r="1019" spans="3:6" x14ac:dyDescent="0.25">
      <c r="C1019" s="79"/>
      <c r="D1019" s="79"/>
      <c r="E1019" s="47">
        <v>1862.0841526475299</v>
      </c>
      <c r="F1019" s="47">
        <v>9985.3083595607895</v>
      </c>
    </row>
    <row r="1020" spans="3:6" x14ac:dyDescent="0.25">
      <c r="C1020" s="79"/>
      <c r="D1020" s="79"/>
      <c r="E1020" s="47">
        <v>1876.83885200287</v>
      </c>
      <c r="F1020" s="47">
        <v>10063.0667774433</v>
      </c>
    </row>
    <row r="1021" spans="3:6" x14ac:dyDescent="0.25">
      <c r="C1021" s="79"/>
      <c r="D1021" s="79"/>
      <c r="E1021" s="47">
        <v>1895.6441178340001</v>
      </c>
      <c r="F1021" s="47">
        <v>10127.748025975099</v>
      </c>
    </row>
    <row r="1022" spans="3:6" x14ac:dyDescent="0.25">
      <c r="C1022" s="79"/>
      <c r="D1022" s="79"/>
      <c r="E1022" s="47">
        <v>1918.9436619488899</v>
      </c>
      <c r="F1022" s="47">
        <v>10183.5673727548</v>
      </c>
    </row>
    <row r="1023" spans="3:6" x14ac:dyDescent="0.25">
      <c r="C1023" s="79"/>
      <c r="D1023" s="79"/>
      <c r="E1023" s="47">
        <v>1947.1749142418</v>
      </c>
      <c r="F1023" s="47">
        <v>10233.3983349684</v>
      </c>
    </row>
    <row r="1024" spans="3:6" x14ac:dyDescent="0.25">
      <c r="C1024" s="79"/>
      <c r="D1024" s="79"/>
      <c r="E1024" s="47">
        <v>1980.77978199015</v>
      </c>
      <c r="F1024" s="47">
        <v>10279.298029849</v>
      </c>
    </row>
    <row r="1025" spans="3:6" x14ac:dyDescent="0.25">
      <c r="C1025" s="79"/>
      <c r="D1025" s="79">
        <v>800</v>
      </c>
      <c r="E1025" s="47">
        <v>1833.0163071972399</v>
      </c>
      <c r="F1025" s="47">
        <v>9750.6695548030202</v>
      </c>
    </row>
    <row r="1026" spans="3:6" x14ac:dyDescent="0.25">
      <c r="C1026" s="79"/>
      <c r="D1026" s="79"/>
      <c r="E1026" s="47">
        <v>1834.96484958669</v>
      </c>
      <c r="F1026" s="47">
        <v>10043.198061253301</v>
      </c>
    </row>
    <row r="1027" spans="3:6" x14ac:dyDescent="0.25">
      <c r="C1027" s="79"/>
      <c r="D1027" s="79"/>
      <c r="E1027" s="47">
        <v>1839.5440481763801</v>
      </c>
      <c r="F1027" s="47">
        <v>10234.9012510458</v>
      </c>
    </row>
    <row r="1028" spans="3:6" x14ac:dyDescent="0.25">
      <c r="C1028" s="79"/>
      <c r="D1028" s="79"/>
      <c r="E1028" s="47">
        <v>1847.08035456737</v>
      </c>
      <c r="F1028" s="47">
        <v>10371.8874304201</v>
      </c>
    </row>
    <row r="1029" spans="3:6" x14ac:dyDescent="0.25">
      <c r="C1029" s="79"/>
      <c r="D1029" s="79"/>
      <c r="E1029" s="47">
        <v>1857.91736059509</v>
      </c>
      <c r="F1029" s="47">
        <v>10475.9825579311</v>
      </c>
    </row>
    <row r="1030" spans="3:6" x14ac:dyDescent="0.25">
      <c r="C1030" s="79"/>
      <c r="D1030" s="79"/>
      <c r="E1030" s="47">
        <v>1872.4485062572301</v>
      </c>
      <c r="F1030" s="47">
        <v>10558.99084042</v>
      </c>
    </row>
    <row r="1031" spans="3:6" x14ac:dyDescent="0.25">
      <c r="C1031" s="79"/>
      <c r="D1031" s="79"/>
      <c r="E1031" s="47">
        <v>1891.06527798914</v>
      </c>
      <c r="F1031" s="47">
        <v>10627.985984871801</v>
      </c>
    </row>
    <row r="1032" spans="3:6" x14ac:dyDescent="0.25">
      <c r="C1032" s="79"/>
      <c r="D1032" s="79"/>
      <c r="E1032" s="47">
        <v>1914.2024533316701</v>
      </c>
      <c r="F1032" s="47">
        <v>10687.4446796459</v>
      </c>
    </row>
    <row r="1033" spans="3:6" x14ac:dyDescent="0.25">
      <c r="C1033" s="79"/>
      <c r="D1033" s="79"/>
      <c r="E1033" s="47">
        <v>1942.2897139966699</v>
      </c>
      <c r="F1033" s="47">
        <v>10740.423279368701</v>
      </c>
    </row>
    <row r="1034" spans="3:6" x14ac:dyDescent="0.25">
      <c r="C1034" s="79"/>
      <c r="D1034" s="79"/>
      <c r="E1034" s="47">
        <v>1975.76270382492</v>
      </c>
      <c r="F1034" s="47">
        <v>10789.0949553185</v>
      </c>
    </row>
    <row r="1035" spans="3:6" x14ac:dyDescent="0.25">
      <c r="C1035" s="79"/>
      <c r="D1035" s="79">
        <v>900</v>
      </c>
      <c r="E1035" s="47">
        <v>1829.7195691263601</v>
      </c>
      <c r="F1035" s="47">
        <v>10201.6757054725</v>
      </c>
    </row>
    <row r="1036" spans="3:6" x14ac:dyDescent="0.25">
      <c r="C1036" s="79"/>
      <c r="D1036" s="79"/>
      <c r="E1036" s="47">
        <v>1830.8668003888599</v>
      </c>
      <c r="F1036" s="47">
        <v>10514.221942448499</v>
      </c>
    </row>
    <row r="1037" spans="3:6" x14ac:dyDescent="0.25">
      <c r="C1037" s="79"/>
      <c r="D1037" s="79"/>
      <c r="E1037" s="47">
        <v>1834.9163205310099</v>
      </c>
      <c r="F1037" s="47">
        <v>10719.0544005354</v>
      </c>
    </row>
    <row r="1038" spans="3:6" x14ac:dyDescent="0.25">
      <c r="C1038" s="79"/>
      <c r="D1038" s="79"/>
      <c r="E1038" s="47">
        <v>1842.07445705131</v>
      </c>
      <c r="F1038" s="47">
        <v>10865.372512308601</v>
      </c>
    </row>
    <row r="1039" spans="3:6" x14ac:dyDescent="0.25">
      <c r="C1039" s="79"/>
      <c r="D1039" s="79"/>
      <c r="E1039" s="47">
        <v>1852.6272723817101</v>
      </c>
      <c r="F1039" s="47">
        <v>10976.2581554231</v>
      </c>
    </row>
    <row r="1040" spans="3:6" x14ac:dyDescent="0.25">
      <c r="C1040" s="79"/>
      <c r="D1040" s="79"/>
      <c r="E1040" s="47">
        <v>1866.93596687525</v>
      </c>
      <c r="F1040" s="47">
        <v>11064.530102012999</v>
      </c>
    </row>
    <row r="1041" spans="3:6" x14ac:dyDescent="0.25">
      <c r="C1041" s="79"/>
      <c r="D1041" s="79"/>
      <c r="E1041" s="47">
        <v>1885.3664379822901</v>
      </c>
      <c r="F1041" s="47">
        <v>11137.8326275951</v>
      </c>
    </row>
    <row r="1042" spans="3:6" x14ac:dyDescent="0.25">
      <c r="C1042" s="79"/>
      <c r="D1042" s="79"/>
      <c r="E1042" s="47">
        <v>1908.34258541959</v>
      </c>
      <c r="F1042" s="47">
        <v>11200.917322862</v>
      </c>
    </row>
    <row r="1043" spans="3:6" x14ac:dyDescent="0.25">
      <c r="C1043" s="79"/>
      <c r="D1043" s="79"/>
      <c r="E1043" s="47">
        <v>1936.28744854396</v>
      </c>
      <c r="F1043" s="47">
        <v>11257.0199179667</v>
      </c>
    </row>
    <row r="1044" spans="3:6" x14ac:dyDescent="0.25">
      <c r="C1044" s="79"/>
      <c r="D1044" s="79"/>
      <c r="E1044" s="47">
        <v>1969.63069025698</v>
      </c>
      <c r="F1044" s="47">
        <v>11308.443783676799</v>
      </c>
    </row>
    <row r="1045" spans="3:6" x14ac:dyDescent="0.25">
      <c r="C1045" s="79"/>
      <c r="D1045" s="79">
        <v>1000</v>
      </c>
      <c r="E1045" s="47">
        <v>1825.4184136850999</v>
      </c>
      <c r="F1045" s="47">
        <v>10661.041312188499</v>
      </c>
    </row>
    <row r="1046" spans="3:6" x14ac:dyDescent="0.25">
      <c r="C1046" s="79"/>
      <c r="D1046" s="79"/>
      <c r="E1046" s="47">
        <v>1825.75371820756</v>
      </c>
      <c r="F1046" s="47">
        <v>10993.1834776614</v>
      </c>
    </row>
    <row r="1047" spans="3:6" x14ac:dyDescent="0.25">
      <c r="C1047" s="79"/>
      <c r="D1047" s="79"/>
      <c r="E1047" s="47">
        <v>1829.27934833624</v>
      </c>
      <c r="F1047" s="47">
        <v>11210.835448685</v>
      </c>
    </row>
    <row r="1048" spans="3:6" x14ac:dyDescent="0.25">
      <c r="C1048" s="79"/>
      <c r="D1048" s="79"/>
      <c r="E1048" s="47">
        <v>1836.06420248926</v>
      </c>
      <c r="F1048" s="47">
        <v>11366.2338872174</v>
      </c>
    </row>
    <row r="1049" spans="3:6" x14ac:dyDescent="0.25">
      <c r="C1049" s="79"/>
      <c r="D1049" s="79"/>
      <c r="E1049" s="47">
        <v>1846.3315448809501</v>
      </c>
      <c r="F1049" s="47">
        <v>11484.207495492599</v>
      </c>
    </row>
    <row r="1050" spans="3:6" x14ac:dyDescent="0.25">
      <c r="C1050" s="79"/>
      <c r="D1050" s="79"/>
      <c r="E1050" s="47">
        <v>1860.4082316000199</v>
      </c>
      <c r="F1050" s="47">
        <v>11578.1517606254</v>
      </c>
    </row>
    <row r="1051" spans="3:6" x14ac:dyDescent="0.25">
      <c r="C1051" s="79"/>
      <c r="D1051" s="79"/>
      <c r="E1051" s="47">
        <v>1878.64745526211</v>
      </c>
      <c r="F1051" s="47">
        <v>11656.051426362301</v>
      </c>
    </row>
    <row r="1052" spans="3:6" x14ac:dyDescent="0.25">
      <c r="C1052" s="79"/>
      <c r="D1052" s="79"/>
      <c r="E1052" s="47">
        <v>1901.4622659194899</v>
      </c>
      <c r="F1052" s="47">
        <v>11722.9684582138</v>
      </c>
    </row>
    <row r="1053" spans="3:6" x14ac:dyDescent="0.25">
      <c r="C1053" s="79"/>
      <c r="D1053" s="79"/>
      <c r="E1053" s="47">
        <v>1929.2647792494899</v>
      </c>
      <c r="F1053" s="47">
        <v>11782.326776432001</v>
      </c>
    </row>
    <row r="1054" spans="3:6" x14ac:dyDescent="0.25">
      <c r="C1054" s="79"/>
      <c r="D1054" s="79"/>
      <c r="E1054" s="47">
        <v>1962.47193587524</v>
      </c>
      <c r="F1054" s="47">
        <v>11836.609126586</v>
      </c>
    </row>
    <row r="1055" spans="3:6" x14ac:dyDescent="0.25">
      <c r="C1055" s="79"/>
      <c r="D1055" s="79">
        <v>1100</v>
      </c>
      <c r="E1055" s="47">
        <v>1820.21970907949</v>
      </c>
      <c r="F1055" s="47">
        <v>11125.538295332</v>
      </c>
    </row>
    <row r="1056" spans="3:6" x14ac:dyDescent="0.25">
      <c r="C1056" s="79"/>
      <c r="D1056" s="79"/>
      <c r="E1056" s="47">
        <v>1819.71152592882</v>
      </c>
      <c r="F1056" s="47">
        <v>11480.0655586925</v>
      </c>
    </row>
    <row r="1057" spans="3:6" x14ac:dyDescent="0.25">
      <c r="C1057" s="79"/>
      <c r="D1057" s="79"/>
      <c r="E1057" s="47">
        <v>1822.6980935018601</v>
      </c>
      <c r="F1057" s="47">
        <v>11711.271691469999</v>
      </c>
    </row>
    <row r="1058" spans="3:6" x14ac:dyDescent="0.25">
      <c r="C1058" s="79"/>
      <c r="D1058" s="79"/>
      <c r="E1058" s="47">
        <v>1829.1046871917499</v>
      </c>
      <c r="F1058" s="47">
        <v>11875.892692334</v>
      </c>
    </row>
    <row r="1059" spans="3:6" x14ac:dyDescent="0.25">
      <c r="C1059" s="79"/>
      <c r="D1059" s="79"/>
      <c r="E1059" s="47">
        <v>1839.08576607699</v>
      </c>
      <c r="F1059" s="47">
        <v>12000.801413544499</v>
      </c>
    </row>
    <row r="1060" spans="3:6" x14ac:dyDescent="0.25">
      <c r="C1060" s="79"/>
      <c r="D1060" s="79"/>
      <c r="E1060" s="47">
        <v>1852.9316840164399</v>
      </c>
      <c r="F1060" s="47">
        <v>12100.1965186372</v>
      </c>
    </row>
    <row r="1061" spans="3:6" x14ac:dyDescent="0.25">
      <c r="C1061" s="79"/>
      <c r="D1061" s="79"/>
      <c r="E1061" s="47">
        <v>1870.98397065566</v>
      </c>
      <c r="F1061" s="47">
        <v>12182.5350871261</v>
      </c>
    </row>
    <row r="1062" spans="3:6" x14ac:dyDescent="0.25">
      <c r="C1062" s="79"/>
      <c r="D1062" s="79"/>
      <c r="E1062" s="47">
        <v>1893.6394711841499</v>
      </c>
      <c r="F1062" s="47">
        <v>12253.1743761526</v>
      </c>
    </row>
    <row r="1063" spans="3:6" x14ac:dyDescent="0.25">
      <c r="C1063" s="79"/>
      <c r="D1063" s="79"/>
      <c r="E1063" s="47">
        <v>1921.3002943722499</v>
      </c>
      <c r="F1063" s="47">
        <v>12315.748018377701</v>
      </c>
    </row>
    <row r="1064" spans="3:6" x14ac:dyDescent="0.25">
      <c r="C1064" s="79"/>
      <c r="D1064" s="79"/>
      <c r="E1064" s="47">
        <v>1954.3693143821199</v>
      </c>
      <c r="F1064" s="47">
        <v>12372.8704876635</v>
      </c>
    </row>
    <row r="1065" spans="3:6" x14ac:dyDescent="0.25">
      <c r="C1065" s="79"/>
      <c r="D1065" s="79">
        <v>1200</v>
      </c>
      <c r="E1065" s="47">
        <v>1814.17940511336</v>
      </c>
      <c r="F1065" s="47">
        <v>11596.632810826</v>
      </c>
    </row>
    <row r="1066" spans="3:6" x14ac:dyDescent="0.25">
      <c r="C1066" s="79"/>
      <c r="D1066" s="79"/>
      <c r="E1066" s="47">
        <v>1812.8408027282501</v>
      </c>
      <c r="F1066" s="47">
        <v>11971.8424809224</v>
      </c>
    </row>
    <row r="1067" spans="3:6" x14ac:dyDescent="0.25">
      <c r="C1067" s="79"/>
      <c r="D1067" s="79"/>
      <c r="E1067" s="47">
        <v>1815.2753922331999</v>
      </c>
      <c r="F1067" s="47">
        <v>12217.4290373125</v>
      </c>
    </row>
    <row r="1068" spans="3:6" x14ac:dyDescent="0.25">
      <c r="C1068" s="79"/>
      <c r="D1068" s="79"/>
      <c r="E1068" s="47">
        <v>1821.2813193893501</v>
      </c>
      <c r="F1068" s="47">
        <v>12392.539253008499</v>
      </c>
    </row>
    <row r="1069" spans="3:6" x14ac:dyDescent="0.25">
      <c r="C1069" s="79"/>
      <c r="D1069" s="79"/>
      <c r="E1069" s="47">
        <v>1830.96053689366</v>
      </c>
      <c r="F1069" s="47">
        <v>12525.264797050901</v>
      </c>
    </row>
    <row r="1070" spans="3:6" x14ac:dyDescent="0.25">
      <c r="C1070" s="79"/>
      <c r="D1070" s="79"/>
      <c r="E1070" s="47">
        <v>1844.56127806675</v>
      </c>
      <c r="F1070" s="47">
        <v>12630.7483552256</v>
      </c>
    </row>
    <row r="1071" spans="3:6" x14ac:dyDescent="0.25">
      <c r="C1071" s="79"/>
      <c r="D1071" s="79"/>
      <c r="E1071" s="47">
        <v>1862.4220154680099</v>
      </c>
      <c r="F1071" s="47">
        <v>12717.7085708631</v>
      </c>
    </row>
    <row r="1072" spans="3:6" x14ac:dyDescent="0.25">
      <c r="C1072" s="79"/>
      <c r="D1072" s="79"/>
      <c r="E1072" s="47">
        <v>1884.91669123104</v>
      </c>
      <c r="F1072" s="47">
        <v>12792.059362915699</v>
      </c>
    </row>
    <row r="1073" spans="3:6" x14ac:dyDescent="0.25">
      <c r="C1073" s="79"/>
      <c r="D1073" s="79"/>
      <c r="E1073" s="47">
        <v>1912.4248191101599</v>
      </c>
      <c r="F1073" s="47">
        <v>12857.8355497065</v>
      </c>
    </row>
    <row r="1074" spans="3:6" x14ac:dyDescent="0.25">
      <c r="C1074" s="79"/>
      <c r="D1074" s="79"/>
      <c r="E1074" s="47">
        <v>1945.3646114440201</v>
      </c>
      <c r="F1074" s="47">
        <v>12917.7401283499</v>
      </c>
    </row>
    <row r="1075" spans="3:6" x14ac:dyDescent="0.25">
      <c r="C1075" s="79">
        <v>25</v>
      </c>
      <c r="D1075" s="79">
        <v>0</v>
      </c>
      <c r="E1075" s="47">
        <v>1875.4276629036699</v>
      </c>
      <c r="F1075" s="47">
        <v>7407.0661593198902</v>
      </c>
    </row>
    <row r="1076" spans="3:6" x14ac:dyDescent="0.25">
      <c r="C1076" s="79"/>
      <c r="D1076" s="79"/>
      <c r="E1076" s="47">
        <v>1875.4276629036699</v>
      </c>
      <c r="F1076" s="47">
        <v>7407.0661593198902</v>
      </c>
    </row>
    <row r="1077" spans="3:6" x14ac:dyDescent="0.25">
      <c r="C1077" s="79"/>
      <c r="D1077" s="79"/>
      <c r="E1077" s="47">
        <v>1875.4276629036699</v>
      </c>
      <c r="F1077" s="47">
        <v>7407.0661593198902</v>
      </c>
    </row>
    <row r="1078" spans="3:6" x14ac:dyDescent="0.25">
      <c r="C1078" s="79"/>
      <c r="D1078" s="79"/>
      <c r="E1078" s="47">
        <v>1875.4276629036699</v>
      </c>
      <c r="F1078" s="47">
        <v>7407.0661593198902</v>
      </c>
    </row>
    <row r="1079" spans="3:6" x14ac:dyDescent="0.25">
      <c r="C1079" s="79"/>
      <c r="D1079" s="79"/>
      <c r="E1079" s="47">
        <v>1875.4276629036699</v>
      </c>
      <c r="F1079" s="47">
        <v>7407.0661593198902</v>
      </c>
    </row>
    <row r="1080" spans="3:6" x14ac:dyDescent="0.25">
      <c r="C1080" s="79"/>
      <c r="D1080" s="79"/>
      <c r="E1080" s="47">
        <v>1875.4276629036699</v>
      </c>
      <c r="F1080" s="47">
        <v>7407.0661593198902</v>
      </c>
    </row>
    <row r="1081" spans="3:6" x14ac:dyDescent="0.25">
      <c r="C1081" s="79"/>
      <c r="D1081" s="79"/>
      <c r="E1081" s="47">
        <v>1895.2402220891599</v>
      </c>
      <c r="F1081" s="47">
        <v>7448.8023850528798</v>
      </c>
    </row>
    <row r="1082" spans="3:6" x14ac:dyDescent="0.25">
      <c r="C1082" s="79"/>
      <c r="D1082" s="79"/>
      <c r="E1082" s="47">
        <v>1919.4188288390801</v>
      </c>
      <c r="F1082" s="47">
        <v>7485.2435619784901</v>
      </c>
    </row>
    <row r="1083" spans="3:6" x14ac:dyDescent="0.25">
      <c r="C1083" s="79"/>
      <c r="D1083" s="79"/>
      <c r="E1083" s="47">
        <v>1948.44693635577</v>
      </c>
      <c r="F1083" s="47">
        <v>7518.3082281301804</v>
      </c>
    </row>
    <row r="1084" spans="3:6" x14ac:dyDescent="0.25">
      <c r="C1084" s="79"/>
      <c r="D1084" s="79"/>
      <c r="E1084" s="47">
        <v>1982.7990076321701</v>
      </c>
      <c r="F1084" s="47">
        <v>7549.3877855352803</v>
      </c>
    </row>
    <row r="1085" spans="3:6" x14ac:dyDescent="0.25">
      <c r="C1085" s="79"/>
      <c r="D1085" s="79">
        <v>100</v>
      </c>
      <c r="E1085" s="47">
        <v>1851.40435278466</v>
      </c>
      <c r="F1085" s="47">
        <v>7726.6237207348204</v>
      </c>
    </row>
    <row r="1086" spans="3:6" x14ac:dyDescent="0.25">
      <c r="C1086" s="79"/>
      <c r="D1086" s="79"/>
      <c r="E1086" s="47">
        <v>1851.40435278466</v>
      </c>
      <c r="F1086" s="47">
        <v>7726.6237207348204</v>
      </c>
    </row>
    <row r="1087" spans="3:6" x14ac:dyDescent="0.25">
      <c r="C1087" s="79"/>
      <c r="D1087" s="79"/>
      <c r="E1087" s="47">
        <v>1851.40435278466</v>
      </c>
      <c r="F1087" s="47">
        <v>7726.6237207348204</v>
      </c>
    </row>
    <row r="1088" spans="3:6" x14ac:dyDescent="0.25">
      <c r="C1088" s="79"/>
      <c r="D1088" s="79"/>
      <c r="E1088" s="47">
        <v>1851.40435278466</v>
      </c>
      <c r="F1088" s="47">
        <v>7726.6237207348204</v>
      </c>
    </row>
    <row r="1089" spans="3:6" x14ac:dyDescent="0.25">
      <c r="C1089" s="79"/>
      <c r="D1089" s="79"/>
      <c r="E1089" s="47">
        <v>1863.7650522853</v>
      </c>
      <c r="F1089" s="47">
        <v>7794.6338007005297</v>
      </c>
    </row>
    <row r="1090" spans="3:6" x14ac:dyDescent="0.25">
      <c r="C1090" s="79"/>
      <c r="D1090" s="79"/>
      <c r="E1090" s="47">
        <v>1879.51447104406</v>
      </c>
      <c r="F1090" s="47">
        <v>7849.0358513709898</v>
      </c>
    </row>
    <row r="1091" spans="3:6" x14ac:dyDescent="0.25">
      <c r="C1091" s="79"/>
      <c r="D1091" s="79"/>
      <c r="E1091" s="47">
        <v>1899.16140539404</v>
      </c>
      <c r="F1091" s="47">
        <v>7894.5575029229703</v>
      </c>
    </row>
    <row r="1092" spans="3:6" x14ac:dyDescent="0.25">
      <c r="C1092" s="79"/>
      <c r="D1092" s="79"/>
      <c r="E1092" s="47">
        <v>1923.19329651361</v>
      </c>
      <c r="F1092" s="47">
        <v>7934.2149339177404</v>
      </c>
    </row>
    <row r="1093" spans="3:6" x14ac:dyDescent="0.25">
      <c r="C1093" s="79"/>
      <c r="D1093" s="79"/>
      <c r="E1093" s="47">
        <v>1952.0863173539799</v>
      </c>
      <c r="F1093" s="47">
        <v>7970.0678961140502</v>
      </c>
    </row>
    <row r="1094" spans="3:6" x14ac:dyDescent="0.25">
      <c r="C1094" s="79"/>
      <c r="D1094" s="79"/>
      <c r="E1094" s="47">
        <v>1986.3093674674701</v>
      </c>
      <c r="F1094" s="47">
        <v>8003.6203047633298</v>
      </c>
    </row>
    <row r="1095" spans="3:6" x14ac:dyDescent="0.25">
      <c r="C1095" s="79"/>
      <c r="D1095" s="79">
        <v>200</v>
      </c>
      <c r="E1095" s="47">
        <v>1844.9338149883699</v>
      </c>
      <c r="F1095" s="47">
        <v>8070.8341869433598</v>
      </c>
    </row>
    <row r="1096" spans="3:6" x14ac:dyDescent="0.25">
      <c r="C1096" s="79"/>
      <c r="D1096" s="79"/>
      <c r="E1096" s="47">
        <v>1844.9338149883699</v>
      </c>
      <c r="F1096" s="47">
        <v>8070.8341869433598</v>
      </c>
    </row>
    <row r="1097" spans="3:6" x14ac:dyDescent="0.25">
      <c r="C1097" s="79"/>
      <c r="D1097" s="79"/>
      <c r="E1097" s="47">
        <v>1844.9338149883699</v>
      </c>
      <c r="F1097" s="47">
        <v>8070.8341869433598</v>
      </c>
    </row>
    <row r="1098" spans="3:6" x14ac:dyDescent="0.25">
      <c r="C1098" s="79"/>
      <c r="D1098" s="79"/>
      <c r="E1098" s="47">
        <v>1854.1323657421799</v>
      </c>
      <c r="F1098" s="47">
        <v>8167.7887540515603</v>
      </c>
    </row>
    <row r="1099" spans="3:6" x14ac:dyDescent="0.25">
      <c r="C1099" s="79"/>
      <c r="D1099" s="79"/>
      <c r="E1099" s="47">
        <v>1866.2414638028899</v>
      </c>
      <c r="F1099" s="47">
        <v>8241.5928573193196</v>
      </c>
    </row>
    <row r="1100" spans="3:6" x14ac:dyDescent="0.25">
      <c r="C1100" s="79"/>
      <c r="D1100" s="79"/>
      <c r="E1100" s="47">
        <v>1881.7894136064299</v>
      </c>
      <c r="F1100" s="47">
        <v>8300.6395144937906</v>
      </c>
    </row>
    <row r="1101" spans="3:6" x14ac:dyDescent="0.25">
      <c r="C1101" s="79"/>
      <c r="D1101" s="79"/>
      <c r="E1101" s="47">
        <v>1901.2681366341801</v>
      </c>
      <c r="F1101" s="47">
        <v>8349.9757058822197</v>
      </c>
    </row>
    <row r="1102" spans="3:6" x14ac:dyDescent="0.25">
      <c r="C1102" s="79"/>
      <c r="D1102" s="79"/>
      <c r="E1102" s="47">
        <v>1925.1494480218901</v>
      </c>
      <c r="F1102" s="47">
        <v>8392.9118228764091</v>
      </c>
    </row>
    <row r="1103" spans="3:6" x14ac:dyDescent="0.25">
      <c r="C1103" s="79"/>
      <c r="D1103" s="79"/>
      <c r="E1103" s="47">
        <v>1953.90417739333</v>
      </c>
      <c r="F1103" s="47">
        <v>8431.6355180930695</v>
      </c>
    </row>
    <row r="1104" spans="3:6" x14ac:dyDescent="0.25">
      <c r="C1104" s="79"/>
      <c r="D1104" s="79"/>
      <c r="E1104" s="47">
        <v>1987.9969591077599</v>
      </c>
      <c r="F1104" s="47">
        <v>8467.7398631901906</v>
      </c>
    </row>
    <row r="1105" spans="3:6" x14ac:dyDescent="0.25">
      <c r="C1105" s="79"/>
      <c r="D1105" s="79">
        <v>300</v>
      </c>
      <c r="E1105" s="47">
        <v>1839.9314566353701</v>
      </c>
      <c r="F1105" s="47">
        <v>8367.4539274135295</v>
      </c>
    </row>
    <row r="1106" spans="3:6" x14ac:dyDescent="0.25">
      <c r="C1106" s="79"/>
      <c r="D1106" s="79"/>
      <c r="E1106" s="47">
        <v>1839.9314566353701</v>
      </c>
      <c r="F1106" s="47">
        <v>8367.4539274135295</v>
      </c>
    </row>
    <row r="1107" spans="3:6" x14ac:dyDescent="0.25">
      <c r="C1107" s="79"/>
      <c r="D1107" s="79"/>
      <c r="E1107" s="47">
        <v>1846.3631595443701</v>
      </c>
      <c r="F1107" s="47">
        <v>8514.60897225607</v>
      </c>
    </row>
    <row r="1108" spans="3:6" x14ac:dyDescent="0.25">
      <c r="C1108" s="79"/>
      <c r="D1108" s="79"/>
      <c r="E1108" s="47">
        <v>1855.2266758721601</v>
      </c>
      <c r="F1108" s="47">
        <v>8619.8200108963592</v>
      </c>
    </row>
    <row r="1109" spans="3:6" x14ac:dyDescent="0.25">
      <c r="C1109" s="79"/>
      <c r="D1109" s="79"/>
      <c r="E1109" s="47">
        <v>1867.07591073497</v>
      </c>
      <c r="F1109" s="47">
        <v>8699.8334831372504</v>
      </c>
    </row>
    <row r="1110" spans="3:6" x14ac:dyDescent="0.25">
      <c r="C1110" s="79"/>
      <c r="D1110" s="79"/>
      <c r="E1110" s="47">
        <v>1882.4149035738701</v>
      </c>
      <c r="F1110" s="47">
        <v>8763.7680275675102</v>
      </c>
    </row>
    <row r="1111" spans="3:6" x14ac:dyDescent="0.25">
      <c r="C1111" s="79"/>
      <c r="D1111" s="79"/>
      <c r="E1111" s="47">
        <v>1901.7179302565</v>
      </c>
      <c r="F1111" s="47">
        <v>8816.94418452639</v>
      </c>
    </row>
    <row r="1112" spans="3:6" x14ac:dyDescent="0.25">
      <c r="C1112" s="79"/>
      <c r="D1112" s="79"/>
      <c r="E1112" s="47">
        <v>1925.44596819768</v>
      </c>
      <c r="F1112" s="47">
        <v>8863.1238995331205</v>
      </c>
    </row>
    <row r="1113" spans="3:6" x14ac:dyDescent="0.25">
      <c r="C1113" s="79"/>
      <c r="D1113" s="79"/>
      <c r="E1113" s="47">
        <v>1954.0592466512401</v>
      </c>
      <c r="F1113" s="47">
        <v>8904.6912599241896</v>
      </c>
    </row>
    <row r="1114" spans="3:6" x14ac:dyDescent="0.25">
      <c r="C1114" s="79"/>
      <c r="D1114" s="79"/>
      <c r="E1114" s="47">
        <v>1988.0185441856199</v>
      </c>
      <c r="F1114" s="47">
        <v>8943.3384994320895</v>
      </c>
    </row>
    <row r="1115" spans="3:6" x14ac:dyDescent="0.25">
      <c r="C1115" s="79"/>
      <c r="D1115" s="79">
        <v>400</v>
      </c>
      <c r="E1115" s="47">
        <v>1836.3220277856401</v>
      </c>
      <c r="F1115" s="47">
        <v>8567.0989786703303</v>
      </c>
    </row>
    <row r="1116" spans="3:6" x14ac:dyDescent="0.25">
      <c r="C1116" s="79"/>
      <c r="D1116" s="79"/>
      <c r="E1116" s="47">
        <v>1840.3509400463599</v>
      </c>
      <c r="F1116" s="47">
        <v>8808.4319977163996</v>
      </c>
    </row>
    <row r="1117" spans="3:6" x14ac:dyDescent="0.25">
      <c r="C1117" s="79"/>
      <c r="D1117" s="79"/>
      <c r="E1117" s="47">
        <v>1846.2941479957699</v>
      </c>
      <c r="F1117" s="47">
        <v>8966.8054433686393</v>
      </c>
    </row>
    <row r="1118" spans="3:6" x14ac:dyDescent="0.25">
      <c r="C1118" s="79"/>
      <c r="D1118" s="79"/>
      <c r="E1118" s="47">
        <v>1854.8103931313899</v>
      </c>
      <c r="F1118" s="47">
        <v>9080.0633338662701</v>
      </c>
    </row>
    <row r="1119" spans="3:6" x14ac:dyDescent="0.25">
      <c r="C1119" s="79"/>
      <c r="D1119" s="79"/>
      <c r="E1119" s="47">
        <v>1866.39028799628</v>
      </c>
      <c r="F1119" s="47">
        <v>9166.2492155334694</v>
      </c>
    </row>
    <row r="1120" spans="3:6" x14ac:dyDescent="0.25">
      <c r="C1120" s="79"/>
      <c r="D1120" s="79"/>
      <c r="E1120" s="47">
        <v>1881.51444413994</v>
      </c>
      <c r="F1120" s="47">
        <v>9235.1214828616994</v>
      </c>
    </row>
    <row r="1121" spans="3:6" x14ac:dyDescent="0.25">
      <c r="C1121" s="79"/>
      <c r="D1121" s="79"/>
      <c r="E1121" s="47">
        <v>1900.63811132364</v>
      </c>
      <c r="F1121" s="47">
        <v>9292.5281913691506</v>
      </c>
    </row>
    <row r="1122" spans="3:6" x14ac:dyDescent="0.25">
      <c r="C1122" s="79"/>
      <c r="D1122" s="79"/>
      <c r="E1122" s="47">
        <v>1924.21105666371</v>
      </c>
      <c r="F1122" s="47">
        <v>9342.2401820676296</v>
      </c>
    </row>
    <row r="1123" spans="3:6" x14ac:dyDescent="0.25">
      <c r="C1123" s="79"/>
      <c r="D1123" s="79"/>
      <c r="E1123" s="47">
        <v>1952.6831048512699</v>
      </c>
      <c r="F1123" s="47">
        <v>9386.8467818236404</v>
      </c>
    </row>
    <row r="1124" spans="3:6" x14ac:dyDescent="0.25">
      <c r="C1124" s="79"/>
      <c r="D1124" s="79"/>
      <c r="E1124" s="47">
        <v>1986.5108798490601</v>
      </c>
      <c r="F1124" s="47">
        <v>9428.1643382788207</v>
      </c>
    </row>
    <row r="1125" spans="3:6" x14ac:dyDescent="0.25">
      <c r="C1125" s="79"/>
      <c r="D1125" s="79">
        <v>500</v>
      </c>
      <c r="E1125" s="47">
        <v>1836.13078711087</v>
      </c>
      <c r="F1125" s="47">
        <v>8997.6654145133907</v>
      </c>
    </row>
    <row r="1126" spans="3:6" x14ac:dyDescent="0.25">
      <c r="C1126" s="79"/>
      <c r="D1126" s="79"/>
      <c r="E1126" s="47">
        <v>1839.3979783422201</v>
      </c>
      <c r="F1126" s="47">
        <v>9258.4286030104904</v>
      </c>
    </row>
    <row r="1127" spans="3:6" x14ac:dyDescent="0.25">
      <c r="C1127" s="79"/>
      <c r="D1127" s="79"/>
      <c r="E1127" s="47">
        <v>1844.8445698957801</v>
      </c>
      <c r="F1127" s="47">
        <v>9429.4190254878304</v>
      </c>
    </row>
    <row r="1128" spans="3:6" x14ac:dyDescent="0.25">
      <c r="C1128" s="79"/>
      <c r="D1128" s="79"/>
      <c r="E1128" s="47">
        <v>1853.0062233568401</v>
      </c>
      <c r="F1128" s="47">
        <v>9550.9183311031793</v>
      </c>
    </row>
    <row r="1129" spans="3:6" x14ac:dyDescent="0.25">
      <c r="C1129" s="79"/>
      <c r="D1129" s="79"/>
      <c r="E1129" s="47">
        <v>1864.3183822255301</v>
      </c>
      <c r="F1129" s="47">
        <v>9643.2971972149899</v>
      </c>
    </row>
    <row r="1130" spans="3:6" x14ac:dyDescent="0.25">
      <c r="C1130" s="79"/>
      <c r="D1130" s="79"/>
      <c r="E1130" s="47">
        <v>1879.22633360346</v>
      </c>
      <c r="F1130" s="47">
        <v>9717.0950620583098</v>
      </c>
    </row>
    <row r="1131" spans="3:6" x14ac:dyDescent="0.25">
      <c r="C1131" s="79"/>
      <c r="D1131" s="79"/>
      <c r="E1131" s="47">
        <v>1898.16811462429</v>
      </c>
      <c r="F1131" s="47">
        <v>9778.5560301904807</v>
      </c>
    </row>
    <row r="1132" spans="3:6" x14ac:dyDescent="0.25">
      <c r="C1132" s="79"/>
      <c r="D1132" s="79"/>
      <c r="E1132" s="47">
        <v>1921.58472830285</v>
      </c>
      <c r="F1132" s="47">
        <v>9831.7022832784405</v>
      </c>
    </row>
    <row r="1133" spans="3:6" x14ac:dyDescent="0.25">
      <c r="C1133" s="79"/>
      <c r="D1133" s="79"/>
      <c r="E1133" s="47">
        <v>1949.9140199501201</v>
      </c>
      <c r="F1133" s="47">
        <v>9879.2995650091798</v>
      </c>
    </row>
    <row r="1134" spans="3:6" x14ac:dyDescent="0.25">
      <c r="C1134" s="79"/>
      <c r="D1134" s="79"/>
      <c r="E1134" s="47">
        <v>1983.60935405841</v>
      </c>
      <c r="F1134" s="47">
        <v>9923.2655213993894</v>
      </c>
    </row>
    <row r="1135" spans="3:6" x14ac:dyDescent="0.25">
      <c r="C1135" s="79"/>
      <c r="D1135" s="79">
        <v>600</v>
      </c>
      <c r="E1135" s="47">
        <v>1834.70880996305</v>
      </c>
      <c r="F1135" s="47">
        <v>9435.84517809717</v>
      </c>
    </row>
    <row r="1136" spans="3:6" x14ac:dyDescent="0.25">
      <c r="C1136" s="79"/>
      <c r="D1136" s="79"/>
      <c r="E1136" s="47">
        <v>1837.20871812428</v>
      </c>
      <c r="F1136" s="47">
        <v>9714.9839052994503</v>
      </c>
    </row>
    <row r="1137" spans="3:6" x14ac:dyDescent="0.25">
      <c r="C1137" s="79"/>
      <c r="D1137" s="79"/>
      <c r="E1137" s="47">
        <v>1842.15199157091</v>
      </c>
      <c r="F1137" s="47">
        <v>9898.0227789724304</v>
      </c>
    </row>
    <row r="1138" spans="3:6" x14ac:dyDescent="0.25">
      <c r="C1138" s="79"/>
      <c r="D1138" s="79"/>
      <c r="E1138" s="47">
        <v>1849.94776954341</v>
      </c>
      <c r="F1138" s="47">
        <v>10028.831121421301</v>
      </c>
    </row>
    <row r="1139" spans="3:6" x14ac:dyDescent="0.25">
      <c r="C1139" s="79"/>
      <c r="D1139" s="79"/>
      <c r="E1139" s="47">
        <v>1860.9826679007199</v>
      </c>
      <c r="F1139" s="47">
        <v>10128.250570877401</v>
      </c>
    </row>
    <row r="1140" spans="3:6" x14ac:dyDescent="0.25">
      <c r="C1140" s="79"/>
      <c r="D1140" s="79"/>
      <c r="E1140" s="47">
        <v>1875.6673083952701</v>
      </c>
      <c r="F1140" s="47">
        <v>10207.5679381311</v>
      </c>
    </row>
    <row r="1141" spans="3:6" x14ac:dyDescent="0.25">
      <c r="C1141" s="79"/>
      <c r="D1141" s="79"/>
      <c r="E1141" s="47">
        <v>1894.4239403998799</v>
      </c>
      <c r="F1141" s="47">
        <v>10273.496092179301</v>
      </c>
    </row>
    <row r="1142" spans="3:6" x14ac:dyDescent="0.25">
      <c r="C1142" s="79"/>
      <c r="D1142" s="79"/>
      <c r="E1142" s="47">
        <v>1917.6799012860899</v>
      </c>
      <c r="F1142" s="47">
        <v>10330.362523276999</v>
      </c>
    </row>
    <row r="1143" spans="3:6" x14ac:dyDescent="0.25">
      <c r="C1143" s="79"/>
      <c r="D1143" s="79"/>
      <c r="E1143" s="47">
        <v>1945.8652497462599</v>
      </c>
      <c r="F1143" s="47">
        <v>10381.132360170501</v>
      </c>
    </row>
    <row r="1144" spans="3:6" x14ac:dyDescent="0.25">
      <c r="C1144" s="79"/>
      <c r="D1144" s="79"/>
      <c r="E1144" s="47">
        <v>1979.42779016389</v>
      </c>
      <c r="F1144" s="47">
        <v>10427.865028808301</v>
      </c>
    </row>
    <row r="1145" spans="3:6" x14ac:dyDescent="0.25">
      <c r="C1145" s="79"/>
      <c r="D1145" s="79">
        <v>700</v>
      </c>
      <c r="E1145" s="47">
        <v>1832.15733034083</v>
      </c>
      <c r="F1145" s="47">
        <v>9882.1091227000306</v>
      </c>
    </row>
    <row r="1146" spans="3:6" x14ac:dyDescent="0.25">
      <c r="C1146" s="79"/>
      <c r="D1146" s="79"/>
      <c r="E1146" s="47">
        <v>1833.86683699729</v>
      </c>
      <c r="F1146" s="47">
        <v>10180.822533753801</v>
      </c>
    </row>
    <row r="1147" spans="3:6" x14ac:dyDescent="0.25">
      <c r="C1147" s="79"/>
      <c r="D1147" s="79"/>
      <c r="E1147" s="47">
        <v>1838.2987249694099</v>
      </c>
      <c r="F1147" s="47">
        <v>10376.136223601001</v>
      </c>
    </row>
    <row r="1148" spans="3:6" x14ac:dyDescent="0.25">
      <c r="C1148" s="79"/>
      <c r="D1148" s="79"/>
      <c r="E1148" s="47">
        <v>1845.7243857844801</v>
      </c>
      <c r="F1148" s="47">
        <v>10515.718096848699</v>
      </c>
    </row>
    <row r="1149" spans="3:6" x14ac:dyDescent="0.25">
      <c r="C1149" s="79"/>
      <c r="D1149" s="79"/>
      <c r="E1149" s="47">
        <v>1856.4778596191099</v>
      </c>
      <c r="F1149" s="47">
        <v>10621.760240195899</v>
      </c>
    </row>
    <row r="1150" spans="3:6" x14ac:dyDescent="0.25">
      <c r="C1150" s="79"/>
      <c r="D1150" s="79"/>
      <c r="E1150" s="47">
        <v>1870.9365795953099</v>
      </c>
      <c r="F1150" s="47">
        <v>10706.327704831399</v>
      </c>
    </row>
    <row r="1151" spans="3:6" x14ac:dyDescent="0.25">
      <c r="C1151" s="79"/>
      <c r="D1151" s="79"/>
      <c r="E1151" s="47">
        <v>1889.5071723077799</v>
      </c>
      <c r="F1151" s="47">
        <v>10776.566881028901</v>
      </c>
    </row>
    <row r="1152" spans="3:6" x14ac:dyDescent="0.25">
      <c r="C1152" s="79"/>
      <c r="D1152" s="79"/>
      <c r="E1152" s="47">
        <v>1912.59937773158</v>
      </c>
      <c r="F1152" s="47">
        <v>10837.081324880801</v>
      </c>
    </row>
    <row r="1153" spans="3:6" x14ac:dyDescent="0.25">
      <c r="C1153" s="79"/>
      <c r="D1153" s="79"/>
      <c r="E1153" s="47">
        <v>1940.6391980874901</v>
      </c>
      <c r="F1153" s="47">
        <v>10890.9957600219</v>
      </c>
    </row>
    <row r="1154" spans="3:6" x14ac:dyDescent="0.25">
      <c r="C1154" s="79"/>
      <c r="D1154" s="79"/>
      <c r="E1154" s="47">
        <v>1974.06931223022</v>
      </c>
      <c r="F1154" s="47">
        <v>10940.4960082412</v>
      </c>
    </row>
    <row r="1155" spans="3:6" x14ac:dyDescent="0.25">
      <c r="C1155" s="79"/>
      <c r="D1155" s="79">
        <v>800</v>
      </c>
      <c r="E1155" s="47">
        <v>1828.56382774028</v>
      </c>
      <c r="F1155" s="47">
        <v>10335.5973629401</v>
      </c>
    </row>
    <row r="1156" spans="3:6" x14ac:dyDescent="0.25">
      <c r="C1156" s="79"/>
      <c r="D1156" s="79"/>
      <c r="E1156" s="47">
        <v>1829.4661869003301</v>
      </c>
      <c r="F1156" s="47">
        <v>10653.8364041407</v>
      </c>
    </row>
    <row r="1157" spans="3:6" x14ac:dyDescent="0.25">
      <c r="C1157" s="79"/>
      <c r="D1157" s="79"/>
      <c r="E1157" s="47">
        <v>1833.3661966864299</v>
      </c>
      <c r="F1157" s="47">
        <v>10862.417188868099</v>
      </c>
    </row>
    <row r="1158" spans="3:6" x14ac:dyDescent="0.25">
      <c r="C1158" s="79"/>
      <c r="D1158" s="79"/>
      <c r="E1158" s="47">
        <v>1840.41329114427</v>
      </c>
      <c r="F1158" s="47">
        <v>11011.388601851801</v>
      </c>
    </row>
    <row r="1159" spans="3:6" x14ac:dyDescent="0.25">
      <c r="C1159" s="79"/>
      <c r="D1159" s="79"/>
      <c r="E1159" s="47">
        <v>1850.8827539932699</v>
      </c>
      <c r="F1159" s="47">
        <v>11124.5080517482</v>
      </c>
    </row>
    <row r="1160" spans="3:6" x14ac:dyDescent="0.25">
      <c r="C1160" s="79"/>
      <c r="D1160" s="79"/>
      <c r="E1160" s="47">
        <v>1865.1133960337099</v>
      </c>
      <c r="F1160" s="47">
        <v>11214.6129581567</v>
      </c>
    </row>
    <row r="1161" spans="3:6" x14ac:dyDescent="0.25">
      <c r="C1161" s="79"/>
      <c r="D1161" s="79"/>
      <c r="E1161" s="47">
        <v>1883.4982602621201</v>
      </c>
      <c r="F1161" s="47">
        <v>11289.189873613601</v>
      </c>
    </row>
    <row r="1162" spans="3:6" x14ac:dyDescent="0.25">
      <c r="C1162" s="79"/>
      <c r="D1162" s="79"/>
      <c r="E1162" s="47">
        <v>1906.42776464544</v>
      </c>
      <c r="F1162" s="47">
        <v>11353.3389825304</v>
      </c>
    </row>
    <row r="1163" spans="3:6" x14ac:dyDescent="0.25">
      <c r="C1163" s="79"/>
      <c r="D1163" s="79"/>
      <c r="E1163" s="47">
        <v>1934.3255530843701</v>
      </c>
      <c r="F1163" s="47">
        <v>11410.3745999486</v>
      </c>
    </row>
    <row r="1164" spans="3:6" x14ac:dyDescent="0.25">
      <c r="C1164" s="79"/>
      <c r="D1164" s="79"/>
      <c r="E1164" s="47">
        <v>1967.6255822687101</v>
      </c>
      <c r="F1164" s="47">
        <v>11462.6242612928</v>
      </c>
    </row>
    <row r="1165" spans="3:6" x14ac:dyDescent="0.25">
      <c r="C1165" s="79"/>
      <c r="D1165" s="79">
        <v>900</v>
      </c>
      <c r="E1165" s="47">
        <v>1823.98255838463</v>
      </c>
      <c r="F1165" s="47">
        <v>10797.19261088</v>
      </c>
    </row>
    <row r="1166" spans="3:6" x14ac:dyDescent="0.25">
      <c r="C1166" s="79"/>
      <c r="D1166" s="79"/>
      <c r="E1166" s="47">
        <v>1824.07399088275</v>
      </c>
      <c r="F1166" s="47">
        <v>11135.3317915924</v>
      </c>
    </row>
    <row r="1167" spans="3:6" x14ac:dyDescent="0.25">
      <c r="C1167" s="79"/>
      <c r="D1167" s="79"/>
      <c r="E1167" s="47">
        <v>1827.44677691226</v>
      </c>
      <c r="F1167" s="47">
        <v>11356.7517118123</v>
      </c>
    </row>
    <row r="1168" spans="3:6" x14ac:dyDescent="0.25">
      <c r="C1168" s="79"/>
      <c r="D1168" s="79"/>
      <c r="E1168" s="47">
        <v>1834.1188636438201</v>
      </c>
      <c r="F1168" s="47">
        <v>11514.850899498701</v>
      </c>
    </row>
    <row r="1169" spans="3:6" x14ac:dyDescent="0.25">
      <c r="C1169" s="79"/>
      <c r="D1169" s="79"/>
      <c r="E1169" s="47">
        <v>1844.30079895213</v>
      </c>
      <c r="F1169" s="47">
        <v>11634.850909520999</v>
      </c>
    </row>
    <row r="1170" spans="3:6" x14ac:dyDescent="0.25">
      <c r="C1170" s="79"/>
      <c r="D1170" s="79"/>
      <c r="E1170" s="47">
        <v>1858.3062666876899</v>
      </c>
      <c r="F1170" s="47">
        <v>11730.397833065699</v>
      </c>
    </row>
    <row r="1171" spans="3:6" x14ac:dyDescent="0.25">
      <c r="C1171" s="79"/>
      <c r="D1171" s="79"/>
      <c r="E1171" s="47">
        <v>1876.5032687918899</v>
      </c>
      <c r="F1171" s="47">
        <v>11809.5794030328</v>
      </c>
    </row>
    <row r="1172" spans="3:6" x14ac:dyDescent="0.25">
      <c r="C1172" s="79"/>
      <c r="D1172" s="79"/>
      <c r="E1172" s="47">
        <v>1899.26417304201</v>
      </c>
      <c r="F1172" s="47">
        <v>11877.604878042799</v>
      </c>
    </row>
    <row r="1173" spans="3:6" x14ac:dyDescent="0.25">
      <c r="C1173" s="79"/>
      <c r="D1173" s="79"/>
      <c r="E1173" s="47">
        <v>1927.0176359100501</v>
      </c>
      <c r="F1173" s="47">
        <v>11937.938719441499</v>
      </c>
    </row>
    <row r="1174" spans="3:6" x14ac:dyDescent="0.25">
      <c r="C1174" s="79"/>
      <c r="D1174" s="79"/>
      <c r="E1174" s="47">
        <v>1960.1874079231</v>
      </c>
      <c r="F1174" s="47">
        <v>11993.0450317374</v>
      </c>
    </row>
    <row r="1175" spans="3:6" x14ac:dyDescent="0.25">
      <c r="C1175" s="79"/>
      <c r="D1175" s="79">
        <v>1000</v>
      </c>
      <c r="E1175" s="47">
        <v>1818.53277065507</v>
      </c>
      <c r="F1175" s="47">
        <v>11262.983264828001</v>
      </c>
    </row>
    <row r="1176" spans="3:6" x14ac:dyDescent="0.25">
      <c r="C1176" s="79"/>
      <c r="D1176" s="79"/>
      <c r="E1176" s="47">
        <v>1817.7831081126701</v>
      </c>
      <c r="F1176" s="47">
        <v>11623.5259018533</v>
      </c>
    </row>
    <row r="1177" spans="3:6" x14ac:dyDescent="0.25">
      <c r="C1177" s="79"/>
      <c r="D1177" s="79"/>
      <c r="E1177" s="47">
        <v>1820.60287106756</v>
      </c>
      <c r="F1177" s="47">
        <v>11859.533250582699</v>
      </c>
    </row>
    <row r="1178" spans="3:6" x14ac:dyDescent="0.25">
      <c r="C1178" s="79"/>
      <c r="D1178" s="79"/>
      <c r="E1178" s="47">
        <v>1826.89389675094</v>
      </c>
      <c r="F1178" s="47">
        <v>12027.046374076201</v>
      </c>
    </row>
    <row r="1179" spans="3:6" x14ac:dyDescent="0.25">
      <c r="C1179" s="79"/>
      <c r="D1179" s="79"/>
      <c r="E1179" s="47">
        <v>1836.78682822155</v>
      </c>
      <c r="F1179" s="47">
        <v>12154.0087309509</v>
      </c>
    </row>
    <row r="1180" spans="3:6" x14ac:dyDescent="0.25">
      <c r="C1180" s="79"/>
      <c r="D1180" s="79"/>
      <c r="E1180" s="47">
        <v>1850.5666404931901</v>
      </c>
      <c r="F1180" s="47">
        <v>12255.005661831299</v>
      </c>
    </row>
    <row r="1181" spans="3:6" x14ac:dyDescent="0.25">
      <c r="C1181" s="79"/>
      <c r="D1181" s="79"/>
      <c r="E1181" s="47">
        <v>1868.57060309844</v>
      </c>
      <c r="F1181" s="47">
        <v>12338.6372633552</v>
      </c>
    </row>
    <row r="1182" spans="3:6" x14ac:dyDescent="0.25">
      <c r="C1182" s="79"/>
      <c r="D1182" s="79"/>
      <c r="E1182" s="47">
        <v>1891.16919128829</v>
      </c>
      <c r="F1182" s="47">
        <v>12410.3827918186</v>
      </c>
    </row>
    <row r="1183" spans="3:6" x14ac:dyDescent="0.25">
      <c r="C1183" s="79"/>
      <c r="D1183" s="79"/>
      <c r="E1183" s="47">
        <v>1918.7798875849301</v>
      </c>
      <c r="F1183" s="47">
        <v>12473.909365289301</v>
      </c>
    </row>
    <row r="1184" spans="3:6" x14ac:dyDescent="0.25">
      <c r="C1184" s="79"/>
      <c r="D1184" s="79"/>
      <c r="E1184" s="47">
        <v>1951.8202123269</v>
      </c>
      <c r="F1184" s="47">
        <v>12531.8249734238</v>
      </c>
    </row>
    <row r="1185" spans="3:6" x14ac:dyDescent="0.25">
      <c r="C1185" s="79"/>
      <c r="D1185" s="79">
        <v>1100</v>
      </c>
      <c r="E1185" s="47">
        <v>1812.2507615135701</v>
      </c>
      <c r="F1185" s="47">
        <v>11736.241973406701</v>
      </c>
    </row>
    <row r="1186" spans="3:6" x14ac:dyDescent="0.25">
      <c r="C1186" s="79"/>
      <c r="D1186" s="79"/>
      <c r="E1186" s="47">
        <v>1810.67106840361</v>
      </c>
      <c r="F1186" s="47">
        <v>12117.598470078199</v>
      </c>
    </row>
    <row r="1187" spans="3:6" x14ac:dyDescent="0.25">
      <c r="C1187" s="79"/>
      <c r="D1187" s="79"/>
      <c r="E1187" s="47">
        <v>1812.9470831973599</v>
      </c>
      <c r="F1187" s="47">
        <v>12367.170875714801</v>
      </c>
    </row>
    <row r="1188" spans="3:6" x14ac:dyDescent="0.25">
      <c r="C1188" s="79"/>
      <c r="D1188" s="79"/>
      <c r="E1188" s="47">
        <v>1818.8375630457499</v>
      </c>
      <c r="F1188" s="47">
        <v>12545.1194068287</v>
      </c>
    </row>
    <row r="1189" spans="3:6" x14ac:dyDescent="0.25">
      <c r="C1189" s="79"/>
      <c r="D1189" s="79"/>
      <c r="E1189" s="47">
        <v>1828.42217335946</v>
      </c>
      <c r="F1189" s="47">
        <v>12679.973257932799</v>
      </c>
    </row>
    <row r="1190" spans="3:6" x14ac:dyDescent="0.25">
      <c r="C1190" s="79"/>
      <c r="D1190" s="79"/>
      <c r="E1190" s="47">
        <v>1841.9624436849001</v>
      </c>
      <c r="F1190" s="47">
        <v>12787.12302553</v>
      </c>
    </row>
    <row r="1191" spans="3:6" x14ac:dyDescent="0.25">
      <c r="C1191" s="79"/>
      <c r="D1191" s="79"/>
      <c r="E1191" s="47">
        <v>1859.7605088207999</v>
      </c>
      <c r="F1191" s="47">
        <v>12875.7032296818</v>
      </c>
    </row>
    <row r="1192" spans="3:6" x14ac:dyDescent="0.25">
      <c r="C1192" s="79"/>
      <c r="D1192" s="79"/>
      <c r="E1192" s="47">
        <v>1882.19330722257</v>
      </c>
      <c r="F1192" s="47">
        <v>12951.506910427201</v>
      </c>
    </row>
    <row r="1193" spans="3:6" x14ac:dyDescent="0.25">
      <c r="C1193" s="79"/>
      <c r="D1193" s="79"/>
      <c r="E1193" s="47">
        <v>1909.66060045994</v>
      </c>
      <c r="F1193" s="47">
        <v>13018.451058135999</v>
      </c>
    </row>
    <row r="1194" spans="3:6" x14ac:dyDescent="0.25">
      <c r="C1194" s="79"/>
      <c r="D1194" s="79"/>
      <c r="E1194" s="47">
        <v>1942.5718228932101</v>
      </c>
      <c r="F1194" s="47">
        <v>13079.1780985063</v>
      </c>
    </row>
    <row r="1195" spans="3:6" x14ac:dyDescent="0.25">
      <c r="C1195" s="79"/>
      <c r="D1195" s="79">
        <v>1200</v>
      </c>
      <c r="E1195" s="47">
        <v>1805.21571542225</v>
      </c>
      <c r="F1195" s="47">
        <v>12214.911436763399</v>
      </c>
    </row>
    <row r="1196" spans="3:6" x14ac:dyDescent="0.25">
      <c r="C1196" s="79"/>
      <c r="D1196" s="79"/>
      <c r="E1196" s="47">
        <v>1802.7590181104699</v>
      </c>
      <c r="F1196" s="47">
        <v>12619.3806395305</v>
      </c>
    </row>
    <row r="1197" spans="3:6" x14ac:dyDescent="0.25">
      <c r="C1197" s="79"/>
      <c r="D1197" s="79"/>
      <c r="E1197" s="47">
        <v>1804.47960967169</v>
      </c>
      <c r="F1197" s="47">
        <v>12882.631127832599</v>
      </c>
    </row>
    <row r="1198" spans="3:6" x14ac:dyDescent="0.25">
      <c r="C1198" s="79"/>
      <c r="D1198" s="79"/>
      <c r="E1198" s="47">
        <v>1809.9843050136301</v>
      </c>
      <c r="F1198" s="47">
        <v>13070.3030809349</v>
      </c>
    </row>
    <row r="1199" spans="3:6" x14ac:dyDescent="0.25">
      <c r="C1199" s="79"/>
      <c r="D1199" s="79"/>
      <c r="E1199" s="47">
        <v>1819.2732973214399</v>
      </c>
      <c r="F1199" s="47">
        <v>13212.452755173899</v>
      </c>
    </row>
    <row r="1200" spans="3:6" x14ac:dyDescent="0.25">
      <c r="C1200" s="79"/>
      <c r="D1200" s="79"/>
      <c r="E1200" s="47">
        <v>1832.58439586636</v>
      </c>
      <c r="F1200" s="47">
        <v>13325.3151476312</v>
      </c>
    </row>
    <row r="1201" spans="3:6" x14ac:dyDescent="0.25">
      <c r="C1201" s="79"/>
      <c r="D1201" s="79"/>
      <c r="E1201" s="47">
        <v>1850.18562897314</v>
      </c>
      <c r="F1201" s="47">
        <v>13418.545461961799</v>
      </c>
    </row>
    <row r="1202" spans="3:6" x14ac:dyDescent="0.25">
      <c r="C1202" s="79"/>
      <c r="D1202" s="79"/>
      <c r="E1202" s="47">
        <v>1872.4577693956401</v>
      </c>
      <c r="F1202" s="47">
        <v>13498.241571402399</v>
      </c>
    </row>
    <row r="1203" spans="3:6" x14ac:dyDescent="0.25">
      <c r="C1203" s="79"/>
      <c r="D1203" s="79"/>
      <c r="E1203" s="47">
        <v>1899.7844579948001</v>
      </c>
      <c r="F1203" s="47">
        <v>13568.521960014699</v>
      </c>
    </row>
    <row r="1204" spans="3:6" x14ac:dyDescent="0.25">
      <c r="C1204" s="79"/>
      <c r="D1204" s="79"/>
      <c r="E1204" s="47">
        <v>1932.5516318499201</v>
      </c>
      <c r="F1204" s="47">
        <v>13632.3298804155</v>
      </c>
    </row>
    <row r="1205" spans="3:6" x14ac:dyDescent="0.25">
      <c r="C1205" s="79">
        <v>30</v>
      </c>
      <c r="D1205" s="79">
        <v>0</v>
      </c>
      <c r="E1205" s="47">
        <v>1880.35976156059</v>
      </c>
      <c r="F1205" s="47">
        <v>7980.3537421401797</v>
      </c>
    </row>
    <row r="1206" spans="3:6" x14ac:dyDescent="0.25">
      <c r="C1206" s="79"/>
      <c r="D1206" s="79"/>
      <c r="E1206" s="47">
        <v>1880.35976156059</v>
      </c>
      <c r="F1206" s="47">
        <v>7980.3537421401797</v>
      </c>
    </row>
    <row r="1207" spans="3:6" x14ac:dyDescent="0.25">
      <c r="C1207" s="79"/>
      <c r="D1207" s="79"/>
      <c r="E1207" s="47">
        <v>1880.35976156059</v>
      </c>
      <c r="F1207" s="47">
        <v>7980.3537421401797</v>
      </c>
    </row>
    <row r="1208" spans="3:6" x14ac:dyDescent="0.25">
      <c r="C1208" s="79"/>
      <c r="D1208" s="79"/>
      <c r="E1208" s="47">
        <v>1880.35976156059</v>
      </c>
      <c r="F1208" s="47">
        <v>7980.3537421401797</v>
      </c>
    </row>
    <row r="1209" spans="3:6" x14ac:dyDescent="0.25">
      <c r="C1209" s="79"/>
      <c r="D1209" s="79"/>
      <c r="E1209" s="47">
        <v>1880.35976156059</v>
      </c>
      <c r="F1209" s="47">
        <v>7980.3537421401797</v>
      </c>
    </row>
    <row r="1210" spans="3:6" x14ac:dyDescent="0.25">
      <c r="C1210" s="79"/>
      <c r="D1210" s="79"/>
      <c r="E1210" s="47">
        <v>1880.35976156059</v>
      </c>
      <c r="F1210" s="47">
        <v>7980.3537421401797</v>
      </c>
    </row>
    <row r="1211" spans="3:6" x14ac:dyDescent="0.25">
      <c r="C1211" s="79"/>
      <c r="D1211" s="79"/>
      <c r="E1211" s="47">
        <v>1899.9574684489701</v>
      </c>
      <c r="F1211" s="47">
        <v>8026.9870364604503</v>
      </c>
    </row>
    <row r="1212" spans="3:6" x14ac:dyDescent="0.25">
      <c r="C1212" s="79"/>
      <c r="D1212" s="79"/>
      <c r="E1212" s="47">
        <v>1923.9475944158</v>
      </c>
      <c r="F1212" s="47">
        <v>8067.5728591133202</v>
      </c>
    </row>
    <row r="1213" spans="3:6" x14ac:dyDescent="0.25">
      <c r="C1213" s="79"/>
      <c r="D1213" s="79"/>
      <c r="E1213" s="47">
        <v>1952.80208813379</v>
      </c>
      <c r="F1213" s="47">
        <v>8104.23296966409</v>
      </c>
    </row>
    <row r="1214" spans="3:6" x14ac:dyDescent="0.25">
      <c r="C1214" s="79"/>
      <c r="D1214" s="79"/>
      <c r="E1214" s="47">
        <v>1986.9863176711599</v>
      </c>
      <c r="F1214" s="47">
        <v>8138.5473612191599</v>
      </c>
    </row>
    <row r="1215" spans="3:6" x14ac:dyDescent="0.25">
      <c r="C1215" s="79"/>
      <c r="D1215" s="79">
        <v>100</v>
      </c>
      <c r="E1215" s="47">
        <v>1866.6530845806101</v>
      </c>
      <c r="F1215" s="47">
        <v>8374.8902234080306</v>
      </c>
    </row>
    <row r="1216" spans="3:6" x14ac:dyDescent="0.25">
      <c r="C1216" s="79"/>
      <c r="D1216" s="79"/>
      <c r="E1216" s="47">
        <v>1866.6530845806101</v>
      </c>
      <c r="F1216" s="47">
        <v>8374.8902234080306</v>
      </c>
    </row>
    <row r="1217" spans="3:6" x14ac:dyDescent="0.25">
      <c r="C1217" s="79"/>
      <c r="D1217" s="79"/>
      <c r="E1217" s="47">
        <v>1866.6530845806101</v>
      </c>
      <c r="F1217" s="47">
        <v>8374.8902234080306</v>
      </c>
    </row>
    <row r="1218" spans="3:6" x14ac:dyDescent="0.25">
      <c r="C1218" s="79"/>
      <c r="D1218" s="79"/>
      <c r="E1218" s="47">
        <v>1866.6530845806101</v>
      </c>
      <c r="F1218" s="47">
        <v>8374.8902234080306</v>
      </c>
    </row>
    <row r="1219" spans="3:6" x14ac:dyDescent="0.25">
      <c r="C1219" s="79"/>
      <c r="D1219" s="79"/>
      <c r="E1219" s="47">
        <v>1866.6530845806101</v>
      </c>
      <c r="F1219" s="47">
        <v>8374.8902234080306</v>
      </c>
    </row>
    <row r="1220" spans="3:6" x14ac:dyDescent="0.25">
      <c r="C1220" s="79"/>
      <c r="D1220" s="79"/>
      <c r="E1220" s="47">
        <v>1882.13731083838</v>
      </c>
      <c r="F1220" s="47">
        <v>8435.3167899800901</v>
      </c>
    </row>
    <row r="1221" spans="3:6" x14ac:dyDescent="0.25">
      <c r="C1221" s="79"/>
      <c r="D1221" s="79"/>
      <c r="E1221" s="47">
        <v>1901.56282594094</v>
      </c>
      <c r="F1221" s="47">
        <v>8485.8024724287407</v>
      </c>
    </row>
    <row r="1222" spans="3:6" x14ac:dyDescent="0.25">
      <c r="C1222" s="79"/>
      <c r="D1222" s="79"/>
      <c r="E1222" s="47">
        <v>1925.40166044541</v>
      </c>
      <c r="F1222" s="47">
        <v>8529.6712860955904</v>
      </c>
    </row>
    <row r="1223" spans="3:6" x14ac:dyDescent="0.25">
      <c r="C1223" s="79"/>
      <c r="D1223" s="79"/>
      <c r="E1223" s="47">
        <v>1954.1180205006301</v>
      </c>
      <c r="F1223" s="47">
        <v>8569.2008435127791</v>
      </c>
    </row>
    <row r="1224" spans="3:6" x14ac:dyDescent="0.25">
      <c r="C1224" s="79"/>
      <c r="D1224" s="79"/>
      <c r="E1224" s="47">
        <v>1988.17342015535</v>
      </c>
      <c r="F1224" s="47">
        <v>8606.0423032220206</v>
      </c>
    </row>
    <row r="1225" spans="3:6" x14ac:dyDescent="0.25">
      <c r="C1225" s="79"/>
      <c r="D1225" s="79">
        <v>200</v>
      </c>
      <c r="E1225" s="47">
        <v>1846.4936516580599</v>
      </c>
      <c r="F1225" s="47">
        <v>8646.1732436991297</v>
      </c>
    </row>
    <row r="1226" spans="3:6" x14ac:dyDescent="0.25">
      <c r="C1226" s="79"/>
      <c r="D1226" s="79"/>
      <c r="E1226" s="47">
        <v>1846.4936516580599</v>
      </c>
      <c r="F1226" s="47">
        <v>8646.1732436991297</v>
      </c>
    </row>
    <row r="1227" spans="3:6" x14ac:dyDescent="0.25">
      <c r="C1227" s="79"/>
      <c r="D1227" s="79"/>
      <c r="E1227" s="47">
        <v>1846.4936516580599</v>
      </c>
      <c r="F1227" s="47">
        <v>8646.1732436991297</v>
      </c>
    </row>
    <row r="1228" spans="3:6" x14ac:dyDescent="0.25">
      <c r="C1228" s="79"/>
      <c r="D1228" s="79"/>
      <c r="E1228" s="47">
        <v>1855.2540586817399</v>
      </c>
      <c r="F1228" s="47">
        <v>8753.7475356168907</v>
      </c>
    </row>
    <row r="1229" spans="3:6" x14ac:dyDescent="0.25">
      <c r="C1229" s="79"/>
      <c r="D1229" s="79"/>
      <c r="E1229" s="47">
        <v>1867.0306645831499</v>
      </c>
      <c r="F1229" s="47">
        <v>8835.5602748205602</v>
      </c>
    </row>
    <row r="1230" spans="3:6" x14ac:dyDescent="0.25">
      <c r="C1230" s="79"/>
      <c r="D1230" s="79"/>
      <c r="E1230" s="47">
        <v>1882.3031000362701</v>
      </c>
      <c r="F1230" s="47">
        <v>8900.9571662010403</v>
      </c>
    </row>
    <row r="1231" spans="3:6" x14ac:dyDescent="0.25">
      <c r="C1231" s="79"/>
      <c r="D1231" s="79"/>
      <c r="E1231" s="47">
        <v>1901.5493330485999</v>
      </c>
      <c r="F1231" s="47">
        <v>8955.5055715760409</v>
      </c>
    </row>
    <row r="1232" spans="3:6" x14ac:dyDescent="0.25">
      <c r="C1232" s="79"/>
      <c r="D1232" s="79"/>
      <c r="E1232" s="47">
        <v>1925.2318474014701</v>
      </c>
      <c r="F1232" s="47">
        <v>9002.7898471906592</v>
      </c>
    </row>
    <row r="1233" spans="3:6" x14ac:dyDescent="0.25">
      <c r="C1233" s="79"/>
      <c r="D1233" s="79"/>
      <c r="E1233" s="47">
        <v>1953.80722497691</v>
      </c>
      <c r="F1233" s="47">
        <v>9045.2587422358793</v>
      </c>
    </row>
    <row r="1234" spans="3:6" x14ac:dyDescent="0.25">
      <c r="C1234" s="79"/>
      <c r="D1234" s="79"/>
      <c r="E1234" s="47">
        <v>1987.7315145841001</v>
      </c>
      <c r="F1234" s="47">
        <v>9084.6729190326605</v>
      </c>
    </row>
    <row r="1235" spans="3:6" x14ac:dyDescent="0.25">
      <c r="C1235" s="79"/>
      <c r="D1235" s="79">
        <v>300</v>
      </c>
      <c r="E1235" s="47">
        <v>1840.2051417817499</v>
      </c>
      <c r="F1235" s="47">
        <v>8939.7530827336395</v>
      </c>
    </row>
    <row r="1236" spans="3:6" x14ac:dyDescent="0.25">
      <c r="C1236" s="79"/>
      <c r="D1236" s="79"/>
      <c r="E1236" s="47">
        <v>1840.2051417817499</v>
      </c>
      <c r="F1236" s="47">
        <v>8939.7530827336395</v>
      </c>
    </row>
    <row r="1237" spans="3:6" x14ac:dyDescent="0.25">
      <c r="C1237" s="79"/>
      <c r="D1237" s="79"/>
      <c r="E1237" s="47">
        <v>1846.0096984944801</v>
      </c>
      <c r="F1237" s="47">
        <v>9101.4551295683705</v>
      </c>
    </row>
    <row r="1238" spans="3:6" x14ac:dyDescent="0.25">
      <c r="C1238" s="79"/>
      <c r="D1238" s="79"/>
      <c r="E1238" s="47">
        <v>1854.4148334316601</v>
      </c>
      <c r="F1238" s="47">
        <v>9217.1094881672198</v>
      </c>
    </row>
    <row r="1239" spans="3:6" x14ac:dyDescent="0.25">
      <c r="C1239" s="79"/>
      <c r="D1239" s="79"/>
      <c r="E1239" s="47">
        <v>1865.92374502753</v>
      </c>
      <c r="F1239" s="47">
        <v>9305.0886721261704</v>
      </c>
    </row>
    <row r="1240" spans="3:6" x14ac:dyDescent="0.25">
      <c r="C1240" s="79"/>
      <c r="D1240" s="79"/>
      <c r="E1240" s="47">
        <v>1880.9837836197401</v>
      </c>
      <c r="F1240" s="47">
        <v>9375.4067786657706</v>
      </c>
    </row>
    <row r="1241" spans="3:6" x14ac:dyDescent="0.25">
      <c r="C1241" s="79"/>
      <c r="D1241" s="79"/>
      <c r="E1241" s="47">
        <v>1900.0506749839401</v>
      </c>
      <c r="F1241" s="47">
        <v>9434.0236215184395</v>
      </c>
    </row>
    <row r="1242" spans="3:6" x14ac:dyDescent="0.25">
      <c r="C1242" s="79"/>
      <c r="D1242" s="79"/>
      <c r="E1242" s="47">
        <v>1923.57688854192</v>
      </c>
      <c r="F1242" s="47">
        <v>9484.7595398401409</v>
      </c>
    </row>
    <row r="1243" spans="3:6" x14ac:dyDescent="0.25">
      <c r="C1243" s="79"/>
      <c r="D1243" s="79"/>
      <c r="E1243" s="47">
        <v>1952.0112670609999</v>
      </c>
      <c r="F1243" s="47">
        <v>9530.22780676406</v>
      </c>
    </row>
    <row r="1244" spans="3:6" x14ac:dyDescent="0.25">
      <c r="C1244" s="79"/>
      <c r="D1244" s="79"/>
      <c r="E1244" s="47">
        <v>1985.8042201181099</v>
      </c>
      <c r="F1244" s="47">
        <v>9572.2973718887497</v>
      </c>
    </row>
    <row r="1245" spans="3:6" x14ac:dyDescent="0.25">
      <c r="C1245" s="79"/>
      <c r="D1245" s="79">
        <v>400</v>
      </c>
      <c r="E1245" s="47">
        <v>1835.8378847655799</v>
      </c>
      <c r="F1245" s="47">
        <v>9125.2788392421608</v>
      </c>
    </row>
    <row r="1246" spans="3:6" x14ac:dyDescent="0.25">
      <c r="C1246" s="79"/>
      <c r="D1246" s="79"/>
      <c r="E1246" s="47">
        <v>1838.8802698122499</v>
      </c>
      <c r="F1246" s="47">
        <v>9391.3959743155901</v>
      </c>
    </row>
    <row r="1247" spans="3:6" x14ac:dyDescent="0.25">
      <c r="C1247" s="79"/>
      <c r="D1247" s="79"/>
      <c r="E1247" s="47">
        <v>1844.1840993035</v>
      </c>
      <c r="F1247" s="47">
        <v>9565.8959902427396</v>
      </c>
    </row>
    <row r="1248" spans="3:6" x14ac:dyDescent="0.25">
      <c r="C1248" s="79"/>
      <c r="D1248" s="79"/>
      <c r="E1248" s="47">
        <v>1852.2298669056399</v>
      </c>
      <c r="F1248" s="47">
        <v>9690.6077831292605</v>
      </c>
    </row>
    <row r="1249" spans="3:6" x14ac:dyDescent="0.25">
      <c r="C1249" s="79"/>
      <c r="D1249" s="79"/>
      <c r="E1249" s="47">
        <v>1863.4640517462001</v>
      </c>
      <c r="F1249" s="47">
        <v>9785.2491647385796</v>
      </c>
    </row>
    <row r="1250" spans="3:6" x14ac:dyDescent="0.25">
      <c r="C1250" s="79"/>
      <c r="D1250" s="79"/>
      <c r="E1250" s="47">
        <v>1878.3084044520201</v>
      </c>
      <c r="F1250" s="47">
        <v>9860.4889755496006</v>
      </c>
    </row>
    <row r="1251" spans="3:6" x14ac:dyDescent="0.25">
      <c r="C1251" s="79"/>
      <c r="D1251" s="79"/>
      <c r="E1251" s="47">
        <v>1897.1926285628599</v>
      </c>
      <c r="F1251" s="47">
        <v>9923.15724988681</v>
      </c>
    </row>
    <row r="1252" spans="3:6" x14ac:dyDescent="0.25">
      <c r="C1252" s="79"/>
      <c r="D1252" s="79"/>
      <c r="E1252" s="47">
        <v>1920.5606851912501</v>
      </c>
      <c r="F1252" s="47">
        <v>9977.32183716705</v>
      </c>
    </row>
    <row r="1253" spans="3:6" x14ac:dyDescent="0.25">
      <c r="C1253" s="79"/>
      <c r="D1253" s="79"/>
      <c r="E1253" s="47">
        <v>1948.85336172387</v>
      </c>
      <c r="F1253" s="47">
        <v>10025.762743202</v>
      </c>
    </row>
    <row r="1254" spans="3:6" x14ac:dyDescent="0.25">
      <c r="C1254" s="79"/>
      <c r="D1254" s="79"/>
      <c r="E1254" s="47">
        <v>1982.51448286351</v>
      </c>
      <c r="F1254" s="47">
        <v>10070.470356296701</v>
      </c>
    </row>
    <row r="1255" spans="3:6" x14ac:dyDescent="0.25">
      <c r="C1255" s="79"/>
      <c r="D1255" s="79">
        <v>500</v>
      </c>
      <c r="E1255" s="47">
        <v>1834.0766046016699</v>
      </c>
      <c r="F1255" s="47">
        <v>9566.1242384642392</v>
      </c>
    </row>
    <row r="1256" spans="3:6" x14ac:dyDescent="0.25">
      <c r="C1256" s="79"/>
      <c r="D1256" s="79"/>
      <c r="E1256" s="47">
        <v>1836.3467386500499</v>
      </c>
      <c r="F1256" s="47">
        <v>9850.6854288000304</v>
      </c>
    </row>
    <row r="1257" spans="3:6" x14ac:dyDescent="0.25">
      <c r="C1257" s="79"/>
      <c r="D1257" s="79"/>
      <c r="E1257" s="47">
        <v>1841.1401098917199</v>
      </c>
      <c r="F1257" s="47">
        <v>10037.3121804448</v>
      </c>
    </row>
    <row r="1258" spans="3:6" x14ac:dyDescent="0.25">
      <c r="C1258" s="79"/>
      <c r="D1258" s="79"/>
      <c r="E1258" s="47">
        <v>1848.82424907739</v>
      </c>
      <c r="F1258" s="47">
        <v>10170.677518491</v>
      </c>
    </row>
    <row r="1259" spans="3:6" x14ac:dyDescent="0.25">
      <c r="C1259" s="79"/>
      <c r="D1259" s="79"/>
      <c r="E1259" s="47">
        <v>1859.78103128149</v>
      </c>
      <c r="F1259" s="47">
        <v>10272.029513553</v>
      </c>
    </row>
    <row r="1260" spans="3:6" x14ac:dyDescent="0.25">
      <c r="C1260" s="79"/>
      <c r="D1260" s="79"/>
      <c r="E1260" s="47">
        <v>1874.40206680658</v>
      </c>
      <c r="F1260" s="47">
        <v>10352.878375521501</v>
      </c>
    </row>
    <row r="1261" spans="3:6" x14ac:dyDescent="0.25">
      <c r="C1261" s="79"/>
      <c r="D1261" s="79"/>
      <c r="E1261" s="47">
        <v>1893.0994147423401</v>
      </c>
      <c r="F1261" s="47">
        <v>10420.091647671199</v>
      </c>
    </row>
    <row r="1262" spans="3:6" x14ac:dyDescent="0.25">
      <c r="C1262" s="79"/>
      <c r="D1262" s="79"/>
      <c r="E1262" s="47">
        <v>1916.30512249611</v>
      </c>
      <c r="F1262" s="47">
        <v>10478.040026451299</v>
      </c>
    </row>
    <row r="1263" spans="3:6" x14ac:dyDescent="0.25">
      <c r="C1263" s="79"/>
      <c r="D1263" s="79"/>
      <c r="E1263" s="47">
        <v>1944.4532716677199</v>
      </c>
      <c r="F1263" s="47">
        <v>10529.7033497348</v>
      </c>
    </row>
    <row r="1264" spans="3:6" x14ac:dyDescent="0.25">
      <c r="C1264" s="79"/>
      <c r="D1264" s="79"/>
      <c r="E1264" s="47">
        <v>1977.9789221665201</v>
      </c>
      <c r="F1264" s="47">
        <v>10577.2311216826</v>
      </c>
    </row>
    <row r="1265" spans="3:6" x14ac:dyDescent="0.25">
      <c r="C1265" s="79"/>
      <c r="D1265" s="79">
        <v>600</v>
      </c>
      <c r="E1265" s="47">
        <v>1831.20832554661</v>
      </c>
      <c r="F1265" s="47">
        <v>10014.2745891576</v>
      </c>
    </row>
    <row r="1266" spans="3:6" x14ac:dyDescent="0.25">
      <c r="C1266" s="79"/>
      <c r="D1266" s="79"/>
      <c r="E1266" s="47">
        <v>1832.68876400614</v>
      </c>
      <c r="F1266" s="47">
        <v>10318.807873461999</v>
      </c>
    </row>
    <row r="1267" spans="3:6" x14ac:dyDescent="0.25">
      <c r="C1267" s="79"/>
      <c r="D1267" s="79"/>
      <c r="E1267" s="47">
        <v>1836.9582866093101</v>
      </c>
      <c r="F1267" s="47">
        <v>10518.1812894168</v>
      </c>
    </row>
    <row r="1268" spans="3:6" x14ac:dyDescent="0.25">
      <c r="C1268" s="79"/>
      <c r="D1268" s="79"/>
      <c r="E1268" s="47">
        <v>1844.27015976506</v>
      </c>
      <c r="F1268" s="47">
        <v>10660.362469510899</v>
      </c>
    </row>
    <row r="1269" spans="3:6" x14ac:dyDescent="0.25">
      <c r="C1269" s="79"/>
      <c r="D1269" s="79"/>
      <c r="E1269" s="47">
        <v>1854.94551544669</v>
      </c>
      <c r="F1269" s="47">
        <v>10768.3602502092</v>
      </c>
    </row>
    <row r="1270" spans="3:6" x14ac:dyDescent="0.25">
      <c r="C1270" s="79"/>
      <c r="D1270" s="79"/>
      <c r="E1270" s="47">
        <v>1869.33983982633</v>
      </c>
      <c r="F1270" s="47">
        <v>10854.466433797301</v>
      </c>
    </row>
    <row r="1271" spans="3:6" x14ac:dyDescent="0.25">
      <c r="C1271" s="79"/>
      <c r="D1271" s="79"/>
      <c r="E1271" s="47">
        <v>1887.84922394927</v>
      </c>
      <c r="F1271" s="47">
        <v>10925.985178020899</v>
      </c>
    </row>
    <row r="1272" spans="3:6" x14ac:dyDescent="0.25">
      <c r="C1272" s="79"/>
      <c r="D1272" s="79"/>
      <c r="E1272" s="47">
        <v>1910.89434756688</v>
      </c>
      <c r="F1272" s="47">
        <v>10987.566502653</v>
      </c>
    </row>
    <row r="1273" spans="3:6" x14ac:dyDescent="0.25">
      <c r="C1273" s="79"/>
      <c r="D1273" s="79"/>
      <c r="E1273" s="47">
        <v>1938.9003263819</v>
      </c>
      <c r="F1273" s="47">
        <v>11042.3723930376</v>
      </c>
    </row>
    <row r="1274" spans="3:6" x14ac:dyDescent="0.25">
      <c r="C1274" s="79"/>
      <c r="D1274" s="79"/>
      <c r="E1274" s="47">
        <v>1972.2925881850799</v>
      </c>
      <c r="F1274" s="47">
        <v>11092.6790056431</v>
      </c>
    </row>
    <row r="1275" spans="3:6" x14ac:dyDescent="0.25">
      <c r="C1275" s="79"/>
      <c r="D1275" s="79">
        <v>700</v>
      </c>
      <c r="E1275" s="47">
        <v>1827.3154982711201</v>
      </c>
      <c r="F1275" s="47">
        <v>10470.2089386796</v>
      </c>
    </row>
    <row r="1276" spans="3:6" x14ac:dyDescent="0.25">
      <c r="C1276" s="79"/>
      <c r="D1276" s="79"/>
      <c r="E1276" s="47">
        <v>1827.9878526566499</v>
      </c>
      <c r="F1276" s="47">
        <v>10794.206695209299</v>
      </c>
    </row>
    <row r="1277" spans="3:6" x14ac:dyDescent="0.25">
      <c r="C1277" s="79"/>
      <c r="D1277" s="79"/>
      <c r="E1277" s="47">
        <v>1831.7285207668799</v>
      </c>
      <c r="F1277" s="47">
        <v>11006.539691814</v>
      </c>
    </row>
    <row r="1278" spans="3:6" x14ac:dyDescent="0.25">
      <c r="C1278" s="79"/>
      <c r="D1278" s="79"/>
      <c r="E1278" s="47">
        <v>1838.66539020918</v>
      </c>
      <c r="F1278" s="47">
        <v>11158.1739390328</v>
      </c>
    </row>
    <row r="1279" spans="3:6" x14ac:dyDescent="0.25">
      <c r="C1279" s="79"/>
      <c r="D1279" s="79"/>
      <c r="E1279" s="47">
        <v>1849.05340592425</v>
      </c>
      <c r="F1279" s="47">
        <v>11273.2999955995</v>
      </c>
    </row>
    <row r="1280" spans="3:6" x14ac:dyDescent="0.25">
      <c r="C1280" s="79"/>
      <c r="D1280" s="79"/>
      <c r="E1280" s="47">
        <v>1863.2189409457301</v>
      </c>
      <c r="F1280" s="47">
        <v>11365.005623741699</v>
      </c>
    </row>
    <row r="1281" spans="3:6" x14ac:dyDescent="0.25">
      <c r="C1281" s="79"/>
      <c r="D1281" s="79"/>
      <c r="E1281" s="47">
        <v>1881.5397361033499</v>
      </c>
      <c r="F1281" s="47">
        <v>11441.0537156756</v>
      </c>
    </row>
    <row r="1282" spans="3:6" x14ac:dyDescent="0.25">
      <c r="C1282" s="79"/>
      <c r="D1282" s="79"/>
      <c r="E1282" s="47">
        <v>1904.42416371787</v>
      </c>
      <c r="F1282" s="47">
        <v>11506.401826966599</v>
      </c>
    </row>
    <row r="1283" spans="3:6" x14ac:dyDescent="0.25">
      <c r="C1283" s="79"/>
      <c r="D1283" s="79"/>
      <c r="E1283" s="47">
        <v>1932.2869522895601</v>
      </c>
      <c r="F1283" s="47">
        <v>11564.429166001601</v>
      </c>
    </row>
    <row r="1284" spans="3:6" x14ac:dyDescent="0.25">
      <c r="C1284" s="79"/>
      <c r="D1284" s="79"/>
      <c r="E1284" s="47">
        <v>1965.54173038249</v>
      </c>
      <c r="F1284" s="47">
        <v>11617.569046684701</v>
      </c>
    </row>
    <row r="1285" spans="3:6" x14ac:dyDescent="0.25">
      <c r="C1285" s="79"/>
      <c r="D1285" s="79">
        <v>800</v>
      </c>
      <c r="E1285" s="47">
        <v>1822.4688813396201</v>
      </c>
      <c r="F1285" s="47">
        <v>10933.0374039899</v>
      </c>
    </row>
    <row r="1286" spans="3:6" x14ac:dyDescent="0.25">
      <c r="C1286" s="79"/>
      <c r="D1286" s="79"/>
      <c r="E1286" s="47">
        <v>1822.3157465670899</v>
      </c>
      <c r="F1286" s="47">
        <v>11278.2108893447</v>
      </c>
    </row>
    <row r="1287" spans="3:6" x14ac:dyDescent="0.25">
      <c r="C1287" s="79"/>
      <c r="D1287" s="79"/>
      <c r="E1287" s="47">
        <v>1825.5309803038899</v>
      </c>
      <c r="F1287" s="47">
        <v>11503.413520079501</v>
      </c>
    </row>
    <row r="1288" spans="3:6" x14ac:dyDescent="0.25">
      <c r="C1288" s="79"/>
      <c r="D1288" s="79"/>
      <c r="E1288" s="47">
        <v>1832.0892467409799</v>
      </c>
      <c r="F1288" s="47">
        <v>11664.225272596101</v>
      </c>
    </row>
    <row r="1289" spans="3:6" x14ac:dyDescent="0.25">
      <c r="C1289" s="79"/>
      <c r="D1289" s="79"/>
      <c r="E1289" s="47">
        <v>1842.1946430067101</v>
      </c>
      <c r="F1289" s="47">
        <v>11786.249316444801</v>
      </c>
    </row>
    <row r="1290" spans="3:6" x14ac:dyDescent="0.25">
      <c r="C1290" s="79"/>
      <c r="D1290" s="79"/>
      <c r="E1290" s="47">
        <v>1856.1300051615001</v>
      </c>
      <c r="F1290" s="47">
        <v>11883.3982399426</v>
      </c>
    </row>
    <row r="1291" spans="3:6" x14ac:dyDescent="0.25">
      <c r="C1291" s="79"/>
      <c r="D1291" s="79"/>
      <c r="E1291" s="47">
        <v>1874.26282048694</v>
      </c>
      <c r="F1291" s="47">
        <v>11963.898212066</v>
      </c>
    </row>
    <row r="1292" spans="3:6" x14ac:dyDescent="0.25">
      <c r="C1292" s="79"/>
      <c r="D1292" s="79"/>
      <c r="E1292" s="47">
        <v>1896.9867159543801</v>
      </c>
      <c r="F1292" s="47">
        <v>12032.993496068601</v>
      </c>
    </row>
    <row r="1293" spans="3:6" x14ac:dyDescent="0.25">
      <c r="C1293" s="79"/>
      <c r="D1293" s="79"/>
      <c r="E1293" s="47">
        <v>1924.6998281858901</v>
      </c>
      <c r="F1293" s="47">
        <v>12094.260047834199</v>
      </c>
    </row>
    <row r="1294" spans="3:6" x14ac:dyDescent="0.25">
      <c r="C1294" s="79"/>
      <c r="D1294" s="79"/>
      <c r="E1294" s="47">
        <v>1957.8254569083199</v>
      </c>
      <c r="F1294" s="47">
        <v>12150.217630278999</v>
      </c>
    </row>
    <row r="1295" spans="3:6" x14ac:dyDescent="0.25">
      <c r="C1295" s="79"/>
      <c r="D1295" s="79">
        <v>900</v>
      </c>
      <c r="E1295" s="47">
        <v>1816.7727564084601</v>
      </c>
      <c r="F1295" s="47">
        <v>11401.045076500101</v>
      </c>
    </row>
    <row r="1296" spans="3:6" x14ac:dyDescent="0.25">
      <c r="C1296" s="79"/>
      <c r="D1296" s="79"/>
      <c r="E1296" s="47">
        <v>1815.7833578591799</v>
      </c>
      <c r="F1296" s="47">
        <v>11767.6645559629</v>
      </c>
    </row>
    <row r="1297" spans="3:6" x14ac:dyDescent="0.25">
      <c r="C1297" s="79"/>
      <c r="D1297" s="79"/>
      <c r="E1297" s="47">
        <v>1818.4419618236</v>
      </c>
      <c r="F1297" s="47">
        <v>12007.6374950724</v>
      </c>
    </row>
    <row r="1298" spans="3:6" x14ac:dyDescent="0.25">
      <c r="C1298" s="79"/>
      <c r="D1298" s="79"/>
      <c r="E1298" s="47">
        <v>1824.60430911501</v>
      </c>
      <c r="F1298" s="47">
        <v>12178.779725841099</v>
      </c>
    </row>
    <row r="1299" spans="3:6" x14ac:dyDescent="0.25">
      <c r="C1299" s="79"/>
      <c r="D1299" s="79"/>
      <c r="E1299" s="47">
        <v>1834.4227740561901</v>
      </c>
      <c r="F1299" s="47">
        <v>12307.936070923501</v>
      </c>
    </row>
    <row r="1300" spans="3:6" x14ac:dyDescent="0.25">
      <c r="C1300" s="79"/>
      <c r="D1300" s="79"/>
      <c r="E1300" s="47">
        <v>1848.1240000486</v>
      </c>
      <c r="F1300" s="47">
        <v>12410.560730769001</v>
      </c>
    </row>
    <row r="1301" spans="3:6" x14ac:dyDescent="0.25">
      <c r="C1301" s="79"/>
      <c r="D1301" s="79"/>
      <c r="E1301" s="47">
        <v>1866.0682991480801</v>
      </c>
      <c r="F1301" s="47">
        <v>12495.498808762</v>
      </c>
    </row>
    <row r="1302" spans="3:6" x14ac:dyDescent="0.25">
      <c r="C1302" s="79"/>
      <c r="D1302" s="79"/>
      <c r="E1302" s="47">
        <v>1888.63054371407</v>
      </c>
      <c r="F1302" s="47">
        <v>12568.3151758189</v>
      </c>
    </row>
    <row r="1303" spans="3:6" x14ac:dyDescent="0.25">
      <c r="C1303" s="79"/>
      <c r="D1303" s="79"/>
      <c r="E1303" s="47">
        <v>1916.19270760674</v>
      </c>
      <c r="F1303" s="47">
        <v>12632.7900354214</v>
      </c>
    </row>
    <row r="1304" spans="3:6" x14ac:dyDescent="0.25">
      <c r="C1304" s="79"/>
      <c r="D1304" s="79"/>
      <c r="E1304" s="47">
        <v>1949.1890487302201</v>
      </c>
      <c r="F1304" s="47">
        <v>12691.538103410599</v>
      </c>
    </row>
    <row r="1305" spans="3:6" x14ac:dyDescent="0.25">
      <c r="C1305" s="79"/>
      <c r="D1305" s="79">
        <v>1000</v>
      </c>
      <c r="E1305" s="47">
        <v>1810.2582263270101</v>
      </c>
      <c r="F1305" s="47">
        <v>11876.5000231714</v>
      </c>
    </row>
    <row r="1306" spans="3:6" x14ac:dyDescent="0.25">
      <c r="C1306" s="79"/>
      <c r="D1306" s="79"/>
      <c r="E1306" s="47">
        <v>1808.43311465957</v>
      </c>
      <c r="F1306" s="47">
        <v>12264.017001466</v>
      </c>
    </row>
    <row r="1307" spans="3:6" x14ac:dyDescent="0.25">
      <c r="C1307" s="79"/>
      <c r="D1307" s="79"/>
      <c r="E1307" s="47">
        <v>1810.54435102599</v>
      </c>
      <c r="F1307" s="47">
        <v>12517.582794853301</v>
      </c>
    </row>
    <row r="1308" spans="3:6" x14ac:dyDescent="0.25">
      <c r="C1308" s="79"/>
      <c r="D1308" s="79"/>
      <c r="E1308" s="47">
        <v>1816.31408226349</v>
      </c>
      <c r="F1308" s="47">
        <v>12698.382903473899</v>
      </c>
    </row>
    <row r="1309" spans="3:6" x14ac:dyDescent="0.25">
      <c r="C1309" s="79"/>
      <c r="D1309" s="79"/>
      <c r="E1309" s="47">
        <v>1825.82510538873</v>
      </c>
      <c r="F1309" s="47">
        <v>12835.3650168852</v>
      </c>
    </row>
    <row r="1310" spans="3:6" x14ac:dyDescent="0.25">
      <c r="C1310" s="79"/>
      <c r="D1310" s="79"/>
      <c r="E1310" s="47">
        <v>1839.28440741289</v>
      </c>
      <c r="F1310" s="47">
        <v>12944.196209380099</v>
      </c>
    </row>
    <row r="1311" spans="3:6" x14ac:dyDescent="0.25">
      <c r="C1311" s="79"/>
      <c r="D1311" s="79"/>
      <c r="E1311" s="47">
        <v>1857.0344035559799</v>
      </c>
      <c r="F1311" s="47">
        <v>13034.131012882201</v>
      </c>
    </row>
    <row r="1312" spans="3:6" x14ac:dyDescent="0.25">
      <c r="C1312" s="79"/>
      <c r="D1312" s="79"/>
      <c r="E1312" s="47">
        <v>1879.4216289521401</v>
      </c>
      <c r="F1312" s="47">
        <v>13111.0860839255</v>
      </c>
    </row>
    <row r="1313" spans="3:6" x14ac:dyDescent="0.25">
      <c r="C1313" s="79"/>
      <c r="D1313" s="79"/>
      <c r="E1313" s="47">
        <v>1906.83951549518</v>
      </c>
      <c r="F1313" s="47">
        <v>13179.027136816499</v>
      </c>
    </row>
    <row r="1314" spans="3:6" x14ac:dyDescent="0.25">
      <c r="C1314" s="79"/>
      <c r="D1314" s="79"/>
      <c r="E1314" s="47">
        <v>1939.7067239338501</v>
      </c>
      <c r="F1314" s="47">
        <v>13240.755168721</v>
      </c>
    </row>
    <row r="1315" spans="3:6" x14ac:dyDescent="0.25">
      <c r="C1315" s="79"/>
      <c r="D1315" s="79">
        <v>1100</v>
      </c>
      <c r="E1315" s="47">
        <v>1803.0212665265501</v>
      </c>
      <c r="F1315" s="47">
        <v>12356.3092365803</v>
      </c>
    </row>
    <row r="1316" spans="3:6" x14ac:dyDescent="0.25">
      <c r="C1316" s="79"/>
      <c r="D1316" s="79"/>
      <c r="E1316" s="47">
        <v>1800.30434890264</v>
      </c>
      <c r="F1316" s="47">
        <v>12767.3921532451</v>
      </c>
    </row>
    <row r="1317" spans="3:6" x14ac:dyDescent="0.25">
      <c r="C1317" s="79"/>
      <c r="D1317" s="79"/>
      <c r="E1317" s="47">
        <v>1801.8543715957101</v>
      </c>
      <c r="F1317" s="47">
        <v>13035.326443911999</v>
      </c>
    </row>
    <row r="1318" spans="3:6" x14ac:dyDescent="0.25">
      <c r="C1318" s="79"/>
      <c r="D1318" s="79"/>
      <c r="E1318" s="47">
        <v>1807.2353190311901</v>
      </c>
      <c r="F1318" s="47">
        <v>13225.8426501953</v>
      </c>
    </row>
    <row r="1319" spans="3:6" x14ac:dyDescent="0.25">
      <c r="C1319" s="79"/>
      <c r="D1319" s="79"/>
      <c r="E1319" s="47">
        <v>1816.4479877881899</v>
      </c>
      <c r="F1319" s="47">
        <v>13370.155742985</v>
      </c>
    </row>
    <row r="1320" spans="3:6" x14ac:dyDescent="0.25">
      <c r="C1320" s="79"/>
      <c r="D1320" s="79"/>
      <c r="E1320" s="47">
        <v>1829.67884310712</v>
      </c>
      <c r="F1320" s="47">
        <v>13484.701595849599</v>
      </c>
    </row>
    <row r="1321" spans="3:6" x14ac:dyDescent="0.25">
      <c r="C1321" s="79"/>
      <c r="D1321" s="79"/>
      <c r="E1321" s="47">
        <v>1847.23952395777</v>
      </c>
      <c r="F1321" s="47">
        <v>13579.2816112365</v>
      </c>
    </row>
    <row r="1322" spans="3:6" x14ac:dyDescent="0.25">
      <c r="C1322" s="79"/>
      <c r="D1322" s="79"/>
      <c r="E1322" s="47">
        <v>1869.45530928934</v>
      </c>
      <c r="F1322" s="47">
        <v>13660.127975355699</v>
      </c>
    </row>
    <row r="1323" spans="3:6" x14ac:dyDescent="0.25">
      <c r="C1323" s="79"/>
      <c r="D1323" s="79"/>
      <c r="E1323" s="47">
        <v>1896.73314054667</v>
      </c>
      <c r="F1323" s="47">
        <v>13731.3946452649</v>
      </c>
    </row>
    <row r="1324" spans="3:6" x14ac:dyDescent="0.25">
      <c r="C1324" s="79"/>
      <c r="D1324" s="79"/>
      <c r="E1324" s="47">
        <v>1929.4737490464199</v>
      </c>
      <c r="F1324" s="47">
        <v>13796.028496241999</v>
      </c>
    </row>
    <row r="1325" spans="3:6" x14ac:dyDescent="0.25">
      <c r="C1325" s="79"/>
      <c r="D1325" s="79">
        <v>1200</v>
      </c>
      <c r="E1325" s="47">
        <v>1795.0665280466999</v>
      </c>
      <c r="F1325" s="47">
        <v>12842.6529436976</v>
      </c>
    </row>
    <row r="1326" spans="3:6" x14ac:dyDescent="0.25">
      <c r="C1326" s="79"/>
      <c r="D1326" s="79"/>
      <c r="E1326" s="47">
        <v>1791.4912035194</v>
      </c>
      <c r="F1326" s="47">
        <v>13275.5922331808</v>
      </c>
    </row>
    <row r="1327" spans="3:6" x14ac:dyDescent="0.25">
      <c r="C1327" s="79"/>
      <c r="D1327" s="79"/>
      <c r="E1327" s="47">
        <v>1792.47166575798</v>
      </c>
      <c r="F1327" s="47">
        <v>13558.5579494822</v>
      </c>
    </row>
    <row r="1328" spans="3:6" x14ac:dyDescent="0.25">
      <c r="C1328" s="79"/>
      <c r="D1328" s="79"/>
      <c r="E1328" s="47">
        <v>1797.4388608873301</v>
      </c>
      <c r="F1328" s="47">
        <v>13760.022075164299</v>
      </c>
    </row>
    <row r="1329" spans="3:6" x14ac:dyDescent="0.25">
      <c r="C1329" s="79"/>
      <c r="D1329" s="79"/>
      <c r="E1329" s="47">
        <v>1806.3372495620999</v>
      </c>
      <c r="F1329" s="47">
        <v>13912.4470824361</v>
      </c>
    </row>
    <row r="1330" spans="3:6" x14ac:dyDescent="0.25">
      <c r="C1330" s="79"/>
      <c r="D1330" s="79"/>
      <c r="E1330" s="47">
        <v>1819.3360397758499</v>
      </c>
      <c r="F1330" s="47">
        <v>14032.938915565999</v>
      </c>
    </row>
    <row r="1331" spans="3:6" x14ac:dyDescent="0.25">
      <c r="C1331" s="79"/>
      <c r="D1331" s="79"/>
      <c r="E1331" s="47">
        <v>1836.6951863797799</v>
      </c>
      <c r="F1331" s="47">
        <v>14132.204691777601</v>
      </c>
    </row>
    <row r="1332" spans="3:6" x14ac:dyDescent="0.25">
      <c r="C1332" s="79"/>
      <c r="D1332" s="79"/>
      <c r="E1332" s="47">
        <v>1858.7514794763999</v>
      </c>
      <c r="F1332" s="47">
        <v>14216.9203487001</v>
      </c>
    </row>
    <row r="1333" spans="3:6" x14ac:dyDescent="0.25">
      <c r="C1333" s="79"/>
      <c r="D1333" s="79"/>
      <c r="E1333" s="47">
        <v>1885.8905930435601</v>
      </c>
      <c r="F1333" s="47">
        <v>14291.4880863335</v>
      </c>
    </row>
    <row r="1334" spans="3:6" x14ac:dyDescent="0.25">
      <c r="C1334" s="79"/>
      <c r="D1334" s="79"/>
      <c r="E1334" s="47">
        <v>1918.49908189851</v>
      </c>
      <c r="F1334" s="47">
        <v>14359.013282854799</v>
      </c>
    </row>
    <row r="1335" spans="3:6" x14ac:dyDescent="0.25">
      <c r="C1335" s="79">
        <v>35</v>
      </c>
      <c r="D1335" s="79">
        <v>0</v>
      </c>
      <c r="E1335" s="47">
        <v>1882.3494537358599</v>
      </c>
      <c r="F1335" s="47">
        <v>8570.9637397622701</v>
      </c>
    </row>
    <row r="1336" spans="3:6" x14ac:dyDescent="0.25">
      <c r="C1336" s="79"/>
      <c r="D1336" s="79"/>
      <c r="E1336" s="47">
        <v>1882.3494537358599</v>
      </c>
      <c r="F1336" s="47">
        <v>8570.9637397622701</v>
      </c>
    </row>
    <row r="1337" spans="3:6" x14ac:dyDescent="0.25">
      <c r="C1337" s="79"/>
      <c r="D1337" s="79"/>
      <c r="E1337" s="47">
        <v>1882.3494537358599</v>
      </c>
      <c r="F1337" s="47">
        <v>8570.9637397622701</v>
      </c>
    </row>
    <row r="1338" spans="3:6" x14ac:dyDescent="0.25">
      <c r="C1338" s="79"/>
      <c r="D1338" s="79"/>
      <c r="E1338" s="47">
        <v>1882.3494537358599</v>
      </c>
      <c r="F1338" s="47">
        <v>8570.9637397622701</v>
      </c>
    </row>
    <row r="1339" spans="3:6" x14ac:dyDescent="0.25">
      <c r="C1339" s="79"/>
      <c r="D1339" s="79"/>
      <c r="E1339" s="47">
        <v>1882.3494537358599</v>
      </c>
      <c r="F1339" s="47">
        <v>8570.9637397622701</v>
      </c>
    </row>
    <row r="1340" spans="3:6" x14ac:dyDescent="0.25">
      <c r="C1340" s="79"/>
      <c r="D1340" s="79"/>
      <c r="E1340" s="47">
        <v>1882.3494537358599</v>
      </c>
      <c r="F1340" s="47">
        <v>8570.9637397622701</v>
      </c>
    </row>
    <row r="1341" spans="3:6" x14ac:dyDescent="0.25">
      <c r="C1341" s="79"/>
      <c r="D1341" s="79"/>
      <c r="E1341" s="47">
        <v>1901.7237431409301</v>
      </c>
      <c r="F1341" s="47">
        <v>8622.5717465652797</v>
      </c>
    </row>
    <row r="1342" spans="3:6" x14ac:dyDescent="0.25">
      <c r="C1342" s="79"/>
      <c r="D1342" s="79"/>
      <c r="E1342" s="47">
        <v>1925.51481438732</v>
      </c>
      <c r="F1342" s="47">
        <v>8667.4208761031296</v>
      </c>
    </row>
    <row r="1343" spans="3:6" x14ac:dyDescent="0.25">
      <c r="C1343" s="79"/>
      <c r="D1343" s="79"/>
      <c r="E1343" s="47">
        <v>1954.1889953274399</v>
      </c>
      <c r="F1343" s="47">
        <v>8707.8082014457395</v>
      </c>
    </row>
    <row r="1344" spans="3:6" x14ac:dyDescent="0.25">
      <c r="C1344" s="79"/>
      <c r="D1344" s="79"/>
      <c r="E1344" s="47">
        <v>1988.20514679288</v>
      </c>
      <c r="F1344" s="47">
        <v>8745.4037934666594</v>
      </c>
    </row>
    <row r="1345" spans="3:6" x14ac:dyDescent="0.25">
      <c r="C1345" s="79"/>
      <c r="D1345" s="79">
        <v>100</v>
      </c>
      <c r="E1345" s="47">
        <v>1866.84897003074</v>
      </c>
      <c r="F1345" s="47">
        <v>8972.2214969746201</v>
      </c>
    </row>
    <row r="1346" spans="3:6" x14ac:dyDescent="0.25">
      <c r="C1346" s="79"/>
      <c r="D1346" s="79"/>
      <c r="E1346" s="47">
        <v>1866.84897003074</v>
      </c>
      <c r="F1346" s="47">
        <v>8972.2214969746201</v>
      </c>
    </row>
    <row r="1347" spans="3:6" x14ac:dyDescent="0.25">
      <c r="C1347" s="79"/>
      <c r="D1347" s="79"/>
      <c r="E1347" s="47">
        <v>1866.84897003074</v>
      </c>
      <c r="F1347" s="47">
        <v>8972.2214969746201</v>
      </c>
    </row>
    <row r="1348" spans="3:6" x14ac:dyDescent="0.25">
      <c r="C1348" s="79"/>
      <c r="D1348" s="79"/>
      <c r="E1348" s="47">
        <v>1866.84897003074</v>
      </c>
      <c r="F1348" s="47">
        <v>8972.2214969746201</v>
      </c>
    </row>
    <row r="1349" spans="3:6" x14ac:dyDescent="0.25">
      <c r="C1349" s="79"/>
      <c r="D1349" s="79"/>
      <c r="E1349" s="47">
        <v>1866.84897003074</v>
      </c>
      <c r="F1349" s="47">
        <v>8972.2214969746201</v>
      </c>
    </row>
    <row r="1350" spans="3:6" x14ac:dyDescent="0.25">
      <c r="C1350" s="79"/>
      <c r="D1350" s="79"/>
      <c r="E1350" s="47">
        <v>1882.0632825591399</v>
      </c>
      <c r="F1350" s="47">
        <v>9039.0503492565495</v>
      </c>
    </row>
    <row r="1351" spans="3:6" x14ac:dyDescent="0.25">
      <c r="C1351" s="79"/>
      <c r="D1351" s="79"/>
      <c r="E1351" s="47">
        <v>1901.26068310508</v>
      </c>
      <c r="F1351" s="47">
        <v>9094.75989235409</v>
      </c>
    </row>
    <row r="1352" spans="3:6" x14ac:dyDescent="0.25">
      <c r="C1352" s="79"/>
      <c r="D1352" s="79"/>
      <c r="E1352" s="47">
        <v>1924.89410993805</v>
      </c>
      <c r="F1352" s="47">
        <v>9143.0688746628293</v>
      </c>
    </row>
    <row r="1353" spans="3:6" x14ac:dyDescent="0.25">
      <c r="C1353" s="79"/>
      <c r="D1353" s="79"/>
      <c r="E1353" s="47">
        <v>1953.4252709954601</v>
      </c>
      <c r="F1353" s="47">
        <v>9186.4350267664104</v>
      </c>
    </row>
    <row r="1354" spans="3:6" x14ac:dyDescent="0.25">
      <c r="C1354" s="79"/>
      <c r="D1354" s="79"/>
      <c r="E1354" s="47">
        <v>1987.3086370128999</v>
      </c>
      <c r="F1354" s="47">
        <v>9226.6491050049408</v>
      </c>
    </row>
    <row r="1355" spans="3:6" x14ac:dyDescent="0.25">
      <c r="C1355" s="79"/>
      <c r="D1355" s="79">
        <v>200</v>
      </c>
      <c r="E1355" s="47">
        <v>1845.60316245745</v>
      </c>
      <c r="F1355" s="47">
        <v>9237.0125644862892</v>
      </c>
    </row>
    <row r="1356" spans="3:6" x14ac:dyDescent="0.25">
      <c r="C1356" s="79"/>
      <c r="D1356" s="79"/>
      <c r="E1356" s="47">
        <v>1845.60316245745</v>
      </c>
      <c r="F1356" s="47">
        <v>9237.0125644862892</v>
      </c>
    </row>
    <row r="1357" spans="3:6" x14ac:dyDescent="0.25">
      <c r="C1357" s="79"/>
      <c r="D1357" s="79"/>
      <c r="E1357" s="47">
        <v>1845.60316245745</v>
      </c>
      <c r="F1357" s="47">
        <v>9237.0125644862892</v>
      </c>
    </row>
    <row r="1358" spans="3:6" x14ac:dyDescent="0.25">
      <c r="C1358" s="79"/>
      <c r="D1358" s="79"/>
      <c r="E1358" s="47">
        <v>1853.91122661193</v>
      </c>
      <c r="F1358" s="47">
        <v>9355.0517418973905</v>
      </c>
    </row>
    <row r="1359" spans="3:6" x14ac:dyDescent="0.25">
      <c r="C1359" s="79"/>
      <c r="D1359" s="79"/>
      <c r="E1359" s="47">
        <v>1865.3351732246499</v>
      </c>
      <c r="F1359" s="47">
        <v>9444.8666869461103</v>
      </c>
    </row>
    <row r="1360" spans="3:6" x14ac:dyDescent="0.25">
      <c r="C1360" s="79"/>
      <c r="D1360" s="79"/>
      <c r="E1360" s="47">
        <v>1880.3346240568501</v>
      </c>
      <c r="F1360" s="47">
        <v>9516.6210931581209</v>
      </c>
    </row>
    <row r="1361" spans="3:6" x14ac:dyDescent="0.25">
      <c r="C1361" s="79"/>
      <c r="D1361" s="79"/>
      <c r="E1361" s="47">
        <v>1899.3536334471401</v>
      </c>
      <c r="F1361" s="47">
        <v>9576.3993832141095</v>
      </c>
    </row>
    <row r="1362" spans="3:6" x14ac:dyDescent="0.25">
      <c r="C1362" s="79"/>
      <c r="D1362" s="79"/>
      <c r="E1362" s="47">
        <v>1922.8295496243099</v>
      </c>
      <c r="F1362" s="47">
        <v>9628.1614174664301</v>
      </c>
    </row>
    <row r="1363" spans="3:6" x14ac:dyDescent="0.25">
      <c r="C1363" s="79"/>
      <c r="D1363" s="79"/>
      <c r="E1363" s="47">
        <v>1951.21952975256</v>
      </c>
      <c r="F1363" s="47">
        <v>9674.5237248338999</v>
      </c>
    </row>
    <row r="1364" spans="3:6" x14ac:dyDescent="0.25">
      <c r="C1364" s="79"/>
      <c r="D1364" s="79"/>
      <c r="E1364" s="47">
        <v>1984.9712788971301</v>
      </c>
      <c r="F1364" s="47">
        <v>9717.3923978646799</v>
      </c>
    </row>
    <row r="1365" spans="3:6" x14ac:dyDescent="0.25">
      <c r="C1365" s="79"/>
      <c r="D1365" s="79">
        <v>300</v>
      </c>
      <c r="E1365" s="47">
        <v>1838.2589553149</v>
      </c>
      <c r="F1365" s="47">
        <v>9525.1785361438997</v>
      </c>
    </row>
    <row r="1366" spans="3:6" x14ac:dyDescent="0.25">
      <c r="C1366" s="79"/>
      <c r="D1366" s="79"/>
      <c r="E1366" s="47">
        <v>1838.2589553149</v>
      </c>
      <c r="F1366" s="47">
        <v>9525.1785361438997</v>
      </c>
    </row>
    <row r="1367" spans="3:6" x14ac:dyDescent="0.25">
      <c r="C1367" s="79"/>
      <c r="D1367" s="79"/>
      <c r="E1367" s="47">
        <v>1843.4105811142099</v>
      </c>
      <c r="F1367" s="47">
        <v>9703.2082735869208</v>
      </c>
    </row>
    <row r="1368" spans="3:6" x14ac:dyDescent="0.25">
      <c r="C1368" s="79"/>
      <c r="D1368" s="79"/>
      <c r="E1368" s="47">
        <v>1851.3583784903999</v>
      </c>
      <c r="F1368" s="47">
        <v>9830.4336780653503</v>
      </c>
    </row>
    <row r="1369" spans="3:6" x14ac:dyDescent="0.25">
      <c r="C1369" s="79"/>
      <c r="D1369" s="79"/>
      <c r="E1369" s="47">
        <v>1862.5044607313</v>
      </c>
      <c r="F1369" s="47">
        <v>9927.1373952702506</v>
      </c>
    </row>
    <row r="1370" spans="3:6" x14ac:dyDescent="0.25">
      <c r="C1370" s="79"/>
      <c r="D1370" s="79"/>
      <c r="E1370" s="47">
        <v>1877.28275312699</v>
      </c>
      <c r="F1370" s="47">
        <v>10004.274947228299</v>
      </c>
    </row>
    <row r="1371" spans="3:6" x14ac:dyDescent="0.25">
      <c r="C1371" s="79"/>
      <c r="D1371" s="79"/>
      <c r="E1371" s="47">
        <v>1896.1177809856299</v>
      </c>
      <c r="F1371" s="47">
        <v>10068.412636803099</v>
      </c>
    </row>
    <row r="1372" spans="3:6" x14ac:dyDescent="0.25">
      <c r="C1372" s="79"/>
      <c r="D1372" s="79"/>
      <c r="E1372" s="47">
        <v>1919.43343732635</v>
      </c>
      <c r="F1372" s="47">
        <v>10123.8066508746</v>
      </c>
    </row>
    <row r="1373" spans="3:6" x14ac:dyDescent="0.25">
      <c r="C1373" s="79"/>
      <c r="D1373" s="79"/>
      <c r="E1373" s="47">
        <v>1947.6811050189699</v>
      </c>
      <c r="F1373" s="47">
        <v>10173.146738667099</v>
      </c>
    </row>
    <row r="1374" spans="3:6" x14ac:dyDescent="0.25">
      <c r="C1374" s="79"/>
      <c r="D1374" s="79"/>
      <c r="E1374" s="47">
        <v>1981.3010339932</v>
      </c>
      <c r="F1374" s="47">
        <v>10218.6429759768</v>
      </c>
    </row>
    <row r="1375" spans="3:6" x14ac:dyDescent="0.25">
      <c r="C1375" s="79"/>
      <c r="D1375" s="79">
        <v>400</v>
      </c>
      <c r="E1375" s="47">
        <v>1833.34068969125</v>
      </c>
      <c r="F1375" s="47">
        <v>9697.1416964623095</v>
      </c>
    </row>
    <row r="1376" spans="3:6" x14ac:dyDescent="0.25">
      <c r="C1376" s="79"/>
      <c r="D1376" s="79"/>
      <c r="E1376" s="47">
        <v>1835.3826719265301</v>
      </c>
      <c r="F1376" s="47">
        <v>9987.1825923769393</v>
      </c>
    </row>
    <row r="1377" spans="3:6" x14ac:dyDescent="0.25">
      <c r="C1377" s="79"/>
      <c r="D1377" s="79"/>
      <c r="E1377" s="47">
        <v>1840.0253855220601</v>
      </c>
      <c r="F1377" s="47">
        <v>10177.4205482547</v>
      </c>
    </row>
    <row r="1378" spans="3:6" x14ac:dyDescent="0.25">
      <c r="C1378" s="79"/>
      <c r="D1378" s="79"/>
      <c r="E1378" s="47">
        <v>1847.6100881667701</v>
      </c>
      <c r="F1378" s="47">
        <v>10313.3427809883</v>
      </c>
    </row>
    <row r="1379" spans="3:6" x14ac:dyDescent="0.25">
      <c r="C1379" s="79"/>
      <c r="D1379" s="79"/>
      <c r="E1379" s="47">
        <v>1858.47777760023</v>
      </c>
      <c r="F1379" s="47">
        <v>10416.648436917099</v>
      </c>
    </row>
    <row r="1380" spans="3:6" x14ac:dyDescent="0.25">
      <c r="C1380" s="79"/>
      <c r="D1380" s="79"/>
      <c r="E1380" s="47">
        <v>1873.0322814753899</v>
      </c>
      <c r="F1380" s="47">
        <v>10499.0366834791</v>
      </c>
    </row>
    <row r="1381" spans="3:6" x14ac:dyDescent="0.25">
      <c r="C1381" s="79"/>
      <c r="D1381" s="79"/>
      <c r="E1381" s="47">
        <v>1891.6806820009999</v>
      </c>
      <c r="F1381" s="47">
        <v>10567.489082095801</v>
      </c>
    </row>
    <row r="1382" spans="3:6" x14ac:dyDescent="0.25">
      <c r="C1382" s="79"/>
      <c r="D1382" s="79"/>
      <c r="E1382" s="47">
        <v>1914.83341138782</v>
      </c>
      <c r="F1382" s="47">
        <v>10626.522097393699</v>
      </c>
    </row>
    <row r="1383" spans="3:6" x14ac:dyDescent="0.25">
      <c r="C1383" s="79"/>
      <c r="D1383" s="79"/>
      <c r="E1383" s="47">
        <v>1942.93486919881</v>
      </c>
      <c r="F1383" s="47">
        <v>10679.134124509301</v>
      </c>
    </row>
    <row r="1384" spans="3:6" x14ac:dyDescent="0.25">
      <c r="C1384" s="79"/>
      <c r="D1384" s="79"/>
      <c r="E1384" s="47">
        <v>1976.42132816093</v>
      </c>
      <c r="F1384" s="47">
        <v>10727.4830800292</v>
      </c>
    </row>
    <row r="1385" spans="3:6" x14ac:dyDescent="0.25">
      <c r="C1385" s="79"/>
      <c r="D1385" s="79">
        <v>500</v>
      </c>
      <c r="E1385" s="47">
        <v>1830.169006546</v>
      </c>
      <c r="F1385" s="47">
        <v>10147.163452716801</v>
      </c>
    </row>
    <row r="1386" spans="3:6" x14ac:dyDescent="0.25">
      <c r="C1386" s="79"/>
      <c r="D1386" s="79"/>
      <c r="E1386" s="47">
        <v>1831.4110007490499</v>
      </c>
      <c r="F1386" s="47">
        <v>10457.3745659907</v>
      </c>
    </row>
    <row r="1387" spans="3:6" x14ac:dyDescent="0.25">
      <c r="C1387" s="79"/>
      <c r="D1387" s="79"/>
      <c r="E1387" s="47">
        <v>1835.5249236888901</v>
      </c>
      <c r="F1387" s="47">
        <v>10660.6898032549</v>
      </c>
    </row>
    <row r="1388" spans="3:6" x14ac:dyDescent="0.25">
      <c r="C1388" s="79"/>
      <c r="D1388" s="79"/>
      <c r="E1388" s="47">
        <v>1842.7337182434601</v>
      </c>
      <c r="F1388" s="47">
        <v>10805.798342956001</v>
      </c>
    </row>
    <row r="1389" spans="3:6" x14ac:dyDescent="0.25">
      <c r="C1389" s="79"/>
      <c r="D1389" s="79"/>
      <c r="E1389" s="47">
        <v>1853.31709472897</v>
      </c>
      <c r="F1389" s="47">
        <v>10915.7823140031</v>
      </c>
    </row>
    <row r="1390" spans="3:6" x14ac:dyDescent="0.25">
      <c r="C1390" s="79"/>
      <c r="D1390" s="79"/>
      <c r="E1390" s="47">
        <v>1867.64763149333</v>
      </c>
      <c r="F1390" s="47">
        <v>11003.4303740222</v>
      </c>
    </row>
    <row r="1391" spans="3:6" x14ac:dyDescent="0.25">
      <c r="C1391" s="79"/>
      <c r="D1391" s="79"/>
      <c r="E1391" s="47">
        <v>1886.1096638409299</v>
      </c>
      <c r="F1391" s="47">
        <v>11076.1971211491</v>
      </c>
    </row>
    <row r="1392" spans="3:6" x14ac:dyDescent="0.25">
      <c r="C1392" s="79"/>
      <c r="D1392" s="79"/>
      <c r="E1392" s="47">
        <v>1909.10278852903</v>
      </c>
      <c r="F1392" s="47">
        <v>11138.8565645053</v>
      </c>
    </row>
    <row r="1393" spans="3:6" x14ac:dyDescent="0.25">
      <c r="C1393" s="79"/>
      <c r="D1393" s="79"/>
      <c r="E1393" s="47">
        <v>1937.06088796016</v>
      </c>
      <c r="F1393" s="47">
        <v>11194.5965059931</v>
      </c>
    </row>
    <row r="1394" spans="3:6" x14ac:dyDescent="0.25">
      <c r="C1394" s="79"/>
      <c r="D1394" s="79"/>
      <c r="E1394" s="47">
        <v>1970.41647514224</v>
      </c>
      <c r="F1394" s="47">
        <v>11245.701481104999</v>
      </c>
    </row>
    <row r="1395" spans="3:6" x14ac:dyDescent="0.25">
      <c r="C1395" s="79"/>
      <c r="D1395" s="79">
        <v>600</v>
      </c>
      <c r="E1395" s="47">
        <v>1825.98784663791</v>
      </c>
      <c r="F1395" s="47">
        <v>10605.5420698495</v>
      </c>
    </row>
    <row r="1396" spans="3:6" x14ac:dyDescent="0.25">
      <c r="C1396" s="79"/>
      <c r="D1396" s="79"/>
      <c r="E1396" s="47">
        <v>1826.4161319432701</v>
      </c>
      <c r="F1396" s="47">
        <v>10935.305377267799</v>
      </c>
    </row>
    <row r="1397" spans="3:6" x14ac:dyDescent="0.25">
      <c r="C1397" s="79"/>
      <c r="D1397" s="79"/>
      <c r="E1397" s="47">
        <v>1830.0071581452501</v>
      </c>
      <c r="F1397" s="47">
        <v>11151.419814848001</v>
      </c>
    </row>
    <row r="1398" spans="3:6" x14ac:dyDescent="0.25">
      <c r="C1398" s="79"/>
      <c r="D1398" s="79"/>
      <c r="E1398" s="47">
        <v>1836.84021894545</v>
      </c>
      <c r="F1398" s="47">
        <v>11305.717749490301</v>
      </c>
    </row>
    <row r="1399" spans="3:6" x14ac:dyDescent="0.25">
      <c r="C1399" s="79"/>
      <c r="D1399" s="79"/>
      <c r="E1399" s="47">
        <v>1847.1360684399399</v>
      </c>
      <c r="F1399" s="47">
        <v>11422.8691118107</v>
      </c>
    </row>
    <row r="1400" spans="3:6" x14ac:dyDescent="0.25">
      <c r="C1400" s="79"/>
      <c r="D1400" s="79"/>
      <c r="E1400" s="47">
        <v>1861.23891079182</v>
      </c>
      <c r="F1400" s="47">
        <v>11516.1632843446</v>
      </c>
    </row>
    <row r="1401" spans="3:6" x14ac:dyDescent="0.25">
      <c r="C1401" s="79"/>
      <c r="D1401" s="79"/>
      <c r="E1401" s="47">
        <v>1879.5075339248399</v>
      </c>
      <c r="F1401" s="47">
        <v>11593.5188875894</v>
      </c>
    </row>
    <row r="1402" spans="3:6" x14ac:dyDescent="0.25">
      <c r="C1402" s="79"/>
      <c r="D1402" s="79"/>
      <c r="E1402" s="47">
        <v>1902.33736619463</v>
      </c>
      <c r="F1402" s="47">
        <v>11659.987554495299</v>
      </c>
    </row>
    <row r="1403" spans="3:6" x14ac:dyDescent="0.25">
      <c r="C1403" s="79"/>
      <c r="D1403" s="79"/>
      <c r="E1403" s="47">
        <v>1930.1529955762501</v>
      </c>
      <c r="F1403" s="47">
        <v>11718.972222050101</v>
      </c>
    </row>
    <row r="1404" spans="3:6" x14ac:dyDescent="0.25">
      <c r="C1404" s="79"/>
      <c r="D1404" s="79"/>
      <c r="E1404" s="47">
        <v>1963.3787192612201</v>
      </c>
      <c r="F1404" s="47">
        <v>11772.909711857101</v>
      </c>
    </row>
    <row r="1405" spans="3:6" x14ac:dyDescent="0.25">
      <c r="C1405" s="79"/>
      <c r="D1405" s="79">
        <v>700</v>
      </c>
      <c r="E1405" s="47">
        <v>1820.8917117870899</v>
      </c>
      <c r="F1405" s="47">
        <v>11069.573009187599</v>
      </c>
    </row>
    <row r="1406" spans="3:6" x14ac:dyDescent="0.25">
      <c r="C1406" s="79"/>
      <c r="D1406" s="79"/>
      <c r="E1406" s="47">
        <v>1820.4771347547201</v>
      </c>
      <c r="F1406" s="47">
        <v>11421.629518297001</v>
      </c>
    </row>
    <row r="1407" spans="3:6" x14ac:dyDescent="0.25">
      <c r="C1407" s="79"/>
      <c r="D1407" s="79"/>
      <c r="E1407" s="47">
        <v>1823.5353884563301</v>
      </c>
      <c r="F1407" s="47">
        <v>11650.8202083339</v>
      </c>
    </row>
    <row r="1408" spans="3:6" x14ac:dyDescent="0.25">
      <c r="C1408" s="79"/>
      <c r="D1408" s="79"/>
      <c r="E1408" s="47">
        <v>1829.9927882960201</v>
      </c>
      <c r="F1408" s="47">
        <v>11814.3357797354</v>
      </c>
    </row>
    <row r="1409" spans="3:6" x14ac:dyDescent="0.25">
      <c r="C1409" s="79"/>
      <c r="D1409" s="79"/>
      <c r="E1409" s="47">
        <v>1840.0004196776999</v>
      </c>
      <c r="F1409" s="47">
        <v>11938.409778315599</v>
      </c>
    </row>
    <row r="1410" spans="3:6" x14ac:dyDescent="0.25">
      <c r="C1410" s="79"/>
      <c r="D1410" s="79"/>
      <c r="E1410" s="47">
        <v>1853.87750476001</v>
      </c>
      <c r="F1410" s="47">
        <v>12037.1470554846</v>
      </c>
    </row>
    <row r="1411" spans="3:6" x14ac:dyDescent="0.25">
      <c r="C1411" s="79"/>
      <c r="D1411" s="79"/>
      <c r="E1411" s="47">
        <v>1871.95314781769</v>
      </c>
      <c r="F1411" s="47">
        <v>12118.951090050399</v>
      </c>
    </row>
    <row r="1412" spans="3:6" x14ac:dyDescent="0.25">
      <c r="C1412" s="79"/>
      <c r="D1412" s="79"/>
      <c r="E1412" s="47">
        <v>1894.62267190647</v>
      </c>
      <c r="F1412" s="47">
        <v>12189.15422565</v>
      </c>
    </row>
    <row r="1413" spans="3:6" x14ac:dyDescent="0.25">
      <c r="C1413" s="79"/>
      <c r="D1413" s="79"/>
      <c r="E1413" s="47">
        <v>1922.29722269883</v>
      </c>
      <c r="F1413" s="47">
        <v>12251.3530865098</v>
      </c>
    </row>
    <row r="1414" spans="3:6" x14ac:dyDescent="0.25">
      <c r="C1414" s="79"/>
      <c r="D1414" s="79"/>
      <c r="E1414" s="47">
        <v>1955.3945303189801</v>
      </c>
      <c r="F1414" s="47">
        <v>12308.107561668599</v>
      </c>
    </row>
    <row r="1415" spans="3:6" x14ac:dyDescent="0.25">
      <c r="C1415" s="79"/>
      <c r="D1415" s="79">
        <v>800</v>
      </c>
      <c r="E1415" s="47">
        <v>1814.94825283669</v>
      </c>
      <c r="F1415" s="47">
        <v>11539.766385082101</v>
      </c>
    </row>
    <row r="1416" spans="3:6" x14ac:dyDescent="0.25">
      <c r="C1416" s="79"/>
      <c r="D1416" s="79"/>
      <c r="E1416" s="47">
        <v>1813.7079261219001</v>
      </c>
      <c r="F1416" s="47">
        <v>11912.471687838</v>
      </c>
    </row>
    <row r="1417" spans="3:6" x14ac:dyDescent="0.25">
      <c r="C1417" s="79"/>
      <c r="D1417" s="79"/>
      <c r="E1417" s="47">
        <v>1816.2078155526001</v>
      </c>
      <c r="F1417" s="47">
        <v>12156.427843257001</v>
      </c>
    </row>
    <row r="1418" spans="3:6" x14ac:dyDescent="0.25">
      <c r="C1418" s="79"/>
      <c r="D1418" s="79"/>
      <c r="E1418" s="47">
        <v>1822.2663756105301</v>
      </c>
      <c r="F1418" s="47">
        <v>12330.3859388779</v>
      </c>
    </row>
    <row r="1419" spans="3:6" x14ac:dyDescent="0.25">
      <c r="C1419" s="79"/>
      <c r="D1419" s="79"/>
      <c r="E1419" s="47">
        <v>1831.9721386904801</v>
      </c>
      <c r="F1419" s="47">
        <v>12462.2454699111</v>
      </c>
    </row>
    <row r="1420" spans="3:6" x14ac:dyDescent="0.25">
      <c r="C1420" s="79"/>
      <c r="D1420" s="79"/>
      <c r="E1420" s="47">
        <v>1845.6147360495299</v>
      </c>
      <c r="F1420" s="47">
        <v>12566.836838839799</v>
      </c>
    </row>
    <row r="1421" spans="3:6" x14ac:dyDescent="0.25">
      <c r="C1421" s="79"/>
      <c r="D1421" s="79"/>
      <c r="E1421" s="47">
        <v>1863.49438833608</v>
      </c>
      <c r="F1421" s="47">
        <v>12653.096704299</v>
      </c>
    </row>
    <row r="1422" spans="3:6" x14ac:dyDescent="0.25">
      <c r="C1422" s="79"/>
      <c r="D1422" s="79"/>
      <c r="E1422" s="47">
        <v>1886.00283686946</v>
      </c>
      <c r="F1422" s="47">
        <v>12727.0131477056</v>
      </c>
    </row>
    <row r="1423" spans="3:6" x14ac:dyDescent="0.25">
      <c r="C1423" s="79"/>
      <c r="D1423" s="79"/>
      <c r="E1423" s="47">
        <v>1913.5354246279201</v>
      </c>
      <c r="F1423" s="47">
        <v>12792.394685236501</v>
      </c>
    </row>
    <row r="1424" spans="3:6" x14ac:dyDescent="0.25">
      <c r="C1424" s="79"/>
      <c r="D1424" s="79"/>
      <c r="E1424" s="47">
        <v>1946.49399351941</v>
      </c>
      <c r="F1424" s="47">
        <v>12851.957257152901</v>
      </c>
    </row>
    <row r="1425" spans="3:6" x14ac:dyDescent="0.25">
      <c r="C1425" s="79"/>
      <c r="D1425" s="79">
        <v>900</v>
      </c>
      <c r="E1425" s="47">
        <v>1808.20893464803</v>
      </c>
      <c r="F1425" s="47">
        <v>12016.746520398599</v>
      </c>
    </row>
    <row r="1426" spans="3:6" x14ac:dyDescent="0.25">
      <c r="C1426" s="79"/>
      <c r="D1426" s="79"/>
      <c r="E1426" s="47">
        <v>1806.1227799716501</v>
      </c>
      <c r="F1426" s="47">
        <v>12411.0932354782</v>
      </c>
    </row>
    <row r="1427" spans="3:6" x14ac:dyDescent="0.25">
      <c r="C1427" s="79"/>
      <c r="D1427" s="79"/>
      <c r="E1427" s="47">
        <v>1808.07048646147</v>
      </c>
      <c r="F1427" s="47">
        <v>12668.6663802618</v>
      </c>
    </row>
    <row r="1428" spans="3:6" x14ac:dyDescent="0.25">
      <c r="C1428" s="79"/>
      <c r="D1428" s="79"/>
      <c r="E1428" s="47">
        <v>1813.73368713182</v>
      </c>
      <c r="F1428" s="47">
        <v>12852.3283233439</v>
      </c>
    </row>
    <row r="1429" spans="3:6" x14ac:dyDescent="0.25">
      <c r="C1429" s="79"/>
      <c r="D1429" s="79"/>
      <c r="E1429" s="47">
        <v>1823.1476597241301</v>
      </c>
      <c r="F1429" s="47">
        <v>12991.4437137804</v>
      </c>
    </row>
    <row r="1430" spans="3:6" x14ac:dyDescent="0.25">
      <c r="C1430" s="79"/>
      <c r="D1430" s="79"/>
      <c r="E1430" s="47">
        <v>1836.55053361554</v>
      </c>
      <c r="F1430" s="47">
        <v>13101.9469157166</v>
      </c>
    </row>
    <row r="1431" spans="3:6" x14ac:dyDescent="0.25">
      <c r="C1431" s="79"/>
      <c r="D1431" s="79"/>
      <c r="E1431" s="47">
        <v>1854.2346809103401</v>
      </c>
      <c r="F1431" s="47">
        <v>13193.2560341726</v>
      </c>
    </row>
    <row r="1432" spans="3:6" x14ac:dyDescent="0.25">
      <c r="C1432" s="79"/>
      <c r="D1432" s="79"/>
      <c r="E1432" s="47">
        <v>1876.5779507509101</v>
      </c>
      <c r="F1432" s="47">
        <v>13271.3445767515</v>
      </c>
    </row>
    <row r="1433" spans="3:6" x14ac:dyDescent="0.25">
      <c r="C1433" s="79"/>
      <c r="D1433" s="79"/>
      <c r="E1433" s="47">
        <v>1903.9606670595399</v>
      </c>
      <c r="F1433" s="47">
        <v>13340.256672882801</v>
      </c>
    </row>
    <row r="1434" spans="3:6" x14ac:dyDescent="0.25">
      <c r="C1434" s="79"/>
      <c r="D1434" s="79"/>
      <c r="E1434" s="47">
        <v>1936.78241181571</v>
      </c>
      <c r="F1434" s="47">
        <v>13402.8576925125</v>
      </c>
    </row>
    <row r="1435" spans="3:6" x14ac:dyDescent="0.25">
      <c r="C1435" s="79"/>
      <c r="D1435" s="79">
        <v>1000</v>
      </c>
      <c r="E1435" s="47">
        <v>1800.7571114884499</v>
      </c>
      <c r="F1435" s="47">
        <v>12498.281199340099</v>
      </c>
    </row>
    <row r="1436" spans="3:6" x14ac:dyDescent="0.25">
      <c r="C1436" s="79"/>
      <c r="D1436" s="79"/>
      <c r="E1436" s="47">
        <v>1797.78681342241</v>
      </c>
      <c r="F1436" s="47">
        <v>12915.746356695099</v>
      </c>
    </row>
    <row r="1437" spans="3:6" x14ac:dyDescent="0.25">
      <c r="C1437" s="79"/>
      <c r="D1437" s="79"/>
      <c r="E1437" s="47">
        <v>1799.15950379167</v>
      </c>
      <c r="F1437" s="47">
        <v>13188.662894311699</v>
      </c>
    </row>
    <row r="1438" spans="3:6" x14ac:dyDescent="0.25">
      <c r="C1438" s="79"/>
      <c r="D1438" s="79"/>
      <c r="E1438" s="47">
        <v>1804.4317531111999</v>
      </c>
      <c r="F1438" s="47">
        <v>13382.050175935099</v>
      </c>
    </row>
    <row r="1439" spans="3:6" x14ac:dyDescent="0.25">
      <c r="C1439" s="79"/>
      <c r="D1439" s="79"/>
      <c r="E1439" s="47">
        <v>1813.55609959359</v>
      </c>
      <c r="F1439" s="47">
        <v>13528.5047044483</v>
      </c>
    </row>
    <row r="1440" spans="3:6" x14ac:dyDescent="0.25">
      <c r="C1440" s="79"/>
      <c r="D1440" s="79"/>
      <c r="E1440" s="47">
        <v>1826.7188259349</v>
      </c>
      <c r="F1440" s="47">
        <v>13644.7514801132</v>
      </c>
    </row>
    <row r="1441" spans="3:6" x14ac:dyDescent="0.25">
      <c r="C1441" s="79"/>
      <c r="D1441" s="79"/>
      <c r="E1441" s="47">
        <v>1844.21534759065</v>
      </c>
      <c r="F1441" s="47">
        <v>13740.703055879099</v>
      </c>
    </row>
    <row r="1442" spans="3:6" x14ac:dyDescent="0.25">
      <c r="C1442" s="79"/>
      <c r="D1442" s="79"/>
      <c r="E1442" s="47">
        <v>1866.39905245061</v>
      </c>
      <c r="F1442" s="47">
        <v>13822.667481209999</v>
      </c>
    </row>
    <row r="1443" spans="3:6" x14ac:dyDescent="0.25">
      <c r="C1443" s="79"/>
      <c r="D1443" s="79"/>
      <c r="E1443" s="47">
        <v>1893.62742570255</v>
      </c>
      <c r="F1443" s="47">
        <v>13894.915492607901</v>
      </c>
    </row>
    <row r="1444" spans="3:6" x14ac:dyDescent="0.25">
      <c r="C1444" s="79"/>
      <c r="D1444" s="79"/>
      <c r="E1444" s="47">
        <v>1926.3222477166501</v>
      </c>
      <c r="F1444" s="47">
        <v>13960.4132900119</v>
      </c>
    </row>
    <row r="1445" spans="3:6" x14ac:dyDescent="0.25">
      <c r="C1445" s="79"/>
      <c r="D1445" s="79">
        <v>1100</v>
      </c>
      <c r="E1445" s="47">
        <v>1792.59840957456</v>
      </c>
      <c r="F1445" s="47">
        <v>12986.594176119101</v>
      </c>
    </row>
    <row r="1446" spans="3:6" x14ac:dyDescent="0.25">
      <c r="C1446" s="79"/>
      <c r="D1446" s="79"/>
      <c r="E1446" s="47">
        <v>1788.77247543251</v>
      </c>
      <c r="F1446" s="47">
        <v>13426.003805415399</v>
      </c>
    </row>
    <row r="1447" spans="3:6" x14ac:dyDescent="0.25">
      <c r="C1447" s="79"/>
      <c r="D1447" s="79"/>
      <c r="E1447" s="47">
        <v>1789.5855629384801</v>
      </c>
      <c r="F1447" s="47">
        <v>13713.150236748001</v>
      </c>
    </row>
    <row r="1448" spans="3:6" x14ac:dyDescent="0.25">
      <c r="C1448" s="79"/>
      <c r="D1448" s="79"/>
      <c r="E1448" s="47">
        <v>1794.4402543989399</v>
      </c>
      <c r="F1448" s="47">
        <v>13917.6001321449</v>
      </c>
    </row>
    <row r="1449" spans="3:6" x14ac:dyDescent="0.25">
      <c r="C1449" s="79"/>
      <c r="D1449" s="79"/>
      <c r="E1449" s="47">
        <v>1803.2602467822801</v>
      </c>
      <c r="F1449" s="47">
        <v>14072.244111185501</v>
      </c>
    </row>
    <row r="1450" spans="3:6" x14ac:dyDescent="0.25">
      <c r="C1450" s="79"/>
      <c r="D1450" s="79"/>
      <c r="E1450" s="47">
        <v>1816.1695101300299</v>
      </c>
      <c r="F1450" s="47">
        <v>14194.855735921999</v>
      </c>
    </row>
    <row r="1451" spans="3:6" x14ac:dyDescent="0.25">
      <c r="C1451" s="79"/>
      <c r="D1451" s="79"/>
      <c r="E1451" s="47">
        <v>1833.4713762444101</v>
      </c>
      <c r="F1451" s="47">
        <v>14295.8393897389</v>
      </c>
    </row>
    <row r="1452" spans="3:6" x14ac:dyDescent="0.25">
      <c r="C1452" s="79"/>
      <c r="D1452" s="79"/>
      <c r="E1452" s="47">
        <v>1855.4824997101</v>
      </c>
      <c r="F1452" s="47">
        <v>14381.7049782144</v>
      </c>
    </row>
    <row r="1453" spans="3:6" x14ac:dyDescent="0.25">
      <c r="C1453" s="79"/>
      <c r="D1453" s="79"/>
      <c r="E1453" s="47">
        <v>1882.57093363079</v>
      </c>
      <c r="F1453" s="47">
        <v>14457.2504873863</v>
      </c>
    </row>
    <row r="1454" spans="3:6" x14ac:dyDescent="0.25">
      <c r="C1454" s="79"/>
      <c r="D1454" s="79"/>
      <c r="E1454" s="47">
        <v>1915.1418200803</v>
      </c>
      <c r="F1454" s="47">
        <v>14525.614187782399</v>
      </c>
    </row>
    <row r="1455" spans="3:6" x14ac:dyDescent="0.25">
      <c r="C1455" s="79"/>
      <c r="D1455" s="79">
        <v>1200</v>
      </c>
      <c r="E1455" s="47">
        <v>1783.83232007779</v>
      </c>
      <c r="F1455" s="47">
        <v>13479.1062688277</v>
      </c>
    </row>
    <row r="1456" spans="3:6" x14ac:dyDescent="0.25">
      <c r="C1456" s="79"/>
      <c r="D1456" s="79"/>
      <c r="E1456" s="47">
        <v>1779.0924942157401</v>
      </c>
      <c r="F1456" s="47">
        <v>13943.159756986601</v>
      </c>
    </row>
    <row r="1457" spans="2:23" x14ac:dyDescent="0.25">
      <c r="C1457" s="79"/>
      <c r="D1457" s="79"/>
      <c r="E1457" s="47">
        <v>1779.3423786968499</v>
      </c>
      <c r="F1457" s="47">
        <v>14244.667326635399</v>
      </c>
    </row>
    <row r="1458" spans="2:23" x14ac:dyDescent="0.25">
      <c r="C1458" s="79"/>
      <c r="D1458" s="79"/>
      <c r="E1458" s="47">
        <v>1783.7966957291301</v>
      </c>
      <c r="F1458" s="47">
        <v>14459.266677466399</v>
      </c>
    </row>
    <row r="1459" spans="2:23" x14ac:dyDescent="0.25">
      <c r="C1459" s="79"/>
      <c r="D1459" s="79"/>
      <c r="E1459" s="47">
        <v>1792.3110018735299</v>
      </c>
      <c r="F1459" s="47">
        <v>14621.532784258799</v>
      </c>
    </row>
    <row r="1460" spans="2:23" x14ac:dyDescent="0.25">
      <c r="C1460" s="79"/>
      <c r="D1460" s="79"/>
      <c r="E1460" s="47">
        <v>1804.9863375197699</v>
      </c>
      <c r="F1460" s="47">
        <v>14750.0731888462</v>
      </c>
    </row>
    <row r="1461" spans="2:23" x14ac:dyDescent="0.25">
      <c r="C1461" s="79"/>
      <c r="D1461" s="79"/>
      <c r="E1461" s="47">
        <v>1822.08928106028</v>
      </c>
      <c r="F1461" s="47">
        <v>14855.944830938501</v>
      </c>
    </row>
    <row r="1462" spans="2:23" x14ac:dyDescent="0.25">
      <c r="C1462" s="79"/>
      <c r="D1462" s="79"/>
      <c r="E1462" s="47">
        <v>1843.91691799209</v>
      </c>
      <c r="F1462" s="47">
        <v>14946.146073313501</v>
      </c>
    </row>
    <row r="1463" spans="2:23" x14ac:dyDescent="0.25">
      <c r="C1463" s="79"/>
      <c r="D1463" s="79"/>
      <c r="E1463" s="47">
        <v>1870.8581902174799</v>
      </c>
      <c r="F1463" s="47">
        <v>15025.3485294617</v>
      </c>
    </row>
    <row r="1464" spans="2:23" x14ac:dyDescent="0.25">
      <c r="C1464" s="79"/>
      <c r="D1464" s="79"/>
      <c r="E1464" s="47">
        <v>1903.29902992594</v>
      </c>
      <c r="F1464" s="47">
        <v>15096.8508657619</v>
      </c>
    </row>
    <row r="1466" spans="2:23" s="56" customFormat="1" ht="15.75" x14ac:dyDescent="0.25">
      <c r="B1466" s="66" t="s">
        <v>52</v>
      </c>
      <c r="C1466" s="60" t="s">
        <v>42</v>
      </c>
      <c r="D1466" s="60" t="s">
        <v>44</v>
      </c>
      <c r="E1466" s="64" t="s">
        <v>3</v>
      </c>
      <c r="F1466" s="63" t="s">
        <v>50</v>
      </c>
      <c r="L1466" s="67" t="s">
        <v>35</v>
      </c>
      <c r="M1466" s="67" t="s">
        <v>36</v>
      </c>
      <c r="N1466" s="67" t="s">
        <v>33</v>
      </c>
      <c r="O1466" s="67" t="s">
        <v>34</v>
      </c>
      <c r="P1466" s="68" t="s">
        <v>31</v>
      </c>
      <c r="Q1466" s="67" t="s">
        <v>26</v>
      </c>
      <c r="R1466" s="67" t="s">
        <v>27</v>
      </c>
      <c r="S1466" s="67" t="s">
        <v>38</v>
      </c>
      <c r="W1466" s="69"/>
    </row>
    <row r="1467" spans="2:23" x14ac:dyDescent="0.25">
      <c r="C1467" s="79">
        <v>-20</v>
      </c>
      <c r="D1467" s="79">
        <v>600</v>
      </c>
      <c r="E1467" s="47">
        <v>2894.2967061726899</v>
      </c>
      <c r="F1467" s="47">
        <v>5379.2196991056599</v>
      </c>
      <c r="L1467" s="56">
        <v>0</v>
      </c>
      <c r="M1467" s="57">
        <v>1000000</v>
      </c>
      <c r="N1467" s="57">
        <v>10000</v>
      </c>
      <c r="O1467" s="57">
        <v>10000</v>
      </c>
      <c r="P1467" s="58">
        <v>4</v>
      </c>
      <c r="Q1467" s="56">
        <v>0</v>
      </c>
      <c r="R1467" s="56">
        <v>0</v>
      </c>
      <c r="S1467" s="56">
        <v>0</v>
      </c>
    </row>
    <row r="1468" spans="2:23" x14ac:dyDescent="0.25">
      <c r="C1468" s="79"/>
      <c r="D1468" s="79"/>
      <c r="E1468" s="47">
        <v>2894.2967061726899</v>
      </c>
      <c r="F1468" s="47">
        <v>5379.2196991056599</v>
      </c>
    </row>
    <row r="1469" spans="2:23" x14ac:dyDescent="0.25">
      <c r="C1469" s="79"/>
      <c r="D1469" s="79"/>
      <c r="E1469" s="47">
        <v>2894.2967061726899</v>
      </c>
      <c r="F1469" s="47">
        <v>5379.2196991056599</v>
      </c>
    </row>
    <row r="1470" spans="2:23" x14ac:dyDescent="0.25">
      <c r="C1470" s="79"/>
      <c r="D1470" s="79"/>
      <c r="E1470" s="47">
        <v>2894.2967061726899</v>
      </c>
      <c r="F1470" s="47">
        <v>5379.2196991056599</v>
      </c>
    </row>
    <row r="1471" spans="2:23" x14ac:dyDescent="0.25">
      <c r="C1471" s="79"/>
      <c r="D1471" s="79"/>
      <c r="E1471" s="47">
        <v>2894.2967061726899</v>
      </c>
      <c r="F1471" s="47">
        <v>5379.2196991056599</v>
      </c>
    </row>
    <row r="1472" spans="2:23" x14ac:dyDescent="0.25">
      <c r="C1472" s="79"/>
      <c r="D1472" s="79"/>
      <c r="E1472" s="47">
        <v>2894.2967061726899</v>
      </c>
      <c r="F1472" s="47">
        <v>5379.2196991056599</v>
      </c>
    </row>
    <row r="1473" spans="3:6" x14ac:dyDescent="0.25">
      <c r="C1473" s="79"/>
      <c r="D1473" s="79"/>
      <c r="E1473" s="47">
        <v>2894.2967061726899</v>
      </c>
      <c r="F1473" s="47">
        <v>5379.2196991056599</v>
      </c>
    </row>
    <row r="1474" spans="3:6" x14ac:dyDescent="0.25">
      <c r="C1474" s="79"/>
      <c r="D1474" s="79"/>
      <c r="E1474" s="47">
        <v>2894.2967061726899</v>
      </c>
      <c r="F1474" s="47">
        <v>5379.2196991056599</v>
      </c>
    </row>
    <row r="1475" spans="3:6" x14ac:dyDescent="0.25">
      <c r="C1475" s="79"/>
      <c r="D1475" s="79"/>
      <c r="E1475" s="47">
        <v>2894.2967061726899</v>
      </c>
      <c r="F1475" s="47">
        <v>5379.2196991056599</v>
      </c>
    </row>
    <row r="1476" spans="3:6" x14ac:dyDescent="0.25">
      <c r="C1476" s="79"/>
      <c r="D1476" s="79"/>
      <c r="E1476" s="47">
        <v>2894.2967061726899</v>
      </c>
      <c r="F1476" s="47">
        <v>5379.2196991056599</v>
      </c>
    </row>
    <row r="1477" spans="3:6" x14ac:dyDescent="0.25">
      <c r="C1477" s="79"/>
      <c r="D1477" s="79">
        <v>700</v>
      </c>
      <c r="E1477" s="47">
        <v>2750.79050706829</v>
      </c>
      <c r="F1477" s="47">
        <v>5450.9273645706198</v>
      </c>
    </row>
    <row r="1478" spans="3:6" x14ac:dyDescent="0.25">
      <c r="C1478" s="79"/>
      <c r="D1478" s="79"/>
      <c r="E1478" s="47">
        <v>2764.4302290230598</v>
      </c>
      <c r="F1478" s="47">
        <v>5535.2960562592398</v>
      </c>
    </row>
    <row r="1479" spans="3:6" x14ac:dyDescent="0.25">
      <c r="C1479" s="79"/>
      <c r="D1479" s="79"/>
      <c r="E1479" s="47">
        <v>2776.4868958829202</v>
      </c>
      <c r="F1479" s="47">
        <v>5588.5904919945897</v>
      </c>
    </row>
    <row r="1480" spans="3:6" x14ac:dyDescent="0.25">
      <c r="C1480" s="79"/>
      <c r="D1480" s="79"/>
      <c r="E1480" s="47">
        <v>2789.26196314043</v>
      </c>
      <c r="F1480" s="47">
        <v>5625.4054045167504</v>
      </c>
    </row>
    <row r="1481" spans="3:6" x14ac:dyDescent="0.25">
      <c r="C1481" s="79"/>
      <c r="D1481" s="79"/>
      <c r="E1481" s="47">
        <v>2804.0322159430598</v>
      </c>
      <c r="F1481" s="47">
        <v>5652.6943525296001</v>
      </c>
    </row>
    <row r="1482" spans="3:6" x14ac:dyDescent="0.25">
      <c r="C1482" s="79"/>
      <c r="D1482" s="79"/>
      <c r="E1482" s="47">
        <v>2821.6919437162301</v>
      </c>
      <c r="F1482" s="47">
        <v>5674.2832407185297</v>
      </c>
    </row>
    <row r="1483" spans="3:6" x14ac:dyDescent="0.25">
      <c r="C1483" s="79"/>
      <c r="D1483" s="79"/>
      <c r="E1483" s="47">
        <v>2842.96364800007</v>
      </c>
      <c r="F1483" s="47">
        <v>5692.5087345560096</v>
      </c>
    </row>
    <row r="1484" spans="3:6" x14ac:dyDescent="0.25">
      <c r="C1484" s="79"/>
      <c r="D1484" s="79"/>
      <c r="E1484" s="47">
        <v>2868.4734788321898</v>
      </c>
      <c r="F1484" s="47">
        <v>5708.8931586442404</v>
      </c>
    </row>
    <row r="1485" spans="3:6" x14ac:dyDescent="0.25">
      <c r="C1485" s="79"/>
      <c r="D1485" s="79"/>
      <c r="E1485" s="47">
        <v>2898.78976569719</v>
      </c>
      <c r="F1485" s="47">
        <v>5724.4825253321596</v>
      </c>
    </row>
    <row r="1486" spans="3:6" x14ac:dyDescent="0.25">
      <c r="C1486" s="79"/>
      <c r="D1486" s="79"/>
      <c r="E1486" s="47">
        <v>2934.4502366986799</v>
      </c>
      <c r="F1486" s="47">
        <v>5740.0336903407297</v>
      </c>
    </row>
    <row r="1487" spans="3:6" x14ac:dyDescent="0.25">
      <c r="C1487" s="79"/>
      <c r="D1487" s="79">
        <v>800</v>
      </c>
      <c r="E1487" s="47">
        <v>2786.9159448883202</v>
      </c>
      <c r="F1487" s="47">
        <v>5783.5049785396304</v>
      </c>
    </row>
    <row r="1488" spans="3:6" x14ac:dyDescent="0.25">
      <c r="C1488" s="79"/>
      <c r="D1488" s="79"/>
      <c r="E1488" s="47">
        <v>2800.2960146799801</v>
      </c>
      <c r="F1488" s="47">
        <v>5878.2801559810196</v>
      </c>
    </row>
    <row r="1489" spans="3:6" x14ac:dyDescent="0.25">
      <c r="C1489" s="79"/>
      <c r="D1489" s="79"/>
      <c r="E1489" s="47">
        <v>2812.2188730225798</v>
      </c>
      <c r="F1489" s="47">
        <v>5938.6462597364698</v>
      </c>
    </row>
    <row r="1490" spans="3:6" x14ac:dyDescent="0.25">
      <c r="C1490" s="79"/>
      <c r="D1490" s="79"/>
      <c r="E1490" s="47">
        <v>2824.9049060236498</v>
      </c>
      <c r="F1490" s="47">
        <v>5980.6297843191396</v>
      </c>
    </row>
    <row r="1491" spans="3:6" x14ac:dyDescent="0.25">
      <c r="C1491" s="79"/>
      <c r="D1491" s="79"/>
      <c r="E1491" s="47">
        <v>2839.63431498216</v>
      </c>
      <c r="F1491" s="47">
        <v>6011.9794595153899</v>
      </c>
    </row>
    <row r="1492" spans="3:6" x14ac:dyDescent="0.25">
      <c r="C1492" s="79"/>
      <c r="D1492" s="79"/>
      <c r="E1492" s="47">
        <v>2857.2645142207998</v>
      </c>
      <c r="F1492" s="47">
        <v>6036.8530369907303</v>
      </c>
    </row>
    <row r="1493" spans="3:6" x14ac:dyDescent="0.25">
      <c r="C1493" s="79"/>
      <c r="D1493" s="79"/>
      <c r="E1493" s="47">
        <v>2878.50236182144</v>
      </c>
      <c r="F1493" s="47">
        <v>6057.82023445507</v>
      </c>
    </row>
    <row r="1494" spans="3:6" x14ac:dyDescent="0.25">
      <c r="C1494" s="79"/>
      <c r="D1494" s="79"/>
      <c r="E1494" s="47">
        <v>2903.9670320340101</v>
      </c>
      <c r="F1494" s="47">
        <v>6076.5453605703296</v>
      </c>
    </row>
    <row r="1495" spans="3:6" x14ac:dyDescent="0.25">
      <c r="C1495" s="79"/>
      <c r="D1495" s="79"/>
      <c r="E1495" s="47">
        <v>2934.2221967489099</v>
      </c>
      <c r="F1495" s="47">
        <v>6094.18009969994</v>
      </c>
    </row>
    <row r="1496" spans="3:6" x14ac:dyDescent="0.25">
      <c r="C1496" s="79"/>
      <c r="D1496" s="79"/>
      <c r="E1496" s="47">
        <v>2969.7996865165101</v>
      </c>
      <c r="F1496" s="47">
        <v>6111.5539688749705</v>
      </c>
    </row>
    <row r="1497" spans="3:6" x14ac:dyDescent="0.25">
      <c r="C1497" s="79"/>
      <c r="D1497" s="79">
        <v>900</v>
      </c>
      <c r="E1497" s="47">
        <v>2819.1236838505902</v>
      </c>
      <c r="F1497" s="47">
        <v>6125.9369820075799</v>
      </c>
    </row>
    <row r="1498" spans="3:6" x14ac:dyDescent="0.25">
      <c r="C1498" s="79"/>
      <c r="D1498" s="79"/>
      <c r="E1498" s="47">
        <v>2832.1493541140699</v>
      </c>
      <c r="F1498" s="47">
        <v>6232.0164817468403</v>
      </c>
    </row>
    <row r="1499" spans="3:6" x14ac:dyDescent="0.25">
      <c r="C1499" s="79"/>
      <c r="D1499" s="79"/>
      <c r="E1499" s="47">
        <v>2843.8641209642301</v>
      </c>
      <c r="F1499" s="47">
        <v>6299.90834446186</v>
      </c>
    </row>
    <row r="1500" spans="3:6" x14ac:dyDescent="0.25">
      <c r="C1500" s="79"/>
      <c r="D1500" s="79"/>
      <c r="E1500" s="47">
        <v>2856.4138810303498</v>
      </c>
      <c r="F1500" s="47">
        <v>6347.3583244807596</v>
      </c>
    </row>
    <row r="1501" spans="3:6" x14ac:dyDescent="0.25">
      <c r="C1501" s="79"/>
      <c r="D1501" s="79"/>
      <c r="E1501" s="47">
        <v>2871.0396402125598</v>
      </c>
      <c r="F1501" s="47">
        <v>6382.8989559409702</v>
      </c>
    </row>
    <row r="1502" spans="3:6" x14ac:dyDescent="0.25">
      <c r="C1502" s="79"/>
      <c r="D1502" s="79"/>
      <c r="E1502" s="47">
        <v>2888.5912778411198</v>
      </c>
      <c r="F1502" s="47">
        <v>6411.15575235908</v>
      </c>
    </row>
    <row r="1503" spans="3:6" x14ac:dyDescent="0.25">
      <c r="C1503" s="79"/>
      <c r="D1503" s="79"/>
      <c r="E1503" s="47">
        <v>2909.7589290127798</v>
      </c>
      <c r="F1503" s="47">
        <v>6434.9233678197998</v>
      </c>
    </row>
    <row r="1504" spans="3:6" x14ac:dyDescent="0.25">
      <c r="C1504" s="79"/>
      <c r="D1504" s="79"/>
      <c r="E1504" s="47">
        <v>2935.14899590298</v>
      </c>
      <c r="F1504" s="47">
        <v>6456.0282698890196</v>
      </c>
    </row>
    <row r="1505" spans="3:6" x14ac:dyDescent="0.25">
      <c r="C1505" s="79"/>
      <c r="D1505" s="79"/>
      <c r="E1505" s="47">
        <v>2965.31492084211</v>
      </c>
      <c r="F1505" s="47">
        <v>6475.7295636028202</v>
      </c>
    </row>
    <row r="1506" spans="3:6" x14ac:dyDescent="0.25">
      <c r="C1506" s="79"/>
      <c r="D1506" s="79"/>
      <c r="E1506" s="47">
        <v>3000.7872561668801</v>
      </c>
      <c r="F1506" s="47">
        <v>6494.9393641573497</v>
      </c>
    </row>
    <row r="1507" spans="3:6" x14ac:dyDescent="0.25">
      <c r="C1507" s="79"/>
      <c r="D1507" s="79">
        <v>1000</v>
      </c>
      <c r="E1507" s="47">
        <v>2847.56747305413</v>
      </c>
      <c r="F1507" s="47">
        <v>6477.2610284140701</v>
      </c>
    </row>
    <row r="1508" spans="3:6" x14ac:dyDescent="0.25">
      <c r="C1508" s="79"/>
      <c r="D1508" s="79"/>
      <c r="E1508" s="47">
        <v>2860.12423146939</v>
      </c>
      <c r="F1508" s="47">
        <v>6594.9103175300097</v>
      </c>
    </row>
    <row r="1509" spans="3:6" x14ac:dyDescent="0.25">
      <c r="C1509" s="79"/>
      <c r="D1509" s="79"/>
      <c r="E1509" s="47">
        <v>2871.5539053197699</v>
      </c>
      <c r="F1509" s="47">
        <v>6670.5933367869102</v>
      </c>
    </row>
    <row r="1510" spans="3:6" x14ac:dyDescent="0.25">
      <c r="C1510" s="79"/>
      <c r="D1510" s="79"/>
      <c r="E1510" s="47">
        <v>2883.9152333512002</v>
      </c>
      <c r="F1510" s="47">
        <v>6723.74159194003</v>
      </c>
    </row>
    <row r="1511" spans="3:6" x14ac:dyDescent="0.25">
      <c r="C1511" s="79"/>
      <c r="D1511" s="79"/>
      <c r="E1511" s="47">
        <v>2898.4023537081298</v>
      </c>
      <c r="F1511" s="47">
        <v>6763.69535738176</v>
      </c>
    </row>
    <row r="1512" spans="3:6" x14ac:dyDescent="0.25">
      <c r="C1512" s="79"/>
      <c r="D1512" s="79"/>
      <c r="E1512" s="47">
        <v>2915.8444240693998</v>
      </c>
      <c r="F1512" s="47">
        <v>6795.5160177526604</v>
      </c>
    </row>
    <row r="1513" spans="3:6" x14ac:dyDescent="0.25">
      <c r="C1513" s="79"/>
      <c r="D1513" s="79"/>
      <c r="E1513" s="47">
        <v>2936.9125147462601</v>
      </c>
      <c r="F1513" s="47">
        <v>6822.2443493023302</v>
      </c>
    </row>
    <row r="1514" spans="3:6" x14ac:dyDescent="0.25">
      <c r="C1514" s="79"/>
      <c r="D1514" s="79"/>
      <c r="E1514" s="47">
        <v>2962.2068983537501</v>
      </c>
      <c r="F1514" s="47">
        <v>6845.88368110386</v>
      </c>
    </row>
    <row r="1515" spans="3:6" x14ac:dyDescent="0.25">
      <c r="C1515" s="79"/>
      <c r="D1515" s="79"/>
      <c r="E1515" s="47">
        <v>2992.2734589545498</v>
      </c>
      <c r="F1515" s="47">
        <v>6867.80408746182</v>
      </c>
    </row>
    <row r="1516" spans="3:6" x14ac:dyDescent="0.25">
      <c r="C1516" s="79"/>
      <c r="D1516" s="79"/>
      <c r="E1516" s="47">
        <v>3027.6374323762502</v>
      </c>
      <c r="F1516" s="47">
        <v>6888.9990386814698</v>
      </c>
    </row>
    <row r="1517" spans="3:6" x14ac:dyDescent="0.25">
      <c r="C1517" s="79"/>
      <c r="D1517" s="79">
        <v>1100</v>
      </c>
      <c r="E1517" s="47">
        <v>2872.5241449002301</v>
      </c>
      <c r="F1517" s="47">
        <v>6837.6915716916901</v>
      </c>
    </row>
    <row r="1518" spans="3:6" x14ac:dyDescent="0.25">
      <c r="C1518" s="79"/>
      <c r="D1518" s="79"/>
      <c r="E1518" s="47">
        <v>2884.59263626447</v>
      </c>
      <c r="F1518" s="47">
        <v>6968.0921997284104</v>
      </c>
    </row>
    <row r="1519" spans="3:6" x14ac:dyDescent="0.25">
      <c r="C1519" s="79"/>
      <c r="D1519" s="79"/>
      <c r="E1519" s="47">
        <v>2895.6922804426999</v>
      </c>
      <c r="F1519" s="47">
        <v>7052.1668849928601</v>
      </c>
    </row>
    <row r="1520" spans="3:6" x14ac:dyDescent="0.25">
      <c r="C1520" s="79"/>
      <c r="D1520" s="79"/>
      <c r="E1520" s="47">
        <v>2907.8230882947501</v>
      </c>
      <c r="F1520" s="47">
        <v>7111.3558081352203</v>
      </c>
    </row>
    <row r="1521" spans="3:6" x14ac:dyDescent="0.25">
      <c r="C1521" s="79"/>
      <c r="D1521" s="79"/>
      <c r="E1521" s="47">
        <v>2922.1378683510002</v>
      </c>
      <c r="F1521" s="47">
        <v>7155.9375083985797</v>
      </c>
    </row>
    <row r="1522" spans="3:6" x14ac:dyDescent="0.25">
      <c r="C1522" s="79"/>
      <c r="D1522" s="79"/>
      <c r="E1522" s="47">
        <v>2939.4368044130001</v>
      </c>
      <c r="F1522" s="47">
        <v>7191.4393928076497</v>
      </c>
    </row>
    <row r="1523" spans="3:6" x14ac:dyDescent="0.25">
      <c r="C1523" s="79"/>
      <c r="D1523" s="79"/>
      <c r="E1523" s="47">
        <v>2960.38086551886</v>
      </c>
      <c r="F1523" s="47">
        <v>7221.2157035239798</v>
      </c>
    </row>
    <row r="1524" spans="3:6" x14ac:dyDescent="0.25">
      <c r="C1524" s="79"/>
      <c r="D1524" s="79"/>
      <c r="E1524" s="47">
        <v>2985.5557662231499</v>
      </c>
      <c r="F1524" s="47">
        <v>7247.4373013104196</v>
      </c>
    </row>
    <row r="1525" spans="3:6" x14ac:dyDescent="0.25">
      <c r="C1525" s="79"/>
      <c r="D1525" s="79"/>
      <c r="E1525" s="47">
        <v>3015.5025741136701</v>
      </c>
      <c r="F1525" s="47">
        <v>7271.60152072235</v>
      </c>
    </row>
    <row r="1526" spans="3:6" x14ac:dyDescent="0.25">
      <c r="C1526" s="79"/>
      <c r="D1526" s="79"/>
      <c r="E1526" s="47">
        <v>3050.7396916282601</v>
      </c>
      <c r="F1526" s="47">
        <v>7294.7852484210998</v>
      </c>
    </row>
    <row r="1527" spans="3:6" x14ac:dyDescent="0.25">
      <c r="C1527" s="79"/>
      <c r="D1527" s="79">
        <v>1200</v>
      </c>
      <c r="E1527" s="47">
        <v>2894.2496874684898</v>
      </c>
      <c r="F1527" s="47">
        <v>7207.0413081512797</v>
      </c>
    </row>
    <row r="1528" spans="3:6" x14ac:dyDescent="0.25">
      <c r="C1528" s="79"/>
      <c r="D1528" s="79"/>
      <c r="E1528" s="47">
        <v>2905.7194989150298</v>
      </c>
      <c r="F1528" s="47">
        <v>7350.2463426564</v>
      </c>
    </row>
    <row r="1529" spans="3:6" x14ac:dyDescent="0.25">
      <c r="C1529" s="79"/>
      <c r="D1529" s="79"/>
      <c r="E1529" s="47">
        <v>2916.44557458602</v>
      </c>
      <c r="F1529" s="47">
        <v>7442.87870039278</v>
      </c>
    </row>
    <row r="1530" spans="3:6" x14ac:dyDescent="0.25">
      <c r="C1530" s="79"/>
      <c r="D1530" s="79"/>
      <c r="E1530" s="47">
        <v>2928.3136830868302</v>
      </c>
      <c r="F1530" s="47">
        <v>7508.2984633139604</v>
      </c>
    </row>
    <row r="1531" spans="3:6" x14ac:dyDescent="0.25">
      <c r="C1531" s="79"/>
      <c r="D1531" s="79"/>
      <c r="E1531" s="47">
        <v>2942.4235766192101</v>
      </c>
      <c r="F1531" s="47">
        <v>7557.6655614842102</v>
      </c>
    </row>
    <row r="1532" spans="3:6" x14ac:dyDescent="0.25">
      <c r="C1532" s="79"/>
      <c r="D1532" s="79"/>
      <c r="E1532" s="47">
        <v>2959.5551174954999</v>
      </c>
      <c r="F1532" s="47">
        <v>7597.01012922264</v>
      </c>
    </row>
    <row r="1533" spans="3:6" x14ac:dyDescent="0.25">
      <c r="C1533" s="79"/>
      <c r="D1533" s="79"/>
      <c r="E1533" s="47">
        <v>2980.3572081515999</v>
      </c>
      <c r="F1533" s="47">
        <v>7629.9740766470904</v>
      </c>
    </row>
    <row r="1534" spans="3:6" x14ac:dyDescent="0.25">
      <c r="C1534" s="79"/>
      <c r="D1534" s="79"/>
      <c r="E1534" s="47">
        <v>3005.3989542089498</v>
      </c>
      <c r="F1534" s="47">
        <v>7658.9118027235399</v>
      </c>
    </row>
    <row r="1535" spans="3:6" x14ac:dyDescent="0.25">
      <c r="C1535" s="79"/>
      <c r="D1535" s="79"/>
      <c r="E1535" s="47">
        <v>3035.2182215110902</v>
      </c>
      <c r="F1535" s="47">
        <v>7685.4553075428503</v>
      </c>
    </row>
    <row r="1536" spans="3:6" x14ac:dyDescent="0.25">
      <c r="C1536" s="79"/>
      <c r="D1536" s="79"/>
      <c r="E1536" s="47">
        <v>3070.32764504632</v>
      </c>
      <c r="F1536" s="47">
        <v>7710.80684900703</v>
      </c>
    </row>
    <row r="1537" spans="3:6" x14ac:dyDescent="0.25">
      <c r="C1537" s="79">
        <v>-15</v>
      </c>
      <c r="D1537" s="79">
        <v>500</v>
      </c>
      <c r="E1537" s="47">
        <v>2761.27426223256</v>
      </c>
      <c r="F1537" s="47">
        <v>5379.97346959682</v>
      </c>
    </row>
    <row r="1538" spans="3:6" x14ac:dyDescent="0.25">
      <c r="C1538" s="79"/>
      <c r="D1538" s="79"/>
      <c r="E1538" s="47">
        <v>2761.27426223256</v>
      </c>
      <c r="F1538" s="47">
        <v>5379.97346959682</v>
      </c>
    </row>
    <row r="1539" spans="3:6" x14ac:dyDescent="0.25">
      <c r="C1539" s="79"/>
      <c r="D1539" s="79"/>
      <c r="E1539" s="47">
        <v>2761.27426223256</v>
      </c>
      <c r="F1539" s="47">
        <v>5379.97346959682</v>
      </c>
    </row>
    <row r="1540" spans="3:6" x14ac:dyDescent="0.25">
      <c r="C1540" s="79"/>
      <c r="D1540" s="79"/>
      <c r="E1540" s="47">
        <v>2761.27426223256</v>
      </c>
      <c r="F1540" s="47">
        <v>5379.97346959682</v>
      </c>
    </row>
    <row r="1541" spans="3:6" x14ac:dyDescent="0.25">
      <c r="C1541" s="79"/>
      <c r="D1541" s="79"/>
      <c r="E1541" s="47">
        <v>2776.0287958479898</v>
      </c>
      <c r="F1541" s="47">
        <v>5404.49810184123</v>
      </c>
    </row>
    <row r="1542" spans="3:6" x14ac:dyDescent="0.25">
      <c r="C1542" s="79"/>
      <c r="D1542" s="79"/>
      <c r="E1542" s="47">
        <v>2793.6897334745699</v>
      </c>
      <c r="F1542" s="47">
        <v>5423.8992654345902</v>
      </c>
    </row>
    <row r="1543" spans="3:6" x14ac:dyDescent="0.25">
      <c r="C1543" s="79"/>
      <c r="D1543" s="79"/>
      <c r="E1543" s="47">
        <v>2814.97538610233</v>
      </c>
      <c r="F1543" s="47">
        <v>5440.3364760192098</v>
      </c>
    </row>
    <row r="1544" spans="3:6" x14ac:dyDescent="0.25">
      <c r="C1544" s="79"/>
      <c r="D1544" s="79"/>
      <c r="E1544" s="47">
        <v>2840.5115174968801</v>
      </c>
      <c r="F1544" s="47">
        <v>5455.2133087250904</v>
      </c>
    </row>
    <row r="1545" spans="3:6" x14ac:dyDescent="0.25">
      <c r="C1545" s="79"/>
      <c r="D1545" s="79"/>
      <c r="E1545" s="47">
        <v>2870.8703412212699</v>
      </c>
      <c r="F1545" s="47">
        <v>5469.5024418705198</v>
      </c>
    </row>
    <row r="1546" spans="3:6" x14ac:dyDescent="0.25">
      <c r="C1546" s="79"/>
      <c r="D1546" s="79"/>
      <c r="E1546" s="47">
        <v>2906.59160735559</v>
      </c>
      <c r="F1546" s="47">
        <v>5483.9071917443698</v>
      </c>
    </row>
    <row r="1547" spans="3:6" x14ac:dyDescent="0.25">
      <c r="C1547" s="79"/>
      <c r="D1547" s="79">
        <v>600</v>
      </c>
      <c r="E1547" s="47">
        <v>2761.79933077843</v>
      </c>
      <c r="F1547" s="47">
        <v>5547.3338327152996</v>
      </c>
    </row>
    <row r="1548" spans="3:6" x14ac:dyDescent="0.25">
      <c r="C1548" s="79"/>
      <c r="D1548" s="79"/>
      <c r="E1548" s="47">
        <v>2775.3732832148899</v>
      </c>
      <c r="F1548" s="47">
        <v>5634.7100616443404</v>
      </c>
    </row>
    <row r="1549" spans="3:6" x14ac:dyDescent="0.25">
      <c r="C1549" s="79"/>
      <c r="D1549" s="79"/>
      <c r="E1549" s="47">
        <v>2787.4122548637401</v>
      </c>
      <c r="F1549" s="47">
        <v>5690.0947967155498</v>
      </c>
    </row>
    <row r="1550" spans="3:6" x14ac:dyDescent="0.25">
      <c r="C1550" s="79"/>
      <c r="D1550" s="79"/>
      <c r="E1550" s="47">
        <v>2800.16403134236</v>
      </c>
      <c r="F1550" s="47">
        <v>5728.4140924195299</v>
      </c>
    </row>
    <row r="1551" spans="3:6" x14ac:dyDescent="0.25">
      <c r="C1551" s="79"/>
      <c r="D1551" s="79"/>
      <c r="E1551" s="47">
        <v>2814.9152640698298</v>
      </c>
      <c r="F1551" s="47">
        <v>5756.8541379527296</v>
      </c>
    </row>
    <row r="1552" spans="3:6" x14ac:dyDescent="0.25">
      <c r="C1552" s="79"/>
      <c r="D1552" s="79"/>
      <c r="E1552" s="47">
        <v>2832.5630113869202</v>
      </c>
      <c r="F1552" s="47">
        <v>5779.3734754645602</v>
      </c>
    </row>
    <row r="1553" spans="3:6" x14ac:dyDescent="0.25">
      <c r="C1553" s="79"/>
      <c r="D1553" s="79"/>
      <c r="E1553" s="47">
        <v>2853.8295146354899</v>
      </c>
      <c r="F1553" s="47">
        <v>5798.3937490606504</v>
      </c>
    </row>
    <row r="1554" spans="3:6" x14ac:dyDescent="0.25">
      <c r="C1554" s="79"/>
      <c r="D1554" s="79"/>
      <c r="E1554" s="47">
        <v>2879.3361696413699</v>
      </c>
      <c r="F1554" s="47">
        <v>5815.4827258259302</v>
      </c>
    </row>
    <row r="1555" spans="3:6" x14ac:dyDescent="0.25">
      <c r="C1555" s="79"/>
      <c r="D1555" s="79"/>
      <c r="E1555" s="47">
        <v>2909.6450967779301</v>
      </c>
      <c r="F1555" s="47">
        <v>5831.6905283123597</v>
      </c>
    </row>
    <row r="1556" spans="3:6" x14ac:dyDescent="0.25">
      <c r="C1556" s="79"/>
      <c r="D1556" s="79"/>
      <c r="E1556" s="47">
        <v>2945.2889305481599</v>
      </c>
      <c r="F1556" s="47">
        <v>5847.7895044687102</v>
      </c>
    </row>
    <row r="1557" spans="3:6" x14ac:dyDescent="0.25">
      <c r="C1557" s="79"/>
      <c r="D1557" s="79">
        <v>700</v>
      </c>
      <c r="E1557" s="47">
        <v>2796.80298974787</v>
      </c>
      <c r="F1557" s="47">
        <v>5883.2866870590397</v>
      </c>
    </row>
    <row r="1558" spans="3:6" x14ac:dyDescent="0.25">
      <c r="C1558" s="79"/>
      <c r="D1558" s="79"/>
      <c r="E1558" s="47">
        <v>2810.05662708618</v>
      </c>
      <c r="F1558" s="47">
        <v>5981.1121792700797</v>
      </c>
    </row>
    <row r="1559" spans="3:6" x14ac:dyDescent="0.25">
      <c r="C1559" s="79"/>
      <c r="D1559" s="79"/>
      <c r="E1559" s="47">
        <v>2821.9334431125799</v>
      </c>
      <c r="F1559" s="47">
        <v>6043.6009892161901</v>
      </c>
    </row>
    <row r="1560" spans="3:6" x14ac:dyDescent="0.25">
      <c r="C1560" s="79"/>
      <c r="D1560" s="79"/>
      <c r="E1560" s="47">
        <v>2834.5865894813101</v>
      </c>
      <c r="F1560" s="47">
        <v>6087.1532700428597</v>
      </c>
    </row>
    <row r="1561" spans="3:6" x14ac:dyDescent="0.25">
      <c r="C1561" s="79"/>
      <c r="D1561" s="79"/>
      <c r="E1561" s="47">
        <v>2849.2751599356202</v>
      </c>
      <c r="F1561" s="47">
        <v>6119.6672179166899</v>
      </c>
    </row>
    <row r="1562" spans="3:6" x14ac:dyDescent="0.25">
      <c r="C1562" s="79"/>
      <c r="D1562" s="79"/>
      <c r="E1562" s="47">
        <v>2866.8754819723899</v>
      </c>
      <c r="F1562" s="47">
        <v>6145.4868434508198</v>
      </c>
    </row>
    <row r="1563" spans="3:6" x14ac:dyDescent="0.25">
      <c r="C1563" s="79"/>
      <c r="D1563" s="79"/>
      <c r="E1563" s="47">
        <v>2888.0884278436702</v>
      </c>
      <c r="F1563" s="47">
        <v>6167.2368280035798</v>
      </c>
    </row>
    <row r="1564" spans="3:6" x14ac:dyDescent="0.25">
      <c r="C1564" s="79"/>
      <c r="D1564" s="79"/>
      <c r="E1564" s="47">
        <v>2913.5381885400002</v>
      </c>
      <c r="F1564" s="47">
        <v>6186.6685197178303</v>
      </c>
    </row>
    <row r="1565" spans="3:6" x14ac:dyDescent="0.25">
      <c r="C1565" s="79"/>
      <c r="D1565" s="79"/>
      <c r="E1565" s="47">
        <v>2943.7748895036598</v>
      </c>
      <c r="F1565" s="47">
        <v>6204.9234266875101</v>
      </c>
    </row>
    <row r="1566" spans="3:6" x14ac:dyDescent="0.25">
      <c r="C1566" s="79"/>
      <c r="D1566" s="79"/>
      <c r="E1566" s="47">
        <v>2979.3296000154201</v>
      </c>
      <c r="F1566" s="47">
        <v>6222.8539353577298</v>
      </c>
    </row>
    <row r="1567" spans="3:6" x14ac:dyDescent="0.25">
      <c r="C1567" s="79"/>
      <c r="D1567" s="79">
        <v>800</v>
      </c>
      <c r="E1567" s="47">
        <v>2827.8227414671901</v>
      </c>
      <c r="F1567" s="47">
        <v>6227.8425777922203</v>
      </c>
    </row>
    <row r="1568" spans="3:6" x14ac:dyDescent="0.25">
      <c r="C1568" s="79"/>
      <c r="D1568" s="79"/>
      <c r="E1568" s="47">
        <v>2840.72405768526</v>
      </c>
      <c r="F1568" s="47">
        <v>6337.2804322681004</v>
      </c>
    </row>
    <row r="1569" spans="3:6" x14ac:dyDescent="0.25">
      <c r="C1569" s="79"/>
      <c r="D1569" s="79"/>
      <c r="E1569" s="47">
        <v>2852.3698616208198</v>
      </c>
      <c r="F1569" s="47">
        <v>6407.4543926219503</v>
      </c>
    </row>
    <row r="1570" spans="3:6" x14ac:dyDescent="0.25">
      <c r="C1570" s="79"/>
      <c r="D1570" s="79"/>
      <c r="E1570" s="47">
        <v>2864.8824778672101</v>
      </c>
      <c r="F1570" s="47">
        <v>6456.59348499712</v>
      </c>
    </row>
    <row r="1571" spans="3:6" x14ac:dyDescent="0.25">
      <c r="C1571" s="79"/>
      <c r="D1571" s="79"/>
      <c r="E1571" s="47">
        <v>2879.46300879521</v>
      </c>
      <c r="F1571" s="47">
        <v>6493.4036916615296</v>
      </c>
    </row>
    <row r="1572" spans="3:6" x14ac:dyDescent="0.25">
      <c r="C1572" s="79"/>
      <c r="D1572" s="79"/>
      <c r="E1572" s="47">
        <v>2896.9753866300498</v>
      </c>
      <c r="F1572" s="47">
        <v>6522.6675196245196</v>
      </c>
    </row>
    <row r="1573" spans="3:6" x14ac:dyDescent="0.25">
      <c r="C1573" s="79"/>
      <c r="D1573" s="79"/>
      <c r="E1573" s="47">
        <v>2918.1080280768902</v>
      </c>
      <c r="F1573" s="47">
        <v>6547.2683058520897</v>
      </c>
    </row>
    <row r="1574" spans="3:6" x14ac:dyDescent="0.25">
      <c r="C1574" s="79"/>
      <c r="D1574" s="79"/>
      <c r="E1574" s="47">
        <v>2943.4730452440199</v>
      </c>
      <c r="F1574" s="47">
        <v>6569.1286375475102</v>
      </c>
    </row>
    <row r="1575" spans="3:6" x14ac:dyDescent="0.25">
      <c r="C1575" s="79"/>
      <c r="D1575" s="79"/>
      <c r="E1575" s="47">
        <v>2973.6162477019402</v>
      </c>
      <c r="F1575" s="47">
        <v>6589.4969319376596</v>
      </c>
    </row>
    <row r="1576" spans="3:6" x14ac:dyDescent="0.25">
      <c r="C1576" s="79"/>
      <c r="D1576" s="79"/>
      <c r="E1576" s="47">
        <v>3009.0621441513599</v>
      </c>
      <c r="F1576" s="47">
        <v>6609.3036694434304</v>
      </c>
    </row>
    <row r="1577" spans="3:6" x14ac:dyDescent="0.25">
      <c r="C1577" s="79"/>
      <c r="D1577" s="79">
        <v>900</v>
      </c>
      <c r="E1577" s="47">
        <v>2855.2589593798598</v>
      </c>
      <c r="F1577" s="47">
        <v>6582.4764966450703</v>
      </c>
    </row>
    <row r="1578" spans="3:6" x14ac:dyDescent="0.25">
      <c r="C1578" s="79"/>
      <c r="D1578" s="79"/>
      <c r="E1578" s="47">
        <v>2867.6680841840898</v>
      </c>
      <c r="F1578" s="47">
        <v>6703.5753356715104</v>
      </c>
    </row>
    <row r="1579" spans="3:6" x14ac:dyDescent="0.25">
      <c r="C1579" s="79"/>
      <c r="D1579" s="79"/>
      <c r="E1579" s="47">
        <v>2879.00349884361</v>
      </c>
      <c r="F1579" s="47">
        <v>6781.5682917747199</v>
      </c>
    </row>
    <row r="1580" spans="3:6" x14ac:dyDescent="0.25">
      <c r="C1580" s="79"/>
      <c r="D1580" s="79"/>
      <c r="E1580" s="47">
        <v>2891.3079828058699</v>
      </c>
      <c r="F1580" s="47">
        <v>6836.4306170256896</v>
      </c>
    </row>
    <row r="1581" spans="3:6" x14ac:dyDescent="0.25">
      <c r="C1581" s="79"/>
      <c r="D1581" s="79"/>
      <c r="E1581" s="47">
        <v>2905.7427785575001</v>
      </c>
      <c r="F1581" s="47">
        <v>6877.6710971791899</v>
      </c>
    </row>
    <row r="1582" spans="3:6" x14ac:dyDescent="0.25">
      <c r="C1582" s="79"/>
      <c r="D1582" s="79"/>
      <c r="E1582" s="47">
        <v>2923.1394465827302</v>
      </c>
      <c r="F1582" s="47">
        <v>6910.5089463166996</v>
      </c>
    </row>
    <row r="1583" spans="3:6" x14ac:dyDescent="0.25">
      <c r="C1583" s="79"/>
      <c r="D1583" s="79"/>
      <c r="E1583" s="47">
        <v>2944.1742731095101</v>
      </c>
      <c r="F1583" s="47">
        <v>6938.1131476839701</v>
      </c>
    </row>
    <row r="1584" spans="3:6" x14ac:dyDescent="0.25">
      <c r="C1584" s="79"/>
      <c r="D1584" s="79"/>
      <c r="E1584" s="47">
        <v>2969.43470481452</v>
      </c>
      <c r="F1584" s="47">
        <v>6962.5190118513201</v>
      </c>
    </row>
    <row r="1585" spans="3:6" x14ac:dyDescent="0.25">
      <c r="C1585" s="79"/>
      <c r="D1585" s="79"/>
      <c r="E1585" s="47">
        <v>2999.4685808559302</v>
      </c>
      <c r="F1585" s="47">
        <v>6985.1146858329002</v>
      </c>
    </row>
    <row r="1586" spans="3:6" x14ac:dyDescent="0.25">
      <c r="C1586" s="79"/>
      <c r="D1586" s="79"/>
      <c r="E1586" s="47">
        <v>3034.7967304744798</v>
      </c>
      <c r="F1586" s="47">
        <v>7006.9115260387598</v>
      </c>
    </row>
    <row r="1587" spans="3:6" x14ac:dyDescent="0.25">
      <c r="C1587" s="79"/>
      <c r="D1587" s="79">
        <v>1000</v>
      </c>
      <c r="E1587" s="47">
        <v>2879.2147973304</v>
      </c>
      <c r="F1587" s="47">
        <v>6944.9399399949498</v>
      </c>
    </row>
    <row r="1588" spans="3:6" x14ac:dyDescent="0.25">
      <c r="C1588" s="79"/>
      <c r="D1588" s="79"/>
      <c r="E1588" s="47">
        <v>2891.1027339625998</v>
      </c>
      <c r="F1588" s="47">
        <v>7079.0394371025204</v>
      </c>
    </row>
    <row r="1589" spans="3:6" x14ac:dyDescent="0.25">
      <c r="C1589" s="79"/>
      <c r="D1589" s="79"/>
      <c r="E1589" s="47">
        <v>2902.10147142183</v>
      </c>
      <c r="F1589" s="47">
        <v>7165.6290955408303</v>
      </c>
    </row>
    <row r="1590" spans="3:6" x14ac:dyDescent="0.25">
      <c r="C1590" s="79"/>
      <c r="D1590" s="79"/>
      <c r="E1590" s="47">
        <v>2914.1666933698298</v>
      </c>
      <c r="F1590" s="47">
        <v>7226.6541042185299</v>
      </c>
    </row>
    <row r="1591" spans="3:6" x14ac:dyDescent="0.25">
      <c r="C1591" s="79"/>
      <c r="D1591" s="79"/>
      <c r="E1591" s="47">
        <v>2928.4214527623899</v>
      </c>
      <c r="F1591" s="47">
        <v>7272.6007908765396</v>
      </c>
    </row>
    <row r="1592" spans="3:6" x14ac:dyDescent="0.25">
      <c r="C1592" s="79"/>
      <c r="D1592" s="79"/>
      <c r="E1592" s="47">
        <v>2945.67345671465</v>
      </c>
      <c r="F1592" s="47">
        <v>7309.2006524472899</v>
      </c>
    </row>
    <row r="1593" spans="3:6" x14ac:dyDescent="0.25">
      <c r="C1593" s="79"/>
      <c r="D1593" s="79"/>
      <c r="E1593" s="47">
        <v>2966.5822700845802</v>
      </c>
      <c r="F1593" s="47">
        <v>7339.9275313538701</v>
      </c>
    </row>
    <row r="1594" spans="3:6" x14ac:dyDescent="0.25">
      <c r="C1594" s="79"/>
      <c r="D1594" s="79"/>
      <c r="E1594" s="47">
        <v>2991.7253385716199</v>
      </c>
      <c r="F1594" s="47">
        <v>7366.96828671197</v>
      </c>
    </row>
    <row r="1595" spans="3:6" x14ac:dyDescent="0.25">
      <c r="C1595" s="79"/>
      <c r="D1595" s="79"/>
      <c r="E1595" s="47">
        <v>3021.6388654391399</v>
      </c>
      <c r="F1595" s="47">
        <v>7391.8472407222498</v>
      </c>
    </row>
    <row r="1596" spans="3:6" x14ac:dyDescent="0.25">
      <c r="C1596" s="79"/>
      <c r="D1596" s="79"/>
      <c r="E1596" s="47">
        <v>3056.8415850014399</v>
      </c>
      <c r="F1596" s="47">
        <v>7415.6703885118995</v>
      </c>
    </row>
    <row r="1597" spans="3:6" x14ac:dyDescent="0.25">
      <c r="C1597" s="79"/>
      <c r="D1597" s="79">
        <v>1100</v>
      </c>
      <c r="E1597" s="47">
        <v>2900.0668853407001</v>
      </c>
      <c r="F1597" s="47">
        <v>7317.4299034937303</v>
      </c>
    </row>
    <row r="1598" spans="3:6" x14ac:dyDescent="0.25">
      <c r="C1598" s="79"/>
      <c r="D1598" s="79"/>
      <c r="E1598" s="47">
        <v>2911.3535126908901</v>
      </c>
      <c r="F1598" s="47">
        <v>7464.4837181380499</v>
      </c>
    </row>
    <row r="1599" spans="3:6" x14ac:dyDescent="0.25">
      <c r="C1599" s="79"/>
      <c r="D1599" s="79"/>
      <c r="E1599" s="47">
        <v>2921.9465451323899</v>
      </c>
      <c r="F1599" s="47">
        <v>7559.6515774708396</v>
      </c>
    </row>
    <row r="1600" spans="3:6" x14ac:dyDescent="0.25">
      <c r="C1600" s="79"/>
      <c r="D1600" s="79"/>
      <c r="E1600" s="47">
        <v>2933.7245663087501</v>
      </c>
      <c r="F1600" s="47">
        <v>7626.9147958748899</v>
      </c>
    </row>
    <row r="1601" spans="3:6" x14ac:dyDescent="0.25">
      <c r="C1601" s="79"/>
      <c r="D1601" s="79"/>
      <c r="E1601" s="47">
        <v>2947.7652780365802</v>
      </c>
      <c r="F1601" s="47">
        <v>7677.66074204303</v>
      </c>
    </row>
    <row r="1602" spans="3:6" x14ac:dyDescent="0.25">
      <c r="C1602" s="79"/>
      <c r="D1602" s="79"/>
      <c r="E1602" s="47">
        <v>2964.8502226393998</v>
      </c>
      <c r="F1602" s="47">
        <v>7718.1515697086197</v>
      </c>
    </row>
    <row r="1603" spans="3:6" x14ac:dyDescent="0.25">
      <c r="C1603" s="79"/>
      <c r="D1603" s="79"/>
      <c r="E1603" s="47">
        <v>2985.6099717900802</v>
      </c>
      <c r="F1603" s="47">
        <v>7752.0791897811596</v>
      </c>
    </row>
    <row r="1604" spans="3:6" x14ac:dyDescent="0.25">
      <c r="C1604" s="79"/>
      <c r="D1604" s="79"/>
      <c r="E1604" s="47">
        <v>3010.6158742911998</v>
      </c>
      <c r="F1604" s="47">
        <v>7781.8473511520797</v>
      </c>
    </row>
    <row r="1605" spans="3:6" x14ac:dyDescent="0.25">
      <c r="C1605" s="79"/>
      <c r="D1605" s="79"/>
      <c r="E1605" s="47">
        <v>3040.3966130481799</v>
      </c>
      <c r="F1605" s="47">
        <v>7809.11218477695</v>
      </c>
    </row>
    <row r="1606" spans="3:6" x14ac:dyDescent="0.25">
      <c r="C1606" s="79"/>
      <c r="D1606" s="79"/>
      <c r="E1606" s="47">
        <v>3075.4632050075502</v>
      </c>
      <c r="F1606" s="47">
        <v>7835.0649935461997</v>
      </c>
    </row>
    <row r="1607" spans="3:6" x14ac:dyDescent="0.25">
      <c r="C1607" s="79"/>
      <c r="D1607" s="79">
        <v>1200</v>
      </c>
      <c r="E1607" s="47">
        <v>2917.94250494988</v>
      </c>
      <c r="F1607" s="47">
        <v>7697.4210631098304</v>
      </c>
    </row>
    <row r="1608" spans="3:6" x14ac:dyDescent="0.25">
      <c r="C1608" s="79"/>
      <c r="D1608" s="79"/>
      <c r="E1608" s="47">
        <v>2928.5846268843102</v>
      </c>
      <c r="F1608" s="47">
        <v>7858.78654988588</v>
      </c>
    </row>
    <row r="1609" spans="3:6" x14ac:dyDescent="0.25">
      <c r="C1609" s="79"/>
      <c r="D1609" s="79"/>
      <c r="E1609" s="47">
        <v>2938.7672265772198</v>
      </c>
      <c r="F1609" s="47">
        <v>7963.3777654427904</v>
      </c>
    </row>
    <row r="1610" spans="3:6" x14ac:dyDescent="0.25">
      <c r="C1610" s="79"/>
      <c r="D1610" s="79"/>
      <c r="E1610" s="47">
        <v>2950.25492983719</v>
      </c>
      <c r="F1610" s="47">
        <v>8037.3608075981801</v>
      </c>
    </row>
    <row r="1611" spans="3:6" x14ac:dyDescent="0.25">
      <c r="C1611" s="79"/>
      <c r="D1611" s="79"/>
      <c r="E1611" s="47">
        <v>2964.0739756769699</v>
      </c>
      <c r="F1611" s="47">
        <v>8093.2187246123403</v>
      </c>
    </row>
    <row r="1612" spans="3:6" x14ac:dyDescent="0.25">
      <c r="C1612" s="79"/>
      <c r="D1612" s="79"/>
      <c r="E1612" s="47">
        <v>2980.9654413155899</v>
      </c>
      <c r="F1612" s="47">
        <v>8137.7450815104603</v>
      </c>
    </row>
    <row r="1613" spans="3:6" x14ac:dyDescent="0.25">
      <c r="C1613" s="79"/>
      <c r="D1613" s="79"/>
      <c r="E1613" s="47">
        <v>3001.5608110232502</v>
      </c>
      <c r="F1613" s="47">
        <v>8174.9815145549701</v>
      </c>
    </row>
    <row r="1614" spans="3:6" x14ac:dyDescent="0.25">
      <c r="C1614" s="79"/>
      <c r="D1614" s="79"/>
      <c r="E1614" s="47">
        <v>3026.4147733268601</v>
      </c>
      <c r="F1614" s="47">
        <v>8207.5460837267892</v>
      </c>
    </row>
    <row r="1615" spans="3:6" x14ac:dyDescent="0.25">
      <c r="C1615" s="79"/>
      <c r="D1615" s="79"/>
      <c r="E1615" s="47">
        <v>3056.0516247628698</v>
      </c>
      <c r="F1615" s="47">
        <v>8237.2277945018195</v>
      </c>
    </row>
    <row r="1616" spans="3:6" x14ac:dyDescent="0.25">
      <c r="C1616" s="79"/>
      <c r="D1616" s="79"/>
      <c r="E1616" s="47">
        <v>3090.97640694244</v>
      </c>
      <c r="F1616" s="47">
        <v>8265.3444390405894</v>
      </c>
    </row>
    <row r="1617" spans="3:6" x14ac:dyDescent="0.25">
      <c r="C1617" s="79">
        <v>-10</v>
      </c>
      <c r="D1617" s="79">
        <v>400</v>
      </c>
      <c r="E1617" s="47">
        <v>2748.3074740647698</v>
      </c>
      <c r="F1617" s="47">
        <v>5396.14310493022</v>
      </c>
    </row>
    <row r="1618" spans="3:6" x14ac:dyDescent="0.25">
      <c r="C1618" s="79"/>
      <c r="D1618" s="79"/>
      <c r="E1618" s="47">
        <v>2748.3074740647698</v>
      </c>
      <c r="F1618" s="47">
        <v>5396.14310493022</v>
      </c>
    </row>
    <row r="1619" spans="3:6" x14ac:dyDescent="0.25">
      <c r="C1619" s="79"/>
      <c r="D1619" s="79"/>
      <c r="E1619" s="47">
        <v>2760.3996055959301</v>
      </c>
      <c r="F1619" s="47">
        <v>5446.5608486500896</v>
      </c>
    </row>
    <row r="1620" spans="3:6" x14ac:dyDescent="0.25">
      <c r="C1620" s="79"/>
      <c r="D1620" s="79"/>
      <c r="E1620" s="47">
        <v>2773.1833335077599</v>
      </c>
      <c r="F1620" s="47">
        <v>5481.2737376448604</v>
      </c>
    </row>
    <row r="1621" spans="3:6" x14ac:dyDescent="0.25">
      <c r="C1621" s="79"/>
      <c r="D1621" s="79"/>
      <c r="E1621" s="47">
        <v>2787.9511417418898</v>
      </c>
      <c r="F1621" s="47">
        <v>5506.9327422926699</v>
      </c>
    </row>
    <row r="1622" spans="3:6" x14ac:dyDescent="0.25">
      <c r="C1622" s="79"/>
      <c r="D1622" s="79"/>
      <c r="E1622" s="47">
        <v>2805.6117513381801</v>
      </c>
      <c r="F1622" s="47">
        <v>5527.2232406058101</v>
      </c>
    </row>
    <row r="1623" spans="3:6" x14ac:dyDescent="0.25">
      <c r="C1623" s="79"/>
      <c r="D1623" s="79"/>
      <c r="E1623" s="47">
        <v>2826.8896981545599</v>
      </c>
      <c r="F1623" s="47">
        <v>5544.3802841814104</v>
      </c>
    </row>
    <row r="1624" spans="3:6" x14ac:dyDescent="0.25">
      <c r="C1624" s="79"/>
      <c r="D1624" s="79"/>
      <c r="E1624" s="47">
        <v>2852.4131434668102</v>
      </c>
      <c r="F1624" s="47">
        <v>5559.8645405437401</v>
      </c>
    </row>
    <row r="1625" spans="3:6" x14ac:dyDescent="0.25">
      <c r="C1625" s="79"/>
      <c r="D1625" s="79"/>
      <c r="E1625" s="47">
        <v>2882.7523443638302</v>
      </c>
      <c r="F1625" s="47">
        <v>5574.6790877919102</v>
      </c>
    </row>
    <row r="1626" spans="3:6" x14ac:dyDescent="0.25">
      <c r="C1626" s="79"/>
      <c r="D1626" s="79"/>
      <c r="E1626" s="47">
        <v>2918.44651418177</v>
      </c>
      <c r="F1626" s="47">
        <v>5589.5469353506096</v>
      </c>
    </row>
    <row r="1627" spans="3:6" x14ac:dyDescent="0.25">
      <c r="C1627" s="79"/>
      <c r="D1627" s="79">
        <v>500</v>
      </c>
      <c r="E1627" s="47">
        <v>2772.4695526016299</v>
      </c>
      <c r="F1627" s="47">
        <v>5644.6897195390502</v>
      </c>
    </row>
    <row r="1628" spans="3:6" x14ac:dyDescent="0.25">
      <c r="C1628" s="79"/>
      <c r="D1628" s="79"/>
      <c r="E1628" s="47">
        <v>2785.9625863578899</v>
      </c>
      <c r="F1628" s="47">
        <v>5735.1297661816197</v>
      </c>
    </row>
    <row r="1629" spans="3:6" x14ac:dyDescent="0.25">
      <c r="C1629" s="79"/>
      <c r="D1629" s="79"/>
      <c r="E1629" s="47">
        <v>2797.94456949612</v>
      </c>
      <c r="F1629" s="47">
        <v>5792.5437412785996</v>
      </c>
    </row>
    <row r="1630" spans="3:6" x14ac:dyDescent="0.25">
      <c r="C1630" s="79"/>
      <c r="D1630" s="79"/>
      <c r="E1630" s="47">
        <v>2810.6897926595202</v>
      </c>
      <c r="F1630" s="47">
        <v>5832.4173081978197</v>
      </c>
    </row>
    <row r="1631" spans="3:6" x14ac:dyDescent="0.25">
      <c r="C1631" s="79"/>
      <c r="D1631" s="79"/>
      <c r="E1631" s="47">
        <v>2825.4397863004701</v>
      </c>
      <c r="F1631" s="47">
        <v>5862.0697615487497</v>
      </c>
    </row>
    <row r="1632" spans="3:6" x14ac:dyDescent="0.25">
      <c r="C1632" s="79"/>
      <c r="D1632" s="79"/>
      <c r="E1632" s="47">
        <v>2843.08643818782</v>
      </c>
      <c r="F1632" s="47">
        <v>5885.5733192486996</v>
      </c>
    </row>
    <row r="1633" spans="3:6" x14ac:dyDescent="0.25">
      <c r="C1633" s="79"/>
      <c r="D1633" s="79"/>
      <c r="E1633" s="47">
        <v>2864.3444202320702</v>
      </c>
      <c r="F1633" s="47">
        <v>5905.3977536114198</v>
      </c>
    </row>
    <row r="1634" spans="3:6" x14ac:dyDescent="0.25">
      <c r="C1634" s="79"/>
      <c r="D1634" s="79"/>
      <c r="E1634" s="47">
        <v>2889.83208798024</v>
      </c>
      <c r="F1634" s="47">
        <v>5923.1438410826304</v>
      </c>
    </row>
    <row r="1635" spans="3:6" x14ac:dyDescent="0.25">
      <c r="C1635" s="79"/>
      <c r="D1635" s="79"/>
      <c r="E1635" s="47">
        <v>2920.11613482229</v>
      </c>
      <c r="F1635" s="47">
        <v>5939.9223511802002</v>
      </c>
    </row>
    <row r="1636" spans="3:6" x14ac:dyDescent="0.25">
      <c r="C1636" s="79"/>
      <c r="D1636" s="79"/>
      <c r="E1636" s="47">
        <v>2955.7306513203298</v>
      </c>
      <c r="F1636" s="47">
        <v>5956.5307393294297</v>
      </c>
    </row>
    <row r="1637" spans="3:6" x14ac:dyDescent="0.25">
      <c r="C1637" s="79"/>
      <c r="D1637" s="79">
        <v>600</v>
      </c>
      <c r="E1637" s="47">
        <v>2806.34440008412</v>
      </c>
      <c r="F1637" s="47">
        <v>5983.97252377926</v>
      </c>
    </row>
    <row r="1638" spans="3:6" x14ac:dyDescent="0.25">
      <c r="C1638" s="79"/>
      <c r="D1638" s="79"/>
      <c r="E1638" s="47">
        <v>2819.5078109537899</v>
      </c>
      <c r="F1638" s="47">
        <v>6085.05287422116</v>
      </c>
    </row>
    <row r="1639" spans="3:6" x14ac:dyDescent="0.25">
      <c r="C1639" s="79"/>
      <c r="D1639" s="79"/>
      <c r="E1639" s="47">
        <v>2831.2899843027699</v>
      </c>
      <c r="F1639" s="47">
        <v>6149.5967270020501</v>
      </c>
    </row>
    <row r="1640" spans="3:6" x14ac:dyDescent="0.25">
      <c r="C1640" s="79"/>
      <c r="D1640" s="79"/>
      <c r="E1640" s="47">
        <v>2843.8999038971201</v>
      </c>
      <c r="F1640" s="47">
        <v>6194.6792630212103</v>
      </c>
    </row>
    <row r="1641" spans="3:6" x14ac:dyDescent="0.25">
      <c r="C1641" s="79"/>
      <c r="D1641" s="79"/>
      <c r="E1641" s="47">
        <v>2858.5668584682498</v>
      </c>
      <c r="F1641" s="47">
        <v>6228.4084280491197</v>
      </c>
    </row>
    <row r="1642" spans="3:6" x14ac:dyDescent="0.25">
      <c r="C1642" s="79"/>
      <c r="D1642" s="79"/>
      <c r="E1642" s="47">
        <v>2876.1500071087298</v>
      </c>
      <c r="F1642" s="47">
        <v>6255.2129320783497</v>
      </c>
    </row>
    <row r="1643" spans="3:6" x14ac:dyDescent="0.25">
      <c r="C1643" s="79"/>
      <c r="D1643" s="79"/>
      <c r="E1643" s="47">
        <v>2897.3465659686999</v>
      </c>
      <c r="F1643" s="47">
        <v>6277.78726887022</v>
      </c>
    </row>
    <row r="1644" spans="3:6" x14ac:dyDescent="0.25">
      <c r="C1644" s="79"/>
      <c r="D1644" s="79"/>
      <c r="E1644" s="47">
        <v>2922.7692595120302</v>
      </c>
      <c r="F1644" s="47">
        <v>6297.8887400225503</v>
      </c>
    </row>
    <row r="1645" spans="3:6" x14ac:dyDescent="0.25">
      <c r="C1645" s="79"/>
      <c r="D1645" s="79"/>
      <c r="E1645" s="47">
        <v>2952.9738719350598</v>
      </c>
      <c r="F1645" s="47">
        <v>6316.7229243334104</v>
      </c>
    </row>
    <row r="1646" spans="3:6" x14ac:dyDescent="0.25">
      <c r="C1646" s="79"/>
      <c r="D1646" s="79"/>
      <c r="E1646" s="47">
        <v>2988.4933597412501</v>
      </c>
      <c r="F1646" s="47">
        <v>6335.1698493834201</v>
      </c>
    </row>
    <row r="1647" spans="3:6" x14ac:dyDescent="0.25">
      <c r="C1647" s="79"/>
      <c r="D1647" s="79">
        <v>700</v>
      </c>
      <c r="E1647" s="47">
        <v>2836.2217283793598</v>
      </c>
      <c r="F1647" s="47">
        <v>6330.7016885913499</v>
      </c>
    </row>
    <row r="1648" spans="3:6" x14ac:dyDescent="0.25">
      <c r="C1648" s="79"/>
      <c r="D1648" s="79"/>
      <c r="E1648" s="47">
        <v>2849.0020667857202</v>
      </c>
      <c r="F1648" s="47">
        <v>6443.5461076967204</v>
      </c>
    </row>
    <row r="1649" spans="3:6" x14ac:dyDescent="0.25">
      <c r="C1649" s="79"/>
      <c r="D1649" s="79"/>
      <c r="E1649" s="47">
        <v>2860.5532554257002</v>
      </c>
      <c r="F1649" s="47">
        <v>6515.9981823784201</v>
      </c>
    </row>
    <row r="1650" spans="3:6" x14ac:dyDescent="0.25">
      <c r="C1650" s="79"/>
      <c r="D1650" s="79"/>
      <c r="E1650" s="47">
        <v>2872.9992671929799</v>
      </c>
      <c r="F1650" s="47">
        <v>6566.7895806459501</v>
      </c>
    </row>
    <row r="1651" spans="3:6" x14ac:dyDescent="0.25">
      <c r="C1651" s="79"/>
      <c r="D1651" s="79"/>
      <c r="E1651" s="47">
        <v>2887.5479342950198</v>
      </c>
      <c r="F1651" s="47">
        <v>6604.90800533126</v>
      </c>
    </row>
    <row r="1652" spans="3:6" x14ac:dyDescent="0.25">
      <c r="C1652" s="79"/>
      <c r="D1652" s="79"/>
      <c r="E1652" s="47">
        <v>2905.0350657833001</v>
      </c>
      <c r="F1652" s="47">
        <v>6635.2333803930796</v>
      </c>
    </row>
    <row r="1653" spans="3:6" x14ac:dyDescent="0.25">
      <c r="C1653" s="79"/>
      <c r="D1653" s="79"/>
      <c r="E1653" s="47">
        <v>2926.1452242995801</v>
      </c>
      <c r="F1653" s="47">
        <v>6660.7231219097403</v>
      </c>
    </row>
    <row r="1654" spans="3:6" x14ac:dyDescent="0.25">
      <c r="C1654" s="79"/>
      <c r="D1654" s="79"/>
      <c r="E1654" s="47">
        <v>2951.4787777892402</v>
      </c>
      <c r="F1654" s="47">
        <v>6683.3033453526696</v>
      </c>
    </row>
    <row r="1655" spans="3:6" x14ac:dyDescent="0.25">
      <c r="C1655" s="79"/>
      <c r="D1655" s="79"/>
      <c r="E1655" s="47">
        <v>2981.5878951291602</v>
      </c>
      <c r="F1655" s="47">
        <v>6704.2941409011601</v>
      </c>
    </row>
    <row r="1656" spans="3:6" x14ac:dyDescent="0.25">
      <c r="C1656" s="79"/>
      <c r="D1656" s="79"/>
      <c r="E1656" s="47">
        <v>3016.99704557824</v>
      </c>
      <c r="F1656" s="47">
        <v>6724.6580457234404</v>
      </c>
    </row>
    <row r="1657" spans="3:6" x14ac:dyDescent="0.25">
      <c r="C1657" s="79"/>
      <c r="D1657" s="79">
        <v>800</v>
      </c>
      <c r="E1657" s="47">
        <v>2862.6449317449001</v>
      </c>
      <c r="F1657" s="47">
        <v>6688.1824532138598</v>
      </c>
    </row>
    <row r="1658" spans="3:6" x14ac:dyDescent="0.25">
      <c r="C1658" s="79"/>
      <c r="D1658" s="79"/>
      <c r="E1658" s="47">
        <v>2874.9316417063601</v>
      </c>
      <c r="F1658" s="47">
        <v>6813.27649291937</v>
      </c>
    </row>
    <row r="1659" spans="3:6" x14ac:dyDescent="0.25">
      <c r="C1659" s="79"/>
      <c r="D1659" s="79"/>
      <c r="E1659" s="47">
        <v>2886.1636029389101</v>
      </c>
      <c r="F1659" s="47">
        <v>6893.5869033089002</v>
      </c>
    </row>
    <row r="1660" spans="3:6" x14ac:dyDescent="0.25">
      <c r="C1660" s="79"/>
      <c r="D1660" s="79"/>
      <c r="E1660" s="47">
        <v>2898.3941303828801</v>
      </c>
      <c r="F1660" s="47">
        <v>6950.1270124142202</v>
      </c>
    </row>
    <row r="1661" spans="3:6" x14ac:dyDescent="0.25">
      <c r="C1661" s="79"/>
      <c r="D1661" s="79"/>
      <c r="E1661" s="47">
        <v>2912.7743104648598</v>
      </c>
      <c r="F1661" s="47">
        <v>6992.6849739395002</v>
      </c>
    </row>
    <row r="1662" spans="3:6" x14ac:dyDescent="0.25">
      <c r="C1662" s="79"/>
      <c r="D1662" s="79"/>
      <c r="E1662" s="47">
        <v>2930.1267890133399</v>
      </c>
      <c r="F1662" s="47">
        <v>7026.5874571877002</v>
      </c>
    </row>
    <row r="1663" spans="3:6" x14ac:dyDescent="0.25">
      <c r="C1663" s="79"/>
      <c r="D1663" s="79"/>
      <c r="E1663" s="47">
        <v>2951.1198271989501</v>
      </c>
      <c r="F1663" s="47">
        <v>7055.0556005173703</v>
      </c>
    </row>
    <row r="1664" spans="3:6" x14ac:dyDescent="0.25">
      <c r="C1664" s="79"/>
      <c r="D1664" s="79"/>
      <c r="E1664" s="47">
        <v>2976.3409521598601</v>
      </c>
      <c r="F1664" s="47">
        <v>7080.1827714154397</v>
      </c>
    </row>
    <row r="1665" spans="3:6" x14ac:dyDescent="0.25">
      <c r="C1665" s="79"/>
      <c r="D1665" s="79"/>
      <c r="E1665" s="47">
        <v>3006.3363997011302</v>
      </c>
      <c r="F1665" s="47">
        <v>7103.40197192088</v>
      </c>
    </row>
    <row r="1666" spans="3:6" x14ac:dyDescent="0.25">
      <c r="C1666" s="79"/>
      <c r="D1666" s="79"/>
      <c r="E1666" s="47">
        <v>3041.6282837628401</v>
      </c>
      <c r="F1666" s="47">
        <v>7125.7834071936104</v>
      </c>
    </row>
    <row r="1667" spans="3:6" x14ac:dyDescent="0.25">
      <c r="C1667" s="79"/>
      <c r="D1667" s="79">
        <v>900</v>
      </c>
      <c r="E1667" s="47">
        <v>2885.6339164460301</v>
      </c>
      <c r="F1667" s="47">
        <v>7053.0957146759902</v>
      </c>
    </row>
    <row r="1668" spans="3:6" x14ac:dyDescent="0.25">
      <c r="C1668" s="79"/>
      <c r="D1668" s="79"/>
      <c r="E1668" s="47">
        <v>2897.35397049528</v>
      </c>
      <c r="F1668" s="47">
        <v>7190.9566121656298</v>
      </c>
    </row>
    <row r="1669" spans="3:6" x14ac:dyDescent="0.25">
      <c r="C1669" s="79"/>
      <c r="D1669" s="79"/>
      <c r="E1669" s="47">
        <v>2908.2400168013201</v>
      </c>
      <c r="F1669" s="47">
        <v>7280.0381319484104</v>
      </c>
    </row>
    <row r="1670" spans="3:6" x14ac:dyDescent="0.25">
      <c r="C1670" s="79"/>
      <c r="D1670" s="79"/>
      <c r="E1670" s="47">
        <v>2920.23057090153</v>
      </c>
      <c r="F1670" s="47">
        <v>7342.9078777612003</v>
      </c>
    </row>
    <row r="1671" spans="3:6" x14ac:dyDescent="0.25">
      <c r="C1671" s="79"/>
      <c r="D1671" s="79"/>
      <c r="E1671" s="47">
        <v>2934.4326019463501</v>
      </c>
      <c r="F1671" s="47">
        <v>7390.2804825508101</v>
      </c>
    </row>
    <row r="1672" spans="3:6" x14ac:dyDescent="0.25">
      <c r="C1672" s="79"/>
      <c r="D1672" s="79"/>
      <c r="E1672" s="47">
        <v>2951.6408093560999</v>
      </c>
      <c r="F1672" s="47">
        <v>7428.0125222628103</v>
      </c>
    </row>
    <row r="1673" spans="3:6" x14ac:dyDescent="0.25">
      <c r="C1673" s="79"/>
      <c r="D1673" s="79"/>
      <c r="E1673" s="47">
        <v>2972.50467260199</v>
      </c>
      <c r="F1673" s="47">
        <v>7459.6413718222302</v>
      </c>
    </row>
    <row r="1674" spans="3:6" x14ac:dyDescent="0.25">
      <c r="C1674" s="79"/>
      <c r="D1674" s="79"/>
      <c r="E1674" s="47">
        <v>2997.6043282015198</v>
      </c>
      <c r="F1674" s="47">
        <v>7487.44415050115</v>
      </c>
    </row>
    <row r="1675" spans="3:6" x14ac:dyDescent="0.25">
      <c r="C1675" s="79"/>
      <c r="D1675" s="79"/>
      <c r="E1675" s="47">
        <v>3027.4784306327701</v>
      </c>
      <c r="F1675" s="47">
        <v>7513.0272283182803</v>
      </c>
    </row>
    <row r="1676" spans="3:6" x14ac:dyDescent="0.25">
      <c r="C1676" s="79"/>
      <c r="D1676" s="79"/>
      <c r="E1676" s="47">
        <v>3062.6398796908002</v>
      </c>
      <c r="F1676" s="47">
        <v>7537.4913324673298</v>
      </c>
    </row>
    <row r="1677" spans="3:6" x14ac:dyDescent="0.25">
      <c r="C1677" s="79"/>
      <c r="D1677" s="79">
        <v>1000</v>
      </c>
      <c r="E1677" s="47">
        <v>2905.6226134613798</v>
      </c>
      <c r="F1677" s="47">
        <v>7428.21844857217</v>
      </c>
    </row>
    <row r="1678" spans="3:6" x14ac:dyDescent="0.25">
      <c r="C1678" s="79"/>
      <c r="D1678" s="79"/>
      <c r="E1678" s="47">
        <v>2916.7246275851799</v>
      </c>
      <c r="F1678" s="47">
        <v>7579.6939906644002</v>
      </c>
    </row>
    <row r="1679" spans="3:6" x14ac:dyDescent="0.25">
      <c r="C1679" s="79"/>
      <c r="D1679" s="79"/>
      <c r="E1679" s="47">
        <v>2927.1869391479299</v>
      </c>
      <c r="F1679" s="47">
        <v>7677.3983875936901</v>
      </c>
    </row>
    <row r="1680" spans="3:6" x14ac:dyDescent="0.25">
      <c r="C1680" s="79"/>
      <c r="D1680" s="79"/>
      <c r="E1680" s="47">
        <v>2938.8830248959698</v>
      </c>
      <c r="F1680" s="47">
        <v>7746.5253475728696</v>
      </c>
    </row>
    <row r="1681" spans="3:6" x14ac:dyDescent="0.25">
      <c r="C1681" s="79"/>
      <c r="D1681" s="79"/>
      <c r="E1681" s="47">
        <v>2952.8622737261298</v>
      </c>
      <c r="F1681" s="47">
        <v>7798.7107082020802</v>
      </c>
    </row>
    <row r="1682" spans="3:6" x14ac:dyDescent="0.25">
      <c r="C1682" s="79"/>
      <c r="D1682" s="79"/>
      <c r="E1682" s="47">
        <v>2969.8908078590998</v>
      </c>
      <c r="F1682" s="47">
        <v>7840.3117548561204</v>
      </c>
    </row>
    <row r="1683" spans="3:6" x14ac:dyDescent="0.25">
      <c r="C1683" s="79"/>
      <c r="D1683" s="79"/>
      <c r="E1683" s="47">
        <v>2990.6025824183698</v>
      </c>
      <c r="F1683" s="47">
        <v>7875.1514411451499</v>
      </c>
    </row>
    <row r="1684" spans="3:6" x14ac:dyDescent="0.25">
      <c r="C1684" s="79"/>
      <c r="D1684" s="79"/>
      <c r="E1684" s="47">
        <v>3015.5666591897402</v>
      </c>
      <c r="F1684" s="47">
        <v>7905.7335899382297</v>
      </c>
    </row>
    <row r="1685" spans="3:6" x14ac:dyDescent="0.25">
      <c r="C1685" s="79"/>
      <c r="D1685" s="79"/>
      <c r="E1685" s="47">
        <v>3045.31026110522</v>
      </c>
      <c r="F1685" s="47">
        <v>7933.7091540231104</v>
      </c>
    </row>
    <row r="1686" spans="3:6" x14ac:dyDescent="0.25">
      <c r="C1686" s="79"/>
      <c r="D1686" s="79"/>
      <c r="E1686" s="47">
        <v>3080.33605150013</v>
      </c>
      <c r="F1686" s="47">
        <v>7960.2983983737004</v>
      </c>
    </row>
    <row r="1687" spans="3:6" x14ac:dyDescent="0.25">
      <c r="C1687" s="79"/>
      <c r="D1687" s="79">
        <v>1100</v>
      </c>
      <c r="E1687" s="47">
        <v>2922.6751182826702</v>
      </c>
      <c r="F1687" s="47">
        <v>7810.6747392557199</v>
      </c>
    </row>
    <row r="1688" spans="3:6" x14ac:dyDescent="0.25">
      <c r="C1688" s="79"/>
      <c r="D1688" s="79"/>
      <c r="E1688" s="47">
        <v>2933.11413752817</v>
      </c>
      <c r="F1688" s="47">
        <v>7976.1343249608199</v>
      </c>
    </row>
    <row r="1689" spans="3:6" x14ac:dyDescent="0.25">
      <c r="C1689" s="79"/>
      <c r="D1689" s="79"/>
      <c r="E1689" s="47">
        <v>2943.1649539324599</v>
      </c>
      <c r="F1689" s="47">
        <v>8083.4280637618103</v>
      </c>
    </row>
    <row r="1690" spans="3:6" x14ac:dyDescent="0.25">
      <c r="C1690" s="79"/>
      <c r="D1690" s="79"/>
      <c r="E1690" s="47">
        <v>2954.5472138463801</v>
      </c>
      <c r="F1690" s="47">
        <v>8159.4053317985099</v>
      </c>
    </row>
    <row r="1691" spans="3:6" x14ac:dyDescent="0.25">
      <c r="C1691" s="79"/>
      <c r="D1691" s="79"/>
      <c r="E1691" s="47">
        <v>2968.2870924113499</v>
      </c>
      <c r="F1691" s="47">
        <v>8216.77608974752</v>
      </c>
    </row>
    <row r="1692" spans="3:6" x14ac:dyDescent="0.25">
      <c r="C1692" s="79"/>
      <c r="D1692" s="79"/>
      <c r="E1692" s="47">
        <v>2985.1232843359699</v>
      </c>
      <c r="F1692" s="47">
        <v>8262.48700260646</v>
      </c>
    </row>
    <row r="1693" spans="3:6" x14ac:dyDescent="0.25">
      <c r="C1693" s="79"/>
      <c r="D1693" s="79"/>
      <c r="E1693" s="47">
        <v>3005.6700271814898</v>
      </c>
      <c r="F1693" s="47">
        <v>8300.73558232707</v>
      </c>
    </row>
    <row r="1694" spans="3:6" x14ac:dyDescent="0.25">
      <c r="C1694" s="79"/>
      <c r="D1694" s="79"/>
      <c r="E1694" s="47">
        <v>3030.4826319261301</v>
      </c>
      <c r="F1694" s="47">
        <v>8334.1647047611605</v>
      </c>
    </row>
    <row r="1695" spans="3:6" x14ac:dyDescent="0.25">
      <c r="C1695" s="79"/>
      <c r="D1695" s="79"/>
      <c r="E1695" s="47">
        <v>3060.08202273706</v>
      </c>
      <c r="F1695" s="47">
        <v>8364.6063860636295</v>
      </c>
    </row>
    <row r="1696" spans="3:6" x14ac:dyDescent="0.25">
      <c r="C1696" s="79"/>
      <c r="D1696" s="79"/>
      <c r="E1696" s="47">
        <v>3094.9637511742799</v>
      </c>
      <c r="F1696" s="47">
        <v>8393.3728039643192</v>
      </c>
    </row>
    <row r="1697" spans="3:6" x14ac:dyDescent="0.25">
      <c r="C1697" s="79"/>
      <c r="D1697" s="79">
        <v>1200</v>
      </c>
      <c r="E1697" s="47">
        <v>2937.1541116762601</v>
      </c>
      <c r="F1697" s="47">
        <v>8202.7729734970908</v>
      </c>
    </row>
    <row r="1698" spans="3:6" x14ac:dyDescent="0.25">
      <c r="C1698" s="79"/>
      <c r="D1698" s="79"/>
      <c r="E1698" s="47">
        <v>2946.8608109359102</v>
      </c>
      <c r="F1698" s="47">
        <v>8382.9440115558991</v>
      </c>
    </row>
    <row r="1699" spans="3:6" x14ac:dyDescent="0.25">
      <c r="C1699" s="79"/>
      <c r="D1699" s="79"/>
      <c r="E1699" s="47">
        <v>2956.4247417807501</v>
      </c>
      <c r="F1699" s="47">
        <v>8499.6294647578907</v>
      </c>
    </row>
    <row r="1700" spans="3:6" x14ac:dyDescent="0.25">
      <c r="C1700" s="79"/>
      <c r="D1700" s="79"/>
      <c r="E1700" s="47">
        <v>2967.4754656366399</v>
      </c>
      <c r="F1700" s="47">
        <v>8582.3493381169392</v>
      </c>
    </row>
    <row r="1701" spans="3:6" x14ac:dyDescent="0.25">
      <c r="C1701" s="79"/>
      <c r="D1701" s="79"/>
      <c r="E1701" s="47">
        <v>2980.9652226562798</v>
      </c>
      <c r="F1701" s="47">
        <v>8644.8902318542696</v>
      </c>
    </row>
    <row r="1702" spans="3:6" x14ac:dyDescent="0.25">
      <c r="C1702" s="79"/>
      <c r="D1702" s="79"/>
      <c r="E1702" s="47">
        <v>2997.5968708366599</v>
      </c>
      <c r="F1702" s="47">
        <v>8694.7686755688701</v>
      </c>
    </row>
    <row r="1703" spans="3:6" x14ac:dyDescent="0.25">
      <c r="C1703" s="79"/>
      <c r="D1703" s="79"/>
      <c r="E1703" s="47">
        <v>3017.97062289312</v>
      </c>
      <c r="F1703" s="47">
        <v>8736.4288309620097</v>
      </c>
    </row>
    <row r="1704" spans="3:6" x14ac:dyDescent="0.25">
      <c r="C1704" s="79"/>
      <c r="D1704" s="79"/>
      <c r="E1704" s="47">
        <v>3042.6259627014701</v>
      </c>
      <c r="F1704" s="47">
        <v>8772.7529767023207</v>
      </c>
    </row>
    <row r="1705" spans="3:6" x14ac:dyDescent="0.25">
      <c r="C1705" s="79"/>
      <c r="D1705" s="79"/>
      <c r="E1705" s="47">
        <v>3072.06917426879</v>
      </c>
      <c r="F1705" s="47">
        <v>8805.7103476534703</v>
      </c>
    </row>
    <row r="1706" spans="3:6" x14ac:dyDescent="0.25">
      <c r="C1706" s="79"/>
      <c r="D1706" s="79"/>
      <c r="E1706" s="47">
        <v>3106.8032624245102</v>
      </c>
      <c r="F1706" s="47">
        <v>8836.7306848608405</v>
      </c>
    </row>
    <row r="1707" spans="3:6" x14ac:dyDescent="0.25">
      <c r="C1707" s="79">
        <v>-5</v>
      </c>
      <c r="D1707" s="79">
        <v>300</v>
      </c>
      <c r="E1707" s="47">
        <v>2746.18224490693</v>
      </c>
      <c r="F1707" s="47">
        <v>5411.7823590730104</v>
      </c>
    </row>
    <row r="1708" spans="3:6" x14ac:dyDescent="0.25">
      <c r="C1708" s="79"/>
      <c r="D1708" s="79"/>
      <c r="E1708" s="47">
        <v>2759.85577588864</v>
      </c>
      <c r="F1708" s="47">
        <v>5494.94934877999</v>
      </c>
    </row>
    <row r="1709" spans="3:6" x14ac:dyDescent="0.25">
      <c r="C1709" s="79"/>
      <c r="D1709" s="79"/>
      <c r="E1709" s="47">
        <v>2771.92997033746</v>
      </c>
      <c r="F1709" s="47">
        <v>5547.4388664190101</v>
      </c>
    </row>
    <row r="1710" spans="3:6" x14ac:dyDescent="0.25">
      <c r="C1710" s="79"/>
      <c r="D1710" s="79"/>
      <c r="E1710" s="47">
        <v>2784.6933793816002</v>
      </c>
      <c r="F1710" s="47">
        <v>5583.5835920970303</v>
      </c>
    </row>
    <row r="1711" spans="3:6" x14ac:dyDescent="0.25">
      <c r="C1711" s="79"/>
      <c r="D1711" s="79"/>
      <c r="E1711" s="47">
        <v>2799.4511656577401</v>
      </c>
      <c r="F1711" s="47">
        <v>5610.3190039553401</v>
      </c>
    </row>
    <row r="1712" spans="3:6" x14ac:dyDescent="0.25">
      <c r="C1712" s="79"/>
      <c r="D1712" s="79"/>
      <c r="E1712" s="47">
        <v>2817.11632533089</v>
      </c>
      <c r="F1712" s="47">
        <v>5631.5165015504299</v>
      </c>
    </row>
    <row r="1713" spans="3:6" x14ac:dyDescent="0.25">
      <c r="C1713" s="79"/>
      <c r="D1713" s="79"/>
      <c r="E1713" s="47">
        <v>2838.3955454627398</v>
      </c>
      <c r="F1713" s="47">
        <v>5649.4349656219501</v>
      </c>
    </row>
    <row r="1714" spans="3:6" x14ac:dyDescent="0.25">
      <c r="C1714" s="79"/>
      <c r="D1714" s="79"/>
      <c r="E1714" s="47">
        <v>2863.91228205893</v>
      </c>
      <c r="F1714" s="47">
        <v>5665.5687867952101</v>
      </c>
    </row>
    <row r="1715" spans="3:6" x14ac:dyDescent="0.25">
      <c r="C1715" s="79"/>
      <c r="D1715" s="79"/>
      <c r="E1715" s="47">
        <v>2894.2398688909202</v>
      </c>
      <c r="F1715" s="47">
        <v>5680.9527015880903</v>
      </c>
    </row>
    <row r="1716" spans="3:6" x14ac:dyDescent="0.25">
      <c r="C1716" s="79"/>
      <c r="D1716" s="79"/>
      <c r="E1716" s="47">
        <v>2929.9121774249202</v>
      </c>
      <c r="F1716" s="47">
        <v>5696.3110574221801</v>
      </c>
    </row>
    <row r="1717" spans="3:6" x14ac:dyDescent="0.25">
      <c r="C1717" s="79"/>
      <c r="D1717" s="79">
        <v>400</v>
      </c>
      <c r="E1717" s="47">
        <v>2782.79655030808</v>
      </c>
      <c r="F1717" s="47">
        <v>5743.0349808921901</v>
      </c>
    </row>
    <row r="1718" spans="3:6" x14ac:dyDescent="0.25">
      <c r="C1718" s="79"/>
      <c r="D1718" s="79"/>
      <c r="E1718" s="47">
        <v>2796.20371522602</v>
      </c>
      <c r="F1718" s="47">
        <v>5836.5406587245998</v>
      </c>
    </row>
    <row r="1719" spans="3:6" x14ac:dyDescent="0.25">
      <c r="C1719" s="79"/>
      <c r="D1719" s="79"/>
      <c r="E1719" s="47">
        <v>2808.1565986095202</v>
      </c>
      <c r="F1719" s="47">
        <v>5896.0758327518797</v>
      </c>
    </row>
    <row r="1720" spans="3:6" x14ac:dyDescent="0.25">
      <c r="C1720" s="79"/>
      <c r="D1720" s="79"/>
      <c r="E1720" s="47">
        <v>2820.86076297508</v>
      </c>
      <c r="F1720" s="47">
        <v>5937.4479797079002</v>
      </c>
    </row>
    <row r="1721" spans="3:6" x14ac:dyDescent="0.25">
      <c r="C1721" s="79"/>
      <c r="D1721" s="79"/>
      <c r="E1721" s="47">
        <v>2835.58241438497</v>
      </c>
      <c r="F1721" s="47">
        <v>5968.2512388230098</v>
      </c>
    </row>
    <row r="1722" spans="3:6" x14ac:dyDescent="0.25">
      <c r="C1722" s="79"/>
      <c r="D1722" s="79"/>
      <c r="E1722" s="47">
        <v>2853.2161335116002</v>
      </c>
      <c r="F1722" s="47">
        <v>5992.7153203865701</v>
      </c>
    </row>
    <row r="1723" spans="3:6" x14ac:dyDescent="0.25">
      <c r="C1723" s="79"/>
      <c r="D1723" s="79"/>
      <c r="E1723" s="47">
        <v>2874.4671236009399</v>
      </c>
      <c r="F1723" s="47">
        <v>6013.3647427945398</v>
      </c>
    </row>
    <row r="1724" spans="3:6" x14ac:dyDescent="0.25">
      <c r="C1724" s="79"/>
      <c r="D1724" s="79"/>
      <c r="E1724" s="47">
        <v>2899.94520801624</v>
      </c>
      <c r="F1724" s="47">
        <v>6031.8206968582799</v>
      </c>
    </row>
    <row r="1725" spans="3:6" x14ac:dyDescent="0.25">
      <c r="C1725" s="79"/>
      <c r="D1725" s="79"/>
      <c r="E1725" s="47">
        <v>2930.2110706966901</v>
      </c>
      <c r="F1725" s="47">
        <v>6049.2186402798397</v>
      </c>
    </row>
    <row r="1726" spans="3:6" x14ac:dyDescent="0.25">
      <c r="C1726" s="79"/>
      <c r="D1726" s="79"/>
      <c r="E1726" s="47">
        <v>2965.8028087982202</v>
      </c>
      <c r="F1726" s="47">
        <v>6066.3839136486204</v>
      </c>
    </row>
    <row r="1727" spans="3:6" x14ac:dyDescent="0.25">
      <c r="C1727" s="79"/>
      <c r="D1727" s="79">
        <v>500</v>
      </c>
      <c r="E1727" s="47">
        <v>2815.4863857283299</v>
      </c>
      <c r="F1727" s="47">
        <v>6084.5689234659203</v>
      </c>
    </row>
    <row r="1728" spans="3:6" x14ac:dyDescent="0.25">
      <c r="C1728" s="79"/>
      <c r="D1728" s="79"/>
      <c r="E1728" s="47">
        <v>2828.54841078241</v>
      </c>
      <c r="F1728" s="47">
        <v>6189.2644008479801</v>
      </c>
    </row>
    <row r="1729" spans="3:6" x14ac:dyDescent="0.25">
      <c r="C1729" s="79"/>
      <c r="D1729" s="79"/>
      <c r="E1729" s="47">
        <v>2840.2981399257901</v>
      </c>
      <c r="F1729" s="47">
        <v>6256.2542179052998</v>
      </c>
    </row>
    <row r="1730" spans="3:6" x14ac:dyDescent="0.25">
      <c r="C1730" s="79"/>
      <c r="D1730" s="79"/>
      <c r="E1730" s="47">
        <v>2852.8712565757701</v>
      </c>
      <c r="F1730" s="47">
        <v>6303.0484238860899</v>
      </c>
    </row>
    <row r="1731" spans="3:6" x14ac:dyDescent="0.25">
      <c r="C1731" s="79"/>
      <c r="D1731" s="79"/>
      <c r="E1731" s="47">
        <v>2867.50151506467</v>
      </c>
      <c r="F1731" s="47">
        <v>6338.0371761889301</v>
      </c>
    </row>
    <row r="1732" spans="3:6" x14ac:dyDescent="0.25">
      <c r="C1732" s="79"/>
      <c r="D1732" s="79"/>
      <c r="E1732" s="47">
        <v>2885.05568683202</v>
      </c>
      <c r="F1732" s="47">
        <v>6365.83983490233</v>
      </c>
    </row>
    <row r="1733" spans="3:6" x14ac:dyDescent="0.25">
      <c r="C1733" s="79"/>
      <c r="D1733" s="79"/>
      <c r="E1733" s="47">
        <v>2906.23554971973</v>
      </c>
      <c r="F1733" s="47">
        <v>6389.2646658405902</v>
      </c>
    </row>
    <row r="1734" spans="3:6" x14ac:dyDescent="0.25">
      <c r="C1734" s="79"/>
      <c r="D1734" s="79"/>
      <c r="E1734" s="47">
        <v>2931.6367411269998</v>
      </c>
      <c r="F1734" s="47">
        <v>6410.0765198060299</v>
      </c>
    </row>
    <row r="1735" spans="3:6" x14ac:dyDescent="0.25">
      <c r="C1735" s="79"/>
      <c r="D1735" s="79"/>
      <c r="E1735" s="47">
        <v>2961.81881630834</v>
      </c>
      <c r="F1735" s="47">
        <v>6429.5250171892903</v>
      </c>
    </row>
    <row r="1736" spans="3:6" x14ac:dyDescent="0.25">
      <c r="C1736" s="79"/>
      <c r="D1736" s="79"/>
      <c r="E1736" s="47">
        <v>2997.3084242469699</v>
      </c>
      <c r="F1736" s="47">
        <v>6448.5091764264398</v>
      </c>
    </row>
    <row r="1737" spans="3:6" x14ac:dyDescent="0.25">
      <c r="C1737" s="79"/>
      <c r="D1737" s="79">
        <v>600</v>
      </c>
      <c r="E1737" s="47">
        <v>2844.3379945739698</v>
      </c>
      <c r="F1737" s="47">
        <v>6434.5451313919602</v>
      </c>
    </row>
    <row r="1738" spans="3:6" x14ac:dyDescent="0.25">
      <c r="C1738" s="79"/>
      <c r="D1738" s="79"/>
      <c r="E1738" s="47">
        <v>2856.9528546228298</v>
      </c>
      <c r="F1738" s="47">
        <v>6550.7842167204399</v>
      </c>
    </row>
    <row r="1739" spans="3:6" x14ac:dyDescent="0.25">
      <c r="C1739" s="79"/>
      <c r="D1739" s="79"/>
      <c r="E1739" s="47">
        <v>2868.4249237980598</v>
      </c>
      <c r="F1739" s="47">
        <v>6625.5408472694398</v>
      </c>
    </row>
    <row r="1740" spans="3:6" x14ac:dyDescent="0.25">
      <c r="C1740" s="79"/>
      <c r="D1740" s="79"/>
      <c r="E1740" s="47">
        <v>2880.8157975169502</v>
      </c>
      <c r="F1740" s="47">
        <v>6678.02124293209</v>
      </c>
    </row>
    <row r="1741" spans="3:6" x14ac:dyDescent="0.25">
      <c r="C1741" s="79"/>
      <c r="D1741" s="79"/>
      <c r="E1741" s="47">
        <v>2895.3145855162302</v>
      </c>
      <c r="F1741" s="47">
        <v>6717.4171732934701</v>
      </c>
    </row>
    <row r="1742" spans="3:6" x14ac:dyDescent="0.25">
      <c r="C1742" s="79"/>
      <c r="D1742" s="79"/>
      <c r="E1742" s="47">
        <v>2912.76619862084</v>
      </c>
      <c r="F1742" s="47">
        <v>6748.7753925515699</v>
      </c>
    </row>
    <row r="1743" spans="3:6" x14ac:dyDescent="0.25">
      <c r="C1743" s="79"/>
      <c r="D1743" s="79"/>
      <c r="E1743" s="47">
        <v>2933.8502641147602</v>
      </c>
      <c r="F1743" s="47">
        <v>6775.1581275244098</v>
      </c>
    </row>
    <row r="1744" spans="3:6" x14ac:dyDescent="0.25">
      <c r="C1744" s="79"/>
      <c r="D1744" s="79"/>
      <c r="E1744" s="47">
        <v>2959.1591095998601</v>
      </c>
      <c r="F1744" s="47">
        <v>6798.5034075731801</v>
      </c>
    </row>
    <row r="1745" spans="3:6" x14ac:dyDescent="0.25">
      <c r="C1745" s="79"/>
      <c r="D1745" s="79"/>
      <c r="E1745" s="47">
        <v>2989.2407082095101</v>
      </c>
      <c r="F1745" s="47">
        <v>6820.1686774792297</v>
      </c>
    </row>
    <row r="1746" spans="3:6" x14ac:dyDescent="0.25">
      <c r="C1746" s="79"/>
      <c r="D1746" s="79"/>
      <c r="E1746" s="47">
        <v>3024.62096964785</v>
      </c>
      <c r="F1746" s="47">
        <v>6841.1358792651199</v>
      </c>
    </row>
    <row r="1747" spans="3:6" x14ac:dyDescent="0.25">
      <c r="C1747" s="79"/>
      <c r="D1747" s="79">
        <v>700</v>
      </c>
      <c r="E1747" s="47">
        <v>2869.71240662336</v>
      </c>
      <c r="F1747" s="47">
        <v>6794.1304404999901</v>
      </c>
    </row>
    <row r="1748" spans="3:6" x14ac:dyDescent="0.25">
      <c r="C1748" s="79"/>
      <c r="D1748" s="79"/>
      <c r="E1748" s="47">
        <v>2881.84763551076</v>
      </c>
      <c r="F1748" s="47">
        <v>6923.0168621368102</v>
      </c>
    </row>
    <row r="1749" spans="3:6" x14ac:dyDescent="0.25">
      <c r="C1749" s="79"/>
      <c r="D1749" s="79"/>
      <c r="E1749" s="47">
        <v>2892.99621573678</v>
      </c>
      <c r="F1749" s="47">
        <v>7006.0842789489197</v>
      </c>
    </row>
    <row r="1750" spans="3:6" x14ac:dyDescent="0.25">
      <c r="C1750" s="79"/>
      <c r="D1750" s="79"/>
      <c r="E1750" s="47">
        <v>2905.1581932345098</v>
      </c>
      <c r="F1750" s="47">
        <v>7064.55369952618</v>
      </c>
    </row>
    <row r="1751" spans="3:6" x14ac:dyDescent="0.25">
      <c r="C1751" s="79"/>
      <c r="D1751" s="79"/>
      <c r="E1751" s="47">
        <v>2919.48549063884</v>
      </c>
      <c r="F1751" s="47">
        <v>7108.5272069164603</v>
      </c>
    </row>
    <row r="1752" spans="3:6" x14ac:dyDescent="0.25">
      <c r="C1752" s="79"/>
      <c r="D1752" s="79"/>
      <c r="E1752" s="47">
        <v>2936.80165796863</v>
      </c>
      <c r="F1752" s="47">
        <v>7143.5744681306396</v>
      </c>
    </row>
    <row r="1753" spans="3:6" x14ac:dyDescent="0.25">
      <c r="C1753" s="79"/>
      <c r="D1753" s="79"/>
      <c r="E1753" s="47">
        <v>2957.7635133966501</v>
      </c>
      <c r="F1753" s="47">
        <v>7172.9815085320997</v>
      </c>
    </row>
    <row r="1754" spans="3:6" x14ac:dyDescent="0.25">
      <c r="C1754" s="79"/>
      <c r="D1754" s="79"/>
      <c r="E1754" s="47">
        <v>2982.9530553929699</v>
      </c>
      <c r="F1754" s="47">
        <v>7198.8890219494597</v>
      </c>
    </row>
    <row r="1755" spans="3:6" x14ac:dyDescent="0.25">
      <c r="C1755" s="79"/>
      <c r="D1755" s="79"/>
      <c r="E1755" s="47">
        <v>3012.9159654587602</v>
      </c>
      <c r="F1755" s="47">
        <v>7222.7808339200001</v>
      </c>
    </row>
    <row r="1756" spans="3:6" x14ac:dyDescent="0.25">
      <c r="C1756" s="79"/>
      <c r="D1756" s="79"/>
      <c r="E1756" s="47">
        <v>3048.1685192529699</v>
      </c>
      <c r="F1756" s="47">
        <v>7245.72191575327</v>
      </c>
    </row>
    <row r="1757" spans="3:6" x14ac:dyDescent="0.25">
      <c r="C1757" s="79"/>
      <c r="D1757" s="79">
        <v>800</v>
      </c>
      <c r="E1757" s="47">
        <v>2891.7999688219902</v>
      </c>
      <c r="F1757" s="47">
        <v>7162.1898352052503</v>
      </c>
    </row>
    <row r="1758" spans="3:6" x14ac:dyDescent="0.25">
      <c r="C1758" s="79"/>
      <c r="D1758" s="79"/>
      <c r="E1758" s="47">
        <v>2903.3416760546202</v>
      </c>
      <c r="F1758" s="47">
        <v>7303.8306494489898</v>
      </c>
    </row>
    <row r="1759" spans="3:6" x14ac:dyDescent="0.25">
      <c r="C1759" s="79"/>
      <c r="D1759" s="79"/>
      <c r="E1759" s="47">
        <v>2914.1194418005098</v>
      </c>
      <c r="F1759" s="47">
        <v>7395.4479799665696</v>
      </c>
    </row>
    <row r="1760" spans="3:6" x14ac:dyDescent="0.25">
      <c r="C1760" s="79"/>
      <c r="D1760" s="79"/>
      <c r="E1760" s="47">
        <v>2926.02695052433</v>
      </c>
      <c r="F1760" s="47">
        <v>7460.1209964489599</v>
      </c>
    </row>
    <row r="1761" spans="3:6" x14ac:dyDescent="0.25">
      <c r="C1761" s="79"/>
      <c r="D1761" s="79"/>
      <c r="E1761" s="47">
        <v>2940.16138616444</v>
      </c>
      <c r="F1761" s="47">
        <v>7508.8908957681997</v>
      </c>
    </row>
    <row r="1762" spans="3:6" x14ac:dyDescent="0.25">
      <c r="C1762" s="79"/>
      <c r="D1762" s="79"/>
      <c r="E1762" s="47">
        <v>2957.3162942223098</v>
      </c>
      <c r="F1762" s="47">
        <v>7547.7830534288296</v>
      </c>
    </row>
    <row r="1763" spans="3:6" x14ac:dyDescent="0.25">
      <c r="C1763" s="79"/>
      <c r="D1763" s="79"/>
      <c r="E1763" s="47">
        <v>2978.13545955789</v>
      </c>
      <c r="F1763" s="47">
        <v>7580.3653939531396</v>
      </c>
    </row>
    <row r="1764" spans="3:6" x14ac:dyDescent="0.25">
      <c r="C1764" s="79"/>
      <c r="D1764" s="79"/>
      <c r="E1764" s="47">
        <v>3003.19533733458</v>
      </c>
      <c r="F1764" s="47">
        <v>7608.9888146523499</v>
      </c>
    </row>
    <row r="1765" spans="3:6" x14ac:dyDescent="0.25">
      <c r="C1765" s="79"/>
      <c r="D1765" s="79"/>
      <c r="E1765" s="47">
        <v>3033.03056959061</v>
      </c>
      <c r="F1765" s="47">
        <v>7635.2524866789699</v>
      </c>
    </row>
    <row r="1766" spans="3:6" x14ac:dyDescent="0.25">
      <c r="C1766" s="79"/>
      <c r="D1766" s="79"/>
      <c r="E1766" s="47">
        <v>3068.1504675749002</v>
      </c>
      <c r="F1766" s="47">
        <v>7660.3126144433099</v>
      </c>
    </row>
    <row r="1767" spans="3:6" x14ac:dyDescent="0.25">
      <c r="C1767" s="79"/>
      <c r="D1767" s="79">
        <v>900</v>
      </c>
      <c r="E1767" s="47">
        <v>2910.9018881207999</v>
      </c>
      <c r="F1767" s="47">
        <v>7539.3699611104403</v>
      </c>
    </row>
    <row r="1768" spans="3:6" x14ac:dyDescent="0.25">
      <c r="C1768" s="79"/>
      <c r="D1768" s="79"/>
      <c r="E1768" s="47">
        <v>2921.8142051333698</v>
      </c>
      <c r="F1768" s="47">
        <v>7695.0035272638397</v>
      </c>
    </row>
    <row r="1769" spans="3:6" x14ac:dyDescent="0.25">
      <c r="C1769" s="79"/>
      <c r="D1769" s="79"/>
      <c r="E1769" s="47">
        <v>2932.1767172170398</v>
      </c>
      <c r="F1769" s="47">
        <v>7795.78205275855</v>
      </c>
    </row>
    <row r="1770" spans="3:6" x14ac:dyDescent="0.25">
      <c r="C1770" s="79"/>
      <c r="D1770" s="79"/>
      <c r="E1770" s="47">
        <v>2943.7901499537402</v>
      </c>
      <c r="F1770" s="47">
        <v>7867.0056824128696</v>
      </c>
    </row>
    <row r="1771" spans="3:6" x14ac:dyDescent="0.25">
      <c r="C1771" s="79"/>
      <c r="D1771" s="79"/>
      <c r="E1771" s="47">
        <v>2957.7060021901698</v>
      </c>
      <c r="F1771" s="47">
        <v>7920.7286491673603</v>
      </c>
    </row>
    <row r="1772" spans="3:6" x14ac:dyDescent="0.25">
      <c r="C1772" s="79"/>
      <c r="D1772" s="79"/>
      <c r="E1772" s="47">
        <v>2974.6794622973498</v>
      </c>
      <c r="F1772" s="47">
        <v>7963.4740586262596</v>
      </c>
    </row>
    <row r="1773" spans="3:6" x14ac:dyDescent="0.25">
      <c r="C1773" s="79"/>
      <c r="D1773" s="79"/>
      <c r="E1773" s="47">
        <v>2995.3450348125298</v>
      </c>
      <c r="F1773" s="47">
        <v>7999.2603472781502</v>
      </c>
    </row>
    <row r="1774" spans="3:6" x14ac:dyDescent="0.25">
      <c r="C1774" s="79"/>
      <c r="D1774" s="79"/>
      <c r="E1774" s="47">
        <v>3020.2642690329499</v>
      </c>
      <c r="F1774" s="47">
        <v>8030.6086062384202</v>
      </c>
    </row>
    <row r="1775" spans="3:6" x14ac:dyDescent="0.25">
      <c r="C1775" s="79"/>
      <c r="D1775" s="79"/>
      <c r="E1775" s="47">
        <v>3049.9628166191801</v>
      </c>
      <c r="F1775" s="47">
        <v>8059.2517082006398</v>
      </c>
    </row>
    <row r="1776" spans="3:6" x14ac:dyDescent="0.25">
      <c r="C1776" s="79"/>
      <c r="D1776" s="79"/>
      <c r="E1776" s="47">
        <v>3084.9492688980299</v>
      </c>
      <c r="F1776" s="47">
        <v>8086.47416918421</v>
      </c>
    </row>
    <row r="1777" spans="3:6" x14ac:dyDescent="0.25">
      <c r="C1777" s="79"/>
      <c r="D1777" s="79">
        <v>1000</v>
      </c>
      <c r="E1777" s="47">
        <v>2927.18959193608</v>
      </c>
      <c r="F1777" s="47">
        <v>7924.7941496226804</v>
      </c>
    </row>
    <row r="1778" spans="3:6" x14ac:dyDescent="0.25">
      <c r="C1778" s="79"/>
      <c r="D1778" s="79"/>
      <c r="E1778" s="47">
        <v>2937.4194181492899</v>
      </c>
      <c r="F1778" s="47">
        <v>8094.3831900015002</v>
      </c>
    </row>
    <row r="1779" spans="3:6" x14ac:dyDescent="0.25">
      <c r="C1779" s="79"/>
      <c r="D1779" s="79"/>
      <c r="E1779" s="47">
        <v>2947.3158521504802</v>
      </c>
      <c r="F1779" s="47">
        <v>8204.41294544023</v>
      </c>
    </row>
    <row r="1780" spans="3:6" x14ac:dyDescent="0.25">
      <c r="C1780" s="79"/>
      <c r="D1780" s="79"/>
      <c r="E1780" s="47">
        <v>2958.60355901206</v>
      </c>
      <c r="F1780" s="47">
        <v>8282.3549426137797</v>
      </c>
    </row>
    <row r="1781" spans="3:6" x14ac:dyDescent="0.25">
      <c r="C1781" s="79"/>
      <c r="D1781" s="79"/>
      <c r="E1781" s="47">
        <v>2972.2739127622899</v>
      </c>
      <c r="F1781" s="47">
        <v>8341.2658493011604</v>
      </c>
    </row>
    <row r="1782" spans="3:6" x14ac:dyDescent="0.25">
      <c r="C1782" s="79"/>
      <c r="D1782" s="79"/>
      <c r="E1782" s="47">
        <v>2989.0537588174402</v>
      </c>
      <c r="F1782" s="47">
        <v>8388.2157599617603</v>
      </c>
    </row>
    <row r="1783" spans="3:6" x14ac:dyDescent="0.25">
      <c r="C1783" s="79"/>
      <c r="D1783" s="79"/>
      <c r="E1783" s="47">
        <v>3009.55116109457</v>
      </c>
      <c r="F1783" s="47">
        <v>8427.4334290072002</v>
      </c>
    </row>
    <row r="1784" spans="3:6" x14ac:dyDescent="0.25">
      <c r="C1784" s="79"/>
      <c r="D1784" s="79"/>
      <c r="E1784" s="47">
        <v>3034.3201198174702</v>
      </c>
      <c r="F1784" s="47">
        <v>8461.7007284500705</v>
      </c>
    </row>
    <row r="1785" spans="3:6" x14ac:dyDescent="0.25">
      <c r="C1785" s="79"/>
      <c r="D1785" s="79"/>
      <c r="E1785" s="47">
        <v>3063.87377772639</v>
      </c>
      <c r="F1785" s="47">
        <v>8492.8905970833493</v>
      </c>
    </row>
    <row r="1786" spans="3:6" x14ac:dyDescent="0.25">
      <c r="C1786" s="79"/>
      <c r="D1786" s="79"/>
      <c r="E1786" s="47">
        <v>3098.7151247667998</v>
      </c>
      <c r="F1786" s="47">
        <v>8522.32754667263</v>
      </c>
    </row>
    <row r="1787" spans="3:6" x14ac:dyDescent="0.25">
      <c r="C1787" s="79"/>
      <c r="D1787" s="79">
        <v>1100</v>
      </c>
      <c r="E1787" s="47">
        <v>2940.8988579515499</v>
      </c>
      <c r="F1787" s="47">
        <v>8318.5980564553702</v>
      </c>
    </row>
    <row r="1788" spans="3:6" x14ac:dyDescent="0.25">
      <c r="C1788" s="79"/>
      <c r="D1788" s="79"/>
      <c r="E1788" s="47">
        <v>2950.4078846327102</v>
      </c>
      <c r="F1788" s="47">
        <v>8503.6552963231807</v>
      </c>
    </row>
    <row r="1789" spans="3:6" x14ac:dyDescent="0.25">
      <c r="C1789" s="79"/>
      <c r="D1789" s="79"/>
      <c r="E1789" s="47">
        <v>2959.8466868792598</v>
      </c>
      <c r="F1789" s="47">
        <v>8623.7569419747506</v>
      </c>
    </row>
    <row r="1790" spans="3:6" x14ac:dyDescent="0.25">
      <c r="C1790" s="79"/>
      <c r="D1790" s="79"/>
      <c r="E1790" s="47">
        <v>2970.7938425198799</v>
      </c>
      <c r="F1790" s="47">
        <v>8708.4851373219408</v>
      </c>
    </row>
    <row r="1791" spans="3:6" x14ac:dyDescent="0.25">
      <c r="C1791" s="79"/>
      <c r="D1791" s="79"/>
      <c r="E1791" s="47">
        <v>2984.2038797380201</v>
      </c>
      <c r="F1791" s="47">
        <v>8772.5587952490896</v>
      </c>
    </row>
    <row r="1792" spans="3:6" x14ac:dyDescent="0.25">
      <c r="C1792" s="79"/>
      <c r="D1792" s="79"/>
      <c r="E1792" s="47">
        <v>3000.7637587628701</v>
      </c>
      <c r="F1792" s="47">
        <v>8823.6222864660594</v>
      </c>
    </row>
    <row r="1793" spans="3:6" x14ac:dyDescent="0.25">
      <c r="C1793" s="79"/>
      <c r="D1793" s="79"/>
      <c r="E1793" s="47">
        <v>3021.0772230932698</v>
      </c>
      <c r="F1793" s="47">
        <v>8866.2987160353205</v>
      </c>
    </row>
    <row r="1794" spans="3:6" x14ac:dyDescent="0.25">
      <c r="C1794" s="79"/>
      <c r="D1794" s="79"/>
      <c r="E1794" s="47">
        <v>3045.6777504337101</v>
      </c>
      <c r="F1794" s="47">
        <v>8903.4881091587995</v>
      </c>
    </row>
    <row r="1795" spans="3:6" x14ac:dyDescent="0.25">
      <c r="C1795" s="79"/>
      <c r="D1795" s="79"/>
      <c r="E1795" s="47">
        <v>3075.0773605309</v>
      </c>
      <c r="F1795" s="47">
        <v>8937.2015605482302</v>
      </c>
    </row>
    <row r="1796" spans="3:6" x14ac:dyDescent="0.25">
      <c r="C1796" s="79"/>
      <c r="D1796" s="79"/>
      <c r="E1796" s="47">
        <v>3109.7690878777898</v>
      </c>
      <c r="F1796" s="47">
        <v>8968.8781965601102</v>
      </c>
    </row>
    <row r="1797" spans="3:6" x14ac:dyDescent="0.25">
      <c r="C1797" s="79"/>
      <c r="D1797" s="79">
        <v>1200</v>
      </c>
      <c r="E1797" s="47">
        <v>2952.2207841508098</v>
      </c>
      <c r="F1797" s="47">
        <v>8719.4011052966798</v>
      </c>
    </row>
    <row r="1798" spans="3:6" x14ac:dyDescent="0.25">
      <c r="C1798" s="79"/>
      <c r="D1798" s="79"/>
      <c r="E1798" s="47">
        <v>2960.94033535157</v>
      </c>
      <c r="F1798" s="47">
        <v>8919.6884059707409</v>
      </c>
    </row>
    <row r="1799" spans="3:6" x14ac:dyDescent="0.25">
      <c r="C1799" s="79"/>
      <c r="D1799" s="79"/>
      <c r="E1799" s="47">
        <v>2969.8621132728199</v>
      </c>
      <c r="F1799" s="47">
        <v>9049.8448604667101</v>
      </c>
    </row>
    <row r="1800" spans="3:6" x14ac:dyDescent="0.25">
      <c r="C1800" s="79"/>
      <c r="D1800" s="79"/>
      <c r="E1800" s="47">
        <v>2980.4522921501998</v>
      </c>
      <c r="F1800" s="47">
        <v>9142.1736651442407</v>
      </c>
    </row>
    <row r="1801" spans="3:6" x14ac:dyDescent="0.25">
      <c r="C1801" s="79"/>
      <c r="D1801" s="79"/>
      <c r="E1801" s="47">
        <v>2993.5920962815999</v>
      </c>
      <c r="F1801" s="47">
        <v>9211.9813556313602</v>
      </c>
    </row>
    <row r="1802" spans="3:6" x14ac:dyDescent="0.25">
      <c r="C1802" s="79"/>
      <c r="D1802" s="79"/>
      <c r="E1802" s="47">
        <v>3009.9372355699002</v>
      </c>
      <c r="F1802" s="47">
        <v>9267.5997678913009</v>
      </c>
    </row>
    <row r="1803" spans="3:6" x14ac:dyDescent="0.25">
      <c r="C1803" s="79"/>
      <c r="D1803" s="79"/>
      <c r="E1803" s="47">
        <v>3030.06863566637</v>
      </c>
      <c r="F1803" s="47">
        <v>9313.9453088725004</v>
      </c>
    </row>
    <row r="1804" spans="3:6" x14ac:dyDescent="0.25">
      <c r="C1804" s="79"/>
      <c r="D1804" s="79"/>
      <c r="E1804" s="47">
        <v>3054.5114969432698</v>
      </c>
      <c r="F1804" s="47">
        <v>9354.2113689400394</v>
      </c>
    </row>
    <row r="1805" spans="3:6" x14ac:dyDescent="0.25">
      <c r="C1805" s="79"/>
      <c r="D1805" s="79"/>
      <c r="E1805" s="47">
        <v>3083.7603000365302</v>
      </c>
      <c r="F1805" s="47">
        <v>9390.5670801727192</v>
      </c>
    </row>
    <row r="1806" spans="3:6" x14ac:dyDescent="0.25">
      <c r="C1806" s="79"/>
      <c r="D1806" s="79"/>
      <c r="E1806" s="47">
        <v>3118.3027530682998</v>
      </c>
      <c r="F1806" s="47">
        <v>9424.5952759322809</v>
      </c>
    </row>
    <row r="1807" spans="3:6" x14ac:dyDescent="0.25">
      <c r="C1807" s="79">
        <v>0</v>
      </c>
      <c r="D1807" s="79">
        <v>100</v>
      </c>
      <c r="E1807" s="47">
        <v>2788.71325756019</v>
      </c>
      <c r="F1807" s="47">
        <v>5382.0030020210697</v>
      </c>
    </row>
    <row r="1808" spans="3:6" x14ac:dyDescent="0.25">
      <c r="C1808" s="79"/>
      <c r="D1808" s="79"/>
      <c r="E1808" s="47">
        <v>2788.71325756019</v>
      </c>
      <c r="F1808" s="47">
        <v>5382.0030020210697</v>
      </c>
    </row>
    <row r="1809" spans="3:6" x14ac:dyDescent="0.25">
      <c r="C1809" s="79"/>
      <c r="D1809" s="79"/>
      <c r="E1809" s="47">
        <v>2788.71325756019</v>
      </c>
      <c r="F1809" s="47">
        <v>5382.0030020210697</v>
      </c>
    </row>
    <row r="1810" spans="3:6" x14ac:dyDescent="0.25">
      <c r="C1810" s="79"/>
      <c r="D1810" s="79"/>
      <c r="E1810" s="47">
        <v>2788.71325756019</v>
      </c>
      <c r="F1810" s="47">
        <v>5382.0030020210697</v>
      </c>
    </row>
    <row r="1811" spans="3:6" x14ac:dyDescent="0.25">
      <c r="C1811" s="79"/>
      <c r="D1811" s="79"/>
      <c r="E1811" s="47">
        <v>2788.71325756019</v>
      </c>
      <c r="F1811" s="47">
        <v>5382.0030020210697</v>
      </c>
    </row>
    <row r="1812" spans="3:6" x14ac:dyDescent="0.25">
      <c r="C1812" s="79"/>
      <c r="D1812" s="79"/>
      <c r="E1812" s="47">
        <v>2788.71325756019</v>
      </c>
      <c r="F1812" s="47">
        <v>5382.0030020210697</v>
      </c>
    </row>
    <row r="1813" spans="3:6" x14ac:dyDescent="0.25">
      <c r="C1813" s="79"/>
      <c r="D1813" s="79"/>
      <c r="E1813" s="47">
        <v>2809.98619452612</v>
      </c>
      <c r="F1813" s="47">
        <v>5398.1016412323697</v>
      </c>
    </row>
    <row r="1814" spans="3:6" x14ac:dyDescent="0.25">
      <c r="C1814" s="79"/>
      <c r="D1814" s="79"/>
      <c r="E1814" s="47">
        <v>2835.5135917489501</v>
      </c>
      <c r="F1814" s="47">
        <v>5412.6911136373901</v>
      </c>
    </row>
    <row r="1815" spans="3:6" x14ac:dyDescent="0.25">
      <c r="C1815" s="79"/>
      <c r="D1815" s="79"/>
      <c r="E1815" s="47">
        <v>2865.8805472685499</v>
      </c>
      <c r="F1815" s="47">
        <v>5426.7672507555799</v>
      </c>
    </row>
    <row r="1816" spans="3:6" x14ac:dyDescent="0.25">
      <c r="C1816" s="79"/>
      <c r="D1816" s="79"/>
      <c r="E1816" s="47">
        <v>2901.6121746056301</v>
      </c>
      <c r="F1816" s="47">
        <v>5440.9830354856604</v>
      </c>
    </row>
    <row r="1817" spans="3:6" x14ac:dyDescent="0.25">
      <c r="C1817" s="79"/>
      <c r="D1817" s="79">
        <v>200</v>
      </c>
      <c r="E1817" s="47">
        <v>2782.9963645032199</v>
      </c>
      <c r="F1817" s="47">
        <v>5648.4980048785301</v>
      </c>
    </row>
    <row r="1818" spans="3:6" x14ac:dyDescent="0.25">
      <c r="C1818" s="79"/>
      <c r="D1818" s="79"/>
      <c r="E1818" s="47">
        <v>2782.9963645032199</v>
      </c>
      <c r="F1818" s="47">
        <v>5648.4980048785301</v>
      </c>
    </row>
    <row r="1819" spans="3:6" x14ac:dyDescent="0.25">
      <c r="C1819" s="79"/>
      <c r="D1819" s="79"/>
      <c r="E1819" s="47">
        <v>2782.9963645032199</v>
      </c>
      <c r="F1819" s="47">
        <v>5648.4980048785301</v>
      </c>
    </row>
    <row r="1820" spans="3:6" x14ac:dyDescent="0.25">
      <c r="C1820" s="79"/>
      <c r="D1820" s="79"/>
      <c r="E1820" s="47">
        <v>2795.7597664003001</v>
      </c>
      <c r="F1820" s="47">
        <v>5686.2124250205597</v>
      </c>
    </row>
    <row r="1821" spans="3:6" x14ac:dyDescent="0.25">
      <c r="C1821" s="79"/>
      <c r="D1821" s="79"/>
      <c r="E1821" s="47">
        <v>2810.5183233507501</v>
      </c>
      <c r="F1821" s="47">
        <v>5714.1822464008901</v>
      </c>
    </row>
    <row r="1822" spans="3:6" x14ac:dyDescent="0.25">
      <c r="C1822" s="79"/>
      <c r="D1822" s="79"/>
      <c r="E1822" s="47">
        <v>2828.1715296237899</v>
      </c>
      <c r="F1822" s="47">
        <v>5736.3212827235402</v>
      </c>
    </row>
    <row r="1823" spans="3:6" x14ac:dyDescent="0.25">
      <c r="C1823" s="79"/>
      <c r="D1823" s="79"/>
      <c r="E1823" s="47">
        <v>2849.4367424440202</v>
      </c>
      <c r="F1823" s="47">
        <v>5755.0065799086196</v>
      </c>
    </row>
    <row r="1824" spans="3:6" x14ac:dyDescent="0.25">
      <c r="C1824" s="79"/>
      <c r="D1824" s="79"/>
      <c r="E1824" s="47">
        <v>2874.9377052015302</v>
      </c>
      <c r="F1824" s="47">
        <v>5771.77935192124</v>
      </c>
    </row>
    <row r="1825" spans="3:6" x14ac:dyDescent="0.25">
      <c r="C1825" s="79"/>
      <c r="D1825" s="79"/>
      <c r="E1825" s="47">
        <v>2905.2427010118799</v>
      </c>
      <c r="F1825" s="47">
        <v>5787.7084370276298</v>
      </c>
    </row>
    <row r="1826" spans="3:6" x14ac:dyDescent="0.25">
      <c r="C1826" s="79"/>
      <c r="D1826" s="79"/>
      <c r="E1826" s="47">
        <v>2940.8969185436599</v>
      </c>
      <c r="F1826" s="47">
        <v>5803.5947154762198</v>
      </c>
    </row>
    <row r="1827" spans="3:6" x14ac:dyDescent="0.25">
      <c r="C1827" s="79"/>
      <c r="D1827" s="79">
        <v>300</v>
      </c>
      <c r="E1827" s="47">
        <v>2792.8030493669498</v>
      </c>
      <c r="F1827" s="47">
        <v>5842.3931815200303</v>
      </c>
    </row>
    <row r="1828" spans="3:6" x14ac:dyDescent="0.25">
      <c r="C1828" s="79"/>
      <c r="D1828" s="79"/>
      <c r="E1828" s="47">
        <v>2806.1109331263501</v>
      </c>
      <c r="F1828" s="47">
        <v>5938.9688450820504</v>
      </c>
    </row>
    <row r="1829" spans="3:6" x14ac:dyDescent="0.25">
      <c r="C1829" s="79"/>
      <c r="D1829" s="79"/>
      <c r="E1829" s="47">
        <v>2818.0000705891798</v>
      </c>
      <c r="F1829" s="47">
        <v>6000.5677459784001</v>
      </c>
    </row>
    <row r="1830" spans="3:6" x14ac:dyDescent="0.25">
      <c r="C1830" s="79"/>
      <c r="D1830" s="79"/>
      <c r="E1830" s="47">
        <v>2830.6797557405598</v>
      </c>
      <c r="F1830" s="47">
        <v>6043.5084592399298</v>
      </c>
    </row>
    <row r="1831" spans="3:6" x14ac:dyDescent="0.25">
      <c r="C1831" s="79"/>
      <c r="D1831" s="79"/>
      <c r="E1831" s="47">
        <v>2845.38370506607</v>
      </c>
      <c r="F1831" s="47">
        <v>6075.5500993036003</v>
      </c>
    </row>
    <row r="1832" spans="3:6" x14ac:dyDescent="0.25">
      <c r="C1832" s="79"/>
      <c r="D1832" s="79"/>
      <c r="E1832" s="47">
        <v>2862.9957352692099</v>
      </c>
      <c r="F1832" s="47">
        <v>6100.9884517773698</v>
      </c>
    </row>
    <row r="1833" spans="3:6" x14ac:dyDescent="0.25">
      <c r="C1833" s="79"/>
      <c r="D1833" s="79"/>
      <c r="E1833" s="47">
        <v>2884.2187244207798</v>
      </c>
      <c r="F1833" s="47">
        <v>6122.4162460751504</v>
      </c>
    </row>
    <row r="1834" spans="3:6" x14ac:dyDescent="0.25">
      <c r="C1834" s="79"/>
      <c r="D1834" s="79"/>
      <c r="E1834" s="47">
        <v>2909.668953808</v>
      </c>
      <c r="F1834" s="47">
        <v>6141.5344370541998</v>
      </c>
    </row>
    <row r="1835" spans="3:6" x14ac:dyDescent="0.25">
      <c r="C1835" s="79"/>
      <c r="D1835" s="79"/>
      <c r="E1835" s="47">
        <v>2939.9061801656298</v>
      </c>
      <c r="F1835" s="47">
        <v>6159.5079153267998</v>
      </c>
    </row>
    <row r="1836" spans="3:6" x14ac:dyDescent="0.25">
      <c r="C1836" s="79"/>
      <c r="D1836" s="79"/>
      <c r="E1836" s="47">
        <v>2975.4695178443799</v>
      </c>
      <c r="F1836" s="47">
        <v>6177.2049712508697</v>
      </c>
    </row>
    <row r="1837" spans="3:6" x14ac:dyDescent="0.25">
      <c r="C1837" s="79"/>
      <c r="D1837" s="79">
        <v>400</v>
      </c>
      <c r="E1837" s="47">
        <v>2824.2993766414202</v>
      </c>
      <c r="F1837" s="47">
        <v>6186.08139423168</v>
      </c>
    </row>
    <row r="1838" spans="3:6" x14ac:dyDescent="0.25">
      <c r="C1838" s="79"/>
      <c r="D1838" s="79"/>
      <c r="E1838" s="47">
        <v>2837.2608699377001</v>
      </c>
      <c r="F1838" s="47">
        <v>6294.1579046766401</v>
      </c>
    </row>
    <row r="1839" spans="3:6" x14ac:dyDescent="0.25">
      <c r="C1839" s="79"/>
      <c r="D1839" s="79"/>
      <c r="E1839" s="47">
        <v>2848.9241731461302</v>
      </c>
      <c r="F1839" s="47">
        <v>6363.3613228312097</v>
      </c>
    </row>
    <row r="1840" spans="3:6" x14ac:dyDescent="0.25">
      <c r="C1840" s="79"/>
      <c r="D1840" s="79"/>
      <c r="E1840" s="47">
        <v>2861.4618499836301</v>
      </c>
      <c r="F1840" s="47">
        <v>6411.83633325546</v>
      </c>
    </row>
    <row r="1841" spans="3:6" x14ac:dyDescent="0.25">
      <c r="C1841" s="79"/>
      <c r="D1841" s="79"/>
      <c r="E1841" s="47">
        <v>2876.06702310936</v>
      </c>
      <c r="F1841" s="47">
        <v>6448.1370773483304</v>
      </c>
    </row>
    <row r="1842" spans="3:6" x14ac:dyDescent="0.25">
      <c r="C1842" s="79"/>
      <c r="D1842" s="79"/>
      <c r="E1842" s="47">
        <v>2893.5960361841699</v>
      </c>
      <c r="F1842" s="47">
        <v>6476.99106983814</v>
      </c>
    </row>
    <row r="1843" spans="3:6" x14ac:dyDescent="0.25">
      <c r="C1843" s="79"/>
      <c r="D1843" s="79"/>
      <c r="E1843" s="47">
        <v>2914.7416688425501</v>
      </c>
      <c r="F1843" s="47">
        <v>6501.2526902258596</v>
      </c>
    </row>
    <row r="1844" spans="3:6" x14ac:dyDescent="0.25">
      <c r="C1844" s="79"/>
      <c r="D1844" s="79"/>
      <c r="E1844" s="47">
        <v>2940.1099152176098</v>
      </c>
      <c r="F1844" s="47">
        <v>6522.7780761818804</v>
      </c>
    </row>
    <row r="1845" spans="3:6" x14ac:dyDescent="0.25">
      <c r="C1845" s="79"/>
      <c r="D1845" s="79"/>
      <c r="E1845" s="47">
        <v>2970.2566939957301</v>
      </c>
      <c r="F1845" s="47">
        <v>6542.8456939623602</v>
      </c>
    </row>
    <row r="1846" spans="3:6" x14ac:dyDescent="0.25">
      <c r="C1846" s="79"/>
      <c r="D1846" s="79"/>
      <c r="E1846" s="47">
        <v>3005.7154194403902</v>
      </c>
      <c r="F1846" s="47">
        <v>6562.4151800956497</v>
      </c>
    </row>
    <row r="1847" spans="3:6" x14ac:dyDescent="0.25">
      <c r="C1847" s="79"/>
      <c r="D1847" s="79">
        <v>500</v>
      </c>
      <c r="E1847" s="47">
        <v>2852.1453496844802</v>
      </c>
      <c r="F1847" s="47">
        <v>6539.3605216964797</v>
      </c>
    </row>
    <row r="1848" spans="3:6" x14ac:dyDescent="0.25">
      <c r="C1848" s="79"/>
      <c r="D1848" s="79"/>
      <c r="E1848" s="47">
        <v>2864.6223091643401</v>
      </c>
      <c r="F1848" s="47">
        <v>6659.0517048112797</v>
      </c>
    </row>
    <row r="1849" spans="3:6" x14ac:dyDescent="0.25">
      <c r="C1849" s="79"/>
      <c r="D1849" s="79"/>
      <c r="E1849" s="47">
        <v>2875.9886051763801</v>
      </c>
      <c r="F1849" s="47">
        <v>6736.0729056967702</v>
      </c>
    </row>
    <row r="1850" spans="3:6" x14ac:dyDescent="0.25">
      <c r="C1850" s="79"/>
      <c r="D1850" s="79"/>
      <c r="E1850" s="47">
        <v>2888.32431919896</v>
      </c>
      <c r="F1850" s="47">
        <v>6790.2581786712099</v>
      </c>
    </row>
    <row r="1851" spans="3:6" x14ac:dyDescent="0.25">
      <c r="C1851" s="79"/>
      <c r="D1851" s="79"/>
      <c r="E1851" s="47">
        <v>2902.7824286713198</v>
      </c>
      <c r="F1851" s="47">
        <v>6830.9811117516301</v>
      </c>
    </row>
    <row r="1852" spans="3:6" x14ac:dyDescent="0.25">
      <c r="C1852" s="79"/>
      <c r="D1852" s="79"/>
      <c r="E1852" s="47">
        <v>2920.1973803737001</v>
      </c>
      <c r="F1852" s="47">
        <v>6863.40498495661</v>
      </c>
    </row>
    <row r="1853" spans="3:6" x14ac:dyDescent="0.25">
      <c r="C1853" s="79"/>
      <c r="D1853" s="79"/>
      <c r="E1853" s="47">
        <v>2941.2445620636699</v>
      </c>
      <c r="F1853" s="47">
        <v>6890.6413556430198</v>
      </c>
    </row>
    <row r="1854" spans="3:6" x14ac:dyDescent="0.25">
      <c r="C1854" s="79"/>
      <c r="D1854" s="79"/>
      <c r="E1854" s="47">
        <v>2966.51642522263</v>
      </c>
      <c r="F1854" s="47">
        <v>6914.7109746774004</v>
      </c>
    </row>
    <row r="1855" spans="3:6" x14ac:dyDescent="0.25">
      <c r="C1855" s="79"/>
      <c r="D1855" s="79"/>
      <c r="E1855" s="47">
        <v>2996.56645723468</v>
      </c>
      <c r="F1855" s="47">
        <v>6937.0288882540299</v>
      </c>
    </row>
    <row r="1856" spans="3:6" x14ac:dyDescent="0.25">
      <c r="C1856" s="79"/>
      <c r="D1856" s="79"/>
      <c r="E1856" s="47">
        <v>3031.9107378513399</v>
      </c>
      <c r="F1856" s="47">
        <v>6958.5943707894903</v>
      </c>
    </row>
    <row r="1857" spans="3:6" x14ac:dyDescent="0.25">
      <c r="C1857" s="79"/>
      <c r="D1857" s="79">
        <v>600</v>
      </c>
      <c r="E1857" s="47">
        <v>2876.5117257091201</v>
      </c>
      <c r="F1857" s="47">
        <v>6901.0010233840403</v>
      </c>
    </row>
    <row r="1858" spans="3:6" x14ac:dyDescent="0.25">
      <c r="C1858" s="79"/>
      <c r="D1858" s="79"/>
      <c r="E1858" s="47">
        <v>2888.47645259511</v>
      </c>
      <c r="F1858" s="47">
        <v>7033.5883364044603</v>
      </c>
    </row>
    <row r="1859" spans="3:6" x14ac:dyDescent="0.25">
      <c r="C1859" s="79"/>
      <c r="D1859" s="79"/>
      <c r="E1859" s="47">
        <v>2899.5114608256199</v>
      </c>
      <c r="F1859" s="47">
        <v>7119.1317382666602</v>
      </c>
    </row>
    <row r="1860" spans="3:6" x14ac:dyDescent="0.25">
      <c r="C1860" s="79"/>
      <c r="D1860" s="79"/>
      <c r="E1860" s="47">
        <v>2911.6098802152901</v>
      </c>
      <c r="F1860" s="47">
        <v>7179.4267985411097</v>
      </c>
    </row>
    <row r="1861" spans="3:6" x14ac:dyDescent="0.25">
      <c r="C1861" s="79"/>
      <c r="D1861" s="79"/>
      <c r="E1861" s="47">
        <v>2925.8896826492901</v>
      </c>
      <c r="F1861" s="47">
        <v>7224.8179905080497</v>
      </c>
    </row>
    <row r="1862" spans="3:6" x14ac:dyDescent="0.25">
      <c r="C1862" s="79"/>
      <c r="D1862" s="79"/>
      <c r="E1862" s="47">
        <v>2943.1594918024798</v>
      </c>
      <c r="F1862" s="47">
        <v>7260.9645827265704</v>
      </c>
    </row>
    <row r="1863" spans="3:6" x14ac:dyDescent="0.25">
      <c r="C1863" s="79"/>
      <c r="D1863" s="79"/>
      <c r="E1863" s="47">
        <v>2964.0795992961798</v>
      </c>
      <c r="F1863" s="47">
        <v>7291.2714477265699</v>
      </c>
    </row>
    <row r="1864" spans="3:6" x14ac:dyDescent="0.25">
      <c r="C1864" s="79"/>
      <c r="D1864" s="79"/>
      <c r="E1864" s="47">
        <v>2989.2345744714798</v>
      </c>
      <c r="F1864" s="47">
        <v>7317.9748880994603</v>
      </c>
    </row>
    <row r="1865" spans="3:6" x14ac:dyDescent="0.25">
      <c r="C1865" s="79"/>
      <c r="D1865" s="79"/>
      <c r="E1865" s="47">
        <v>3019.1652795200698</v>
      </c>
      <c r="F1865" s="47">
        <v>7342.5814074544396</v>
      </c>
    </row>
    <row r="1866" spans="3:6" x14ac:dyDescent="0.25">
      <c r="C1866" s="79"/>
      <c r="D1866" s="79"/>
      <c r="E1866" s="47">
        <v>3054.3849158723801</v>
      </c>
      <c r="F1866" s="47">
        <v>7366.1664261138103</v>
      </c>
    </row>
    <row r="1867" spans="3:6" x14ac:dyDescent="0.25">
      <c r="C1867" s="79"/>
      <c r="D1867" s="79">
        <v>700</v>
      </c>
      <c r="E1867" s="47">
        <v>2897.7186444030499</v>
      </c>
      <c r="F1867" s="47">
        <v>7272.2049153470098</v>
      </c>
    </row>
    <row r="1868" spans="3:6" x14ac:dyDescent="0.25">
      <c r="C1868" s="79"/>
      <c r="D1868" s="79"/>
      <c r="E1868" s="47">
        <v>2909.0831252050998</v>
      </c>
      <c r="F1868" s="47">
        <v>7417.6872738156098</v>
      </c>
    </row>
    <row r="1869" spans="3:6" x14ac:dyDescent="0.25">
      <c r="C1869" s="79"/>
      <c r="D1869" s="79"/>
      <c r="E1869" s="47">
        <v>2919.72937161344</v>
      </c>
      <c r="F1869" s="47">
        <v>7511.8061386056697</v>
      </c>
    </row>
    <row r="1870" spans="3:6" x14ac:dyDescent="0.25">
      <c r="C1870" s="79"/>
      <c r="D1870" s="79"/>
      <c r="E1870" s="47">
        <v>2931.5451580323402</v>
      </c>
      <c r="F1870" s="47">
        <v>7578.32997573785</v>
      </c>
    </row>
    <row r="1871" spans="3:6" x14ac:dyDescent="0.25">
      <c r="C1871" s="79"/>
      <c r="D1871" s="79"/>
      <c r="E1871" s="47">
        <v>2945.6147220294001</v>
      </c>
      <c r="F1871" s="47">
        <v>7628.5131859881503</v>
      </c>
    </row>
    <row r="1872" spans="3:6" x14ac:dyDescent="0.25">
      <c r="C1872" s="79"/>
      <c r="D1872" s="79"/>
      <c r="E1872" s="47">
        <v>2962.7147684792299</v>
      </c>
      <c r="F1872" s="47">
        <v>7668.5075499089498</v>
      </c>
    </row>
    <row r="1873" spans="3:6" x14ac:dyDescent="0.25">
      <c r="C1873" s="79"/>
      <c r="D1873" s="79"/>
      <c r="E1873" s="47">
        <v>2983.4938533940699</v>
      </c>
      <c r="F1873" s="47">
        <v>7702.0422677933102</v>
      </c>
    </row>
    <row r="1874" spans="3:6" x14ac:dyDescent="0.25">
      <c r="C1874" s="79"/>
      <c r="D1874" s="79"/>
      <c r="E1874" s="47">
        <v>3008.5152701462698</v>
      </c>
      <c r="F1874" s="47">
        <v>7731.4933346848402</v>
      </c>
    </row>
    <row r="1875" spans="3:6" x14ac:dyDescent="0.25">
      <c r="C1875" s="79"/>
      <c r="D1875" s="79"/>
      <c r="E1875" s="47">
        <v>3038.31452364505</v>
      </c>
      <c r="F1875" s="47">
        <v>7758.4822875795298</v>
      </c>
    </row>
    <row r="1876" spans="3:6" x14ac:dyDescent="0.25">
      <c r="C1876" s="79"/>
      <c r="D1876" s="79"/>
      <c r="E1876" s="47">
        <v>3073.3984953163799</v>
      </c>
      <c r="F1876" s="47">
        <v>7784.18665787604</v>
      </c>
    </row>
    <row r="1877" spans="3:6" x14ac:dyDescent="0.25">
      <c r="C1877" s="79"/>
      <c r="D1877" s="79">
        <v>800</v>
      </c>
      <c r="E1877" s="47">
        <v>2915.9447137247198</v>
      </c>
      <c r="F1877" s="47">
        <v>7651.3899322940497</v>
      </c>
    </row>
    <row r="1878" spans="3:6" x14ac:dyDescent="0.25">
      <c r="C1878" s="79"/>
      <c r="D1878" s="79"/>
      <c r="E1878" s="47">
        <v>2926.6675477620602</v>
      </c>
      <c r="F1878" s="47">
        <v>7811.0885197769103</v>
      </c>
    </row>
    <row r="1879" spans="3:6" x14ac:dyDescent="0.25">
      <c r="C1879" s="79"/>
      <c r="D1879" s="79"/>
      <c r="E1879" s="47">
        <v>2936.9036910139998</v>
      </c>
      <c r="F1879" s="47">
        <v>7914.5785484710204</v>
      </c>
    </row>
    <row r="1880" spans="3:6" x14ac:dyDescent="0.25">
      <c r="C1880" s="79"/>
      <c r="D1880" s="79"/>
      <c r="E1880" s="47">
        <v>2948.4285635013898</v>
      </c>
      <c r="F1880" s="47">
        <v>7987.76220132036</v>
      </c>
    </row>
    <row r="1881" spans="3:6" x14ac:dyDescent="0.25">
      <c r="C1881" s="79"/>
      <c r="D1881" s="79"/>
      <c r="E1881" s="47">
        <v>2962.2761694338401</v>
      </c>
      <c r="F1881" s="47">
        <v>8042.9934252033599</v>
      </c>
    </row>
    <row r="1882" spans="3:6" x14ac:dyDescent="0.25">
      <c r="C1882" s="79"/>
      <c r="D1882" s="79"/>
      <c r="E1882" s="47">
        <v>2979.1986658699002</v>
      </c>
      <c r="F1882" s="47">
        <v>8087.0216871477796</v>
      </c>
    </row>
    <row r="1883" spans="3:6" x14ac:dyDescent="0.25">
      <c r="C1883" s="79"/>
      <c r="D1883" s="79"/>
      <c r="E1883" s="47">
        <v>2999.8124820715602</v>
      </c>
      <c r="F1883" s="47">
        <v>8123.8626429345904</v>
      </c>
    </row>
    <row r="1884" spans="3:6" x14ac:dyDescent="0.25">
      <c r="C1884" s="79"/>
      <c r="D1884" s="79"/>
      <c r="E1884" s="47">
        <v>3024.6850635354299</v>
      </c>
      <c r="F1884" s="47">
        <v>8156.09344850251</v>
      </c>
    </row>
    <row r="1885" spans="3:6" x14ac:dyDescent="0.25">
      <c r="C1885" s="79"/>
      <c r="D1885" s="79"/>
      <c r="E1885" s="47">
        <v>3054.3409975771301</v>
      </c>
      <c r="F1885" s="47">
        <v>8185.4862280606103</v>
      </c>
    </row>
    <row r="1886" spans="3:6" x14ac:dyDescent="0.25">
      <c r="C1886" s="79"/>
      <c r="D1886" s="79"/>
      <c r="E1886" s="47">
        <v>3089.2790675681499</v>
      </c>
      <c r="F1886" s="47">
        <v>8213.3232670714297</v>
      </c>
    </row>
    <row r="1887" spans="3:6" x14ac:dyDescent="0.25">
      <c r="C1887" s="79"/>
      <c r="D1887" s="79">
        <v>900</v>
      </c>
      <c r="E1887" s="47">
        <v>2931.48800804146</v>
      </c>
      <c r="F1887" s="47">
        <v>8039.7751207236697</v>
      </c>
    </row>
    <row r="1888" spans="3:6" x14ac:dyDescent="0.25">
      <c r="C1888" s="79"/>
      <c r="D1888" s="79"/>
      <c r="E1888" s="47">
        <v>2941.48604862615</v>
      </c>
      <c r="F1888" s="47">
        <v>8213.5415738257307</v>
      </c>
    </row>
    <row r="1889" spans="3:6" x14ac:dyDescent="0.25">
      <c r="C1889" s="79"/>
      <c r="D1889" s="79"/>
      <c r="E1889" s="47">
        <v>2951.2477362780501</v>
      </c>
      <c r="F1889" s="47">
        <v>8326.3290304269594</v>
      </c>
    </row>
    <row r="1890" spans="3:6" x14ac:dyDescent="0.25">
      <c r="C1890" s="79"/>
      <c r="D1890" s="79"/>
      <c r="E1890" s="47">
        <v>2962.44003371193</v>
      </c>
      <c r="F1890" s="47">
        <v>8406.2546345029696</v>
      </c>
    </row>
    <row r="1891" spans="3:6" x14ac:dyDescent="0.25">
      <c r="C1891" s="79"/>
      <c r="D1891" s="79"/>
      <c r="E1891" s="47">
        <v>2976.0376990516602</v>
      </c>
      <c r="F1891" s="47">
        <v>8466.6632957114598</v>
      </c>
    </row>
    <row r="1892" spans="3:6" x14ac:dyDescent="0.25">
      <c r="C1892" s="79"/>
      <c r="D1892" s="79"/>
      <c r="E1892" s="47">
        <v>2992.7558123184199</v>
      </c>
      <c r="F1892" s="47">
        <v>8514.8297214650793</v>
      </c>
    </row>
    <row r="1893" spans="3:6" x14ac:dyDescent="0.25">
      <c r="C1893" s="79"/>
      <c r="D1893" s="79"/>
      <c r="E1893" s="47">
        <v>3013.2045187005001</v>
      </c>
      <c r="F1893" s="47">
        <v>8555.0741608668595</v>
      </c>
    </row>
    <row r="1894" spans="3:6" x14ac:dyDescent="0.25">
      <c r="C1894" s="79"/>
      <c r="D1894" s="79"/>
      <c r="E1894" s="47">
        <v>3037.92500306388</v>
      </c>
      <c r="F1894" s="47">
        <v>8590.1967145858998</v>
      </c>
    </row>
    <row r="1895" spans="3:6" x14ac:dyDescent="0.25">
      <c r="C1895" s="79"/>
      <c r="D1895" s="79"/>
      <c r="E1895" s="47">
        <v>3067.43708792391</v>
      </c>
      <c r="F1895" s="47">
        <v>8622.0983872648394</v>
      </c>
    </row>
    <row r="1896" spans="3:6" x14ac:dyDescent="0.25">
      <c r="C1896" s="79"/>
      <c r="D1896" s="79"/>
      <c r="E1896" s="47">
        <v>3102.2377344967799</v>
      </c>
      <c r="F1896" s="47">
        <v>8652.1930861316396</v>
      </c>
    </row>
    <row r="1897" spans="3:6" x14ac:dyDescent="0.25">
      <c r="C1897" s="79"/>
      <c r="D1897" s="79">
        <v>1000</v>
      </c>
      <c r="E1897" s="47">
        <v>2944.4515941013401</v>
      </c>
      <c r="F1897" s="47">
        <v>8435.2430274812104</v>
      </c>
    </row>
    <row r="1898" spans="3:6" x14ac:dyDescent="0.25">
      <c r="C1898" s="79"/>
      <c r="D1898" s="79"/>
      <c r="E1898" s="47">
        <v>2953.7405402527502</v>
      </c>
      <c r="F1898" s="47">
        <v>8624.6960783754002</v>
      </c>
    </row>
    <row r="1899" spans="3:6" x14ac:dyDescent="0.25">
      <c r="C1899" s="79"/>
      <c r="D1899" s="79"/>
      <c r="E1899" s="47">
        <v>2963.0362491687101</v>
      </c>
      <c r="F1899" s="47">
        <v>8747.7350446771907</v>
      </c>
    </row>
    <row r="1900" spans="3:6" x14ac:dyDescent="0.25">
      <c r="C1900" s="79"/>
      <c r="D1900" s="79"/>
      <c r="E1900" s="47">
        <v>2973.8786488067399</v>
      </c>
      <c r="F1900" s="47">
        <v>8834.9326626326601</v>
      </c>
    </row>
    <row r="1901" spans="3:6" x14ac:dyDescent="0.25">
      <c r="C1901" s="79"/>
      <c r="D1901" s="79"/>
      <c r="E1901" s="47">
        <v>2987.20453989001</v>
      </c>
      <c r="F1901" s="47">
        <v>8900.8438555039793</v>
      </c>
    </row>
    <row r="1902" spans="3:6" x14ac:dyDescent="0.25">
      <c r="C1902" s="79"/>
      <c r="D1902" s="79"/>
      <c r="E1902" s="47">
        <v>3003.7054592612299</v>
      </c>
      <c r="F1902" s="47">
        <v>8953.3292224455308</v>
      </c>
    </row>
    <row r="1903" spans="3:6" x14ac:dyDescent="0.25">
      <c r="C1903" s="79"/>
      <c r="D1903" s="79"/>
      <c r="E1903" s="47">
        <v>3023.96959555886</v>
      </c>
      <c r="F1903" s="47">
        <v>8997.0975938505308</v>
      </c>
    </row>
    <row r="1904" spans="3:6" x14ac:dyDescent="0.25">
      <c r="C1904" s="79"/>
      <c r="D1904" s="79"/>
      <c r="E1904" s="47">
        <v>3048.5228780566099</v>
      </c>
      <c r="F1904" s="47">
        <v>9035.1405031215909</v>
      </c>
    </row>
    <row r="1905" spans="3:6" x14ac:dyDescent="0.25">
      <c r="C1905" s="79"/>
      <c r="D1905" s="79"/>
      <c r="E1905" s="47">
        <v>3077.8788767825299</v>
      </c>
      <c r="F1905" s="47">
        <v>9069.5989816822403</v>
      </c>
    </row>
    <row r="1906" spans="3:6" x14ac:dyDescent="0.25">
      <c r="C1906" s="79"/>
      <c r="D1906" s="79"/>
      <c r="E1906" s="47">
        <v>3112.5276102849798</v>
      </c>
      <c r="F1906" s="47">
        <v>9101.9425498688306</v>
      </c>
    </row>
    <row r="1907" spans="3:6" x14ac:dyDescent="0.25">
      <c r="C1907" s="79"/>
      <c r="D1907" s="79">
        <v>1100</v>
      </c>
      <c r="E1907" s="47">
        <v>2955.1197964128401</v>
      </c>
      <c r="F1907" s="47">
        <v>8838.7483874961199</v>
      </c>
    </row>
    <row r="1908" spans="3:6" x14ac:dyDescent="0.25">
      <c r="C1908" s="79"/>
      <c r="D1908" s="79"/>
      <c r="E1908" s="47">
        <v>2963.6030289938999</v>
      </c>
      <c r="F1908" s="47">
        <v>9043.5929758396996</v>
      </c>
    </row>
    <row r="1909" spans="3:6" x14ac:dyDescent="0.25">
      <c r="C1909" s="79"/>
      <c r="D1909" s="79"/>
      <c r="E1909" s="47">
        <v>2972.3739276794499</v>
      </c>
      <c r="F1909" s="47">
        <v>9176.7128696140007</v>
      </c>
    </row>
    <row r="1910" spans="3:6" x14ac:dyDescent="0.25">
      <c r="C1910" s="79"/>
      <c r="D1910" s="79"/>
      <c r="E1910" s="47">
        <v>2982.8556273968002</v>
      </c>
      <c r="F1910" s="47">
        <v>9271.1871688429801</v>
      </c>
    </row>
    <row r="1911" spans="3:6" x14ac:dyDescent="0.25">
      <c r="C1911" s="79"/>
      <c r="D1911" s="79"/>
      <c r="E1911" s="47">
        <v>2995.91252109887</v>
      </c>
      <c r="F1911" s="47">
        <v>9342.6377088378504</v>
      </c>
    </row>
    <row r="1912" spans="3:6" x14ac:dyDescent="0.25">
      <c r="C1912" s="79"/>
      <c r="D1912" s="79"/>
      <c r="E1912" s="47">
        <v>3012.1962012256599</v>
      </c>
      <c r="F1912" s="47">
        <v>9399.5327042061908</v>
      </c>
    </row>
    <row r="1913" spans="3:6" x14ac:dyDescent="0.25">
      <c r="C1913" s="79"/>
      <c r="D1913" s="79"/>
      <c r="E1913" s="47">
        <v>3032.27034188772</v>
      </c>
      <c r="F1913" s="47">
        <v>9446.9717248950092</v>
      </c>
    </row>
    <row r="1914" spans="3:6" x14ac:dyDescent="0.25">
      <c r="C1914" s="79"/>
      <c r="D1914" s="79"/>
      <c r="E1914" s="47">
        <v>3056.6624620834</v>
      </c>
      <c r="F1914" s="47">
        <v>9488.1613735855899</v>
      </c>
    </row>
    <row r="1915" spans="3:6" x14ac:dyDescent="0.25">
      <c r="C1915" s="79"/>
      <c r="D1915" s="79"/>
      <c r="E1915" s="47">
        <v>3085.8642999928102</v>
      </c>
      <c r="F1915" s="47">
        <v>9525.3171314252995</v>
      </c>
    </row>
    <row r="1916" spans="3:6" x14ac:dyDescent="0.25">
      <c r="C1916" s="79"/>
      <c r="D1916" s="79"/>
      <c r="E1916" s="47">
        <v>3120.35928642709</v>
      </c>
      <c r="F1916" s="47">
        <v>9560.0209851762902</v>
      </c>
    </row>
    <row r="1917" spans="3:6" x14ac:dyDescent="0.25">
      <c r="C1917" s="79"/>
      <c r="D1917" s="79">
        <v>1200</v>
      </c>
      <c r="E1917" s="47">
        <v>2963.6368408835701</v>
      </c>
      <c r="F1917" s="47">
        <v>9250.3206915836399</v>
      </c>
    </row>
    <row r="1918" spans="3:6" x14ac:dyDescent="0.25">
      <c r="C1918" s="79"/>
      <c r="D1918" s="79"/>
      <c r="E1918" s="47">
        <v>2971.3274747865498</v>
      </c>
      <c r="F1918" s="47">
        <v>9471.5267393296599</v>
      </c>
    </row>
    <row r="1919" spans="3:6" x14ac:dyDescent="0.25">
      <c r="C1919" s="79"/>
      <c r="D1919" s="79"/>
      <c r="E1919" s="47">
        <v>2979.5608165926701</v>
      </c>
      <c r="F1919" s="47">
        <v>9615.4055787736306</v>
      </c>
    </row>
    <row r="1920" spans="3:6" x14ac:dyDescent="0.25">
      <c r="C1920" s="79"/>
      <c r="D1920" s="79"/>
      <c r="E1920" s="47">
        <v>2989.6452661981002</v>
      </c>
      <c r="F1920" s="47">
        <v>9717.4023946773796</v>
      </c>
    </row>
    <row r="1921" spans="3:6" x14ac:dyDescent="0.25">
      <c r="C1921" s="79"/>
      <c r="D1921" s="79"/>
      <c r="E1921" s="47">
        <v>3002.4014204958798</v>
      </c>
      <c r="F1921" s="47">
        <v>9794.4300584352495</v>
      </c>
    </row>
    <row r="1922" spans="3:6" x14ac:dyDescent="0.25">
      <c r="C1922" s="79"/>
      <c r="D1922" s="79"/>
      <c r="E1922" s="47">
        <v>3018.4389386913799</v>
      </c>
      <c r="F1922" s="47">
        <v>9855.7836268867904</v>
      </c>
    </row>
    <row r="1923" spans="3:6" x14ac:dyDescent="0.25">
      <c r="C1923" s="79"/>
      <c r="D1923" s="79"/>
      <c r="E1923" s="47">
        <v>3038.3144901743599</v>
      </c>
      <c r="F1923" s="47">
        <v>9906.8562101088191</v>
      </c>
    </row>
    <row r="1924" spans="3:6" x14ac:dyDescent="0.25">
      <c r="C1924" s="79"/>
      <c r="D1924" s="79"/>
      <c r="E1924" s="47">
        <v>3062.5267735103098</v>
      </c>
      <c r="F1924" s="47">
        <v>9951.1207597836092</v>
      </c>
    </row>
    <row r="1925" spans="3:6" x14ac:dyDescent="0.25">
      <c r="C1925" s="79"/>
      <c r="D1925" s="79"/>
      <c r="E1925" s="47">
        <v>3091.5658175122999</v>
      </c>
      <c r="F1925" s="47">
        <v>9990.9555971160607</v>
      </c>
    </row>
    <row r="1926" spans="3:6" x14ac:dyDescent="0.25">
      <c r="C1926" s="79"/>
      <c r="D1926" s="79"/>
      <c r="E1926" s="47">
        <v>3125.9075534530598</v>
      </c>
      <c r="F1926" s="47">
        <v>10028.054528283001</v>
      </c>
    </row>
    <row r="1927" spans="3:6" x14ac:dyDescent="0.25">
      <c r="C1927" s="79">
        <v>5</v>
      </c>
      <c r="D1927" s="79">
        <v>0</v>
      </c>
      <c r="E1927" s="47">
        <v>2800.7940962788898</v>
      </c>
      <c r="F1927" s="47">
        <v>5484.8937100896101</v>
      </c>
    </row>
    <row r="1928" spans="3:6" x14ac:dyDescent="0.25">
      <c r="C1928" s="79"/>
      <c r="D1928" s="79"/>
      <c r="E1928" s="47">
        <v>2800.7940962788898</v>
      </c>
      <c r="F1928" s="47">
        <v>5484.8937100896101</v>
      </c>
    </row>
    <row r="1929" spans="3:6" x14ac:dyDescent="0.25">
      <c r="C1929" s="79"/>
      <c r="D1929" s="79"/>
      <c r="E1929" s="47">
        <v>2800.7940962788898</v>
      </c>
      <c r="F1929" s="47">
        <v>5484.8937100896101</v>
      </c>
    </row>
    <row r="1930" spans="3:6" x14ac:dyDescent="0.25">
      <c r="C1930" s="79"/>
      <c r="D1930" s="79"/>
      <c r="E1930" s="47">
        <v>2800.7940962788898</v>
      </c>
      <c r="F1930" s="47">
        <v>5484.8937100896101</v>
      </c>
    </row>
    <row r="1931" spans="3:6" x14ac:dyDescent="0.25">
      <c r="C1931" s="79"/>
      <c r="D1931" s="79"/>
      <c r="E1931" s="47">
        <v>2800.7940962788898</v>
      </c>
      <c r="F1931" s="47">
        <v>5484.8937100896101</v>
      </c>
    </row>
    <row r="1932" spans="3:6" x14ac:dyDescent="0.25">
      <c r="C1932" s="79"/>
      <c r="D1932" s="79"/>
      <c r="E1932" s="47">
        <v>2800.7940962788898</v>
      </c>
      <c r="F1932" s="47">
        <v>5484.8937100896101</v>
      </c>
    </row>
    <row r="1933" spans="3:6" x14ac:dyDescent="0.25">
      <c r="C1933" s="79"/>
      <c r="D1933" s="79"/>
      <c r="E1933" s="47">
        <v>2822.0767116072002</v>
      </c>
      <c r="F1933" s="47">
        <v>5501.76244267527</v>
      </c>
    </row>
    <row r="1934" spans="3:6" x14ac:dyDescent="0.25">
      <c r="C1934" s="79"/>
      <c r="D1934" s="79"/>
      <c r="E1934" s="47">
        <v>2847.6051177992199</v>
      </c>
      <c r="F1934" s="47">
        <v>5517.0004769366997</v>
      </c>
    </row>
    <row r="1935" spans="3:6" x14ac:dyDescent="0.25">
      <c r="C1935" s="79"/>
      <c r="D1935" s="79"/>
      <c r="E1935" s="47">
        <v>2877.9536642307698</v>
      </c>
      <c r="F1935" s="47">
        <v>5531.6030142560703</v>
      </c>
    </row>
    <row r="1936" spans="3:6" x14ac:dyDescent="0.25">
      <c r="C1936" s="79"/>
      <c r="D1936" s="79"/>
      <c r="E1936" s="47">
        <v>2913.6582103301098</v>
      </c>
      <c r="F1936" s="47">
        <v>5546.2790032617304</v>
      </c>
    </row>
    <row r="1937" spans="3:6" x14ac:dyDescent="0.25">
      <c r="C1937" s="79"/>
      <c r="D1937" s="79">
        <v>100</v>
      </c>
      <c r="E1937" s="47">
        <v>2806.4191810970901</v>
      </c>
      <c r="F1937" s="47">
        <v>5789.7548303240301</v>
      </c>
    </row>
    <row r="1938" spans="3:6" x14ac:dyDescent="0.25">
      <c r="C1938" s="79"/>
      <c r="D1938" s="79"/>
      <c r="E1938" s="47">
        <v>2806.4191810970901</v>
      </c>
      <c r="F1938" s="47">
        <v>5789.7548303240301</v>
      </c>
    </row>
    <row r="1939" spans="3:6" x14ac:dyDescent="0.25">
      <c r="C1939" s="79"/>
      <c r="D1939" s="79"/>
      <c r="E1939" s="47">
        <v>2806.4191810970901</v>
      </c>
      <c r="F1939" s="47">
        <v>5789.7548303240301</v>
      </c>
    </row>
    <row r="1940" spans="3:6" x14ac:dyDescent="0.25">
      <c r="C1940" s="79"/>
      <c r="D1940" s="79"/>
      <c r="E1940" s="47">
        <v>2806.4191810970901</v>
      </c>
      <c r="F1940" s="47">
        <v>5789.7548303240301</v>
      </c>
    </row>
    <row r="1941" spans="3:6" x14ac:dyDescent="0.25">
      <c r="C1941" s="79"/>
      <c r="D1941" s="79"/>
      <c r="E1941" s="47">
        <v>2821.1781062263999</v>
      </c>
      <c r="F1941" s="47">
        <v>5818.9354820422795</v>
      </c>
    </row>
    <row r="1942" spans="3:6" x14ac:dyDescent="0.25">
      <c r="C1942" s="79"/>
      <c r="D1942" s="79"/>
      <c r="E1942" s="47">
        <v>2838.8333097285599</v>
      </c>
      <c r="F1942" s="47">
        <v>5842.0619900764004</v>
      </c>
    </row>
    <row r="1943" spans="3:6" x14ac:dyDescent="0.25">
      <c r="C1943" s="79"/>
      <c r="D1943" s="79"/>
      <c r="E1943" s="47">
        <v>2860.0991140536198</v>
      </c>
      <c r="F1943" s="47">
        <v>5861.5689428205997</v>
      </c>
    </row>
    <row r="1944" spans="3:6" x14ac:dyDescent="0.25">
      <c r="C1944" s="79"/>
      <c r="D1944" s="79"/>
      <c r="E1944" s="47">
        <v>2885.5943987827</v>
      </c>
      <c r="F1944" s="47">
        <v>5879.0453002004597</v>
      </c>
    </row>
    <row r="1945" spans="3:6" x14ac:dyDescent="0.25">
      <c r="C1945" s="79"/>
      <c r="D1945" s="79"/>
      <c r="E1945" s="47">
        <v>2915.8888944775499</v>
      </c>
      <c r="F1945" s="47">
        <v>5895.5879507169502</v>
      </c>
    </row>
    <row r="1946" spans="3:6" x14ac:dyDescent="0.25">
      <c r="C1946" s="79"/>
      <c r="D1946" s="79"/>
      <c r="E1946" s="47">
        <v>2951.51524314669</v>
      </c>
      <c r="F1946" s="47">
        <v>5911.9882465507098</v>
      </c>
    </row>
    <row r="1947" spans="3:6" x14ac:dyDescent="0.25">
      <c r="C1947" s="79"/>
      <c r="D1947" s="79">
        <v>200</v>
      </c>
      <c r="E1947" s="47">
        <v>2827.5103537606701</v>
      </c>
      <c r="F1947" s="47">
        <v>6106.1613941587402</v>
      </c>
    </row>
    <row r="1948" spans="3:6" x14ac:dyDescent="0.25">
      <c r="C1948" s="79"/>
      <c r="D1948" s="79"/>
      <c r="E1948" s="47">
        <v>2827.5103537606701</v>
      </c>
      <c r="F1948" s="47">
        <v>6106.1613941587402</v>
      </c>
    </row>
    <row r="1949" spans="3:6" x14ac:dyDescent="0.25">
      <c r="C1949" s="79"/>
      <c r="D1949" s="79"/>
      <c r="E1949" s="47">
        <v>2827.5103537606701</v>
      </c>
      <c r="F1949" s="47">
        <v>6106.1613941587402</v>
      </c>
    </row>
    <row r="1950" spans="3:6" x14ac:dyDescent="0.25">
      <c r="C1950" s="79"/>
      <c r="D1950" s="79"/>
      <c r="E1950" s="47">
        <v>2840.13036112482</v>
      </c>
      <c r="F1950" s="47">
        <v>6150.5971325498804</v>
      </c>
    </row>
    <row r="1951" spans="3:6" x14ac:dyDescent="0.25">
      <c r="C1951" s="79"/>
      <c r="D1951" s="79"/>
      <c r="E1951" s="47">
        <v>2854.8042407319099</v>
      </c>
      <c r="F1951" s="47">
        <v>6183.8191128379503</v>
      </c>
    </row>
    <row r="1952" spans="3:6" x14ac:dyDescent="0.25">
      <c r="C1952" s="79"/>
      <c r="D1952" s="79"/>
      <c r="E1952" s="47">
        <v>2872.4004606133899</v>
      </c>
      <c r="F1952" s="47">
        <v>6210.2402349384602</v>
      </c>
    </row>
    <row r="1953" spans="3:6" x14ac:dyDescent="0.25">
      <c r="C1953" s="79"/>
      <c r="D1953" s="79"/>
      <c r="E1953" s="47">
        <v>2893.6096967766898</v>
      </c>
      <c r="F1953" s="47">
        <v>6232.4977101152899</v>
      </c>
    </row>
    <row r="1954" spans="3:6" x14ac:dyDescent="0.25">
      <c r="C1954" s="79"/>
      <c r="D1954" s="79"/>
      <c r="E1954" s="47">
        <v>2919.04388600641</v>
      </c>
      <c r="F1954" s="47">
        <v>6252.3277839994898</v>
      </c>
    </row>
    <row r="1955" spans="3:6" x14ac:dyDescent="0.25">
      <c r="C1955" s="79"/>
      <c r="D1955" s="79"/>
      <c r="E1955" s="47">
        <v>2949.26226974577</v>
      </c>
      <c r="F1955" s="47">
        <v>6270.9268422143296</v>
      </c>
    </row>
    <row r="1956" spans="3:6" x14ac:dyDescent="0.25">
      <c r="C1956" s="79"/>
      <c r="D1956" s="79"/>
      <c r="E1956" s="47">
        <v>2984.7957649116702</v>
      </c>
      <c r="F1956" s="47">
        <v>6289.16271642026</v>
      </c>
    </row>
    <row r="1957" spans="3:6" x14ac:dyDescent="0.25">
      <c r="C1957" s="79"/>
      <c r="D1957" s="79">
        <v>300</v>
      </c>
      <c r="E1957" s="47">
        <v>2832.8272472056801</v>
      </c>
      <c r="F1957" s="47">
        <v>6288.5529193963002</v>
      </c>
    </row>
    <row r="1958" spans="3:6" x14ac:dyDescent="0.25">
      <c r="C1958" s="79"/>
      <c r="D1958" s="79"/>
      <c r="E1958" s="47">
        <v>2845.6549268271601</v>
      </c>
      <c r="F1958" s="47">
        <v>6399.9984469618503</v>
      </c>
    </row>
    <row r="1959" spans="3:6" x14ac:dyDescent="0.25">
      <c r="C1959" s="79"/>
      <c r="D1959" s="79"/>
      <c r="E1959" s="47">
        <v>2857.2538997123402</v>
      </c>
      <c r="F1959" s="47">
        <v>6471.5366858941197</v>
      </c>
    </row>
    <row r="1960" spans="3:6" x14ac:dyDescent="0.25">
      <c r="C1960" s="79"/>
      <c r="D1960" s="79"/>
      <c r="E1960" s="47">
        <v>2869.7189697921299</v>
      </c>
      <c r="F1960" s="47">
        <v>6521.6308996652097</v>
      </c>
    </row>
    <row r="1961" spans="3:6" x14ac:dyDescent="0.25">
      <c r="C1961" s="79"/>
      <c r="D1961" s="79"/>
      <c r="E1961" s="47">
        <v>2884.2767787732701</v>
      </c>
      <c r="F1961" s="47">
        <v>6559.1954309045796</v>
      </c>
    </row>
    <row r="1962" spans="3:6" x14ac:dyDescent="0.25">
      <c r="C1962" s="79"/>
      <c r="D1962" s="79"/>
      <c r="E1962" s="47">
        <v>2901.7792449192002</v>
      </c>
      <c r="F1962" s="47">
        <v>6589.1058565427802</v>
      </c>
    </row>
    <row r="1963" spans="3:6" x14ac:dyDescent="0.25">
      <c r="C1963" s="79"/>
      <c r="D1963" s="79"/>
      <c r="E1963" s="47">
        <v>2922.90304595625</v>
      </c>
      <c r="F1963" s="47">
        <v>6614.2517863295097</v>
      </c>
    </row>
    <row r="1964" spans="3:6" x14ac:dyDescent="0.25">
      <c r="C1964" s="79"/>
      <c r="D1964" s="79"/>
      <c r="E1964" s="47">
        <v>2948.2503550132001</v>
      </c>
      <c r="F1964" s="47">
        <v>6636.53981901317</v>
      </c>
    </row>
    <row r="1965" spans="3:6" x14ac:dyDescent="0.25">
      <c r="C1965" s="79"/>
      <c r="D1965" s="79"/>
      <c r="E1965" s="47">
        <v>2978.3735504645401</v>
      </c>
      <c r="F1965" s="47">
        <v>6657.2751439772601</v>
      </c>
    </row>
    <row r="1966" spans="3:6" x14ac:dyDescent="0.25">
      <c r="C1966" s="79"/>
      <c r="D1966" s="79"/>
      <c r="E1966" s="47">
        <v>3013.7977104244201</v>
      </c>
      <c r="F1966" s="47">
        <v>6677.4124956823898</v>
      </c>
    </row>
    <row r="1967" spans="3:6" x14ac:dyDescent="0.25">
      <c r="C1967" s="79"/>
      <c r="D1967" s="79">
        <v>400</v>
      </c>
      <c r="E1967" s="47">
        <v>2859.6814558246501</v>
      </c>
      <c r="F1967" s="47">
        <v>6645.14924994378</v>
      </c>
    </row>
    <row r="1968" spans="3:6" x14ac:dyDescent="0.25">
      <c r="C1968" s="79"/>
      <c r="D1968" s="79"/>
      <c r="E1968" s="47">
        <v>2871.9957525382702</v>
      </c>
      <c r="F1968" s="47">
        <v>6768.3191334331304</v>
      </c>
    </row>
    <row r="1969" spans="3:6" x14ac:dyDescent="0.25">
      <c r="C1969" s="79"/>
      <c r="D1969" s="79"/>
      <c r="E1969" s="47">
        <v>2883.2749572372099</v>
      </c>
      <c r="F1969" s="47">
        <v>6847.6917517822303</v>
      </c>
    </row>
    <row r="1970" spans="3:6" x14ac:dyDescent="0.25">
      <c r="C1970" s="79"/>
      <c r="D1970" s="79"/>
      <c r="E1970" s="47">
        <v>2895.53246386623</v>
      </c>
      <c r="F1970" s="47">
        <v>6903.5306703128399</v>
      </c>
    </row>
    <row r="1971" spans="3:6" x14ac:dyDescent="0.25">
      <c r="C1971" s="79"/>
      <c r="D1971" s="79"/>
      <c r="E1971" s="47">
        <v>2909.9384082527399</v>
      </c>
      <c r="F1971" s="47">
        <v>6945.5470812937001</v>
      </c>
    </row>
    <row r="1972" spans="3:6" x14ac:dyDescent="0.25">
      <c r="C1972" s="79"/>
      <c r="D1972" s="79"/>
      <c r="E1972" s="47">
        <v>2927.3103600579302</v>
      </c>
      <c r="F1972" s="47">
        <v>6979.0323733272098</v>
      </c>
    </row>
    <row r="1973" spans="3:6" x14ac:dyDescent="0.25">
      <c r="C1973" s="79"/>
      <c r="D1973" s="79"/>
      <c r="E1973" s="47">
        <v>2948.3210735172702</v>
      </c>
      <c r="F1973" s="47">
        <v>7007.1563521636799</v>
      </c>
    </row>
    <row r="1974" spans="3:6" x14ac:dyDescent="0.25">
      <c r="C1974" s="79"/>
      <c r="D1974" s="79"/>
      <c r="E1974" s="47">
        <v>2973.5580413739999</v>
      </c>
      <c r="F1974" s="47">
        <v>7031.9902100467698</v>
      </c>
    </row>
    <row r="1975" spans="3:6" x14ac:dyDescent="0.25">
      <c r="C1975" s="79"/>
      <c r="D1975" s="79"/>
      <c r="E1975" s="47">
        <v>3003.5694187875702</v>
      </c>
      <c r="F1975" s="47">
        <v>7054.9541019653898</v>
      </c>
    </row>
    <row r="1976" spans="3:6" x14ac:dyDescent="0.25">
      <c r="C1976" s="79"/>
      <c r="D1976" s="79"/>
      <c r="E1976" s="47">
        <v>3038.8728678745802</v>
      </c>
      <c r="F1976" s="47">
        <v>7077.0829841268196</v>
      </c>
    </row>
    <row r="1977" spans="3:6" x14ac:dyDescent="0.25">
      <c r="C1977" s="79"/>
      <c r="D1977" s="79">
        <v>500</v>
      </c>
      <c r="E1977" s="47">
        <v>2883.04326924932</v>
      </c>
      <c r="F1977" s="47">
        <v>7008.7850580906597</v>
      </c>
    </row>
    <row r="1978" spans="3:6" x14ac:dyDescent="0.25">
      <c r="C1978" s="79"/>
      <c r="D1978" s="79"/>
      <c r="E1978" s="47">
        <v>2894.8292026988602</v>
      </c>
      <c r="F1978" s="47">
        <v>7145.1021925391797</v>
      </c>
    </row>
    <row r="1979" spans="3:6" x14ac:dyDescent="0.25">
      <c r="C1979" s="79"/>
      <c r="D1979" s="79"/>
      <c r="E1979" s="47">
        <v>2905.7658884129501</v>
      </c>
      <c r="F1979" s="47">
        <v>7233.1722976420697</v>
      </c>
    </row>
    <row r="1980" spans="3:6" x14ac:dyDescent="0.25">
      <c r="C1980" s="79"/>
      <c r="D1980" s="79"/>
      <c r="E1980" s="47">
        <v>2917.7827150401899</v>
      </c>
      <c r="F1980" s="47">
        <v>7295.2671176578096</v>
      </c>
    </row>
    <row r="1981" spans="3:6" x14ac:dyDescent="0.25">
      <c r="C1981" s="79"/>
      <c r="D1981" s="79"/>
      <c r="E1981" s="47">
        <v>2932.0085604692999</v>
      </c>
      <c r="F1981" s="47">
        <v>7342.0662183022996</v>
      </c>
    </row>
    <row r="1982" spans="3:6" x14ac:dyDescent="0.25">
      <c r="C1982" s="79"/>
      <c r="D1982" s="79"/>
      <c r="E1982" s="47">
        <v>2949.2372989134001</v>
      </c>
      <c r="F1982" s="47">
        <v>7379.3581308033799</v>
      </c>
    </row>
    <row r="1983" spans="3:6" x14ac:dyDescent="0.25">
      <c r="C1983" s="79"/>
      <c r="D1983" s="79"/>
      <c r="E1983" s="47">
        <v>2970.1204791075802</v>
      </c>
      <c r="F1983" s="47">
        <v>7410.6180453613997</v>
      </c>
    </row>
    <row r="1984" spans="3:6" x14ac:dyDescent="0.25">
      <c r="C1984" s="79"/>
      <c r="D1984" s="79"/>
      <c r="E1984" s="47">
        <v>2995.2383213087801</v>
      </c>
      <c r="F1984" s="47">
        <v>7438.1073838933498</v>
      </c>
    </row>
    <row r="1985" spans="3:6" x14ac:dyDescent="0.25">
      <c r="C1985" s="79"/>
      <c r="D1985" s="79"/>
      <c r="E1985" s="47">
        <v>3025.1292401026599</v>
      </c>
      <c r="F1985" s="47">
        <v>7463.38014029846</v>
      </c>
    </row>
    <row r="1986" spans="3:6" x14ac:dyDescent="0.25">
      <c r="C1986" s="79"/>
      <c r="D1986" s="79"/>
      <c r="E1986" s="47">
        <v>3060.30559958913</v>
      </c>
      <c r="F1986" s="47">
        <v>7487.55354794513</v>
      </c>
    </row>
    <row r="1987" spans="3:6" x14ac:dyDescent="0.25">
      <c r="C1987" s="79"/>
      <c r="D1987" s="79">
        <v>600</v>
      </c>
      <c r="E1987" s="47">
        <v>2903.3920795455701</v>
      </c>
      <c r="F1987" s="47">
        <v>7383.0469781542997</v>
      </c>
    </row>
    <row r="1988" spans="3:6" x14ac:dyDescent="0.25">
      <c r="C1988" s="79"/>
      <c r="D1988" s="79"/>
      <c r="E1988" s="47">
        <v>2914.5593798396999</v>
      </c>
      <c r="F1988" s="47">
        <v>7532.4953536804396</v>
      </c>
    </row>
    <row r="1989" spans="3:6" x14ac:dyDescent="0.25">
      <c r="C1989" s="79"/>
      <c r="D1989" s="79"/>
      <c r="E1989" s="47">
        <v>2925.07619143587</v>
      </c>
      <c r="F1989" s="47">
        <v>7629.16529435763</v>
      </c>
    </row>
    <row r="1990" spans="3:6" x14ac:dyDescent="0.25">
      <c r="C1990" s="79"/>
      <c r="D1990" s="79"/>
      <c r="E1990" s="47">
        <v>2936.8038499065201</v>
      </c>
      <c r="F1990" s="47">
        <v>7697.5136249878497</v>
      </c>
    </row>
    <row r="1991" spans="3:6" x14ac:dyDescent="0.25">
      <c r="C1991" s="79"/>
      <c r="D1991" s="79"/>
      <c r="E1991" s="47">
        <v>2950.8108774321399</v>
      </c>
      <c r="F1991" s="47">
        <v>7749.1314473068396</v>
      </c>
    </row>
    <row r="1992" spans="3:6" x14ac:dyDescent="0.25">
      <c r="C1992" s="79"/>
      <c r="D1992" s="79"/>
      <c r="E1992" s="47">
        <v>2967.8629490424401</v>
      </c>
      <c r="F1992" s="47">
        <v>7790.2821504838503</v>
      </c>
    </row>
    <row r="1993" spans="3:6" x14ac:dyDescent="0.25">
      <c r="C1993" s="79"/>
      <c r="D1993" s="79"/>
      <c r="E1993" s="47">
        <v>2988.59372669811</v>
      </c>
      <c r="F1993" s="47">
        <v>7824.7463479292801</v>
      </c>
    </row>
    <row r="1994" spans="3:6" x14ac:dyDescent="0.25">
      <c r="C1994" s="79"/>
      <c r="D1994" s="79"/>
      <c r="E1994" s="47">
        <v>3013.57455880921</v>
      </c>
      <c r="F1994" s="47">
        <v>7854.9725721834302</v>
      </c>
    </row>
    <row r="1995" spans="3:6" x14ac:dyDescent="0.25">
      <c r="C1995" s="79"/>
      <c r="D1995" s="79"/>
      <c r="E1995" s="47">
        <v>3043.3309494407099</v>
      </c>
      <c r="F1995" s="47">
        <v>7882.6497431483203</v>
      </c>
    </row>
    <row r="1996" spans="3:6" x14ac:dyDescent="0.25">
      <c r="C1996" s="79"/>
      <c r="D1996" s="79"/>
      <c r="E1996" s="47">
        <v>3078.3758695368701</v>
      </c>
      <c r="F1996" s="47">
        <v>7908.9967366396704</v>
      </c>
    </row>
    <row r="1997" spans="3:6" x14ac:dyDescent="0.25">
      <c r="C1997" s="79"/>
      <c r="D1997" s="79">
        <v>700</v>
      </c>
      <c r="E1997" s="47">
        <v>2920.7683850835001</v>
      </c>
      <c r="F1997" s="47">
        <v>7764.2852009415701</v>
      </c>
    </row>
    <row r="1998" spans="3:6" x14ac:dyDescent="0.25">
      <c r="C1998" s="79"/>
      <c r="D1998" s="79"/>
      <c r="E1998" s="47">
        <v>2931.29123414388</v>
      </c>
      <c r="F1998" s="47">
        <v>7928.0727922440901</v>
      </c>
    </row>
    <row r="1999" spans="3:6" x14ac:dyDescent="0.25">
      <c r="C1999" s="79"/>
      <c r="D1999" s="79"/>
      <c r="E1999" s="47">
        <v>2941.3954759957601</v>
      </c>
      <c r="F1999" s="47">
        <v>8034.2555188573797</v>
      </c>
    </row>
    <row r="2000" spans="3:6" x14ac:dyDescent="0.25">
      <c r="C2000" s="79"/>
      <c r="D2000" s="79"/>
      <c r="E2000" s="47">
        <v>2952.8249257621701</v>
      </c>
      <c r="F2000" s="47">
        <v>8109.4259897913398</v>
      </c>
    </row>
    <row r="2001" spans="3:6" x14ac:dyDescent="0.25">
      <c r="C2001" s="79"/>
      <c r="D2001" s="79"/>
      <c r="E2001" s="47">
        <v>2966.5938550066799</v>
      </c>
      <c r="F2001" s="47">
        <v>8166.1788895579803</v>
      </c>
    </row>
    <row r="2002" spans="3:6" x14ac:dyDescent="0.25">
      <c r="C2002" s="79"/>
      <c r="D2002" s="79"/>
      <c r="E2002" s="47">
        <v>2983.4519579975499</v>
      </c>
      <c r="F2002" s="47">
        <v>8211.3994880067603</v>
      </c>
    </row>
    <row r="2003" spans="3:6" x14ac:dyDescent="0.25">
      <c r="C2003" s="79"/>
      <c r="D2003" s="79"/>
      <c r="E2003" s="47">
        <v>3004.0175968559702</v>
      </c>
      <c r="F2003" s="47">
        <v>8249.2053356789693</v>
      </c>
    </row>
    <row r="2004" spans="3:6" x14ac:dyDescent="0.25">
      <c r="C2004" s="79"/>
      <c r="D2004" s="79"/>
      <c r="E2004" s="47">
        <v>3028.8482312472302</v>
      </c>
      <c r="F2004" s="47">
        <v>8282.2947233865198</v>
      </c>
    </row>
    <row r="2005" spans="3:6" x14ac:dyDescent="0.25">
      <c r="C2005" s="79"/>
      <c r="D2005" s="79"/>
      <c r="E2005" s="47">
        <v>3058.4624658482098</v>
      </c>
      <c r="F2005" s="47">
        <v>8312.4458249285799</v>
      </c>
    </row>
    <row r="2006" spans="3:6" x14ac:dyDescent="0.25">
      <c r="C2006" s="79"/>
      <c r="D2006" s="79"/>
      <c r="E2006" s="47">
        <v>3093.3629994488401</v>
      </c>
      <c r="F2006" s="47">
        <v>8340.9555263310904</v>
      </c>
    </row>
    <row r="2007" spans="3:6" x14ac:dyDescent="0.25">
      <c r="C2007" s="79"/>
      <c r="D2007" s="79">
        <v>800</v>
      </c>
      <c r="E2007" s="47">
        <v>2935.5647896619998</v>
      </c>
      <c r="F2007" s="47">
        <v>8155.6265656325904</v>
      </c>
    </row>
    <row r="2008" spans="3:6" x14ac:dyDescent="0.25">
      <c r="C2008" s="79"/>
      <c r="D2008" s="79"/>
      <c r="E2008" s="47">
        <v>2945.3432581717798</v>
      </c>
      <c r="F2008" s="47">
        <v>8333.6174416781596</v>
      </c>
    </row>
    <row r="2009" spans="3:6" x14ac:dyDescent="0.25">
      <c r="C2009" s="79"/>
      <c r="D2009" s="79"/>
      <c r="E2009" s="47">
        <v>2954.9679924287402</v>
      </c>
      <c r="F2009" s="47">
        <v>8449.16363480988</v>
      </c>
    </row>
    <row r="2010" spans="3:6" x14ac:dyDescent="0.25">
      <c r="C2010" s="79"/>
      <c r="D2010" s="79"/>
      <c r="E2010" s="47">
        <v>2966.0583390116399</v>
      </c>
      <c r="F2010" s="47">
        <v>8531.0785624951404</v>
      </c>
    </row>
    <row r="2011" spans="3:6" x14ac:dyDescent="0.25">
      <c r="C2011" s="79"/>
      <c r="D2011" s="79"/>
      <c r="E2011" s="47">
        <v>2979.57843010326</v>
      </c>
      <c r="F2011" s="47">
        <v>8593.0003336606005</v>
      </c>
    </row>
    <row r="2012" spans="3:6" x14ac:dyDescent="0.25">
      <c r="C2012" s="79"/>
      <c r="D2012" s="79"/>
      <c r="E2012" s="47">
        <v>2996.2380307224598</v>
      </c>
      <c r="F2012" s="47">
        <v>8642.3582288740508</v>
      </c>
    </row>
    <row r="2013" spans="3:6" x14ac:dyDescent="0.25">
      <c r="C2013" s="79"/>
      <c r="D2013" s="79"/>
      <c r="E2013" s="47">
        <v>3016.6323520494302</v>
      </c>
      <c r="F2013" s="47">
        <v>8683.6196631946605</v>
      </c>
    </row>
    <row r="2014" spans="3:6" x14ac:dyDescent="0.25">
      <c r="C2014" s="79"/>
      <c r="D2014" s="79"/>
      <c r="E2014" s="47">
        <v>3041.3073520990501</v>
      </c>
      <c r="F2014" s="47">
        <v>8719.6079089788309</v>
      </c>
    </row>
    <row r="2015" spans="3:6" x14ac:dyDescent="0.25">
      <c r="C2015" s="79"/>
      <c r="D2015" s="79"/>
      <c r="E2015" s="47">
        <v>3070.7772727742499</v>
      </c>
      <c r="F2015" s="47">
        <v>8752.2767923018</v>
      </c>
    </row>
    <row r="2016" spans="3:6" x14ac:dyDescent="0.25">
      <c r="C2016" s="79"/>
      <c r="D2016" s="79"/>
      <c r="E2016" s="47">
        <v>3105.5296319321801</v>
      </c>
      <c r="F2016" s="47">
        <v>8783.0213030315499</v>
      </c>
    </row>
    <row r="2017" spans="3:6" x14ac:dyDescent="0.25">
      <c r="C2017" s="79"/>
      <c r="D2017" s="79">
        <v>900</v>
      </c>
      <c r="E2017" s="47">
        <v>2947.81024436795</v>
      </c>
      <c r="F2017" s="47">
        <v>8552.6606615843302</v>
      </c>
    </row>
    <row r="2018" spans="3:6" x14ac:dyDescent="0.25">
      <c r="C2018" s="79"/>
      <c r="D2018" s="79"/>
      <c r="E2018" s="47">
        <v>2956.8764952665701</v>
      </c>
      <c r="F2018" s="47">
        <v>8746.5764748475794</v>
      </c>
    </row>
    <row r="2019" spans="3:6" x14ac:dyDescent="0.25">
      <c r="C2019" s="79"/>
      <c r="D2019" s="79"/>
      <c r="E2019" s="47">
        <v>2966.0078078637198</v>
      </c>
      <c r="F2019" s="47">
        <v>8872.5581143687396</v>
      </c>
    </row>
    <row r="2020" spans="3:6" x14ac:dyDescent="0.25">
      <c r="C2020" s="79"/>
      <c r="D2020" s="79"/>
      <c r="E2020" s="47">
        <v>2976.7430564869401</v>
      </c>
      <c r="F2020" s="47">
        <v>8961.8961860453401</v>
      </c>
    </row>
    <row r="2021" spans="3:6" x14ac:dyDescent="0.25">
      <c r="C2021" s="79"/>
      <c r="D2021" s="79"/>
      <c r="E2021" s="47">
        <v>2989.99374605705</v>
      </c>
      <c r="F2021" s="47">
        <v>9029.4147898327392</v>
      </c>
    </row>
    <row r="2022" spans="3:6" x14ac:dyDescent="0.25">
      <c r="C2022" s="79"/>
      <c r="D2022" s="79"/>
      <c r="E2022" s="47">
        <v>3006.43263996205</v>
      </c>
      <c r="F2022" s="47">
        <v>9083.1950338404004</v>
      </c>
    </row>
    <row r="2023" spans="3:6" x14ac:dyDescent="0.25">
      <c r="C2023" s="79"/>
      <c r="D2023" s="79"/>
      <c r="E2023" s="47">
        <v>3026.6409085720102</v>
      </c>
      <c r="F2023" s="47">
        <v>9128.0339553712602</v>
      </c>
    </row>
    <row r="2024" spans="3:6" x14ac:dyDescent="0.25">
      <c r="C2024" s="79"/>
      <c r="D2024" s="79"/>
      <c r="E2024" s="47">
        <v>3051.14878375013</v>
      </c>
      <c r="F2024" s="47">
        <v>9167.0243830866202</v>
      </c>
    </row>
    <row r="2025" spans="3:6" x14ac:dyDescent="0.25">
      <c r="C2025" s="79"/>
      <c r="D2025" s="79"/>
      <c r="E2025" s="47">
        <v>3080.4633666168002</v>
      </c>
      <c r="F2025" s="47">
        <v>9202.2704265823795</v>
      </c>
    </row>
    <row r="2026" spans="3:6" x14ac:dyDescent="0.25">
      <c r="C2026" s="79"/>
      <c r="D2026" s="79"/>
      <c r="E2026" s="47">
        <v>3115.06838253665</v>
      </c>
      <c r="F2026" s="47">
        <v>9235.3210406010603</v>
      </c>
    </row>
    <row r="2027" spans="3:6" x14ac:dyDescent="0.25">
      <c r="C2027" s="79"/>
      <c r="D2027" s="79">
        <v>1000</v>
      </c>
      <c r="E2027" s="47">
        <v>2957.8301817326601</v>
      </c>
      <c r="F2027" s="47">
        <v>8958.8865367796898</v>
      </c>
    </row>
    <row r="2028" spans="3:6" x14ac:dyDescent="0.25">
      <c r="C2028" s="79"/>
      <c r="D2028" s="79"/>
      <c r="E2028" s="47">
        <v>2966.0833605266498</v>
      </c>
      <c r="F2028" s="47">
        <v>9168.2966441219796</v>
      </c>
    </row>
    <row r="2029" spans="3:6" x14ac:dyDescent="0.25">
      <c r="C2029" s="79"/>
      <c r="D2029" s="79"/>
      <c r="E2029" s="47">
        <v>2974.70080273549</v>
      </c>
      <c r="F2029" s="47">
        <v>9304.4380432050002</v>
      </c>
    </row>
    <row r="2030" spans="3:6" x14ac:dyDescent="0.25">
      <c r="C2030" s="79"/>
      <c r="D2030" s="79"/>
      <c r="E2030" s="47">
        <v>2985.0769206207701</v>
      </c>
      <c r="F2030" s="47">
        <v>9401.0564449570902</v>
      </c>
    </row>
    <row r="2031" spans="3:6" x14ac:dyDescent="0.25">
      <c r="C2031" s="79"/>
      <c r="D2031" s="79"/>
      <c r="E2031" s="47">
        <v>2998.0479875892102</v>
      </c>
      <c r="F2031" s="47">
        <v>9474.1542300082401</v>
      </c>
    </row>
    <row r="2032" spans="3:6" x14ac:dyDescent="0.25">
      <c r="C2032" s="79"/>
      <c r="D2032" s="79"/>
      <c r="E2032" s="47">
        <v>3014.2613934020501</v>
      </c>
      <c r="F2032" s="47">
        <v>9532.3642310880696</v>
      </c>
    </row>
    <row r="2033" spans="3:6" x14ac:dyDescent="0.25">
      <c r="C2033" s="79"/>
      <c r="D2033" s="79"/>
      <c r="E2033" s="47">
        <v>3034.2741733258699</v>
      </c>
      <c r="F2033" s="47">
        <v>9580.8471759979602</v>
      </c>
    </row>
    <row r="2034" spans="3:6" x14ac:dyDescent="0.25">
      <c r="C2034" s="79"/>
      <c r="D2034" s="79"/>
      <c r="E2034" s="47">
        <v>3058.6085348000502</v>
      </c>
      <c r="F2034" s="47">
        <v>9622.9511575061006</v>
      </c>
    </row>
    <row r="2035" spans="3:6" x14ac:dyDescent="0.25">
      <c r="C2035" s="79"/>
      <c r="D2035" s="79"/>
      <c r="E2035" s="47">
        <v>3087.7556917002698</v>
      </c>
      <c r="F2035" s="47">
        <v>9660.9090105135692</v>
      </c>
    </row>
    <row r="2036" spans="3:6" x14ac:dyDescent="0.25">
      <c r="C2036" s="79"/>
      <c r="D2036" s="79"/>
      <c r="E2036" s="47">
        <v>3122.2047794688701</v>
      </c>
      <c r="F2036" s="47">
        <v>9696.3286769802507</v>
      </c>
    </row>
    <row r="2037" spans="3:6" x14ac:dyDescent="0.25">
      <c r="C2037" s="79"/>
      <c r="D2037" s="79">
        <v>1100</v>
      </c>
      <c r="E2037" s="47">
        <v>2965.76199425813</v>
      </c>
      <c r="F2037" s="47">
        <v>9372.49554232849</v>
      </c>
    </row>
    <row r="2038" spans="3:6" x14ac:dyDescent="0.25">
      <c r="C2038" s="79"/>
      <c r="D2038" s="79"/>
      <c r="E2038" s="47">
        <v>2973.19748006287</v>
      </c>
      <c r="F2038" s="47">
        <v>9598.4703963118009</v>
      </c>
    </row>
    <row r="2039" spans="3:6" x14ac:dyDescent="0.25">
      <c r="C2039" s="79"/>
      <c r="D2039" s="79"/>
      <c r="E2039" s="47">
        <v>2981.2575844868602</v>
      </c>
      <c r="F2039" s="47">
        <v>9745.4430150483495</v>
      </c>
    </row>
    <row r="2040" spans="3:6" x14ac:dyDescent="0.25">
      <c r="C2040" s="79"/>
      <c r="D2040" s="79"/>
      <c r="E2040" s="47">
        <v>2991.2325823864599</v>
      </c>
      <c r="F2040" s="47">
        <v>9849.7766930976795</v>
      </c>
    </row>
    <row r="2041" spans="3:6" x14ac:dyDescent="0.25">
      <c r="C2041" s="79"/>
      <c r="D2041" s="79"/>
      <c r="E2041" s="47">
        <v>3003.90639302831</v>
      </c>
      <c r="F2041" s="47">
        <v>9928.6585618330191</v>
      </c>
    </row>
    <row r="2042" spans="3:6" x14ac:dyDescent="0.25">
      <c r="C2042" s="79"/>
      <c r="D2042" s="79"/>
      <c r="E2042" s="47">
        <v>3019.8795932757898</v>
      </c>
      <c r="F2042" s="47">
        <v>9991.4300432923701</v>
      </c>
    </row>
    <row r="2043" spans="3:6" x14ac:dyDescent="0.25">
      <c r="C2043" s="79"/>
      <c r="D2043" s="79"/>
      <c r="E2043" s="47">
        <v>3039.6923466059002</v>
      </c>
      <c r="F2043" s="47">
        <v>10043.656266344</v>
      </c>
    </row>
    <row r="2044" spans="3:6" x14ac:dyDescent="0.25">
      <c r="C2044" s="79"/>
      <c r="D2044" s="79"/>
      <c r="E2044" s="47">
        <v>3063.8539508682602</v>
      </c>
      <c r="F2044" s="47">
        <v>10088.840546183599</v>
      </c>
    </row>
    <row r="2045" spans="3:6" x14ac:dyDescent="0.25">
      <c r="C2045" s="79"/>
      <c r="D2045" s="79"/>
      <c r="E2045" s="47">
        <v>3092.84523040367</v>
      </c>
      <c r="F2045" s="47">
        <v>10129.455382587799</v>
      </c>
    </row>
    <row r="2046" spans="3:6" x14ac:dyDescent="0.25">
      <c r="C2046" s="79"/>
      <c r="D2046" s="79"/>
      <c r="E2046" s="47">
        <v>3127.1471405362699</v>
      </c>
      <c r="F2046" s="47">
        <v>10167.2175488476</v>
      </c>
    </row>
    <row r="2047" spans="3:6" x14ac:dyDescent="0.25">
      <c r="C2047" s="79"/>
      <c r="D2047" s="79">
        <v>1200</v>
      </c>
      <c r="E2047" s="47">
        <v>2971.75480127231</v>
      </c>
      <c r="F2047" s="47">
        <v>9794.6010956799601</v>
      </c>
    </row>
    <row r="2048" spans="3:6" x14ac:dyDescent="0.25">
      <c r="C2048" s="79"/>
      <c r="D2048" s="79"/>
      <c r="E2048" s="47">
        <v>2978.31661071803</v>
      </c>
      <c r="F2048" s="47">
        <v>10036.9611952543</v>
      </c>
    </row>
    <row r="2049" spans="3:6" x14ac:dyDescent="0.25">
      <c r="C2049" s="79"/>
      <c r="D2049" s="79"/>
      <c r="E2049" s="47">
        <v>2985.8304197683701</v>
      </c>
      <c r="F2049" s="47">
        <v>10194.6791919058</v>
      </c>
    </row>
    <row r="2050" spans="3:6" x14ac:dyDescent="0.25">
      <c r="C2050" s="79"/>
      <c r="D2050" s="79"/>
      <c r="E2050" s="47">
        <v>2995.41143881998</v>
      </c>
      <c r="F2050" s="47">
        <v>10306.679438966799</v>
      </c>
    </row>
    <row r="2051" spans="3:6" x14ac:dyDescent="0.25">
      <c r="C2051" s="79"/>
      <c r="D2051" s="79"/>
      <c r="E2051" s="47">
        <v>3007.78338328581</v>
      </c>
      <c r="F2051" s="47">
        <v>10391.4051692749</v>
      </c>
    </row>
    <row r="2052" spans="3:6" x14ac:dyDescent="0.25">
      <c r="C2052" s="79"/>
      <c r="D2052" s="79"/>
      <c r="E2052" s="47">
        <v>3023.4988897611101</v>
      </c>
      <c r="F2052" s="47">
        <v>10458.819644838901</v>
      </c>
    </row>
    <row r="2053" spans="3:6" x14ac:dyDescent="0.25">
      <c r="C2053" s="79"/>
      <c r="D2053" s="79"/>
      <c r="E2053" s="47">
        <v>3043.10145810108</v>
      </c>
      <c r="F2053" s="47">
        <v>10514.8288501117</v>
      </c>
    </row>
    <row r="2054" spans="3:6" x14ac:dyDescent="0.25">
      <c r="C2054" s="79"/>
      <c r="D2054" s="79"/>
      <c r="E2054" s="47">
        <v>3067.0778406130798</v>
      </c>
      <c r="F2054" s="47">
        <v>10563.244641982101</v>
      </c>
    </row>
    <row r="2055" spans="3:6" x14ac:dyDescent="0.25">
      <c r="C2055" s="79"/>
      <c r="D2055" s="79"/>
      <c r="E2055" s="47">
        <v>3095.8974464766002</v>
      </c>
      <c r="F2055" s="47">
        <v>10606.6539567854</v>
      </c>
    </row>
    <row r="2056" spans="3:6" x14ac:dyDescent="0.25">
      <c r="C2056" s="79"/>
      <c r="D2056" s="79"/>
      <c r="E2056" s="47">
        <v>3130.0318598814602</v>
      </c>
      <c r="F2056" s="47">
        <v>10646.8671984465</v>
      </c>
    </row>
    <row r="2057" spans="3:6" x14ac:dyDescent="0.25">
      <c r="C2057" s="79">
        <v>10</v>
      </c>
      <c r="D2057" s="79">
        <v>0</v>
      </c>
      <c r="E2057" s="47">
        <v>2849.1200779119399</v>
      </c>
      <c r="F2057" s="47">
        <v>5948.8041542564697</v>
      </c>
    </row>
    <row r="2058" spans="3:6" x14ac:dyDescent="0.25">
      <c r="C2058" s="79"/>
      <c r="D2058" s="79"/>
      <c r="E2058" s="47">
        <v>2849.1200779119399</v>
      </c>
      <c r="F2058" s="47">
        <v>5948.8041542564697</v>
      </c>
    </row>
    <row r="2059" spans="3:6" x14ac:dyDescent="0.25">
      <c r="C2059" s="79"/>
      <c r="D2059" s="79"/>
      <c r="E2059" s="47">
        <v>2849.1200779119399</v>
      </c>
      <c r="F2059" s="47">
        <v>5948.8041542564697</v>
      </c>
    </row>
    <row r="2060" spans="3:6" x14ac:dyDescent="0.25">
      <c r="C2060" s="79"/>
      <c r="D2060" s="79"/>
      <c r="E2060" s="47">
        <v>2849.1200779119399</v>
      </c>
      <c r="F2060" s="47">
        <v>5948.8041542564697</v>
      </c>
    </row>
    <row r="2061" spans="3:6" x14ac:dyDescent="0.25">
      <c r="C2061" s="79"/>
      <c r="D2061" s="79"/>
      <c r="E2061" s="47">
        <v>2849.1200779119399</v>
      </c>
      <c r="F2061" s="47">
        <v>5948.8041542564697</v>
      </c>
    </row>
    <row r="2062" spans="3:6" x14ac:dyDescent="0.25">
      <c r="C2062" s="79"/>
      <c r="D2062" s="79"/>
      <c r="E2062" s="47">
        <v>2849.1200779119399</v>
      </c>
      <c r="F2062" s="47">
        <v>5948.8041542564697</v>
      </c>
    </row>
    <row r="2063" spans="3:6" x14ac:dyDescent="0.25">
      <c r="C2063" s="79"/>
      <c r="D2063" s="79"/>
      <c r="E2063" s="47">
        <v>2870.3664905721498</v>
      </c>
      <c r="F2063" s="47">
        <v>5969.0850591930302</v>
      </c>
    </row>
    <row r="2064" spans="3:6" x14ac:dyDescent="0.25">
      <c r="C2064" s="79"/>
      <c r="D2064" s="79"/>
      <c r="E2064" s="47">
        <v>2895.8463620963498</v>
      </c>
      <c r="F2064" s="47">
        <v>5987.2411019894998</v>
      </c>
    </row>
    <row r="2065" spans="3:6" x14ac:dyDescent="0.25">
      <c r="C2065" s="79"/>
      <c r="D2065" s="79"/>
      <c r="E2065" s="47">
        <v>2926.1268846729699</v>
      </c>
      <c r="F2065" s="47">
        <v>6004.4035375449103</v>
      </c>
    </row>
    <row r="2066" spans="3:6" x14ac:dyDescent="0.25">
      <c r="C2066" s="79"/>
      <c r="D2066" s="79"/>
      <c r="E2066" s="47">
        <v>2961.7344153744498</v>
      </c>
      <c r="F2066" s="47">
        <v>6021.3612836767297</v>
      </c>
    </row>
    <row r="2067" spans="3:6" x14ac:dyDescent="0.25">
      <c r="C2067" s="79"/>
      <c r="D2067" s="79">
        <v>100</v>
      </c>
      <c r="E2067" s="47">
        <v>2849.2619907205599</v>
      </c>
      <c r="F2067" s="47">
        <v>6258.8020397152504</v>
      </c>
    </row>
    <row r="2068" spans="3:6" x14ac:dyDescent="0.25">
      <c r="C2068" s="79"/>
      <c r="D2068" s="79"/>
      <c r="E2068" s="47">
        <v>2849.2619907205599</v>
      </c>
      <c r="F2068" s="47">
        <v>6258.8020397152504</v>
      </c>
    </row>
    <row r="2069" spans="3:6" x14ac:dyDescent="0.25">
      <c r="C2069" s="79"/>
      <c r="D2069" s="79"/>
      <c r="E2069" s="47">
        <v>2849.2619907205599</v>
      </c>
      <c r="F2069" s="47">
        <v>6258.8020397152504</v>
      </c>
    </row>
    <row r="2070" spans="3:6" x14ac:dyDescent="0.25">
      <c r="C2070" s="79"/>
      <c r="D2070" s="79"/>
      <c r="E2070" s="47">
        <v>2849.2619907205599</v>
      </c>
      <c r="F2070" s="47">
        <v>6258.8020397152504</v>
      </c>
    </row>
    <row r="2071" spans="3:6" x14ac:dyDescent="0.25">
      <c r="C2071" s="79"/>
      <c r="D2071" s="79"/>
      <c r="E2071" s="47">
        <v>2863.9022428574799</v>
      </c>
      <c r="F2071" s="47">
        <v>6293.2165279599203</v>
      </c>
    </row>
    <row r="2072" spans="3:6" x14ac:dyDescent="0.25">
      <c r="C2072" s="79"/>
      <c r="D2072" s="79"/>
      <c r="E2072" s="47">
        <v>2881.4634387404099</v>
      </c>
      <c r="F2072" s="47">
        <v>6320.5705896799</v>
      </c>
    </row>
    <row r="2073" spans="3:6" x14ac:dyDescent="0.25">
      <c r="C2073" s="79"/>
      <c r="D2073" s="79"/>
      <c r="E2073" s="47">
        <v>2902.6428463554298</v>
      </c>
      <c r="F2073" s="47">
        <v>6343.6043031532499</v>
      </c>
    </row>
    <row r="2074" spans="3:6" x14ac:dyDescent="0.25">
      <c r="C2074" s="79"/>
      <c r="D2074" s="79"/>
      <c r="E2074" s="47">
        <v>2928.0488273946999</v>
      </c>
      <c r="F2074" s="47">
        <v>6364.1065648233998</v>
      </c>
    </row>
    <row r="2075" spans="3:6" x14ac:dyDescent="0.25">
      <c r="C2075" s="79"/>
      <c r="D2075" s="79"/>
      <c r="E2075" s="47">
        <v>2958.24604749528</v>
      </c>
      <c r="F2075" s="47">
        <v>6383.3309055192303</v>
      </c>
    </row>
    <row r="2076" spans="3:6" x14ac:dyDescent="0.25">
      <c r="C2076" s="79"/>
      <c r="D2076" s="79"/>
      <c r="E2076" s="47">
        <v>2993.7524185363</v>
      </c>
      <c r="F2076" s="47">
        <v>6402.1266406922196</v>
      </c>
    </row>
    <row r="2077" spans="3:6" x14ac:dyDescent="0.25">
      <c r="C2077" s="79"/>
      <c r="D2077" s="79">
        <v>200</v>
      </c>
      <c r="E2077" s="47">
        <v>2865.2422496999702</v>
      </c>
      <c r="F2077" s="47">
        <v>6580.6477511438497</v>
      </c>
    </row>
    <row r="2078" spans="3:6" x14ac:dyDescent="0.25">
      <c r="C2078" s="79"/>
      <c r="D2078" s="79"/>
      <c r="E2078" s="47">
        <v>2865.2422496999702</v>
      </c>
      <c r="F2078" s="47">
        <v>6580.6477511438497</v>
      </c>
    </row>
    <row r="2079" spans="3:6" x14ac:dyDescent="0.25">
      <c r="C2079" s="79"/>
      <c r="D2079" s="79"/>
      <c r="E2079" s="47">
        <v>2865.2422496999702</v>
      </c>
      <c r="F2079" s="47">
        <v>6580.6477511438497</v>
      </c>
    </row>
    <row r="2080" spans="3:6" x14ac:dyDescent="0.25">
      <c r="C2080" s="79"/>
      <c r="D2080" s="79"/>
      <c r="E2080" s="47">
        <v>2877.6619603806798</v>
      </c>
      <c r="F2080" s="47">
        <v>6632.4591946351702</v>
      </c>
    </row>
    <row r="2081" spans="3:6" x14ac:dyDescent="0.25">
      <c r="C2081" s="79"/>
      <c r="D2081" s="79"/>
      <c r="E2081" s="47">
        <v>2892.18118273768</v>
      </c>
      <c r="F2081" s="47">
        <v>6671.3289691242699</v>
      </c>
    </row>
    <row r="2082" spans="3:6" x14ac:dyDescent="0.25">
      <c r="C2082" s="79"/>
      <c r="D2082" s="79"/>
      <c r="E2082" s="47">
        <v>2909.6448228837498</v>
      </c>
      <c r="F2082" s="47">
        <v>6702.2502490924498</v>
      </c>
    </row>
    <row r="2083" spans="3:6" x14ac:dyDescent="0.25">
      <c r="C2083" s="79"/>
      <c r="D2083" s="79"/>
      <c r="E2083" s="47">
        <v>2930.73406030866</v>
      </c>
      <c r="F2083" s="47">
        <v>6728.2378233111103</v>
      </c>
    </row>
    <row r="2084" spans="3:6" x14ac:dyDescent="0.25">
      <c r="C2084" s="79"/>
      <c r="D2084" s="79"/>
      <c r="E2084" s="47">
        <v>2956.0535346997599</v>
      </c>
      <c r="F2084" s="47">
        <v>6751.2714138645597</v>
      </c>
    </row>
    <row r="2085" spans="3:6" x14ac:dyDescent="0.25">
      <c r="C2085" s="79"/>
      <c r="D2085" s="79"/>
      <c r="E2085" s="47">
        <v>2986.15041456978</v>
      </c>
      <c r="F2085" s="47">
        <v>6772.6810700529504</v>
      </c>
    </row>
    <row r="2086" spans="3:6" x14ac:dyDescent="0.25">
      <c r="C2086" s="79"/>
      <c r="D2086" s="79"/>
      <c r="E2086" s="47">
        <v>3021.5465163732601</v>
      </c>
      <c r="F2086" s="47">
        <v>6793.4201650883297</v>
      </c>
    </row>
    <row r="2087" spans="3:6" x14ac:dyDescent="0.25">
      <c r="C2087" s="79"/>
      <c r="D2087" s="79">
        <v>300</v>
      </c>
      <c r="E2087" s="47">
        <v>2866.85283704839</v>
      </c>
      <c r="F2087" s="47">
        <v>6750.7217834174899</v>
      </c>
    </row>
    <row r="2088" spans="3:6" x14ac:dyDescent="0.25">
      <c r="C2088" s="79"/>
      <c r="D2088" s="79"/>
      <c r="E2088" s="47">
        <v>2879.0592163901101</v>
      </c>
      <c r="F2088" s="47">
        <v>6878.0994666703</v>
      </c>
    </row>
    <row r="2089" spans="3:6" x14ac:dyDescent="0.25">
      <c r="C2089" s="79"/>
      <c r="D2089" s="79"/>
      <c r="E2089" s="47">
        <v>2890.24983030057</v>
      </c>
      <c r="F2089" s="47">
        <v>6960.1547218721398</v>
      </c>
    </row>
    <row r="2090" spans="3:6" x14ac:dyDescent="0.25">
      <c r="C2090" s="79"/>
      <c r="D2090" s="79"/>
      <c r="E2090" s="47">
        <v>2902.4412158328601</v>
      </c>
      <c r="F2090" s="47">
        <v>7017.8671421134704</v>
      </c>
    </row>
    <row r="2091" spans="3:6" x14ac:dyDescent="0.25">
      <c r="C2091" s="79"/>
      <c r="D2091" s="79"/>
      <c r="E2091" s="47">
        <v>2916.7862811392902</v>
      </c>
      <c r="F2091" s="47">
        <v>7061.1774009728797</v>
      </c>
    </row>
    <row r="2092" spans="3:6" x14ac:dyDescent="0.25">
      <c r="C2092" s="79"/>
      <c r="D2092" s="79"/>
      <c r="E2092" s="47">
        <v>2934.10872293382</v>
      </c>
      <c r="F2092" s="47">
        <v>7095.6801643426197</v>
      </c>
    </row>
    <row r="2093" spans="3:6" x14ac:dyDescent="0.25">
      <c r="C2093" s="79"/>
      <c r="D2093" s="79"/>
      <c r="E2093" s="47">
        <v>2955.08075415963</v>
      </c>
      <c r="F2093" s="47">
        <v>7124.66590836664</v>
      </c>
    </row>
    <row r="2094" spans="3:6" x14ac:dyDescent="0.25">
      <c r="C2094" s="79"/>
      <c r="D2094" s="79"/>
      <c r="E2094" s="47">
        <v>2980.28618428763</v>
      </c>
      <c r="F2094" s="47">
        <v>7150.2630232970896</v>
      </c>
    </row>
    <row r="2095" spans="3:6" x14ac:dyDescent="0.25">
      <c r="C2095" s="79"/>
      <c r="D2095" s="79"/>
      <c r="E2095" s="47">
        <v>3010.2664783657801</v>
      </c>
      <c r="F2095" s="47">
        <v>7173.9029525880496</v>
      </c>
    </row>
    <row r="2096" spans="3:6" x14ac:dyDescent="0.25">
      <c r="C2096" s="79"/>
      <c r="D2096" s="79"/>
      <c r="E2096" s="47">
        <v>3045.5359295929302</v>
      </c>
      <c r="F2096" s="47">
        <v>7196.6339463971999</v>
      </c>
    </row>
    <row r="2097" spans="3:6" x14ac:dyDescent="0.25">
      <c r="C2097" s="79"/>
      <c r="D2097" s="79">
        <v>400</v>
      </c>
      <c r="E2097" s="47">
        <v>2889.3073715491601</v>
      </c>
      <c r="F2097" s="47">
        <v>7117.4955816765096</v>
      </c>
    </row>
    <row r="2098" spans="3:6" x14ac:dyDescent="0.25">
      <c r="C2098" s="79"/>
      <c r="D2098" s="79"/>
      <c r="E2098" s="47">
        <v>2900.9263734995502</v>
      </c>
      <c r="F2098" s="47">
        <v>7257.5897248183601</v>
      </c>
    </row>
    <row r="2099" spans="3:6" x14ac:dyDescent="0.25">
      <c r="C2099" s="79"/>
      <c r="D2099" s="79"/>
      <c r="E2099" s="47">
        <v>2911.7485447394802</v>
      </c>
      <c r="F2099" s="47">
        <v>7348.1678647203898</v>
      </c>
    </row>
    <row r="2100" spans="3:6" x14ac:dyDescent="0.25">
      <c r="C2100" s="79"/>
      <c r="D2100" s="79"/>
      <c r="E2100" s="47">
        <v>2923.6923030796602</v>
      </c>
      <c r="F2100" s="47">
        <v>7412.1135223772399</v>
      </c>
    </row>
    <row r="2101" spans="3:6" x14ac:dyDescent="0.25">
      <c r="C2101" s="79"/>
      <c r="D2101" s="79"/>
      <c r="E2101" s="47">
        <v>2937.8560098921798</v>
      </c>
      <c r="F2101" s="47">
        <v>7460.3056687550798</v>
      </c>
    </row>
    <row r="2102" spans="3:6" x14ac:dyDescent="0.25">
      <c r="C2102" s="79"/>
      <c r="D2102" s="79"/>
      <c r="E2102" s="47">
        <v>2955.0299754769198</v>
      </c>
      <c r="F2102" s="47">
        <v>7498.69353213044</v>
      </c>
    </row>
    <row r="2103" spans="3:6" x14ac:dyDescent="0.25">
      <c r="C2103" s="79"/>
      <c r="D2103" s="79"/>
      <c r="E2103" s="47">
        <v>2975.86740258805</v>
      </c>
      <c r="F2103" s="47">
        <v>7530.9039306677896</v>
      </c>
    </row>
    <row r="2104" spans="3:6" x14ac:dyDescent="0.25">
      <c r="C2104" s="79"/>
      <c r="D2104" s="79"/>
      <c r="E2104" s="47">
        <v>3000.9459271433702</v>
      </c>
      <c r="F2104" s="47">
        <v>7559.2120038273197</v>
      </c>
    </row>
    <row r="2105" spans="3:6" x14ac:dyDescent="0.25">
      <c r="C2105" s="79"/>
      <c r="D2105" s="79"/>
      <c r="E2105" s="47">
        <v>3030.7957888454198</v>
      </c>
      <c r="F2105" s="47">
        <v>7585.2012579061502</v>
      </c>
    </row>
    <row r="2106" spans="3:6" x14ac:dyDescent="0.25">
      <c r="C2106" s="79"/>
      <c r="D2106" s="79"/>
      <c r="E2106" s="47">
        <v>3065.93342191395</v>
      </c>
      <c r="F2106" s="47">
        <v>7610.0185646016898</v>
      </c>
    </row>
    <row r="2107" spans="3:6" x14ac:dyDescent="0.25">
      <c r="C2107" s="79"/>
      <c r="D2107" s="79">
        <v>500</v>
      </c>
      <c r="E2107" s="47">
        <v>2908.77463830959</v>
      </c>
      <c r="F2107" s="47">
        <v>7493.8463028065098</v>
      </c>
    </row>
    <row r="2108" spans="3:6" x14ac:dyDescent="0.25">
      <c r="C2108" s="79"/>
      <c r="D2108" s="79"/>
      <c r="E2108" s="47">
        <v>2919.7644987669701</v>
      </c>
      <c r="F2108" s="47">
        <v>7647.8299526045002</v>
      </c>
    </row>
    <row r="2109" spans="3:6" x14ac:dyDescent="0.25">
      <c r="C2109" s="79"/>
      <c r="D2109" s="79"/>
      <c r="E2109" s="47">
        <v>2930.1759829882199</v>
      </c>
      <c r="F2109" s="47">
        <v>7747.4954670563902</v>
      </c>
    </row>
    <row r="2110" spans="3:6" x14ac:dyDescent="0.25">
      <c r="C2110" s="79"/>
      <c r="D2110" s="79"/>
      <c r="E2110" s="47">
        <v>2941.8173765015099</v>
      </c>
      <c r="F2110" s="47">
        <v>7817.7252368940899</v>
      </c>
    </row>
    <row r="2111" spans="3:6" x14ac:dyDescent="0.25">
      <c r="C2111" s="79"/>
      <c r="D2111" s="79"/>
      <c r="E2111" s="47">
        <v>2955.7547992284499</v>
      </c>
      <c r="F2111" s="47">
        <v>7870.7286206031304</v>
      </c>
    </row>
    <row r="2112" spans="3:6" x14ac:dyDescent="0.25">
      <c r="C2112" s="79"/>
      <c r="D2112" s="79"/>
      <c r="E2112" s="47">
        <v>2972.75284013593</v>
      </c>
      <c r="F2112" s="47">
        <v>7913.0224864127604</v>
      </c>
    </row>
    <row r="2113" spans="3:6" x14ac:dyDescent="0.25">
      <c r="C2113" s="79"/>
      <c r="D2113" s="79"/>
      <c r="E2113" s="47">
        <v>2993.4384748153698</v>
      </c>
      <c r="F2113" s="47">
        <v>7948.4384676242098</v>
      </c>
    </row>
    <row r="2114" spans="3:6" x14ac:dyDescent="0.25">
      <c r="C2114" s="79"/>
      <c r="D2114" s="79"/>
      <c r="E2114" s="47">
        <v>3018.3754945825299</v>
      </c>
      <c r="F2114" s="47">
        <v>7979.4737759912095</v>
      </c>
    </row>
    <row r="2115" spans="3:6" x14ac:dyDescent="0.25">
      <c r="C2115" s="79"/>
      <c r="D2115" s="79"/>
      <c r="E2115" s="47">
        <v>3048.0934426251001</v>
      </c>
      <c r="F2115" s="47">
        <v>8007.8454046469697</v>
      </c>
    </row>
    <row r="2116" spans="3:6" x14ac:dyDescent="0.25">
      <c r="C2116" s="79"/>
      <c r="D2116" s="79"/>
      <c r="E2116" s="47">
        <v>3083.0946647962401</v>
      </c>
      <c r="F2116" s="47">
        <v>8034.7827640630403</v>
      </c>
    </row>
    <row r="2117" spans="3:6" x14ac:dyDescent="0.25">
      <c r="C2117" s="79"/>
      <c r="D2117" s="79">
        <v>600</v>
      </c>
      <c r="E2117" s="47">
        <v>2925.3699466707499</v>
      </c>
      <c r="F2117" s="47">
        <v>7878.0648070653097</v>
      </c>
    </row>
    <row r="2118" spans="3:6" x14ac:dyDescent="0.25">
      <c r="C2118" s="79"/>
      <c r="D2118" s="79"/>
      <c r="E2118" s="47">
        <v>2935.6870153945802</v>
      </c>
      <c r="F2118" s="47">
        <v>8045.9498194293301</v>
      </c>
    </row>
    <row r="2119" spans="3:6" x14ac:dyDescent="0.25">
      <c r="C2119" s="79"/>
      <c r="D2119" s="79"/>
      <c r="E2119" s="47">
        <v>2945.6462372809301</v>
      </c>
      <c r="F2119" s="47">
        <v>8154.8638772022896</v>
      </c>
    </row>
    <row r="2120" spans="3:6" x14ac:dyDescent="0.25">
      <c r="C2120" s="79"/>
      <c r="D2120" s="79"/>
      <c r="E2120" s="47">
        <v>2956.9717674656799</v>
      </c>
      <c r="F2120" s="47">
        <v>8231.9907489665293</v>
      </c>
    </row>
    <row r="2121" spans="3:6" x14ac:dyDescent="0.25">
      <c r="C2121" s="79"/>
      <c r="D2121" s="79"/>
      <c r="E2121" s="47">
        <v>2970.6716589818102</v>
      </c>
      <c r="F2121" s="47">
        <v>8290.2793411065104</v>
      </c>
    </row>
    <row r="2122" spans="3:6" x14ac:dyDescent="0.25">
      <c r="C2122" s="79"/>
      <c r="D2122" s="79"/>
      <c r="E2122" s="47">
        <v>2987.4747297905701</v>
      </c>
      <c r="F2122" s="47">
        <v>8336.7332148958503</v>
      </c>
    </row>
    <row r="2123" spans="3:6" x14ac:dyDescent="0.25">
      <c r="C2123" s="79"/>
      <c r="D2123" s="79"/>
      <c r="E2123" s="47">
        <v>3007.99424526135</v>
      </c>
      <c r="F2123" s="47">
        <v>8375.5569255025293</v>
      </c>
    </row>
    <row r="2124" spans="3:6" x14ac:dyDescent="0.25">
      <c r="C2124" s="79"/>
      <c r="D2124" s="79"/>
      <c r="E2124" s="47">
        <v>3032.7788126591499</v>
      </c>
      <c r="F2124" s="47">
        <v>8409.4701465844792</v>
      </c>
    </row>
    <row r="2125" spans="3:6" x14ac:dyDescent="0.25">
      <c r="C2125" s="79"/>
      <c r="D2125" s="79"/>
      <c r="E2125" s="47">
        <v>3062.3521430135302</v>
      </c>
      <c r="F2125" s="47">
        <v>8440.3256133867708</v>
      </c>
    </row>
    <row r="2126" spans="3:6" x14ac:dyDescent="0.25">
      <c r="C2126" s="79"/>
      <c r="D2126" s="79"/>
      <c r="E2126" s="47">
        <v>3097.2112380183398</v>
      </c>
      <c r="F2126" s="47">
        <v>8469.5033362720606</v>
      </c>
    </row>
    <row r="2127" spans="3:6" x14ac:dyDescent="0.25">
      <c r="C2127" s="79"/>
      <c r="D2127" s="79">
        <v>700</v>
      </c>
      <c r="E2127" s="47">
        <v>2939.3927901387201</v>
      </c>
      <c r="F2127" s="47">
        <v>8271.1725023999697</v>
      </c>
    </row>
    <row r="2128" spans="3:6" x14ac:dyDescent="0.25">
      <c r="C2128" s="79"/>
      <c r="D2128" s="79"/>
      <c r="E2128" s="47">
        <v>2948.9907182830402</v>
      </c>
      <c r="F2128" s="47">
        <v>8454.4346489421005</v>
      </c>
    </row>
    <row r="2129" spans="3:6" x14ac:dyDescent="0.25">
      <c r="C2129" s="79"/>
      <c r="D2129" s="79"/>
      <c r="E2129" s="47">
        <v>2958.4740114043202</v>
      </c>
      <c r="F2129" s="47">
        <v>8572.9226945257396</v>
      </c>
    </row>
    <row r="2130" spans="3:6" x14ac:dyDescent="0.25">
      <c r="C2130" s="79"/>
      <c r="D2130" s="79"/>
      <c r="E2130" s="47">
        <v>2969.4647930402598</v>
      </c>
      <c r="F2130" s="47">
        <v>8656.8207515861504</v>
      </c>
    </row>
    <row r="2131" spans="3:6" x14ac:dyDescent="0.25">
      <c r="C2131" s="79"/>
      <c r="D2131" s="79"/>
      <c r="E2131" s="47">
        <v>2982.9054821966802</v>
      </c>
      <c r="F2131" s="47">
        <v>8720.2811360898195</v>
      </c>
    </row>
    <row r="2132" spans="3:6" x14ac:dyDescent="0.25">
      <c r="C2132" s="79"/>
      <c r="D2132" s="79"/>
      <c r="E2132" s="47">
        <v>2999.5012746467</v>
      </c>
      <c r="F2132" s="47">
        <v>8770.8622474138301</v>
      </c>
    </row>
    <row r="2133" spans="3:6" x14ac:dyDescent="0.25">
      <c r="C2133" s="79"/>
      <c r="D2133" s="79"/>
      <c r="E2133" s="47">
        <v>3019.8344393667498</v>
      </c>
      <c r="F2133" s="47">
        <v>8813.0966467336202</v>
      </c>
    </row>
    <row r="2134" spans="3:6" x14ac:dyDescent="0.25">
      <c r="C2134" s="79"/>
      <c r="D2134" s="79"/>
      <c r="E2134" s="47">
        <v>3044.4567504843799</v>
      </c>
      <c r="F2134" s="47">
        <v>8849.9371321040398</v>
      </c>
    </row>
    <row r="2135" spans="3:6" x14ac:dyDescent="0.25">
      <c r="C2135" s="79"/>
      <c r="D2135" s="79"/>
      <c r="E2135" s="47">
        <v>3073.8751808028701</v>
      </c>
      <c r="F2135" s="47">
        <v>8883.3593277988402</v>
      </c>
    </row>
    <row r="2136" spans="3:6" x14ac:dyDescent="0.25">
      <c r="C2136" s="79"/>
      <c r="D2136" s="79"/>
      <c r="E2136" s="47">
        <v>3108.5821770301</v>
      </c>
      <c r="F2136" s="47">
        <v>8914.7801775535409</v>
      </c>
    </row>
    <row r="2137" spans="3:6" x14ac:dyDescent="0.25">
      <c r="C2137" s="79"/>
      <c r="D2137" s="79">
        <v>800</v>
      </c>
      <c r="E2137" s="47">
        <v>2950.9801643088199</v>
      </c>
      <c r="F2137" s="47">
        <v>8670.8688277010897</v>
      </c>
    </row>
    <row r="2138" spans="3:6" x14ac:dyDescent="0.25">
      <c r="C2138" s="79"/>
      <c r="D2138" s="79"/>
      <c r="E2138" s="47">
        <v>2959.8022852867098</v>
      </c>
      <c r="F2138" s="47">
        <v>8869.2978576067599</v>
      </c>
    </row>
    <row r="2139" spans="3:6" x14ac:dyDescent="0.25">
      <c r="C2139" s="79"/>
      <c r="D2139" s="79"/>
      <c r="E2139" s="47">
        <v>2968.78369544509</v>
      </c>
      <c r="F2139" s="47">
        <v>8998.2393272336394</v>
      </c>
    </row>
    <row r="2140" spans="3:6" x14ac:dyDescent="0.25">
      <c r="C2140" s="79"/>
      <c r="D2140" s="79"/>
      <c r="E2140" s="47">
        <v>2979.41602502353</v>
      </c>
      <c r="F2140" s="47">
        <v>9089.7028149371199</v>
      </c>
    </row>
    <row r="2141" spans="3:6" x14ac:dyDescent="0.25">
      <c r="C2141" s="79"/>
      <c r="D2141" s="79"/>
      <c r="E2141" s="47">
        <v>2992.5853210181799</v>
      </c>
      <c r="F2141" s="47">
        <v>9158.8518321532192</v>
      </c>
    </row>
    <row r="2142" spans="3:6" x14ac:dyDescent="0.25">
      <c r="C2142" s="79"/>
      <c r="D2142" s="79"/>
      <c r="E2142" s="47">
        <v>3008.9634261854198</v>
      </c>
      <c r="F2142" s="47">
        <v>9213.9098536245692</v>
      </c>
    </row>
    <row r="2143" spans="3:6" x14ac:dyDescent="0.25">
      <c r="C2143" s="79"/>
      <c r="D2143" s="79"/>
      <c r="E2143" s="47">
        <v>3029.11437761356</v>
      </c>
      <c r="F2143" s="47">
        <v>9259.8294485606493</v>
      </c>
    </row>
    <row r="2144" spans="3:6" x14ac:dyDescent="0.25">
      <c r="C2144" s="79"/>
      <c r="D2144" s="79"/>
      <c r="E2144" s="47">
        <v>3053.5739109001502</v>
      </c>
      <c r="F2144" s="47">
        <v>9299.7368007482601</v>
      </c>
    </row>
    <row r="2145" spans="3:6" x14ac:dyDescent="0.25">
      <c r="C2145" s="79"/>
      <c r="D2145" s="79"/>
      <c r="E2145" s="47">
        <v>3082.8425005822701</v>
      </c>
      <c r="F2145" s="47">
        <v>9335.7848432505507</v>
      </c>
    </row>
    <row r="2146" spans="3:6" x14ac:dyDescent="0.25">
      <c r="C2146" s="79"/>
      <c r="D2146" s="79"/>
      <c r="E2146" s="47">
        <v>3117.40585861197</v>
      </c>
      <c r="F2146" s="47">
        <v>9369.5060813820692</v>
      </c>
    </row>
    <row r="2147" spans="3:6" x14ac:dyDescent="0.25">
      <c r="C2147" s="79"/>
      <c r="D2147" s="79">
        <v>900</v>
      </c>
      <c r="E2147" s="47">
        <v>2960.3634960569302</v>
      </c>
      <c r="F2147" s="47">
        <v>9079.4834965808295</v>
      </c>
    </row>
    <row r="2148" spans="3:6" x14ac:dyDescent="0.25">
      <c r="C2148" s="79"/>
      <c r="D2148" s="79"/>
      <c r="E2148" s="47">
        <v>2968.3852325609801</v>
      </c>
      <c r="F2148" s="47">
        <v>9293.8234087596302</v>
      </c>
    </row>
    <row r="2149" spans="3:6" x14ac:dyDescent="0.25">
      <c r="C2149" s="79"/>
      <c r="D2149" s="79"/>
      <c r="E2149" s="47">
        <v>2976.8495667243201</v>
      </c>
      <c r="F2149" s="47">
        <v>9433.0145159574004</v>
      </c>
    </row>
    <row r="2150" spans="3:6" x14ac:dyDescent="0.25">
      <c r="C2150" s="79"/>
      <c r="D2150" s="79"/>
      <c r="E2150" s="47">
        <v>2987.11061953739</v>
      </c>
      <c r="F2150" s="47">
        <v>9531.7984095863394</v>
      </c>
    </row>
    <row r="2151" spans="3:6" x14ac:dyDescent="0.25">
      <c r="C2151" s="79"/>
      <c r="D2151" s="79"/>
      <c r="E2151" s="47">
        <v>2999.9875744256401</v>
      </c>
      <c r="F2151" s="47">
        <v>9606.5232133026002</v>
      </c>
    </row>
    <row r="2152" spans="3:6" x14ac:dyDescent="0.25">
      <c r="C2152" s="79"/>
      <c r="D2152" s="79"/>
      <c r="E2152" s="47">
        <v>3016.1213148636898</v>
      </c>
      <c r="F2152" s="47">
        <v>9666.0451598404397</v>
      </c>
    </row>
    <row r="2153" spans="3:6" x14ac:dyDescent="0.25">
      <c r="C2153" s="79"/>
      <c r="D2153" s="79"/>
      <c r="E2153" s="47">
        <v>3036.0747099492501</v>
      </c>
      <c r="F2153" s="47">
        <v>9715.6110506111308</v>
      </c>
    </row>
    <row r="2154" spans="3:6" x14ac:dyDescent="0.25">
      <c r="C2154" s="79"/>
      <c r="D2154" s="79"/>
      <c r="E2154" s="47">
        <v>3060.3598375131801</v>
      </c>
      <c r="F2154" s="47">
        <v>9758.5954824288492</v>
      </c>
    </row>
    <row r="2155" spans="3:6" x14ac:dyDescent="0.25">
      <c r="C2155" s="79"/>
      <c r="D2155" s="79"/>
      <c r="E2155" s="47">
        <v>3089.4643169844098</v>
      </c>
      <c r="F2155" s="47">
        <v>9797.3210211802598</v>
      </c>
    </row>
    <row r="2156" spans="3:6" x14ac:dyDescent="0.25">
      <c r="C2156" s="79"/>
      <c r="D2156" s="79"/>
      <c r="E2156" s="47">
        <v>3123.8677437432698</v>
      </c>
      <c r="F2156" s="47">
        <v>9833.4415717634001</v>
      </c>
    </row>
    <row r="2157" spans="3:6" x14ac:dyDescent="0.25">
      <c r="C2157" s="79"/>
      <c r="D2157" s="79">
        <v>1000</v>
      </c>
      <c r="E2157" s="47">
        <v>2967.7220935953701</v>
      </c>
      <c r="F2157" s="47">
        <v>9495.4182477267004</v>
      </c>
    </row>
    <row r="2158" spans="3:6" x14ac:dyDescent="0.25">
      <c r="C2158" s="79"/>
      <c r="D2158" s="79"/>
      <c r="E2158" s="47">
        <v>2974.8877851166299</v>
      </c>
      <c r="F2158" s="47">
        <v>9726.1831415640099</v>
      </c>
    </row>
    <row r="2159" spans="3:6" x14ac:dyDescent="0.25">
      <c r="C2159" s="79"/>
      <c r="D2159" s="79"/>
      <c r="E2159" s="47">
        <v>2982.7900141465798</v>
      </c>
      <c r="F2159" s="47">
        <v>9876.2707897564396</v>
      </c>
    </row>
    <row r="2160" spans="3:6" x14ac:dyDescent="0.25">
      <c r="C2160" s="79"/>
      <c r="D2160" s="79"/>
      <c r="E2160" s="47">
        <v>2992.65757993941</v>
      </c>
      <c r="F2160" s="47">
        <v>9982.8412706140498</v>
      </c>
    </row>
    <row r="2161" spans="3:6" x14ac:dyDescent="0.25">
      <c r="C2161" s="79"/>
      <c r="D2161" s="79"/>
      <c r="E2161" s="47">
        <v>3005.2392584992199</v>
      </c>
      <c r="F2161" s="47">
        <v>10063.458896042601</v>
      </c>
    </row>
    <row r="2162" spans="3:6" x14ac:dyDescent="0.25">
      <c r="C2162" s="79"/>
      <c r="D2162" s="79"/>
      <c r="E2162" s="47">
        <v>3021.1426094775202</v>
      </c>
      <c r="F2162" s="47">
        <v>10127.580988481301</v>
      </c>
    </row>
    <row r="2163" spans="3:6" x14ac:dyDescent="0.25">
      <c r="C2163" s="79"/>
      <c r="D2163" s="79"/>
      <c r="E2163" s="47">
        <v>3040.90060599246</v>
      </c>
      <c r="F2163" s="47">
        <v>10180.907068677299</v>
      </c>
    </row>
    <row r="2164" spans="3:6" x14ac:dyDescent="0.25">
      <c r="C2164" s="79"/>
      <c r="D2164" s="79"/>
      <c r="E2164" s="47">
        <v>3065.0082495668298</v>
      </c>
      <c r="F2164" s="47">
        <v>10227.0824032483</v>
      </c>
    </row>
    <row r="2165" spans="3:6" x14ac:dyDescent="0.25">
      <c r="C2165" s="79"/>
      <c r="D2165" s="79"/>
      <c r="E2165" s="47">
        <v>3093.9518977849598</v>
      </c>
      <c r="F2165" s="47">
        <v>10268.5439027996</v>
      </c>
    </row>
    <row r="2166" spans="3:6" x14ac:dyDescent="0.25">
      <c r="C2166" s="79"/>
      <c r="D2166" s="79"/>
      <c r="E2166" s="47">
        <v>3128.2064559652599</v>
      </c>
      <c r="F2166" s="47">
        <v>10307.040716685</v>
      </c>
    </row>
    <row r="2167" spans="3:6" x14ac:dyDescent="0.25">
      <c r="C2167" s="79"/>
      <c r="D2167" s="79">
        <v>1100</v>
      </c>
      <c r="E2167" s="47">
        <v>2973.1686752600099</v>
      </c>
      <c r="F2167" s="47">
        <v>9920.0614097090001</v>
      </c>
    </row>
    <row r="2168" spans="3:6" x14ac:dyDescent="0.25">
      <c r="C2168" s="79"/>
      <c r="D2168" s="79"/>
      <c r="E2168" s="47">
        <v>2979.4811076616002</v>
      </c>
      <c r="F2168" s="47">
        <v>10167.3130981918</v>
      </c>
    </row>
    <row r="2169" spans="3:6" x14ac:dyDescent="0.25">
      <c r="C2169" s="79"/>
      <c r="D2169" s="79"/>
      <c r="E2169" s="47">
        <v>2986.8239701255602</v>
      </c>
      <c r="F2169" s="47">
        <v>10328.2290752726</v>
      </c>
    </row>
    <row r="2170" spans="3:6" x14ac:dyDescent="0.25">
      <c r="C2170" s="79"/>
      <c r="D2170" s="79"/>
      <c r="E2170" s="47">
        <v>2996.27683623128</v>
      </c>
      <c r="F2170" s="47">
        <v>10442.495582891301</v>
      </c>
    </row>
    <row r="2171" spans="3:6" x14ac:dyDescent="0.25">
      <c r="C2171" s="79"/>
      <c r="D2171" s="79"/>
      <c r="E2171" s="47">
        <v>3008.54118697888</v>
      </c>
      <c r="F2171" s="47">
        <v>10528.9180111564</v>
      </c>
    </row>
    <row r="2172" spans="3:6" x14ac:dyDescent="0.25">
      <c r="C2172" s="79"/>
      <c r="D2172" s="79"/>
      <c r="E2172" s="47">
        <v>3024.1884783441701</v>
      </c>
      <c r="F2172" s="47">
        <v>10597.676149814801</v>
      </c>
    </row>
    <row r="2173" spans="3:6" x14ac:dyDescent="0.25">
      <c r="C2173" s="79"/>
      <c r="D2173" s="79"/>
      <c r="E2173" s="47">
        <v>3043.72344994684</v>
      </c>
      <c r="F2173" s="47">
        <v>10654.805666253</v>
      </c>
    </row>
    <row r="2174" spans="3:6" x14ac:dyDescent="0.25">
      <c r="C2174" s="79"/>
      <c r="D2174" s="79"/>
      <c r="E2174" s="47">
        <v>3067.6476723216401</v>
      </c>
      <c r="F2174" s="47">
        <v>10704.1578372928</v>
      </c>
    </row>
    <row r="2175" spans="3:6" x14ac:dyDescent="0.25">
      <c r="C2175" s="79"/>
      <c r="D2175" s="79"/>
      <c r="E2175" s="47">
        <v>3096.4272463010702</v>
      </c>
      <c r="F2175" s="47">
        <v>10748.359027161499</v>
      </c>
    </row>
    <row r="2176" spans="3:6" x14ac:dyDescent="0.25">
      <c r="C2176" s="79"/>
      <c r="D2176" s="79"/>
      <c r="E2176" s="47">
        <v>3130.5201314600499</v>
      </c>
      <c r="F2176" s="47">
        <v>10789.3047586302</v>
      </c>
    </row>
    <row r="2177" spans="3:6" x14ac:dyDescent="0.25">
      <c r="C2177" s="79"/>
      <c r="D2177" s="79">
        <v>1200</v>
      </c>
      <c r="E2177" s="47">
        <v>2976.8708821509899</v>
      </c>
      <c r="F2177" s="47">
        <v>10349.4357752458</v>
      </c>
    </row>
    <row r="2178" spans="3:6" x14ac:dyDescent="0.25">
      <c r="C2178" s="79"/>
      <c r="D2178" s="79"/>
      <c r="E2178" s="47">
        <v>2982.2685495300898</v>
      </c>
      <c r="F2178" s="47">
        <v>10615.1791818318</v>
      </c>
    </row>
    <row r="2179" spans="3:6" x14ac:dyDescent="0.25">
      <c r="C2179" s="79"/>
      <c r="D2179" s="79"/>
      <c r="E2179" s="47">
        <v>2989.01578083394</v>
      </c>
      <c r="F2179" s="47">
        <v>10788.034299389999</v>
      </c>
    </row>
    <row r="2180" spans="3:6" x14ac:dyDescent="0.25">
      <c r="C2180" s="79"/>
      <c r="D2180" s="79"/>
      <c r="E2180" s="47">
        <v>2998.0503138977201</v>
      </c>
      <c r="F2180" s="47">
        <v>10910.7393809482</v>
      </c>
    </row>
    <row r="2181" spans="3:6" x14ac:dyDescent="0.25">
      <c r="C2181" s="79"/>
      <c r="D2181" s="79"/>
      <c r="E2181" s="47">
        <v>3010.0027896133902</v>
      </c>
      <c r="F2181" s="47">
        <v>11003.474619299801</v>
      </c>
    </row>
    <row r="2182" spans="3:6" x14ac:dyDescent="0.25">
      <c r="C2182" s="79"/>
      <c r="D2182" s="79"/>
      <c r="E2182" s="47">
        <v>3025.3993577511501</v>
      </c>
      <c r="F2182" s="47">
        <v>11076.9944457949</v>
      </c>
    </row>
    <row r="2183" spans="3:6" x14ac:dyDescent="0.25">
      <c r="C2183" s="79"/>
      <c r="D2183" s="79"/>
      <c r="E2183" s="47">
        <v>3044.7363674579001</v>
      </c>
      <c r="F2183" s="47">
        <v>11137.893241576299</v>
      </c>
    </row>
    <row r="2184" spans="3:6" x14ac:dyDescent="0.25">
      <c r="C2184" s="79"/>
      <c r="D2184" s="79"/>
      <c r="E2184" s="47">
        <v>3068.4732287674001</v>
      </c>
      <c r="F2184" s="47">
        <v>11190.4417307487</v>
      </c>
    </row>
    <row r="2185" spans="3:6" x14ac:dyDescent="0.25">
      <c r="C2185" s="79"/>
      <c r="D2185" s="79"/>
      <c r="E2185" s="47">
        <v>3097.07962362743</v>
      </c>
      <c r="F2185" s="47">
        <v>11237.396757234899</v>
      </c>
    </row>
    <row r="2186" spans="3:6" x14ac:dyDescent="0.25">
      <c r="C2186" s="79"/>
      <c r="D2186" s="79"/>
      <c r="E2186" s="47">
        <v>3131.0200615510598</v>
      </c>
      <c r="F2186" s="47">
        <v>11280.7326363709</v>
      </c>
    </row>
    <row r="2187" spans="3:6" x14ac:dyDescent="0.25">
      <c r="C2187" s="79">
        <v>15</v>
      </c>
      <c r="D2187" s="79">
        <v>0</v>
      </c>
      <c r="E2187" s="47">
        <v>2890.1521976612898</v>
      </c>
      <c r="F2187" s="47">
        <v>6431.46323759391</v>
      </c>
    </row>
    <row r="2188" spans="3:6" x14ac:dyDescent="0.25">
      <c r="C2188" s="79"/>
      <c r="D2188" s="79"/>
      <c r="E2188" s="47">
        <v>2890.1521976612898</v>
      </c>
      <c r="F2188" s="47">
        <v>6431.46323759391</v>
      </c>
    </row>
    <row r="2189" spans="3:6" x14ac:dyDescent="0.25">
      <c r="C2189" s="79"/>
      <c r="D2189" s="79"/>
      <c r="E2189" s="47">
        <v>2890.1521976612898</v>
      </c>
      <c r="F2189" s="47">
        <v>6431.46323759391</v>
      </c>
    </row>
    <row r="2190" spans="3:6" x14ac:dyDescent="0.25">
      <c r="C2190" s="79"/>
      <c r="D2190" s="79"/>
      <c r="E2190" s="47">
        <v>2890.1521976612898</v>
      </c>
      <c r="F2190" s="47">
        <v>6431.46323759391</v>
      </c>
    </row>
    <row r="2191" spans="3:6" x14ac:dyDescent="0.25">
      <c r="C2191" s="79"/>
      <c r="D2191" s="79"/>
      <c r="E2191" s="47">
        <v>2890.1521976612898</v>
      </c>
      <c r="F2191" s="47">
        <v>6431.46323759391</v>
      </c>
    </row>
    <row r="2192" spans="3:6" x14ac:dyDescent="0.25">
      <c r="C2192" s="79"/>
      <c r="D2192" s="79"/>
      <c r="E2192" s="47">
        <v>2890.1521976612898</v>
      </c>
      <c r="F2192" s="47">
        <v>6431.46323759391</v>
      </c>
    </row>
    <row r="2193" spans="3:6" x14ac:dyDescent="0.25">
      <c r="C2193" s="79"/>
      <c r="D2193" s="79"/>
      <c r="E2193" s="47">
        <v>2911.3145310606401</v>
      </c>
      <c r="F2193" s="47">
        <v>6455.3835948754704</v>
      </c>
    </row>
    <row r="2194" spans="3:6" x14ac:dyDescent="0.25">
      <c r="C2194" s="79"/>
      <c r="D2194" s="79"/>
      <c r="E2194" s="47">
        <v>2936.6955950290399</v>
      </c>
      <c r="F2194" s="47">
        <v>6476.6181047878099</v>
      </c>
    </row>
    <row r="2195" spans="3:6" x14ac:dyDescent="0.25">
      <c r="C2195" s="79"/>
      <c r="D2195" s="79"/>
      <c r="E2195" s="47">
        <v>2966.85539600938</v>
      </c>
      <c r="F2195" s="47">
        <v>6496.4326584522496</v>
      </c>
    </row>
    <row r="2196" spans="3:6" x14ac:dyDescent="0.25">
      <c r="C2196" s="79"/>
      <c r="D2196" s="79"/>
      <c r="E2196" s="47">
        <v>3002.3218818735099</v>
      </c>
      <c r="F2196" s="47">
        <v>6515.7443502603601</v>
      </c>
    </row>
    <row r="2197" spans="3:6" x14ac:dyDescent="0.25">
      <c r="C2197" s="79"/>
      <c r="D2197" s="79">
        <v>100</v>
      </c>
      <c r="E2197" s="47">
        <v>2885.2869517765498</v>
      </c>
      <c r="F2197" s="47">
        <v>6744.2441929114802</v>
      </c>
    </row>
    <row r="2198" spans="3:6" x14ac:dyDescent="0.25">
      <c r="C2198" s="79"/>
      <c r="D2198" s="79"/>
      <c r="E2198" s="47">
        <v>2885.2869517765498</v>
      </c>
      <c r="F2198" s="47">
        <v>6744.2441929114802</v>
      </c>
    </row>
    <row r="2199" spans="3:6" x14ac:dyDescent="0.25">
      <c r="C2199" s="79"/>
      <c r="D2199" s="79"/>
      <c r="E2199" s="47">
        <v>2885.2869517765498</v>
      </c>
      <c r="F2199" s="47">
        <v>6744.2441929114802</v>
      </c>
    </row>
    <row r="2200" spans="3:6" x14ac:dyDescent="0.25">
      <c r="C2200" s="79"/>
      <c r="D2200" s="79"/>
      <c r="E2200" s="47">
        <v>2885.2869517765498</v>
      </c>
      <c r="F2200" s="47">
        <v>6744.2441929114802</v>
      </c>
    </row>
    <row r="2201" spans="3:6" x14ac:dyDescent="0.25">
      <c r="C2201" s="79"/>
      <c r="D2201" s="79"/>
      <c r="E2201" s="47">
        <v>2899.7679273542299</v>
      </c>
      <c r="F2201" s="47">
        <v>6784.4482562167304</v>
      </c>
    </row>
    <row r="2202" spans="3:6" x14ac:dyDescent="0.25">
      <c r="C2202" s="79"/>
      <c r="D2202" s="79"/>
      <c r="E2202" s="47">
        <v>2917.2009967107001</v>
      </c>
      <c r="F2202" s="47">
        <v>6816.4563402890599</v>
      </c>
    </row>
    <row r="2203" spans="3:6" x14ac:dyDescent="0.25">
      <c r="C2203" s="79"/>
      <c r="D2203" s="79"/>
      <c r="E2203" s="47">
        <v>2938.2643563798101</v>
      </c>
      <c r="F2203" s="47">
        <v>6843.3447852679301</v>
      </c>
    </row>
    <row r="2204" spans="3:6" x14ac:dyDescent="0.25">
      <c r="C2204" s="79"/>
      <c r="D2204" s="79"/>
      <c r="E2204" s="47">
        <v>2963.5501466740898</v>
      </c>
      <c r="F2204" s="47">
        <v>6867.1143130068804</v>
      </c>
    </row>
    <row r="2205" spans="3:6" x14ac:dyDescent="0.25">
      <c r="C2205" s="79"/>
      <c r="D2205" s="79"/>
      <c r="E2205" s="47">
        <v>2993.6113808363002</v>
      </c>
      <c r="F2205" s="47">
        <v>6889.1496620631096</v>
      </c>
    </row>
    <row r="2206" spans="3:6" x14ac:dyDescent="0.25">
      <c r="C2206" s="79"/>
      <c r="D2206" s="79"/>
      <c r="E2206" s="47">
        <v>3028.9676856319602</v>
      </c>
      <c r="F2206" s="47">
        <v>6910.4455953932902</v>
      </c>
    </row>
    <row r="2207" spans="3:6" x14ac:dyDescent="0.25">
      <c r="C2207" s="79"/>
      <c r="D2207" s="79">
        <v>200</v>
      </c>
      <c r="E2207" s="47">
        <v>2896.88225030999</v>
      </c>
      <c r="F2207" s="47">
        <v>7072.8199647394003</v>
      </c>
    </row>
    <row r="2208" spans="3:6" x14ac:dyDescent="0.25">
      <c r="C2208" s="79"/>
      <c r="D2208" s="79"/>
      <c r="E2208" s="47">
        <v>2896.88225030999</v>
      </c>
      <c r="F2208" s="47">
        <v>7072.8199647394003</v>
      </c>
    </row>
    <row r="2209" spans="3:6" x14ac:dyDescent="0.25">
      <c r="C2209" s="79"/>
      <c r="D2209" s="79"/>
      <c r="E2209" s="47">
        <v>2896.88225030999</v>
      </c>
      <c r="F2209" s="47">
        <v>7072.8199647394003</v>
      </c>
    </row>
    <row r="2210" spans="3:6" x14ac:dyDescent="0.25">
      <c r="C2210" s="79"/>
      <c r="D2210" s="79"/>
      <c r="E2210" s="47">
        <v>2909.0030403751098</v>
      </c>
      <c r="F2210" s="47">
        <v>7132.3507425730604</v>
      </c>
    </row>
    <row r="2211" spans="3:6" x14ac:dyDescent="0.25">
      <c r="C2211" s="79"/>
      <c r="D2211" s="79"/>
      <c r="E2211" s="47">
        <v>2923.3089915488799</v>
      </c>
      <c r="F2211" s="47">
        <v>7177.1854489422903</v>
      </c>
    </row>
    <row r="2212" spans="3:6" x14ac:dyDescent="0.25">
      <c r="C2212" s="79"/>
      <c r="D2212" s="79"/>
      <c r="E2212" s="47">
        <v>2940.5979679519101</v>
      </c>
      <c r="F2212" s="47">
        <v>7212.8870304361899</v>
      </c>
    </row>
    <row r="2213" spans="3:6" x14ac:dyDescent="0.25">
      <c r="C2213" s="79"/>
      <c r="D2213" s="79"/>
      <c r="E2213" s="47">
        <v>2961.5353031793602</v>
      </c>
      <c r="F2213" s="47">
        <v>7242.8259987194597</v>
      </c>
    </row>
    <row r="2214" spans="3:6" x14ac:dyDescent="0.25">
      <c r="C2214" s="79"/>
      <c r="D2214" s="79"/>
      <c r="E2214" s="47">
        <v>2986.7020883507398</v>
      </c>
      <c r="F2214" s="47">
        <v>7269.1893084756002</v>
      </c>
    </row>
    <row r="2215" spans="3:6" x14ac:dyDescent="0.25">
      <c r="C2215" s="79"/>
      <c r="D2215" s="79"/>
      <c r="E2215" s="47">
        <v>3016.6432646060598</v>
      </c>
      <c r="F2215" s="47">
        <v>7293.4741060905399</v>
      </c>
    </row>
    <row r="2216" spans="3:6" x14ac:dyDescent="0.25">
      <c r="C2216" s="79"/>
      <c r="D2216" s="79"/>
      <c r="E2216" s="47">
        <v>3051.8752977706799</v>
      </c>
      <c r="F2216" s="47">
        <v>7316.7955311894002</v>
      </c>
    </row>
    <row r="2217" spans="3:6" x14ac:dyDescent="0.25">
      <c r="C2217" s="79"/>
      <c r="D2217" s="79">
        <v>300</v>
      </c>
      <c r="E2217" s="47">
        <v>2895.3314318265402</v>
      </c>
      <c r="F2217" s="47">
        <v>7227.1384725960997</v>
      </c>
    </row>
    <row r="2218" spans="3:6" x14ac:dyDescent="0.25">
      <c r="C2218" s="79"/>
      <c r="D2218" s="79"/>
      <c r="E2218" s="47">
        <v>2906.76884721442</v>
      </c>
      <c r="F2218" s="47">
        <v>7371.0488722126202</v>
      </c>
    </row>
    <row r="2219" spans="3:6" x14ac:dyDescent="0.25">
      <c r="C2219" s="79"/>
      <c r="D2219" s="79"/>
      <c r="E2219" s="47">
        <v>2917.4710083462701</v>
      </c>
      <c r="F2219" s="47">
        <v>7464.1350085034901</v>
      </c>
    </row>
    <row r="2220" spans="3:6" x14ac:dyDescent="0.25">
      <c r="C2220" s="79"/>
      <c r="D2220" s="79"/>
      <c r="E2220" s="47">
        <v>2929.3215751084799</v>
      </c>
      <c r="F2220" s="47">
        <v>7529.9003624289599</v>
      </c>
    </row>
    <row r="2221" spans="3:6" x14ac:dyDescent="0.25">
      <c r="C2221" s="79"/>
      <c r="D2221" s="79"/>
      <c r="E2221" s="47">
        <v>2943.4185701833599</v>
      </c>
      <c r="F2221" s="47">
        <v>7579.5193723045304</v>
      </c>
    </row>
    <row r="2222" spans="3:6" x14ac:dyDescent="0.25">
      <c r="C2222" s="79"/>
      <c r="D2222" s="79"/>
      <c r="E2222" s="47">
        <v>2960.5417754794898</v>
      </c>
      <c r="F2222" s="47">
        <v>7619.0650521999396</v>
      </c>
    </row>
    <row r="2223" spans="3:6" x14ac:dyDescent="0.25">
      <c r="C2223" s="79"/>
      <c r="D2223" s="79"/>
      <c r="E2223" s="47">
        <v>2981.33431001184</v>
      </c>
      <c r="F2223" s="47">
        <v>7652.1984835732201</v>
      </c>
    </row>
    <row r="2224" spans="3:6" x14ac:dyDescent="0.25">
      <c r="C2224" s="79"/>
      <c r="D2224" s="79"/>
      <c r="E2224" s="47">
        <v>3006.3696223963798</v>
      </c>
      <c r="F2224" s="47">
        <v>7681.2788237736104</v>
      </c>
    </row>
    <row r="2225" spans="3:6" x14ac:dyDescent="0.25">
      <c r="C2225" s="79"/>
      <c r="D2225" s="79"/>
      <c r="E2225" s="47">
        <v>3036.18638455788</v>
      </c>
      <c r="F2225" s="47">
        <v>7707.9856186011602</v>
      </c>
    </row>
    <row r="2226" spans="3:6" x14ac:dyDescent="0.25">
      <c r="C2226" s="79"/>
      <c r="D2226" s="79"/>
      <c r="E2226" s="47">
        <v>3071.2857341000899</v>
      </c>
      <c r="F2226" s="47">
        <v>7733.4459107399198</v>
      </c>
    </row>
    <row r="2227" spans="3:6" x14ac:dyDescent="0.25">
      <c r="C2227" s="79"/>
      <c r="D2227" s="79">
        <v>400</v>
      </c>
      <c r="E2227" s="47">
        <v>2913.9120170698502</v>
      </c>
      <c r="F2227" s="47">
        <v>7605.5058476607901</v>
      </c>
    </row>
    <row r="2228" spans="3:6" x14ac:dyDescent="0.25">
      <c r="C2228" s="79"/>
      <c r="D2228" s="79"/>
      <c r="E2228" s="47">
        <v>2924.7131530944098</v>
      </c>
      <c r="F2228" s="47">
        <v>7763.54179268598</v>
      </c>
    </row>
    <row r="2229" spans="3:6" x14ac:dyDescent="0.25">
      <c r="C2229" s="79"/>
      <c r="D2229" s="79"/>
      <c r="E2229" s="47">
        <v>2935.0000733285801</v>
      </c>
      <c r="F2229" s="47">
        <v>7865.9211756306204</v>
      </c>
    </row>
    <row r="2230" spans="3:6" x14ac:dyDescent="0.25">
      <c r="C2230" s="79"/>
      <c r="D2230" s="79"/>
      <c r="E2230" s="47">
        <v>2946.5632900763399</v>
      </c>
      <c r="F2230" s="47">
        <v>7938.3096747727504</v>
      </c>
    </row>
    <row r="2231" spans="3:6" x14ac:dyDescent="0.25">
      <c r="C2231" s="79"/>
      <c r="D2231" s="79"/>
      <c r="E2231" s="47">
        <v>2960.4388615725502</v>
      </c>
      <c r="F2231" s="47">
        <v>7992.9450485288799</v>
      </c>
    </row>
    <row r="2232" spans="3:6" x14ac:dyDescent="0.25">
      <c r="C2232" s="79"/>
      <c r="D2232" s="79"/>
      <c r="E2232" s="47">
        <v>2977.3833212869999</v>
      </c>
      <c r="F2232" s="47">
        <v>8036.4689146252003</v>
      </c>
    </row>
    <row r="2233" spans="3:6" x14ac:dyDescent="0.25">
      <c r="C2233" s="79"/>
      <c r="D2233" s="79"/>
      <c r="E2233" s="47">
        <v>2998.0227155611501</v>
      </c>
      <c r="F2233" s="47">
        <v>8072.8834426558797</v>
      </c>
    </row>
    <row r="2234" spans="3:6" x14ac:dyDescent="0.25">
      <c r="C2234" s="79"/>
      <c r="D2234" s="79"/>
      <c r="E2234" s="47">
        <v>3022.9152561348601</v>
      </c>
      <c r="F2234" s="47">
        <v>8104.7796001508004</v>
      </c>
    </row>
    <row r="2235" spans="3:6" x14ac:dyDescent="0.25">
      <c r="C2235" s="79"/>
      <c r="D2235" s="79"/>
      <c r="E2235" s="47">
        <v>3052.5859217010302</v>
      </c>
      <c r="F2235" s="47">
        <v>8133.8823147554003</v>
      </c>
    </row>
    <row r="2236" spans="3:6" x14ac:dyDescent="0.25">
      <c r="C2236" s="79"/>
      <c r="D2236" s="79"/>
      <c r="E2236" s="47">
        <v>3087.5426165191002</v>
      </c>
      <c r="F2236" s="47">
        <v>8161.4630101248904</v>
      </c>
    </row>
    <row r="2237" spans="3:6" x14ac:dyDescent="0.25">
      <c r="C2237" s="79"/>
      <c r="D2237" s="79">
        <v>500</v>
      </c>
      <c r="E2237" s="47">
        <v>2929.7568294273601</v>
      </c>
      <c r="F2237" s="47">
        <v>7992.6794158864795</v>
      </c>
    </row>
    <row r="2238" spans="3:6" x14ac:dyDescent="0.25">
      <c r="C2238" s="79"/>
      <c r="D2238" s="79"/>
      <c r="E2238" s="47">
        <v>2939.8501178982501</v>
      </c>
      <c r="F2238" s="47">
        <v>8164.7371170531496</v>
      </c>
    </row>
    <row r="2239" spans="3:6" x14ac:dyDescent="0.25">
      <c r="C2239" s="79"/>
      <c r="D2239" s="79"/>
      <c r="E2239" s="47">
        <v>2949.66730367738</v>
      </c>
      <c r="F2239" s="47">
        <v>8276.3917711776503</v>
      </c>
    </row>
    <row r="2240" spans="3:6" x14ac:dyDescent="0.25">
      <c r="C2240" s="79"/>
      <c r="D2240" s="79"/>
      <c r="E2240" s="47">
        <v>2960.8996605334701</v>
      </c>
      <c r="F2240" s="47">
        <v>8355.5159090014204</v>
      </c>
    </row>
    <row r="2241" spans="3:6" x14ac:dyDescent="0.25">
      <c r="C2241" s="79"/>
      <c r="D2241" s="79"/>
      <c r="E2241" s="47">
        <v>2974.52570014303</v>
      </c>
      <c r="F2241" s="47">
        <v>8415.3062874172192</v>
      </c>
    </row>
    <row r="2242" spans="3:6" x14ac:dyDescent="0.25">
      <c r="C2242" s="79"/>
      <c r="D2242" s="79"/>
      <c r="E2242" s="47">
        <v>2991.2714624699202</v>
      </c>
      <c r="F2242" s="47">
        <v>8462.9651061109107</v>
      </c>
    </row>
    <row r="2243" spans="3:6" x14ac:dyDescent="0.25">
      <c r="C2243" s="79"/>
      <c r="D2243" s="79"/>
      <c r="E2243" s="47">
        <v>3011.7381686502199</v>
      </c>
      <c r="F2243" s="47">
        <v>8502.8121877766807</v>
      </c>
    </row>
    <row r="2244" spans="3:6" x14ac:dyDescent="0.25">
      <c r="C2244" s="79"/>
      <c r="D2244" s="79"/>
      <c r="E2244" s="47">
        <v>3036.4789758781098</v>
      </c>
      <c r="F2244" s="47">
        <v>8537.5891228967703</v>
      </c>
    </row>
    <row r="2245" spans="3:6" x14ac:dyDescent="0.25">
      <c r="C2245" s="79"/>
      <c r="D2245" s="79"/>
      <c r="E2245" s="47">
        <v>3066.00946754505</v>
      </c>
      <c r="F2245" s="47">
        <v>8569.1982775762008</v>
      </c>
    </row>
    <row r="2246" spans="3:6" x14ac:dyDescent="0.25">
      <c r="C2246" s="79"/>
      <c r="D2246" s="79"/>
      <c r="E2246" s="47">
        <v>3100.8244486072699</v>
      </c>
      <c r="F2246" s="47">
        <v>8599.0061390189603</v>
      </c>
    </row>
    <row r="2247" spans="3:6" x14ac:dyDescent="0.25">
      <c r="C2247" s="79"/>
      <c r="D2247" s="79">
        <v>600</v>
      </c>
      <c r="E2247" s="47">
        <v>2943.02315845265</v>
      </c>
      <c r="F2247" s="47">
        <v>8387.4753566971103</v>
      </c>
    </row>
    <row r="2248" spans="3:6" x14ac:dyDescent="0.25">
      <c r="C2248" s="79"/>
      <c r="D2248" s="79"/>
      <c r="E2248" s="47">
        <v>2952.4029549052798</v>
      </c>
      <c r="F2248" s="47">
        <v>8575.1307668364407</v>
      </c>
    </row>
    <row r="2249" spans="3:6" x14ac:dyDescent="0.25">
      <c r="C2249" s="79"/>
      <c r="D2249" s="79"/>
      <c r="E2249" s="47">
        <v>2961.7565168962901</v>
      </c>
      <c r="F2249" s="47">
        <v>8696.9720744198803</v>
      </c>
    </row>
    <row r="2250" spans="3:6" x14ac:dyDescent="0.25">
      <c r="C2250" s="79"/>
      <c r="D2250" s="79"/>
      <c r="E2250" s="47">
        <v>2972.65059956499</v>
      </c>
      <c r="F2250" s="47">
        <v>8783.3055680556299</v>
      </c>
    </row>
    <row r="2251" spans="3:6" x14ac:dyDescent="0.25">
      <c r="C2251" s="79"/>
      <c r="D2251" s="79"/>
      <c r="E2251" s="47">
        <v>2986.00780924642</v>
      </c>
      <c r="F2251" s="47">
        <v>8848.4857081070095</v>
      </c>
    </row>
    <row r="2252" spans="3:6" x14ac:dyDescent="0.25">
      <c r="C2252" s="79"/>
      <c r="D2252" s="79"/>
      <c r="E2252" s="47">
        <v>3002.52988601064</v>
      </c>
      <c r="F2252" s="47">
        <v>8900.29571602947</v>
      </c>
    </row>
    <row r="2253" spans="3:6" x14ac:dyDescent="0.25">
      <c r="C2253" s="79"/>
      <c r="D2253" s="79"/>
      <c r="E2253" s="47">
        <v>3022.80991944376</v>
      </c>
      <c r="F2253" s="47">
        <v>8943.5492140291408</v>
      </c>
    </row>
    <row r="2254" spans="3:6" x14ac:dyDescent="0.25">
      <c r="C2254" s="79"/>
      <c r="D2254" s="79"/>
      <c r="E2254" s="47">
        <v>3047.3860071887698</v>
      </c>
      <c r="F2254" s="47">
        <v>8981.22591501647</v>
      </c>
    </row>
    <row r="2255" spans="3:6" x14ac:dyDescent="0.25">
      <c r="C2255" s="79"/>
      <c r="D2255" s="79"/>
      <c r="E2255" s="47">
        <v>3076.7604791086201</v>
      </c>
      <c r="F2255" s="47">
        <v>9015.3576453592796</v>
      </c>
    </row>
    <row r="2256" spans="3:6" x14ac:dyDescent="0.25">
      <c r="C2256" s="79"/>
      <c r="D2256" s="79"/>
      <c r="E2256" s="47">
        <v>3111.4247761664001</v>
      </c>
      <c r="F2256" s="47">
        <v>9047.4466364222008</v>
      </c>
    </row>
    <row r="2257" spans="3:6" x14ac:dyDescent="0.25">
      <c r="C2257" s="79"/>
      <c r="D2257" s="79">
        <v>700</v>
      </c>
      <c r="E2257" s="47">
        <v>2953.9601247168198</v>
      </c>
      <c r="F2257" s="47">
        <v>8789.8798075615196</v>
      </c>
    </row>
    <row r="2258" spans="3:6" x14ac:dyDescent="0.25">
      <c r="C2258" s="79"/>
      <c r="D2258" s="79"/>
      <c r="E2258" s="47">
        <v>2962.53904557851</v>
      </c>
      <c r="F2258" s="47">
        <v>8992.8603210483707</v>
      </c>
    </row>
    <row r="2259" spans="3:6" x14ac:dyDescent="0.25">
      <c r="C2259" s="79"/>
      <c r="D2259" s="79"/>
      <c r="E2259" s="47">
        <v>2971.3699545096401</v>
      </c>
      <c r="F2259" s="47">
        <v>9124.7656680756008</v>
      </c>
    </row>
    <row r="2260" spans="3:6" x14ac:dyDescent="0.25">
      <c r="C2260" s="79"/>
      <c r="D2260" s="79"/>
      <c r="E2260" s="47">
        <v>2981.8996978488299</v>
      </c>
      <c r="F2260" s="47">
        <v>9218.3555559515298</v>
      </c>
    </row>
    <row r="2261" spans="3:6" x14ac:dyDescent="0.25">
      <c r="C2261" s="79"/>
      <c r="D2261" s="79"/>
      <c r="E2261" s="47">
        <v>2994.9844598392701</v>
      </c>
      <c r="F2261" s="47">
        <v>9289.1463728847993</v>
      </c>
    </row>
    <row r="2262" spans="3:6" x14ac:dyDescent="0.25">
      <c r="C2262" s="79"/>
      <c r="D2262" s="79"/>
      <c r="E2262" s="47">
        <v>3011.2963695489402</v>
      </c>
      <c r="F2262" s="47">
        <v>9345.5204059486296</v>
      </c>
    </row>
    <row r="2263" spans="3:6" x14ac:dyDescent="0.25">
      <c r="C2263" s="79"/>
      <c r="D2263" s="79"/>
      <c r="E2263" s="47">
        <v>3031.39587241557</v>
      </c>
      <c r="F2263" s="47">
        <v>9392.4896351889802</v>
      </c>
    </row>
    <row r="2264" spans="3:6" x14ac:dyDescent="0.25">
      <c r="C2264" s="79"/>
      <c r="D2264" s="79"/>
      <c r="E2264" s="47">
        <v>3055.8048878206901</v>
      </c>
      <c r="F2264" s="47">
        <v>9433.3107302891694</v>
      </c>
    </row>
    <row r="2265" spans="3:6" x14ac:dyDescent="0.25">
      <c r="C2265" s="79"/>
      <c r="D2265" s="79"/>
      <c r="E2265" s="47">
        <v>3085.0279296826602</v>
      </c>
      <c r="F2265" s="47">
        <v>9470.1564335293697</v>
      </c>
    </row>
    <row r="2266" spans="3:6" x14ac:dyDescent="0.25">
      <c r="C2266" s="79"/>
      <c r="D2266" s="79"/>
      <c r="E2266" s="47">
        <v>3119.54572975976</v>
      </c>
      <c r="F2266" s="47">
        <v>9504.5901413080101</v>
      </c>
    </row>
    <row r="2267" spans="3:6" x14ac:dyDescent="0.25">
      <c r="C2267" s="79"/>
      <c r="D2267" s="79">
        <v>800</v>
      </c>
      <c r="E2267" s="47">
        <v>2962.7233683705399</v>
      </c>
      <c r="F2267" s="47">
        <v>9200.6144489083908</v>
      </c>
    </row>
    <row r="2268" spans="3:6" x14ac:dyDescent="0.25">
      <c r="C2268" s="79"/>
      <c r="D2268" s="79"/>
      <c r="E2268" s="47">
        <v>2970.51030327631</v>
      </c>
      <c r="F2268" s="47">
        <v>9419.8837247031497</v>
      </c>
    </row>
    <row r="2269" spans="3:6" x14ac:dyDescent="0.25">
      <c r="C2269" s="79"/>
      <c r="D2269" s="79"/>
      <c r="E2269" s="47">
        <v>2978.8147293094798</v>
      </c>
      <c r="F2269" s="47">
        <v>9562.4250905153895</v>
      </c>
    </row>
    <row r="2270" spans="3:6" x14ac:dyDescent="0.25">
      <c r="C2270" s="79"/>
      <c r="D2270" s="79"/>
      <c r="E2270" s="47">
        <v>2988.94547943004</v>
      </c>
      <c r="F2270" s="47">
        <v>9663.3873101920799</v>
      </c>
    </row>
    <row r="2271" spans="3:6" x14ac:dyDescent="0.25">
      <c r="C2271" s="79"/>
      <c r="D2271" s="79"/>
      <c r="E2271" s="47">
        <v>3001.7348104795701</v>
      </c>
      <c r="F2271" s="47">
        <v>9739.7522754761794</v>
      </c>
    </row>
    <row r="2272" spans="3:6" x14ac:dyDescent="0.25">
      <c r="C2272" s="79"/>
      <c r="D2272" s="79"/>
      <c r="E2272" s="47">
        <v>3017.8049384390501</v>
      </c>
      <c r="F2272" s="47">
        <v>9800.5574926146091</v>
      </c>
    </row>
    <row r="2273" spans="3:6" x14ac:dyDescent="0.25">
      <c r="C2273" s="79"/>
      <c r="D2273" s="79"/>
      <c r="E2273" s="47">
        <v>3037.6981044593599</v>
      </c>
      <c r="F2273" s="47">
        <v>9851.2003393262294</v>
      </c>
    </row>
    <row r="2274" spans="3:6" x14ac:dyDescent="0.25">
      <c r="C2274" s="79"/>
      <c r="D2274" s="79"/>
      <c r="E2274" s="47">
        <v>3061.93242653076</v>
      </c>
      <c r="F2274" s="47">
        <v>9895.1064336171603</v>
      </c>
    </row>
    <row r="2275" spans="3:6" x14ac:dyDescent="0.25">
      <c r="C2275" s="79"/>
      <c r="D2275" s="79"/>
      <c r="E2275" s="47">
        <v>3090.9922666424</v>
      </c>
      <c r="F2275" s="47">
        <v>9934.6145431745299</v>
      </c>
    </row>
    <row r="2276" spans="3:6" x14ac:dyDescent="0.25">
      <c r="C2276" s="79"/>
      <c r="D2276" s="79"/>
      <c r="E2276" s="47">
        <v>3125.3556048256</v>
      </c>
      <c r="F2276" s="47">
        <v>9971.39783904873</v>
      </c>
    </row>
    <row r="2277" spans="3:6" x14ac:dyDescent="0.25">
      <c r="C2277" s="79"/>
      <c r="D2277" s="79">
        <v>900</v>
      </c>
      <c r="E2277" s="47">
        <v>2969.5102153149801</v>
      </c>
      <c r="F2277" s="47">
        <v>9619.11081055664</v>
      </c>
    </row>
    <row r="2278" spans="3:6" x14ac:dyDescent="0.25">
      <c r="C2278" s="79"/>
      <c r="D2278" s="79"/>
      <c r="E2278" s="47">
        <v>2976.41989878309</v>
      </c>
      <c r="F2278" s="47">
        <v>9854.6661071913495</v>
      </c>
    </row>
    <row r="2279" spans="3:6" x14ac:dyDescent="0.25">
      <c r="C2279" s="79"/>
      <c r="D2279" s="79"/>
      <c r="E2279" s="47">
        <v>2984.1646778010099</v>
      </c>
      <c r="F2279" s="47">
        <v>10007.9020954756</v>
      </c>
    </row>
    <row r="2280" spans="3:6" x14ac:dyDescent="0.25">
      <c r="C2280" s="79"/>
      <c r="D2280" s="79"/>
      <c r="E2280" s="47">
        <v>2993.9126356770798</v>
      </c>
      <c r="F2280" s="47">
        <v>10116.722689798</v>
      </c>
    </row>
    <row r="2281" spans="3:6" x14ac:dyDescent="0.25">
      <c r="C2281" s="79"/>
      <c r="D2281" s="79"/>
      <c r="E2281" s="47">
        <v>3006.4093394834799</v>
      </c>
      <c r="F2281" s="47">
        <v>10199.039235194499</v>
      </c>
    </row>
    <row r="2282" spans="3:6" x14ac:dyDescent="0.25">
      <c r="C2282" s="79"/>
      <c r="D2282" s="79"/>
      <c r="E2282" s="47">
        <v>3022.2406754266999</v>
      </c>
      <c r="F2282" s="47">
        <v>10264.5490471784</v>
      </c>
    </row>
    <row r="2283" spans="3:6" x14ac:dyDescent="0.25">
      <c r="C2283" s="79"/>
      <c r="D2283" s="79"/>
      <c r="E2283" s="47">
        <v>3041.9375658614099</v>
      </c>
      <c r="F2283" s="47">
        <v>10318.9869294608</v>
      </c>
    </row>
    <row r="2284" spans="3:6" x14ac:dyDescent="0.25">
      <c r="C2284" s="79"/>
      <c r="D2284" s="79"/>
      <c r="E2284" s="47">
        <v>3065.9979362526801</v>
      </c>
      <c r="F2284" s="47">
        <v>10366.073889495099</v>
      </c>
    </row>
    <row r="2285" spans="3:6" x14ac:dyDescent="0.25">
      <c r="C2285" s="79"/>
      <c r="D2285" s="79"/>
      <c r="E2285" s="47">
        <v>3094.8901498861901</v>
      </c>
      <c r="F2285" s="47">
        <v>10408.352077776301</v>
      </c>
    </row>
    <row r="2286" spans="3:6" x14ac:dyDescent="0.25">
      <c r="C2286" s="79"/>
      <c r="D2286" s="79"/>
      <c r="E2286" s="47">
        <v>3129.0893798054699</v>
      </c>
      <c r="F2286" s="47">
        <v>10447.5727792538</v>
      </c>
    </row>
    <row r="2287" spans="3:6" x14ac:dyDescent="0.25">
      <c r="C2287" s="79"/>
      <c r="D2287" s="79">
        <v>1000</v>
      </c>
      <c r="E2287" s="47">
        <v>2974.4227863946599</v>
      </c>
      <c r="F2287" s="47">
        <v>10045.224347851699</v>
      </c>
    </row>
    <row r="2288" spans="3:6" x14ac:dyDescent="0.25">
      <c r="C2288" s="79"/>
      <c r="D2288" s="79"/>
      <c r="E2288" s="47">
        <v>2980.4878433762501</v>
      </c>
      <c r="F2288" s="47">
        <v>10298.4258684615</v>
      </c>
    </row>
    <row r="2289" spans="3:6" x14ac:dyDescent="0.25">
      <c r="C2289" s="79"/>
      <c r="D2289" s="79"/>
      <c r="E2289" s="47">
        <v>2987.65037613205</v>
      </c>
      <c r="F2289" s="47">
        <v>10462.5516517289</v>
      </c>
    </row>
    <row r="2290" spans="3:6" x14ac:dyDescent="0.25">
      <c r="C2290" s="79"/>
      <c r="D2290" s="79"/>
      <c r="E2290" s="47">
        <v>2996.9760291991702</v>
      </c>
      <c r="F2290" s="47">
        <v>10579.083670379199</v>
      </c>
    </row>
    <row r="2291" spans="3:6" x14ac:dyDescent="0.25">
      <c r="C2291" s="79"/>
      <c r="D2291" s="79"/>
      <c r="E2291" s="47">
        <v>3009.1419979206498</v>
      </c>
      <c r="F2291" s="47">
        <v>10667.2270710748</v>
      </c>
    </row>
    <row r="2292" spans="3:6" x14ac:dyDescent="0.25">
      <c r="C2292" s="79"/>
      <c r="D2292" s="79"/>
      <c r="E2292" s="47">
        <v>3024.7241556777699</v>
      </c>
      <c r="F2292" s="47">
        <v>10737.3308269549</v>
      </c>
    </row>
    <row r="2293" spans="3:6" x14ac:dyDescent="0.25">
      <c r="C2293" s="79"/>
      <c r="D2293" s="79"/>
      <c r="E2293" s="47">
        <v>3044.2033406751002</v>
      </c>
      <c r="F2293" s="47">
        <v>10795.5748046674</v>
      </c>
    </row>
    <row r="2294" spans="3:6" x14ac:dyDescent="0.25">
      <c r="C2294" s="79"/>
      <c r="D2294" s="79"/>
      <c r="E2294" s="47">
        <v>3068.0685123230701</v>
      </c>
      <c r="F2294" s="47">
        <v>10845.8709173595</v>
      </c>
    </row>
    <row r="2295" spans="3:6" x14ac:dyDescent="0.25">
      <c r="C2295" s="79"/>
      <c r="D2295" s="79"/>
      <c r="E2295" s="47">
        <v>3096.7960851248699</v>
      </c>
      <c r="F2295" s="47">
        <v>10890.882081572299</v>
      </c>
    </row>
    <row r="2296" spans="3:6" x14ac:dyDescent="0.25">
      <c r="C2296" s="79"/>
      <c r="D2296" s="79"/>
      <c r="E2296" s="47">
        <v>3130.8507031642798</v>
      </c>
      <c r="F2296" s="47">
        <v>10932.5067262348</v>
      </c>
    </row>
    <row r="2297" spans="3:6" x14ac:dyDescent="0.25">
      <c r="C2297" s="79"/>
      <c r="D2297" s="79">
        <v>1100</v>
      </c>
      <c r="E2297" s="47">
        <v>2977.6301507316002</v>
      </c>
      <c r="F2297" s="47">
        <v>10476.8866464731</v>
      </c>
    </row>
    <row r="2298" spans="3:6" x14ac:dyDescent="0.25">
      <c r="C2298" s="79"/>
      <c r="D2298" s="79"/>
      <c r="E2298" s="47">
        <v>2982.76804183886</v>
      </c>
      <c r="F2298" s="47">
        <v>10747.781689203201</v>
      </c>
    </row>
    <row r="2299" spans="3:6" x14ac:dyDescent="0.25">
      <c r="C2299" s="79"/>
      <c r="D2299" s="79"/>
      <c r="E2299" s="47">
        <v>2989.3416895522701</v>
      </c>
      <c r="F2299" s="47">
        <v>10923.971011555201</v>
      </c>
    </row>
    <row r="2300" spans="3:6" x14ac:dyDescent="0.25">
      <c r="C2300" s="79"/>
      <c r="D2300" s="79"/>
      <c r="E2300" s="47">
        <v>2998.25039067956</v>
      </c>
      <c r="F2300" s="47">
        <v>11049.053844239599</v>
      </c>
    </row>
    <row r="2301" spans="3:6" x14ac:dyDescent="0.25">
      <c r="C2301" s="79"/>
      <c r="D2301" s="79"/>
      <c r="E2301" s="47">
        <v>3010.1150753500801</v>
      </c>
      <c r="F2301" s="47">
        <v>11143.595214302601</v>
      </c>
    </row>
    <row r="2302" spans="3:6" x14ac:dyDescent="0.25">
      <c r="C2302" s="79"/>
      <c r="D2302" s="79"/>
      <c r="E2302" s="47">
        <v>3025.4354056826101</v>
      </c>
      <c r="F2302" s="47">
        <v>11218.695733001399</v>
      </c>
    </row>
    <row r="2303" spans="3:6" x14ac:dyDescent="0.25">
      <c r="C2303" s="79"/>
      <c r="D2303" s="79"/>
      <c r="E2303" s="47">
        <v>3044.7052685717999</v>
      </c>
      <c r="F2303" s="47">
        <v>11280.940443470001</v>
      </c>
    </row>
    <row r="2304" spans="3:6" x14ac:dyDescent="0.25">
      <c r="C2304" s="79"/>
      <c r="D2304" s="79"/>
      <c r="E2304" s="47">
        <v>3068.3924249708698</v>
      </c>
      <c r="F2304" s="47">
        <v>11334.551828375001</v>
      </c>
    </row>
    <row r="2305" spans="3:6" x14ac:dyDescent="0.25">
      <c r="C2305" s="79"/>
      <c r="D2305" s="79"/>
      <c r="E2305" s="47">
        <v>3096.9427804439902</v>
      </c>
      <c r="F2305" s="47">
        <v>11382.4110847219</v>
      </c>
    </row>
    <row r="2306" spans="3:6" x14ac:dyDescent="0.25">
      <c r="C2306" s="79"/>
      <c r="D2306" s="79"/>
      <c r="E2306" s="47">
        <v>3130.8293134190499</v>
      </c>
      <c r="F2306" s="47">
        <v>11426.5163133277</v>
      </c>
    </row>
    <row r="2307" spans="3:6" x14ac:dyDescent="0.25">
      <c r="C2307" s="79"/>
      <c r="D2307" s="79">
        <v>1200</v>
      </c>
      <c r="E2307" s="47">
        <v>2979.2294574658199</v>
      </c>
      <c r="F2307" s="47">
        <v>10916.374580258</v>
      </c>
    </row>
    <row r="2308" spans="3:6" x14ac:dyDescent="0.25">
      <c r="C2308" s="79"/>
      <c r="D2308" s="79"/>
      <c r="E2308" s="47">
        <v>2983.4567971431002</v>
      </c>
      <c r="F2308" s="47">
        <v>11204.989934151001</v>
      </c>
    </row>
    <row r="2309" spans="3:6" x14ac:dyDescent="0.25">
      <c r="C2309" s="79"/>
      <c r="D2309" s="79"/>
      <c r="E2309" s="47">
        <v>2989.4248680237001</v>
      </c>
      <c r="F2309" s="47">
        <v>11392.7328547171</v>
      </c>
    </row>
    <row r="2310" spans="3:6" x14ac:dyDescent="0.25">
      <c r="C2310" s="79"/>
      <c r="D2310" s="79"/>
      <c r="E2310" s="47">
        <v>2997.8890371541002</v>
      </c>
      <c r="F2310" s="47">
        <v>11525.978313703299</v>
      </c>
    </row>
    <row r="2311" spans="3:6" x14ac:dyDescent="0.25">
      <c r="C2311" s="79"/>
      <c r="D2311" s="79"/>
      <c r="E2311" s="47">
        <v>3009.40027580776</v>
      </c>
      <c r="F2311" s="47">
        <v>11626.6687702279</v>
      </c>
    </row>
    <row r="2312" spans="3:6" x14ac:dyDescent="0.25">
      <c r="C2312" s="79"/>
      <c r="D2312" s="79"/>
      <c r="E2312" s="47">
        <v>3024.4595516701602</v>
      </c>
      <c r="F2312" s="47">
        <v>11706.6217569825</v>
      </c>
    </row>
    <row r="2313" spans="3:6" x14ac:dyDescent="0.25">
      <c r="C2313" s="79"/>
      <c r="D2313" s="79"/>
      <c r="E2313" s="47">
        <v>3043.4941942324199</v>
      </c>
      <c r="F2313" s="47">
        <v>11772.8588613271</v>
      </c>
    </row>
    <row r="2314" spans="3:6" x14ac:dyDescent="0.25">
      <c r="C2314" s="79"/>
      <c r="D2314" s="79"/>
      <c r="E2314" s="47">
        <v>3066.9833858314601</v>
      </c>
      <c r="F2314" s="47">
        <v>11829.8283313797</v>
      </c>
    </row>
    <row r="2315" spans="3:6" x14ac:dyDescent="0.25">
      <c r="C2315" s="79"/>
      <c r="D2315" s="79"/>
      <c r="E2315" s="47">
        <v>3095.3731239018498</v>
      </c>
      <c r="F2315" s="47">
        <v>11880.5485198556</v>
      </c>
    </row>
    <row r="2316" spans="3:6" x14ac:dyDescent="0.25">
      <c r="C2316" s="79"/>
      <c r="D2316" s="79"/>
      <c r="E2316" s="47">
        <v>3129.1051684420599</v>
      </c>
      <c r="F2316" s="47">
        <v>11927.1745486777</v>
      </c>
    </row>
    <row r="2317" spans="3:6" x14ac:dyDescent="0.25">
      <c r="C2317" s="79">
        <v>20</v>
      </c>
      <c r="D2317" s="79">
        <v>0</v>
      </c>
      <c r="E2317" s="47">
        <v>2924.43906570233</v>
      </c>
      <c r="F2317" s="47">
        <v>6931.6303578585603</v>
      </c>
    </row>
    <row r="2318" spans="3:6" x14ac:dyDescent="0.25">
      <c r="C2318" s="79"/>
      <c r="D2318" s="79"/>
      <c r="E2318" s="47">
        <v>2924.43906570233</v>
      </c>
      <c r="F2318" s="47">
        <v>6931.6303578585603</v>
      </c>
    </row>
    <row r="2319" spans="3:6" x14ac:dyDescent="0.25">
      <c r="C2319" s="79"/>
      <c r="D2319" s="79"/>
      <c r="E2319" s="47">
        <v>2924.43906570233</v>
      </c>
      <c r="F2319" s="47">
        <v>6931.6303578585603</v>
      </c>
    </row>
    <row r="2320" spans="3:6" x14ac:dyDescent="0.25">
      <c r="C2320" s="79"/>
      <c r="D2320" s="79"/>
      <c r="E2320" s="47">
        <v>2924.43906570233</v>
      </c>
      <c r="F2320" s="47">
        <v>6931.6303578585603</v>
      </c>
    </row>
    <row r="2321" spans="3:6" x14ac:dyDescent="0.25">
      <c r="C2321" s="79"/>
      <c r="D2321" s="79"/>
      <c r="E2321" s="47">
        <v>2924.43906570233</v>
      </c>
      <c r="F2321" s="47">
        <v>6931.6303578585603</v>
      </c>
    </row>
    <row r="2322" spans="3:6" x14ac:dyDescent="0.25">
      <c r="C2322" s="79"/>
      <c r="D2322" s="79"/>
      <c r="E2322" s="47">
        <v>2924.43906570233</v>
      </c>
      <c r="F2322" s="47">
        <v>6931.6303578585603</v>
      </c>
    </row>
    <row r="2323" spans="3:6" x14ac:dyDescent="0.25">
      <c r="C2323" s="79"/>
      <c r="D2323" s="79"/>
      <c r="E2323" s="47">
        <v>2945.4677148565602</v>
      </c>
      <c r="F2323" s="47">
        <v>6959.4099859642001</v>
      </c>
    </row>
    <row r="2324" spans="3:6" x14ac:dyDescent="0.25">
      <c r="C2324" s="79"/>
      <c r="D2324" s="79"/>
      <c r="E2324" s="47">
        <v>2970.72084446896</v>
      </c>
      <c r="F2324" s="47">
        <v>6983.9494250964499</v>
      </c>
    </row>
    <row r="2325" spans="3:6" x14ac:dyDescent="0.25">
      <c r="C2325" s="79"/>
      <c r="D2325" s="79"/>
      <c r="E2325" s="47">
        <v>3000.7484026992502</v>
      </c>
      <c r="F2325" s="47">
        <v>7006.6577831816503</v>
      </c>
    </row>
    <row r="2326" spans="3:6" x14ac:dyDescent="0.25">
      <c r="C2326" s="79"/>
      <c r="D2326" s="79"/>
      <c r="E2326" s="47">
        <v>3036.0679333466401</v>
      </c>
      <c r="F2326" s="47">
        <v>7028.5584987127904</v>
      </c>
    </row>
    <row r="2327" spans="3:6" x14ac:dyDescent="0.25">
      <c r="C2327" s="79"/>
      <c r="D2327" s="79">
        <v>100</v>
      </c>
      <c r="E2327" s="47">
        <v>2915.29434100464</v>
      </c>
      <c r="F2327" s="47">
        <v>7247.8174832324303</v>
      </c>
    </row>
    <row r="2328" spans="3:6" x14ac:dyDescent="0.25">
      <c r="C2328" s="79"/>
      <c r="D2328" s="79"/>
      <c r="E2328" s="47">
        <v>2915.29434100464</v>
      </c>
      <c r="F2328" s="47">
        <v>7247.8174832324303</v>
      </c>
    </row>
    <row r="2329" spans="3:6" x14ac:dyDescent="0.25">
      <c r="C2329" s="79"/>
      <c r="D2329" s="79"/>
      <c r="E2329" s="47">
        <v>2915.29434100464</v>
      </c>
      <c r="F2329" s="47">
        <v>7247.8174832324303</v>
      </c>
    </row>
    <row r="2330" spans="3:6" x14ac:dyDescent="0.25">
      <c r="C2330" s="79"/>
      <c r="D2330" s="79"/>
      <c r="E2330" s="47">
        <v>2915.29434100464</v>
      </c>
      <c r="F2330" s="47">
        <v>7247.8174832324303</v>
      </c>
    </row>
    <row r="2331" spans="3:6" x14ac:dyDescent="0.25">
      <c r="C2331" s="79"/>
      <c r="D2331" s="79"/>
      <c r="E2331" s="47">
        <v>2929.5386299716301</v>
      </c>
      <c r="F2331" s="47">
        <v>7294.0122411825996</v>
      </c>
    </row>
    <row r="2332" spans="3:6" x14ac:dyDescent="0.25">
      <c r="C2332" s="79"/>
      <c r="D2332" s="79"/>
      <c r="E2332" s="47">
        <v>2946.7851664949899</v>
      </c>
      <c r="F2332" s="47">
        <v>7330.8424784357103</v>
      </c>
    </row>
    <row r="2333" spans="3:6" x14ac:dyDescent="0.25">
      <c r="C2333" s="79"/>
      <c r="D2333" s="79"/>
      <c r="E2333" s="47">
        <v>2967.68778531826</v>
      </c>
      <c r="F2333" s="47">
        <v>7361.7376345103503</v>
      </c>
    </row>
    <row r="2334" spans="3:6" x14ac:dyDescent="0.25">
      <c r="C2334" s="79"/>
      <c r="D2334" s="79"/>
      <c r="E2334" s="47">
        <v>2992.8210145848702</v>
      </c>
      <c r="F2334" s="47">
        <v>7388.9160364724103</v>
      </c>
    </row>
    <row r="2335" spans="3:6" x14ac:dyDescent="0.25">
      <c r="C2335" s="79"/>
      <c r="D2335" s="79"/>
      <c r="E2335" s="47">
        <v>3022.7289778802201</v>
      </c>
      <c r="F2335" s="47">
        <v>7413.9157230191204</v>
      </c>
    </row>
    <row r="2336" spans="3:6" x14ac:dyDescent="0.25">
      <c r="C2336" s="79"/>
      <c r="D2336" s="79"/>
      <c r="E2336" s="47">
        <v>3057.9232826969101</v>
      </c>
      <c r="F2336" s="47">
        <v>7437.8465118493004</v>
      </c>
    </row>
    <row r="2337" spans="3:6" x14ac:dyDescent="0.25">
      <c r="C2337" s="79"/>
      <c r="D2337" s="79">
        <v>200</v>
      </c>
      <c r="E2337" s="47">
        <v>2922.9218718372799</v>
      </c>
      <c r="F2337" s="47">
        <v>7581.0920619915796</v>
      </c>
    </row>
    <row r="2338" spans="3:6" x14ac:dyDescent="0.25">
      <c r="C2338" s="79"/>
      <c r="D2338" s="79"/>
      <c r="E2338" s="47">
        <v>2922.9218718372799</v>
      </c>
      <c r="F2338" s="47">
        <v>7581.0920619915796</v>
      </c>
    </row>
    <row r="2339" spans="3:6" x14ac:dyDescent="0.25">
      <c r="C2339" s="79"/>
      <c r="D2339" s="79"/>
      <c r="E2339" s="47">
        <v>2922.9218718372799</v>
      </c>
      <c r="F2339" s="47">
        <v>7581.0920619915796</v>
      </c>
    </row>
    <row r="2340" spans="3:6" x14ac:dyDescent="0.25">
      <c r="C2340" s="79"/>
      <c r="D2340" s="79"/>
      <c r="E2340" s="47">
        <v>2934.6839699901798</v>
      </c>
      <c r="F2340" s="47">
        <v>7648.6872659820001</v>
      </c>
    </row>
    <row r="2341" spans="3:6" x14ac:dyDescent="0.25">
      <c r="C2341" s="79"/>
      <c r="D2341" s="79"/>
      <c r="E2341" s="47">
        <v>2948.7169488352802</v>
      </c>
      <c r="F2341" s="47">
        <v>7699.7051027442503</v>
      </c>
    </row>
    <row r="2342" spans="3:6" x14ac:dyDescent="0.25">
      <c r="C2342" s="79"/>
      <c r="D2342" s="79"/>
      <c r="E2342" s="47">
        <v>2965.7903710192099</v>
      </c>
      <c r="F2342" s="47">
        <v>7740.40349846341</v>
      </c>
    </row>
    <row r="2343" spans="3:6" x14ac:dyDescent="0.25">
      <c r="C2343" s="79"/>
      <c r="D2343" s="79"/>
      <c r="E2343" s="47">
        <v>2986.5427383388801</v>
      </c>
      <c r="F2343" s="47">
        <v>7774.4959700893096</v>
      </c>
    </row>
    <row r="2344" spans="3:6" x14ac:dyDescent="0.25">
      <c r="C2344" s="79"/>
      <c r="D2344" s="79"/>
      <c r="E2344" s="47">
        <v>3011.53895075231</v>
      </c>
      <c r="F2344" s="47">
        <v>7804.4069269626198</v>
      </c>
    </row>
    <row r="2345" spans="3:6" x14ac:dyDescent="0.25">
      <c r="C2345" s="79"/>
      <c r="D2345" s="79"/>
      <c r="E2345" s="47">
        <v>3041.3127320043</v>
      </c>
      <c r="F2345" s="47">
        <v>7831.7935068878496</v>
      </c>
    </row>
    <row r="2346" spans="3:6" x14ac:dyDescent="0.25">
      <c r="C2346" s="79"/>
      <c r="D2346" s="79"/>
      <c r="E2346" s="47">
        <v>3076.3730407699099</v>
      </c>
      <c r="F2346" s="47">
        <v>7857.8557011824296</v>
      </c>
    </row>
    <row r="2347" spans="3:6" x14ac:dyDescent="0.25">
      <c r="C2347" s="79"/>
      <c r="D2347" s="79">
        <v>300</v>
      </c>
      <c r="E2347" s="47">
        <v>2929.42783212108</v>
      </c>
      <c r="F2347" s="47">
        <v>7880.1598595625001</v>
      </c>
    </row>
    <row r="2348" spans="3:6" x14ac:dyDescent="0.25">
      <c r="C2348" s="79"/>
      <c r="D2348" s="79"/>
      <c r="E2348" s="47">
        <v>2929.42783212108</v>
      </c>
      <c r="F2348" s="47">
        <v>7880.1598595625001</v>
      </c>
    </row>
    <row r="2349" spans="3:6" x14ac:dyDescent="0.25">
      <c r="C2349" s="79"/>
      <c r="D2349" s="79"/>
      <c r="E2349" s="47">
        <v>2939.5877301467999</v>
      </c>
      <c r="F2349" s="47">
        <v>7985.2423979581899</v>
      </c>
    </row>
    <row r="2350" spans="3:6" x14ac:dyDescent="0.25">
      <c r="C2350" s="79"/>
      <c r="D2350" s="79"/>
      <c r="E2350" s="47">
        <v>2951.0581462401401</v>
      </c>
      <c r="F2350" s="47">
        <v>8059.5834903174</v>
      </c>
    </row>
    <row r="2351" spans="3:6" x14ac:dyDescent="0.25">
      <c r="C2351" s="79"/>
      <c r="D2351" s="79"/>
      <c r="E2351" s="47">
        <v>2964.8607942217</v>
      </c>
      <c r="F2351" s="47">
        <v>8115.7274533796999</v>
      </c>
    </row>
    <row r="2352" spans="3:6" x14ac:dyDescent="0.25">
      <c r="C2352" s="79"/>
      <c r="D2352" s="79"/>
      <c r="E2352" s="47">
        <v>2981.7426669788701</v>
      </c>
      <c r="F2352" s="47">
        <v>8160.46919685791</v>
      </c>
    </row>
    <row r="2353" spans="3:6" x14ac:dyDescent="0.25">
      <c r="C2353" s="79"/>
      <c r="D2353" s="79"/>
      <c r="E2353" s="47">
        <v>3002.3290578904798</v>
      </c>
      <c r="F2353" s="47">
        <v>8197.8816481220692</v>
      </c>
    </row>
    <row r="2354" spans="3:6" x14ac:dyDescent="0.25">
      <c r="C2354" s="79"/>
      <c r="D2354" s="79"/>
      <c r="E2354" s="47">
        <v>3027.17420206309</v>
      </c>
      <c r="F2354" s="47">
        <v>8230.59347171837</v>
      </c>
    </row>
    <row r="2355" spans="3:6" x14ac:dyDescent="0.25">
      <c r="C2355" s="79"/>
      <c r="D2355" s="79"/>
      <c r="E2355" s="47">
        <v>3056.8057254279802</v>
      </c>
      <c r="F2355" s="47">
        <v>8260.4212353788207</v>
      </c>
    </row>
    <row r="2356" spans="3:6" x14ac:dyDescent="0.25">
      <c r="C2356" s="79"/>
      <c r="D2356" s="79"/>
      <c r="E2356" s="47">
        <v>3091.7222744852802</v>
      </c>
      <c r="F2356" s="47">
        <v>8288.6733420062101</v>
      </c>
    </row>
    <row r="2357" spans="3:6" x14ac:dyDescent="0.25">
      <c r="C2357" s="79"/>
      <c r="D2357" s="79">
        <v>400</v>
      </c>
      <c r="E2357" s="47">
        <v>2933.9274249369</v>
      </c>
      <c r="F2357" s="47">
        <v>8108.17812264242</v>
      </c>
    </row>
    <row r="2358" spans="3:6" x14ac:dyDescent="0.25">
      <c r="C2358" s="79"/>
      <c r="D2358" s="79"/>
      <c r="E2358" s="47">
        <v>2943.7922862792202</v>
      </c>
      <c r="F2358" s="47">
        <v>8284.4378234038104</v>
      </c>
    </row>
    <row r="2359" spans="3:6" x14ac:dyDescent="0.25">
      <c r="C2359" s="79"/>
      <c r="D2359" s="79"/>
      <c r="E2359" s="47">
        <v>2953.47282251657</v>
      </c>
      <c r="F2359" s="47">
        <v>8398.8586651072401</v>
      </c>
    </row>
    <row r="2360" spans="3:6" x14ac:dyDescent="0.25">
      <c r="C2360" s="79"/>
      <c r="D2360" s="79"/>
      <c r="E2360" s="47">
        <v>2964.60633331912</v>
      </c>
      <c r="F2360" s="47">
        <v>8479.9550279364703</v>
      </c>
    </row>
    <row r="2361" spans="3:6" x14ac:dyDescent="0.25">
      <c r="C2361" s="79"/>
      <c r="D2361" s="79"/>
      <c r="E2361" s="47">
        <v>2978.1577732332798</v>
      </c>
      <c r="F2361" s="47">
        <v>8541.2677460308805</v>
      </c>
    </row>
    <row r="2362" spans="3:6" x14ac:dyDescent="0.25">
      <c r="C2362" s="79"/>
      <c r="D2362" s="79"/>
      <c r="E2362" s="47">
        <v>2994.8406919029399</v>
      </c>
      <c r="F2362" s="47">
        <v>8590.1334820901502</v>
      </c>
    </row>
    <row r="2363" spans="3:6" x14ac:dyDescent="0.25">
      <c r="C2363" s="79"/>
      <c r="D2363" s="79"/>
      <c r="E2363" s="47">
        <v>3015.2578319393001</v>
      </c>
      <c r="F2363" s="47">
        <v>8630.9518584061807</v>
      </c>
    </row>
    <row r="2364" spans="3:6" x14ac:dyDescent="0.25">
      <c r="C2364" s="79"/>
      <c r="D2364" s="79"/>
      <c r="E2364" s="47">
        <v>3039.9531905129902</v>
      </c>
      <c r="F2364" s="47">
        <v>8666.6004227230496</v>
      </c>
    </row>
    <row r="2365" spans="3:6" x14ac:dyDescent="0.25">
      <c r="C2365" s="79"/>
      <c r="D2365" s="79"/>
      <c r="E2365" s="47">
        <v>3069.43849936165</v>
      </c>
      <c r="F2365" s="47">
        <v>8698.9785146498598</v>
      </c>
    </row>
    <row r="2366" spans="3:6" x14ac:dyDescent="0.25">
      <c r="C2366" s="79"/>
      <c r="D2366" s="79"/>
      <c r="E2366" s="47">
        <v>3104.2126394510801</v>
      </c>
      <c r="F2366" s="47">
        <v>8729.4675372385609</v>
      </c>
    </row>
    <row r="2367" spans="3:6" x14ac:dyDescent="0.25">
      <c r="C2367" s="79"/>
      <c r="D2367" s="79">
        <v>500</v>
      </c>
      <c r="E2367" s="47">
        <v>2946.4596437498699</v>
      </c>
      <c r="F2367" s="47">
        <v>8504.5802009071995</v>
      </c>
    </row>
    <row r="2368" spans="3:6" x14ac:dyDescent="0.25">
      <c r="C2368" s="79"/>
      <c r="D2368" s="79"/>
      <c r="E2368" s="47">
        <v>2955.6177223004702</v>
      </c>
      <c r="F2368" s="47">
        <v>8696.6678109510704</v>
      </c>
    </row>
    <row r="2369" spans="3:6" x14ac:dyDescent="0.25">
      <c r="C2369" s="79"/>
      <c r="D2369" s="79"/>
      <c r="E2369" s="47">
        <v>2964.8175720811901</v>
      </c>
      <c r="F2369" s="47">
        <v>8821.4408999572697</v>
      </c>
    </row>
    <row r="2370" spans="3:6" x14ac:dyDescent="0.25">
      <c r="C2370" s="79"/>
      <c r="D2370" s="79"/>
      <c r="E2370" s="47">
        <v>2975.5957802159401</v>
      </c>
      <c r="F2370" s="47">
        <v>8909.9155794222097</v>
      </c>
    </row>
    <row r="2371" spans="3:6" x14ac:dyDescent="0.25">
      <c r="C2371" s="79"/>
      <c r="D2371" s="79"/>
      <c r="E2371" s="47">
        <v>2988.8778709091698</v>
      </c>
      <c r="F2371" s="47">
        <v>8976.7689885807995</v>
      </c>
    </row>
    <row r="2372" spans="3:6" x14ac:dyDescent="0.25">
      <c r="C2372" s="79"/>
      <c r="D2372" s="79"/>
      <c r="E2372" s="47">
        <v>3005.3429384210399</v>
      </c>
      <c r="F2372" s="47">
        <v>9030.0123248241507</v>
      </c>
    </row>
    <row r="2373" spans="3:6" x14ac:dyDescent="0.25">
      <c r="C2373" s="79"/>
      <c r="D2373" s="79"/>
      <c r="E2373" s="47">
        <v>3025.5729826177098</v>
      </c>
      <c r="F2373" s="47">
        <v>9074.4269043514105</v>
      </c>
    </row>
    <row r="2374" spans="3:6" x14ac:dyDescent="0.25">
      <c r="C2374" s="79"/>
      <c r="D2374" s="79"/>
      <c r="E2374" s="47">
        <v>3050.1014414240599</v>
      </c>
      <c r="F2374" s="47">
        <v>9113.0596469821703</v>
      </c>
    </row>
    <row r="2375" spans="3:6" x14ac:dyDescent="0.25">
      <c r="C2375" s="79"/>
      <c r="D2375" s="79"/>
      <c r="E2375" s="47">
        <v>3079.43097812408</v>
      </c>
      <c r="F2375" s="47">
        <v>9147.9983114985898</v>
      </c>
    </row>
    <row r="2376" spans="3:6" x14ac:dyDescent="0.25">
      <c r="C2376" s="79"/>
      <c r="D2376" s="79"/>
      <c r="E2376" s="47">
        <v>3114.0539210038</v>
      </c>
      <c r="F2376" s="47">
        <v>9180.7363551281305</v>
      </c>
    </row>
    <row r="2377" spans="3:6" x14ac:dyDescent="0.25">
      <c r="C2377" s="79"/>
      <c r="D2377" s="79">
        <v>600</v>
      </c>
      <c r="E2377" s="47">
        <v>2956.7430627460399</v>
      </c>
      <c r="F2377" s="47">
        <v>8909.6896581990004</v>
      </c>
    </row>
    <row r="2378" spans="3:6" x14ac:dyDescent="0.25">
      <c r="C2378" s="79"/>
      <c r="D2378" s="79"/>
      <c r="E2378" s="47">
        <v>2965.0920059284199</v>
      </c>
      <c r="F2378" s="47">
        <v>9117.2384484069407</v>
      </c>
    </row>
    <row r="2379" spans="3:6" x14ac:dyDescent="0.25">
      <c r="C2379" s="79"/>
      <c r="D2379" s="79"/>
      <c r="E2379" s="47">
        <v>2973.7726225640999</v>
      </c>
      <c r="F2379" s="47">
        <v>9252.1404509141394</v>
      </c>
    </row>
    <row r="2380" spans="3:6" x14ac:dyDescent="0.25">
      <c r="C2380" s="79"/>
      <c r="D2380" s="79"/>
      <c r="E2380" s="47">
        <v>2984.19204081101</v>
      </c>
      <c r="F2380" s="47">
        <v>9347.8833354171202</v>
      </c>
    </row>
    <row r="2381" spans="3:6" x14ac:dyDescent="0.25">
      <c r="C2381" s="79"/>
      <c r="D2381" s="79"/>
      <c r="E2381" s="47">
        <v>2997.1972171882499</v>
      </c>
      <c r="F2381" s="47">
        <v>9420.2982090093392</v>
      </c>
    </row>
    <row r="2382" spans="3:6" x14ac:dyDescent="0.25">
      <c r="C2382" s="79"/>
      <c r="D2382" s="79"/>
      <c r="E2382" s="47">
        <v>3013.4411255117102</v>
      </c>
      <c r="F2382" s="47">
        <v>9477.9859809958598</v>
      </c>
    </row>
    <row r="2383" spans="3:6" x14ac:dyDescent="0.25">
      <c r="C2383" s="79"/>
      <c r="D2383" s="79"/>
      <c r="E2383" s="47">
        <v>3033.4821961080402</v>
      </c>
      <c r="F2383" s="47">
        <v>9526.0442318801597</v>
      </c>
    </row>
    <row r="2384" spans="3:6" x14ac:dyDescent="0.25">
      <c r="C2384" s="79"/>
      <c r="D2384" s="79"/>
      <c r="E2384" s="47">
        <v>3057.8372459309098</v>
      </c>
      <c r="F2384" s="47">
        <v>9567.7573272279406</v>
      </c>
    </row>
    <row r="2385" spans="3:6" x14ac:dyDescent="0.25">
      <c r="C2385" s="79"/>
      <c r="D2385" s="79"/>
      <c r="E2385" s="47">
        <v>3087.0085047911498</v>
      </c>
      <c r="F2385" s="47">
        <v>9605.3802246627201</v>
      </c>
    </row>
    <row r="2386" spans="3:6" x14ac:dyDescent="0.25">
      <c r="C2386" s="79"/>
      <c r="D2386" s="79"/>
      <c r="E2386" s="47">
        <v>3121.47520495245</v>
      </c>
      <c r="F2386" s="47">
        <v>9640.5221845977794</v>
      </c>
    </row>
    <row r="2387" spans="3:6" x14ac:dyDescent="0.25">
      <c r="C2387" s="79"/>
      <c r="D2387" s="79">
        <v>700</v>
      </c>
      <c r="E2387" s="47">
        <v>2964.9112638726301</v>
      </c>
      <c r="F2387" s="47">
        <v>9322.4708467545206</v>
      </c>
    </row>
    <row r="2388" spans="3:6" x14ac:dyDescent="0.25">
      <c r="C2388" s="79"/>
      <c r="D2388" s="79"/>
      <c r="E2388" s="47">
        <v>2972.4557999345898</v>
      </c>
      <c r="F2388" s="47">
        <v>9546.4978588363101</v>
      </c>
    </row>
    <row r="2389" spans="3:6" x14ac:dyDescent="0.25">
      <c r="C2389" s="79"/>
      <c r="D2389" s="79"/>
      <c r="E2389" s="47">
        <v>2980.5814256650701</v>
      </c>
      <c r="F2389" s="47">
        <v>9692.2104285796795</v>
      </c>
    </row>
    <row r="2390" spans="3:6" x14ac:dyDescent="0.25">
      <c r="C2390" s="79"/>
      <c r="D2390" s="79"/>
      <c r="E2390" s="47">
        <v>2990.60775936755</v>
      </c>
      <c r="F2390" s="47">
        <v>9795.6261523881403</v>
      </c>
    </row>
    <row r="2391" spans="3:6" x14ac:dyDescent="0.25">
      <c r="C2391" s="79"/>
      <c r="D2391" s="79"/>
      <c r="E2391" s="47">
        <v>3003.3096991070702</v>
      </c>
      <c r="F2391" s="47">
        <v>9873.8126215590801</v>
      </c>
    </row>
    <row r="2392" spans="3:6" x14ac:dyDescent="0.25">
      <c r="C2392" s="79"/>
      <c r="D2392" s="79"/>
      <c r="E2392" s="47">
        <v>3019.3133254181098</v>
      </c>
      <c r="F2392" s="47">
        <v>9935.9359179084495</v>
      </c>
    </row>
    <row r="2393" spans="3:6" x14ac:dyDescent="0.25">
      <c r="C2393" s="79"/>
      <c r="D2393" s="79"/>
      <c r="E2393" s="47">
        <v>3039.1517403606199</v>
      </c>
      <c r="F2393" s="47">
        <v>9987.6375029797291</v>
      </c>
    </row>
    <row r="2394" spans="3:6" x14ac:dyDescent="0.25">
      <c r="C2394" s="79"/>
      <c r="D2394" s="79"/>
      <c r="E2394" s="47">
        <v>3063.3306493719101</v>
      </c>
      <c r="F2394" s="47">
        <v>10032.4606404236</v>
      </c>
    </row>
    <row r="2395" spans="3:6" x14ac:dyDescent="0.25">
      <c r="C2395" s="79"/>
      <c r="D2395" s="79"/>
      <c r="E2395" s="47">
        <v>3092.3435823652599</v>
      </c>
      <c r="F2395" s="47">
        <v>10072.767607068499</v>
      </c>
    </row>
    <row r="2396" spans="3:6" x14ac:dyDescent="0.25">
      <c r="C2396" s="79"/>
      <c r="D2396" s="79"/>
      <c r="E2396" s="47">
        <v>3126.6601609235599</v>
      </c>
      <c r="F2396" s="47">
        <v>10110.258051053999</v>
      </c>
    </row>
    <row r="2397" spans="3:6" x14ac:dyDescent="0.25">
      <c r="C2397" s="79"/>
      <c r="D2397" s="79">
        <v>800</v>
      </c>
      <c r="E2397" s="47">
        <v>2971.1327530787098</v>
      </c>
      <c r="F2397" s="47">
        <v>9743.5381540145409</v>
      </c>
    </row>
    <row r="2398" spans="3:6" x14ac:dyDescent="0.25">
      <c r="C2398" s="79"/>
      <c r="D2398" s="79"/>
      <c r="E2398" s="47">
        <v>2977.8012542206402</v>
      </c>
      <c r="F2398" s="47">
        <v>9983.92678248841</v>
      </c>
    </row>
    <row r="2399" spans="3:6" x14ac:dyDescent="0.25">
      <c r="C2399" s="79"/>
      <c r="D2399" s="79"/>
      <c r="E2399" s="47">
        <v>2985.3788353569398</v>
      </c>
      <c r="F2399" s="47">
        <v>10140.331871443001</v>
      </c>
    </row>
    <row r="2400" spans="3:6" x14ac:dyDescent="0.25">
      <c r="C2400" s="79"/>
      <c r="D2400" s="79"/>
      <c r="E2400" s="47">
        <v>2995.0095865339999</v>
      </c>
      <c r="F2400" s="47">
        <v>10251.4099821165</v>
      </c>
    </row>
    <row r="2401" spans="3:6" x14ac:dyDescent="0.25">
      <c r="C2401" s="79"/>
      <c r="D2401" s="79"/>
      <c r="E2401" s="47">
        <v>3007.4167440441802</v>
      </c>
      <c r="F2401" s="47">
        <v>10335.432735763199</v>
      </c>
    </row>
    <row r="2402" spans="3:6" x14ac:dyDescent="0.25">
      <c r="C2402" s="79"/>
      <c r="D2402" s="79"/>
      <c r="E2402" s="47">
        <v>3023.1765858875101</v>
      </c>
      <c r="F2402" s="47">
        <v>10402.294051544601</v>
      </c>
    </row>
    <row r="2403" spans="3:6" x14ac:dyDescent="0.25">
      <c r="C2403" s="79"/>
      <c r="D2403" s="79"/>
      <c r="E2403" s="47">
        <v>3042.7992549509499</v>
      </c>
      <c r="F2403" s="47">
        <v>10457.8695990097</v>
      </c>
    </row>
    <row r="2404" spans="3:6" x14ac:dyDescent="0.25">
      <c r="C2404" s="79"/>
      <c r="D2404" s="79"/>
      <c r="E2404" s="47">
        <v>3066.7951843986398</v>
      </c>
      <c r="F2404" s="47">
        <v>10505.8977205843</v>
      </c>
    </row>
    <row r="2405" spans="3:6" x14ac:dyDescent="0.25">
      <c r="C2405" s="79"/>
      <c r="D2405" s="79"/>
      <c r="E2405" s="47">
        <v>3095.6403563502499</v>
      </c>
      <c r="F2405" s="47">
        <v>10548.9441406679</v>
      </c>
    </row>
    <row r="2406" spans="3:6" x14ac:dyDescent="0.25">
      <c r="C2406" s="79"/>
      <c r="D2406" s="79"/>
      <c r="E2406" s="47">
        <v>3129.7957929241702</v>
      </c>
      <c r="F2406" s="47">
        <v>10588.877300723099</v>
      </c>
    </row>
    <row r="2407" spans="3:6" x14ac:dyDescent="0.25">
      <c r="C2407" s="79"/>
      <c r="D2407" s="79">
        <v>900</v>
      </c>
      <c r="E2407" s="47">
        <v>2975.5396645344599</v>
      </c>
      <c r="F2407" s="47">
        <v>10171.0442507523</v>
      </c>
    </row>
    <row r="2408" spans="3:6" x14ac:dyDescent="0.25">
      <c r="C2408" s="79"/>
      <c r="D2408" s="79"/>
      <c r="E2408" s="47">
        <v>2981.3397901345602</v>
      </c>
      <c r="F2408" s="47">
        <v>10429.618772432301</v>
      </c>
    </row>
    <row r="2409" spans="3:6" x14ac:dyDescent="0.25">
      <c r="C2409" s="79"/>
      <c r="D2409" s="79"/>
      <c r="E2409" s="47">
        <v>2988.32134436561</v>
      </c>
      <c r="F2409" s="47">
        <v>10597.629609702601</v>
      </c>
    </row>
    <row r="2410" spans="3:6" x14ac:dyDescent="0.25">
      <c r="C2410" s="79"/>
      <c r="D2410" s="79"/>
      <c r="E2410" s="47">
        <v>2997.5228097444001</v>
      </c>
      <c r="F2410" s="47">
        <v>10716.4648710152</v>
      </c>
    </row>
    <row r="2411" spans="3:6" x14ac:dyDescent="0.25">
      <c r="C2411" s="79"/>
      <c r="D2411" s="79"/>
      <c r="E2411" s="47">
        <v>3009.6047414551899</v>
      </c>
      <c r="F2411" s="47">
        <v>10806.328277198099</v>
      </c>
    </row>
    <row r="2412" spans="3:6" x14ac:dyDescent="0.25">
      <c r="C2412" s="79"/>
      <c r="D2412" s="79"/>
      <c r="E2412" s="47">
        <v>3025.1047705483802</v>
      </c>
      <c r="F2412" s="47">
        <v>10877.7969303766</v>
      </c>
    </row>
    <row r="2413" spans="3:6" x14ac:dyDescent="0.25">
      <c r="C2413" s="79"/>
      <c r="D2413" s="79"/>
      <c r="E2413" s="47">
        <v>3044.53152371953</v>
      </c>
      <c r="F2413" s="47">
        <v>10937.1294594928</v>
      </c>
    </row>
    <row r="2414" spans="3:6" x14ac:dyDescent="0.25">
      <c r="C2414" s="79"/>
      <c r="D2414" s="79"/>
      <c r="E2414" s="47">
        <v>3068.34348359759</v>
      </c>
      <c r="F2414" s="47">
        <v>10988.366638981999</v>
      </c>
    </row>
    <row r="2415" spans="3:6" x14ac:dyDescent="0.25">
      <c r="C2415" s="79"/>
      <c r="D2415" s="79"/>
      <c r="E2415" s="47">
        <v>3097.0177863591498</v>
      </c>
      <c r="F2415" s="47">
        <v>11034.191624991599</v>
      </c>
    </row>
    <row r="2416" spans="3:6" x14ac:dyDescent="0.25">
      <c r="C2416" s="79"/>
      <c r="D2416" s="79"/>
      <c r="E2416" s="47">
        <v>3131.0219048537301</v>
      </c>
      <c r="F2416" s="47">
        <v>11076.535734523301</v>
      </c>
    </row>
    <row r="2417" spans="3:6" x14ac:dyDescent="0.25">
      <c r="C2417" s="79"/>
      <c r="D2417" s="79">
        <v>1000</v>
      </c>
      <c r="E2417" s="47">
        <v>2978.2549445621498</v>
      </c>
      <c r="F2417" s="47">
        <v>10605.025398965199</v>
      </c>
    </row>
    <row r="2418" spans="3:6" x14ac:dyDescent="0.25">
      <c r="C2418" s="79"/>
      <c r="D2418" s="79"/>
      <c r="E2418" s="47">
        <v>2983.1236764978498</v>
      </c>
      <c r="F2418" s="47">
        <v>10881.0556111102</v>
      </c>
    </row>
    <row r="2419" spans="3:6" x14ac:dyDescent="0.25">
      <c r="C2419" s="79"/>
      <c r="D2419" s="79"/>
      <c r="E2419" s="47">
        <v>2989.52576962081</v>
      </c>
      <c r="F2419" s="47">
        <v>11060.6284370097</v>
      </c>
    </row>
    <row r="2420" spans="3:6" x14ac:dyDescent="0.25">
      <c r="C2420" s="79"/>
      <c r="D2420" s="79"/>
      <c r="E2420" s="47">
        <v>2998.3186228501299</v>
      </c>
      <c r="F2420" s="47">
        <v>11188.1041288245</v>
      </c>
    </row>
    <row r="2421" spans="3:6" x14ac:dyDescent="0.25">
      <c r="C2421" s="79"/>
      <c r="D2421" s="79"/>
      <c r="E2421" s="47">
        <v>3010.0828223564999</v>
      </c>
      <c r="F2421" s="47">
        <v>11284.4516151649</v>
      </c>
    </row>
    <row r="2422" spans="3:6" x14ac:dyDescent="0.25">
      <c r="C2422" s="79"/>
      <c r="D2422" s="79"/>
      <c r="E2422" s="47">
        <v>3025.32897135746</v>
      </c>
      <c r="F2422" s="47">
        <v>11360.9711747893</v>
      </c>
    </row>
    <row r="2423" spans="3:6" x14ac:dyDescent="0.25">
      <c r="C2423" s="79"/>
      <c r="D2423" s="79"/>
      <c r="E2423" s="47">
        <v>3044.5239075857298</v>
      </c>
      <c r="F2423" s="47">
        <v>11424.3884952893</v>
      </c>
    </row>
    <row r="2424" spans="3:6" x14ac:dyDescent="0.25">
      <c r="C2424" s="79"/>
      <c r="D2424" s="79"/>
      <c r="E2424" s="47">
        <v>3068.1425026359102</v>
      </c>
      <c r="F2424" s="47">
        <v>11478.9784264887</v>
      </c>
    </row>
    <row r="2425" spans="3:6" x14ac:dyDescent="0.25">
      <c r="C2425" s="79"/>
      <c r="D2425" s="79"/>
      <c r="E2425" s="47">
        <v>3096.6458045478098</v>
      </c>
      <c r="F2425" s="47">
        <v>11527.659832788</v>
      </c>
    </row>
    <row r="2426" spans="3:6" x14ac:dyDescent="0.25">
      <c r="C2426" s="79"/>
      <c r="D2426" s="79"/>
      <c r="E2426" s="47">
        <v>3130.4802773455999</v>
      </c>
      <c r="F2426" s="47">
        <v>11572.512571649901</v>
      </c>
    </row>
    <row r="2427" spans="3:6" x14ac:dyDescent="0.25">
      <c r="C2427" s="79"/>
      <c r="D2427" s="79">
        <v>1100</v>
      </c>
      <c r="E2427" s="47">
        <v>2979.4157148536401</v>
      </c>
      <c r="F2427" s="47">
        <v>11045.9109229148</v>
      </c>
    </row>
    <row r="2428" spans="3:6" x14ac:dyDescent="0.25">
      <c r="C2428" s="79"/>
      <c r="D2428" s="79"/>
      <c r="E2428" s="47">
        <v>2983.3755603167801</v>
      </c>
      <c r="F2428" s="47">
        <v>11340.6784709162</v>
      </c>
    </row>
    <row r="2429" spans="3:6" x14ac:dyDescent="0.25">
      <c r="C2429" s="79"/>
      <c r="D2429" s="79"/>
      <c r="E2429" s="47">
        <v>2989.1398714895699</v>
      </c>
      <c r="F2429" s="47">
        <v>11531.798946049301</v>
      </c>
    </row>
    <row r="2430" spans="3:6" x14ac:dyDescent="0.25">
      <c r="C2430" s="79"/>
      <c r="D2430" s="79"/>
      <c r="E2430" s="47">
        <v>2997.4742115398899</v>
      </c>
      <c r="F2430" s="47">
        <v>11667.4757708364</v>
      </c>
    </row>
    <row r="2431" spans="3:6" x14ac:dyDescent="0.25">
      <c r="C2431" s="79"/>
      <c r="D2431" s="79"/>
      <c r="E2431" s="47">
        <v>3008.8927125892901</v>
      </c>
      <c r="F2431" s="47">
        <v>11769.9830157177</v>
      </c>
    </row>
    <row r="2432" spans="3:6" x14ac:dyDescent="0.25">
      <c r="C2432" s="79"/>
      <c r="D2432" s="79"/>
      <c r="E2432" s="47">
        <v>3023.8704515106801</v>
      </c>
      <c r="F2432" s="47">
        <v>11851.370587388101</v>
      </c>
    </row>
    <row r="2433" spans="3:6" x14ac:dyDescent="0.25">
      <c r="C2433" s="79"/>
      <c r="D2433" s="79"/>
      <c r="E2433" s="47">
        <v>3042.8576510111898</v>
      </c>
      <c r="F2433" s="47">
        <v>11918.7615124041</v>
      </c>
    </row>
    <row r="2434" spans="3:6" x14ac:dyDescent="0.25">
      <c r="C2434" s="79"/>
      <c r="D2434" s="79"/>
      <c r="E2434" s="47">
        <v>3066.2827298407601</v>
      </c>
      <c r="F2434" s="47">
        <v>11976.71527787</v>
      </c>
    </row>
    <row r="2435" spans="3:6" x14ac:dyDescent="0.25">
      <c r="C2435" s="79"/>
      <c r="D2435" s="79"/>
      <c r="E2435" s="47">
        <v>3094.6150482316302</v>
      </c>
      <c r="F2435" s="47">
        <v>12028.2837142883</v>
      </c>
    </row>
    <row r="2436" spans="3:6" x14ac:dyDescent="0.25">
      <c r="C2436" s="79"/>
      <c r="D2436" s="79"/>
      <c r="E2436" s="47">
        <v>3128.3043448571002</v>
      </c>
      <c r="F2436" s="47">
        <v>12075.635299996</v>
      </c>
    </row>
    <row r="2437" spans="3:6" x14ac:dyDescent="0.25">
      <c r="C2437" s="79"/>
      <c r="D2437" s="79">
        <v>1200</v>
      </c>
      <c r="E2437" s="47">
        <v>2979.13937251486</v>
      </c>
      <c r="F2437" s="47">
        <v>11492.2191502971</v>
      </c>
    </row>
    <row r="2438" spans="3:6" x14ac:dyDescent="0.25">
      <c r="C2438" s="79"/>
      <c r="D2438" s="79"/>
      <c r="E2438" s="47">
        <v>2982.0919554769898</v>
      </c>
      <c r="F2438" s="47">
        <v>11805.717346560201</v>
      </c>
    </row>
    <row r="2439" spans="3:6" x14ac:dyDescent="0.25">
      <c r="C2439" s="79"/>
      <c r="D2439" s="79"/>
      <c r="E2439" s="47">
        <v>2987.2434118832098</v>
      </c>
      <c r="F2439" s="47">
        <v>12009.585818707999</v>
      </c>
    </row>
    <row r="2440" spans="3:6" x14ac:dyDescent="0.25">
      <c r="C2440" s="79"/>
      <c r="D2440" s="79"/>
      <c r="E2440" s="47">
        <v>2995.14442447594</v>
      </c>
      <c r="F2440" s="47">
        <v>12154.225297503999</v>
      </c>
    </row>
    <row r="2441" spans="3:6" x14ac:dyDescent="0.25">
      <c r="C2441" s="79"/>
      <c r="D2441" s="79"/>
      <c r="E2441" s="47">
        <v>3006.2339197463598</v>
      </c>
      <c r="F2441" s="47">
        <v>12263.4236312383</v>
      </c>
    </row>
    <row r="2442" spans="3:6" x14ac:dyDescent="0.25">
      <c r="C2442" s="79"/>
      <c r="D2442" s="79"/>
      <c r="E2442" s="47">
        <v>3020.93536217985</v>
      </c>
      <c r="F2442" s="47">
        <v>12350.0057798866</v>
      </c>
    </row>
    <row r="2443" spans="3:6" x14ac:dyDescent="0.25">
      <c r="C2443" s="79"/>
      <c r="D2443" s="79"/>
      <c r="E2443" s="47">
        <v>3039.69483553896</v>
      </c>
      <c r="F2443" s="47">
        <v>12421.442815766501</v>
      </c>
    </row>
    <row r="2444" spans="3:6" x14ac:dyDescent="0.25">
      <c r="C2444" s="79"/>
      <c r="D2444" s="79"/>
      <c r="E2444" s="47">
        <v>3062.93667718302</v>
      </c>
      <c r="F2444" s="47">
        <v>12482.6921883214</v>
      </c>
    </row>
    <row r="2445" spans="3:6" x14ac:dyDescent="0.25">
      <c r="C2445" s="79"/>
      <c r="D2445" s="79"/>
      <c r="E2445" s="47">
        <v>3091.07862718758</v>
      </c>
      <c r="F2445" s="47">
        <v>12537.1086659834</v>
      </c>
    </row>
    <row r="2446" spans="3:6" x14ac:dyDescent="0.25">
      <c r="C2446" s="79"/>
      <c r="D2446" s="79"/>
      <c r="E2446" s="47">
        <v>3124.59243931024</v>
      </c>
      <c r="F2446" s="47">
        <v>12586.957198977199</v>
      </c>
    </row>
    <row r="2447" spans="3:6" x14ac:dyDescent="0.25">
      <c r="C2447" s="79">
        <v>25</v>
      </c>
      <c r="D2447" s="79">
        <v>0</v>
      </c>
      <c r="E2447" s="47">
        <v>2952.6984234694901</v>
      </c>
      <c r="F2447" s="47">
        <v>7449.8139803439999</v>
      </c>
    </row>
    <row r="2448" spans="3:6" x14ac:dyDescent="0.25">
      <c r="C2448" s="79"/>
      <c r="D2448" s="79"/>
      <c r="E2448" s="47">
        <v>2952.6984234694901</v>
      </c>
      <c r="F2448" s="47">
        <v>7449.8139803439999</v>
      </c>
    </row>
    <row r="2449" spans="3:6" x14ac:dyDescent="0.25">
      <c r="C2449" s="79"/>
      <c r="D2449" s="79"/>
      <c r="E2449" s="47">
        <v>2952.6984234694901</v>
      </c>
      <c r="F2449" s="47">
        <v>7449.8139803439999</v>
      </c>
    </row>
    <row r="2450" spans="3:6" x14ac:dyDescent="0.25">
      <c r="C2450" s="79"/>
      <c r="D2450" s="79"/>
      <c r="E2450" s="47">
        <v>2952.6984234694901</v>
      </c>
      <c r="F2450" s="47">
        <v>7449.8139803439999</v>
      </c>
    </row>
    <row r="2451" spans="3:6" x14ac:dyDescent="0.25">
      <c r="C2451" s="79"/>
      <c r="D2451" s="79"/>
      <c r="E2451" s="47">
        <v>2952.6984234694901</v>
      </c>
      <c r="F2451" s="47">
        <v>7449.8139803439999</v>
      </c>
    </row>
    <row r="2452" spans="3:6" x14ac:dyDescent="0.25">
      <c r="C2452" s="79"/>
      <c r="D2452" s="79"/>
      <c r="E2452" s="47">
        <v>2952.6984234694901</v>
      </c>
      <c r="F2452" s="47">
        <v>7449.8139803439999</v>
      </c>
    </row>
    <row r="2453" spans="3:6" x14ac:dyDescent="0.25">
      <c r="C2453" s="79"/>
      <c r="D2453" s="79"/>
      <c r="E2453" s="47">
        <v>2973.55430700434</v>
      </c>
      <c r="F2453" s="47">
        <v>7481.6054405221503</v>
      </c>
    </row>
    <row r="2454" spans="3:6" x14ac:dyDescent="0.25">
      <c r="C2454" s="79"/>
      <c r="D2454" s="79"/>
      <c r="E2454" s="47">
        <v>2998.6465434850302</v>
      </c>
      <c r="F2454" s="47">
        <v>7509.5792271896498</v>
      </c>
    </row>
    <row r="2455" spans="3:6" x14ac:dyDescent="0.25">
      <c r="C2455" s="79"/>
      <c r="D2455" s="79"/>
      <c r="E2455" s="47">
        <v>3028.5139180337701</v>
      </c>
      <c r="F2455" s="47">
        <v>7535.2935195577502</v>
      </c>
    </row>
    <row r="2456" spans="3:6" x14ac:dyDescent="0.25">
      <c r="C2456" s="79"/>
      <c r="D2456" s="79"/>
      <c r="E2456" s="47">
        <v>3063.6696740709499</v>
      </c>
      <c r="F2456" s="47">
        <v>7559.8674835596403</v>
      </c>
    </row>
    <row r="2457" spans="3:6" x14ac:dyDescent="0.25">
      <c r="C2457" s="79"/>
      <c r="D2457" s="79">
        <v>100</v>
      </c>
      <c r="E2457" s="47">
        <v>2939.7998453786399</v>
      </c>
      <c r="F2457" s="47">
        <v>7768.4871672216595</v>
      </c>
    </row>
    <row r="2458" spans="3:6" x14ac:dyDescent="0.25">
      <c r="C2458" s="79"/>
      <c r="D2458" s="79"/>
      <c r="E2458" s="47">
        <v>2939.7998453786399</v>
      </c>
      <c r="F2458" s="47">
        <v>7768.4871672216595</v>
      </c>
    </row>
    <row r="2459" spans="3:6" x14ac:dyDescent="0.25">
      <c r="C2459" s="79"/>
      <c r="D2459" s="79"/>
      <c r="E2459" s="47">
        <v>2939.7998453786399</v>
      </c>
      <c r="F2459" s="47">
        <v>7768.4871672216595</v>
      </c>
    </row>
    <row r="2460" spans="3:6" x14ac:dyDescent="0.25">
      <c r="C2460" s="79"/>
      <c r="D2460" s="79"/>
      <c r="E2460" s="47">
        <v>2939.7998453786399</v>
      </c>
      <c r="F2460" s="47">
        <v>7768.4871672216595</v>
      </c>
    </row>
    <row r="2461" spans="3:6" x14ac:dyDescent="0.25">
      <c r="C2461" s="79"/>
      <c r="D2461" s="79"/>
      <c r="E2461" s="47">
        <v>2953.76497965204</v>
      </c>
      <c r="F2461" s="47">
        <v>7820.9251410524703</v>
      </c>
    </row>
    <row r="2462" spans="3:6" x14ac:dyDescent="0.25">
      <c r="C2462" s="79"/>
      <c r="D2462" s="79"/>
      <c r="E2462" s="47">
        <v>2970.7842112101198</v>
      </c>
      <c r="F2462" s="47">
        <v>7862.7280569080303</v>
      </c>
    </row>
    <row r="2463" spans="3:6" x14ac:dyDescent="0.25">
      <c r="C2463" s="79"/>
      <c r="D2463" s="79"/>
      <c r="E2463" s="47">
        <v>2991.48813434058</v>
      </c>
      <c r="F2463" s="47">
        <v>7897.7622416561098</v>
      </c>
    </row>
    <row r="2464" spans="3:6" x14ac:dyDescent="0.25">
      <c r="C2464" s="79"/>
      <c r="D2464" s="79"/>
      <c r="E2464" s="47">
        <v>3016.4453313274498</v>
      </c>
      <c r="F2464" s="47">
        <v>7928.4832659068998</v>
      </c>
    </row>
    <row r="2465" spans="3:6" x14ac:dyDescent="0.25">
      <c r="C2465" s="79"/>
      <c r="D2465" s="79"/>
      <c r="E2465" s="47">
        <v>3046.1788275826798</v>
      </c>
      <c r="F2465" s="47">
        <v>7956.5823358179796</v>
      </c>
    </row>
    <row r="2466" spans="3:6" x14ac:dyDescent="0.25">
      <c r="C2466" s="79"/>
      <c r="D2466" s="79"/>
      <c r="E2466" s="47">
        <v>3081.1979048028102</v>
      </c>
      <c r="F2466" s="47">
        <v>7983.2786938629297</v>
      </c>
    </row>
    <row r="2467" spans="3:6" x14ac:dyDescent="0.25">
      <c r="C2467" s="79"/>
      <c r="D2467" s="79">
        <v>200</v>
      </c>
      <c r="E2467" s="47">
        <v>2943.9404325144401</v>
      </c>
      <c r="F2467" s="47">
        <v>8105.4653154603802</v>
      </c>
    </row>
    <row r="2468" spans="3:6" x14ac:dyDescent="0.25">
      <c r="C2468" s="79"/>
      <c r="D2468" s="79"/>
      <c r="E2468" s="47">
        <v>2943.9404325144401</v>
      </c>
      <c r="F2468" s="47">
        <v>8105.4653154603802</v>
      </c>
    </row>
    <row r="2469" spans="3:6" x14ac:dyDescent="0.25">
      <c r="C2469" s="79"/>
      <c r="D2469" s="79"/>
      <c r="E2469" s="47">
        <v>2943.9404325144401</v>
      </c>
      <c r="F2469" s="47">
        <v>8105.4653154603802</v>
      </c>
    </row>
    <row r="2470" spans="3:6" x14ac:dyDescent="0.25">
      <c r="C2470" s="79"/>
      <c r="D2470" s="79"/>
      <c r="E2470" s="47">
        <v>2955.3061811330299</v>
      </c>
      <c r="F2470" s="47">
        <v>8181.7969094806804</v>
      </c>
    </row>
    <row r="2471" spans="3:6" x14ac:dyDescent="0.25">
      <c r="C2471" s="79"/>
      <c r="D2471" s="79"/>
      <c r="E2471" s="47">
        <v>2969.03172571301</v>
      </c>
      <c r="F2471" s="47">
        <v>8239.4437579723599</v>
      </c>
    </row>
    <row r="2472" spans="3:6" x14ac:dyDescent="0.25">
      <c r="C2472" s="79"/>
      <c r="D2472" s="79"/>
      <c r="E2472" s="47">
        <v>2985.8581376183702</v>
      </c>
      <c r="F2472" s="47">
        <v>8285.3929323047705</v>
      </c>
    </row>
    <row r="2473" spans="3:6" x14ac:dyDescent="0.25">
      <c r="C2473" s="79"/>
      <c r="D2473" s="79"/>
      <c r="E2473" s="47">
        <v>3006.3964761519901</v>
      </c>
      <c r="F2473" s="47">
        <v>8323.8205601014397</v>
      </c>
    </row>
    <row r="2474" spans="3:6" x14ac:dyDescent="0.25">
      <c r="C2474" s="79"/>
      <c r="D2474" s="79"/>
      <c r="E2474" s="47">
        <v>3031.2019362249198</v>
      </c>
      <c r="F2474" s="47">
        <v>8357.3998496622007</v>
      </c>
    </row>
    <row r="2475" spans="3:6" x14ac:dyDescent="0.25">
      <c r="C2475" s="79"/>
      <c r="D2475" s="79"/>
      <c r="E2475" s="47">
        <v>3060.7912309834301</v>
      </c>
      <c r="F2475" s="47">
        <v>8387.9695037642596</v>
      </c>
    </row>
    <row r="2476" spans="3:6" x14ac:dyDescent="0.25">
      <c r="C2476" s="79"/>
      <c r="D2476" s="79"/>
      <c r="E2476" s="47">
        <v>3095.6662557108498</v>
      </c>
      <c r="F2476" s="47">
        <v>8416.8528823172001</v>
      </c>
    </row>
    <row r="2477" spans="3:6" x14ac:dyDescent="0.25">
      <c r="C2477" s="79"/>
      <c r="D2477" s="79">
        <v>300</v>
      </c>
      <c r="E2477" s="47">
        <v>2947.5268459594599</v>
      </c>
      <c r="F2477" s="47">
        <v>8405.0461450717903</v>
      </c>
    </row>
    <row r="2478" spans="3:6" x14ac:dyDescent="0.25">
      <c r="C2478" s="79"/>
      <c r="D2478" s="79"/>
      <c r="E2478" s="47">
        <v>2947.5268459594599</v>
      </c>
      <c r="F2478" s="47">
        <v>8405.0461450717903</v>
      </c>
    </row>
    <row r="2479" spans="3:6" x14ac:dyDescent="0.25">
      <c r="C2479" s="79"/>
      <c r="D2479" s="79"/>
      <c r="E2479" s="47">
        <v>2957.0652031721202</v>
      </c>
      <c r="F2479" s="47">
        <v>8522.2407727713398</v>
      </c>
    </row>
    <row r="2480" spans="3:6" x14ac:dyDescent="0.25">
      <c r="C2480" s="79"/>
      <c r="D2480" s="79"/>
      <c r="E2480" s="47">
        <v>2968.0968939887698</v>
      </c>
      <c r="F2480" s="47">
        <v>8605.3191692615892</v>
      </c>
    </row>
    <row r="2481" spans="3:6" x14ac:dyDescent="0.25">
      <c r="C2481" s="79"/>
      <c r="D2481" s="79"/>
      <c r="E2481" s="47">
        <v>2981.5729653582298</v>
      </c>
      <c r="F2481" s="47">
        <v>8668.1491433620904</v>
      </c>
    </row>
    <row r="2482" spans="3:6" x14ac:dyDescent="0.25">
      <c r="C2482" s="79"/>
      <c r="D2482" s="79"/>
      <c r="E2482" s="47">
        <v>2998.1930828149002</v>
      </c>
      <c r="F2482" s="47">
        <v>8718.24535554869</v>
      </c>
    </row>
    <row r="2483" spans="3:6" x14ac:dyDescent="0.25">
      <c r="C2483" s="79"/>
      <c r="D2483" s="79"/>
      <c r="E2483" s="47">
        <v>3018.5586593919302</v>
      </c>
      <c r="F2483" s="47">
        <v>8760.0846442571001</v>
      </c>
    </row>
    <row r="2484" spans="3:6" x14ac:dyDescent="0.25">
      <c r="C2484" s="79"/>
      <c r="D2484" s="79"/>
      <c r="E2484" s="47">
        <v>3043.1985007366502</v>
      </c>
      <c r="F2484" s="47">
        <v>8796.5576734191709</v>
      </c>
    </row>
    <row r="2485" spans="3:6" x14ac:dyDescent="0.25">
      <c r="C2485" s="79"/>
      <c r="D2485" s="79"/>
      <c r="E2485" s="47">
        <v>3072.6352063520599</v>
      </c>
      <c r="F2485" s="47">
        <v>8829.65183851035</v>
      </c>
    </row>
    <row r="2486" spans="3:6" x14ac:dyDescent="0.25">
      <c r="C2486" s="79"/>
      <c r="D2486" s="79"/>
      <c r="E2486" s="47">
        <v>3107.3617398291199</v>
      </c>
      <c r="F2486" s="47">
        <v>8860.8159171811803</v>
      </c>
    </row>
    <row r="2487" spans="3:6" x14ac:dyDescent="0.25">
      <c r="C2487" s="79"/>
      <c r="D2487" s="79">
        <v>400</v>
      </c>
      <c r="E2487" s="47">
        <v>2949.7067952360499</v>
      </c>
      <c r="F2487" s="47">
        <v>8622.4719449717395</v>
      </c>
    </row>
    <row r="2488" spans="3:6" x14ac:dyDescent="0.25">
      <c r="C2488" s="79"/>
      <c r="D2488" s="79"/>
      <c r="E2488" s="47">
        <v>2958.63020196466</v>
      </c>
      <c r="F2488" s="47">
        <v>8819.0480455277902</v>
      </c>
    </row>
    <row r="2489" spans="3:6" x14ac:dyDescent="0.25">
      <c r="C2489" s="79"/>
      <c r="D2489" s="79"/>
      <c r="E2489" s="47">
        <v>2967.6693438033799</v>
      </c>
      <c r="F2489" s="47">
        <v>8946.7767291062792</v>
      </c>
    </row>
    <row r="2490" spans="3:6" x14ac:dyDescent="0.25">
      <c r="C2490" s="79"/>
      <c r="D2490" s="79"/>
      <c r="E2490" s="47">
        <v>2978.3471959150802</v>
      </c>
      <c r="F2490" s="47">
        <v>9037.3701449416803</v>
      </c>
    </row>
    <row r="2491" spans="3:6" x14ac:dyDescent="0.25">
      <c r="C2491" s="79"/>
      <c r="D2491" s="79"/>
      <c r="E2491" s="47">
        <v>2991.5510220790702</v>
      </c>
      <c r="F2491" s="47">
        <v>9105.8616573442996</v>
      </c>
    </row>
    <row r="2492" spans="3:6" x14ac:dyDescent="0.25">
      <c r="C2492" s="79"/>
      <c r="D2492" s="79"/>
      <c r="E2492" s="47">
        <v>3007.9507663910199</v>
      </c>
      <c r="F2492" s="47">
        <v>9160.3913640970095</v>
      </c>
    </row>
    <row r="2493" spans="3:6" x14ac:dyDescent="0.25">
      <c r="C2493" s="79"/>
      <c r="D2493" s="79"/>
      <c r="E2493" s="47">
        <v>3028.12985716086</v>
      </c>
      <c r="F2493" s="47">
        <v>9205.8438474157301</v>
      </c>
    </row>
    <row r="2494" spans="3:6" x14ac:dyDescent="0.25">
      <c r="C2494" s="79"/>
      <c r="D2494" s="79"/>
      <c r="E2494" s="47">
        <v>3052.6081478364499</v>
      </c>
      <c r="F2494" s="47">
        <v>9245.3919240717205</v>
      </c>
    </row>
    <row r="2495" spans="3:6" x14ac:dyDescent="0.25">
      <c r="C2495" s="79"/>
      <c r="D2495" s="79"/>
      <c r="E2495" s="47">
        <v>3081.8922358933701</v>
      </c>
      <c r="F2495" s="47">
        <v>9281.1306654952405</v>
      </c>
    </row>
    <row r="2496" spans="3:6" x14ac:dyDescent="0.25">
      <c r="C2496" s="79"/>
      <c r="D2496" s="79"/>
      <c r="E2496" s="47">
        <v>3116.4720538153101</v>
      </c>
      <c r="F2496" s="47">
        <v>9314.5810139594705</v>
      </c>
    </row>
    <row r="2497" spans="3:6" x14ac:dyDescent="0.25">
      <c r="C2497" s="79"/>
      <c r="D2497" s="79">
        <v>500</v>
      </c>
      <c r="E2497" s="47">
        <v>2959.3520113087202</v>
      </c>
      <c r="F2497" s="47">
        <v>9030.2161827830205</v>
      </c>
    </row>
    <row r="2498" spans="3:6" x14ac:dyDescent="0.25">
      <c r="C2498" s="79"/>
      <c r="D2498" s="79"/>
      <c r="E2498" s="47">
        <v>2967.4677535071801</v>
      </c>
      <c r="F2498" s="47">
        <v>9242.42723674441</v>
      </c>
    </row>
    <row r="2499" spans="3:6" x14ac:dyDescent="0.25">
      <c r="C2499" s="79"/>
      <c r="D2499" s="79"/>
      <c r="E2499" s="47">
        <v>2975.9954638067402</v>
      </c>
      <c r="F2499" s="47">
        <v>9380.3680558015003</v>
      </c>
    </row>
    <row r="2500" spans="3:6" x14ac:dyDescent="0.25">
      <c r="C2500" s="79"/>
      <c r="D2500" s="79"/>
      <c r="E2500" s="47">
        <v>2986.3024360419599</v>
      </c>
      <c r="F2500" s="47">
        <v>9478.2702941349107</v>
      </c>
    </row>
    <row r="2501" spans="3:6" x14ac:dyDescent="0.25">
      <c r="C2501" s="79"/>
      <c r="D2501" s="79"/>
      <c r="E2501" s="47">
        <v>2999.2190439050901</v>
      </c>
      <c r="F2501" s="47">
        <v>9552.3268053679403</v>
      </c>
    </row>
    <row r="2502" spans="3:6" x14ac:dyDescent="0.25">
      <c r="C2502" s="79"/>
      <c r="D2502" s="79"/>
      <c r="E2502" s="47">
        <v>3015.3864708589199</v>
      </c>
      <c r="F2502" s="47">
        <v>9611.3048035187603</v>
      </c>
    </row>
    <row r="2503" spans="3:6" x14ac:dyDescent="0.25">
      <c r="C2503" s="79"/>
      <c r="D2503" s="79"/>
      <c r="E2503" s="47">
        <v>3035.3600857872102</v>
      </c>
      <c r="F2503" s="47">
        <v>9660.4437198698506</v>
      </c>
    </row>
    <row r="2504" spans="3:6" x14ac:dyDescent="0.25">
      <c r="C2504" s="79"/>
      <c r="D2504" s="79"/>
      <c r="E2504" s="47">
        <v>3059.66274088921</v>
      </c>
      <c r="F2504" s="47">
        <v>9703.0778382976405</v>
      </c>
    </row>
    <row r="2505" spans="3:6" x14ac:dyDescent="0.25">
      <c r="C2505" s="79"/>
      <c r="D2505" s="79"/>
      <c r="E2505" s="47">
        <v>3088.7875006225199</v>
      </c>
      <c r="F2505" s="47">
        <v>9741.4771710396108</v>
      </c>
    </row>
    <row r="2506" spans="3:6" x14ac:dyDescent="0.25">
      <c r="C2506" s="79"/>
      <c r="D2506" s="79"/>
      <c r="E2506" s="47">
        <v>3123.2142598241599</v>
      </c>
      <c r="F2506" s="47">
        <v>9777.2810613987895</v>
      </c>
    </row>
    <row r="2507" spans="3:6" x14ac:dyDescent="0.25">
      <c r="C2507" s="79"/>
      <c r="D2507" s="79">
        <v>600</v>
      </c>
      <c r="E2507" s="47">
        <v>2966.9392317739098</v>
      </c>
      <c r="F2507" s="47">
        <v>9445.0946460004507</v>
      </c>
    </row>
    <row r="2508" spans="3:6" x14ac:dyDescent="0.25">
      <c r="C2508" s="79"/>
      <c r="D2508" s="79"/>
      <c r="E2508" s="47">
        <v>2974.2144397440902</v>
      </c>
      <c r="F2508" s="47">
        <v>9673.8989675860103</v>
      </c>
    </row>
    <row r="2509" spans="3:6" x14ac:dyDescent="0.25">
      <c r="C2509" s="79"/>
      <c r="D2509" s="79"/>
      <c r="E2509" s="47">
        <v>2982.1834421610201</v>
      </c>
      <c r="F2509" s="47">
        <v>9822.7112947000005</v>
      </c>
    </row>
    <row r="2510" spans="3:6" x14ac:dyDescent="0.25">
      <c r="C2510" s="79"/>
      <c r="D2510" s="79"/>
      <c r="E2510" s="47">
        <v>2992.09626809875</v>
      </c>
      <c r="F2510" s="47">
        <v>9928.3671854159802</v>
      </c>
    </row>
    <row r="2511" spans="3:6" x14ac:dyDescent="0.25">
      <c r="C2511" s="79"/>
      <c r="D2511" s="79"/>
      <c r="E2511" s="47">
        <v>3004.7141388118298</v>
      </c>
      <c r="F2511" s="47">
        <v>10008.2730886929</v>
      </c>
    </row>
    <row r="2512" spans="3:6" x14ac:dyDescent="0.25">
      <c r="C2512" s="79"/>
      <c r="D2512" s="79"/>
      <c r="E2512" s="47">
        <v>3020.6468764381598</v>
      </c>
      <c r="F2512" s="47">
        <v>10071.851093404401</v>
      </c>
    </row>
    <row r="2513" spans="3:6" x14ac:dyDescent="0.25">
      <c r="C2513" s="79"/>
      <c r="D2513" s="79"/>
      <c r="E2513" s="47">
        <v>3040.4262489318198</v>
      </c>
      <c r="F2513" s="47">
        <v>10124.7259467204</v>
      </c>
    </row>
    <row r="2514" spans="3:6" x14ac:dyDescent="0.25">
      <c r="C2514" s="79"/>
      <c r="D2514" s="79"/>
      <c r="E2514" s="47">
        <v>3064.5590370876198</v>
      </c>
      <c r="F2514" s="47">
        <v>10170.4953809818</v>
      </c>
    </row>
    <row r="2515" spans="3:6" x14ac:dyDescent="0.25">
      <c r="C2515" s="79"/>
      <c r="D2515" s="79"/>
      <c r="E2515" s="47">
        <v>3093.5213204318202</v>
      </c>
      <c r="F2515" s="47">
        <v>10211.638461643301</v>
      </c>
    </row>
    <row r="2516" spans="3:6" x14ac:dyDescent="0.25">
      <c r="C2516" s="79"/>
      <c r="D2516" s="79"/>
      <c r="E2516" s="47">
        <v>3127.7938915751201</v>
      </c>
      <c r="F2516" s="47">
        <v>10249.857607124901</v>
      </c>
    </row>
    <row r="2517" spans="3:6" x14ac:dyDescent="0.25">
      <c r="C2517" s="79"/>
      <c r="D2517" s="79">
        <v>700</v>
      </c>
      <c r="E2517" s="47">
        <v>2972.6049457112399</v>
      </c>
      <c r="F2517" s="47">
        <v>9868.6938999287304</v>
      </c>
    </row>
    <row r="2518" spans="3:6" x14ac:dyDescent="0.25">
      <c r="C2518" s="79"/>
      <c r="D2518" s="79"/>
      <c r="E2518" s="47">
        <v>2979.02199113301</v>
      </c>
      <c r="F2518" s="47">
        <v>10113.9464411464</v>
      </c>
    </row>
    <row r="2519" spans="3:6" x14ac:dyDescent="0.25">
      <c r="C2519" s="79"/>
      <c r="D2519" s="79"/>
      <c r="E2519" s="47">
        <v>2986.4349464433199</v>
      </c>
      <c r="F2519" s="47">
        <v>10273.556632646199</v>
      </c>
    </row>
    <row r="2520" spans="3:6" x14ac:dyDescent="0.25">
      <c r="C2520" s="79"/>
      <c r="D2520" s="79"/>
      <c r="E2520" s="47">
        <v>2995.9510361741</v>
      </c>
      <c r="F2520" s="47">
        <v>10386.897858750001</v>
      </c>
    </row>
    <row r="2521" spans="3:6" x14ac:dyDescent="0.25">
      <c r="C2521" s="79"/>
      <c r="D2521" s="79"/>
      <c r="E2521" s="47">
        <v>3008.2472134382601</v>
      </c>
      <c r="F2521" s="47">
        <v>10472.634428187401</v>
      </c>
    </row>
    <row r="2522" spans="3:6" x14ac:dyDescent="0.25">
      <c r="C2522" s="79"/>
      <c r="D2522" s="79"/>
      <c r="E2522" s="47">
        <v>3023.9273069076198</v>
      </c>
      <c r="F2522" s="47">
        <v>10540.8266556293</v>
      </c>
    </row>
    <row r="2523" spans="3:6" x14ac:dyDescent="0.25">
      <c r="C2523" s="79"/>
      <c r="D2523" s="79"/>
      <c r="E2523" s="47">
        <v>3043.4921648264499</v>
      </c>
      <c r="F2523" s="47">
        <v>10597.505739899399</v>
      </c>
    </row>
    <row r="2524" spans="3:6" x14ac:dyDescent="0.25">
      <c r="C2524" s="79"/>
      <c r="D2524" s="79"/>
      <c r="E2524" s="47">
        <v>3067.4291045127302</v>
      </c>
      <c r="F2524" s="47">
        <v>10646.487939365201</v>
      </c>
    </row>
    <row r="2525" spans="3:6" x14ac:dyDescent="0.25">
      <c r="C2525" s="79"/>
      <c r="D2525" s="79"/>
      <c r="E2525" s="47">
        <v>3096.2241922415201</v>
      </c>
      <c r="F2525" s="47">
        <v>10690.366275435599</v>
      </c>
    </row>
    <row r="2526" spans="3:6" x14ac:dyDescent="0.25">
      <c r="C2526" s="79"/>
      <c r="D2526" s="79"/>
      <c r="E2526" s="47">
        <v>3130.3416275834402</v>
      </c>
      <c r="F2526" s="47">
        <v>10730.9893218445</v>
      </c>
    </row>
    <row r="2527" spans="3:6" x14ac:dyDescent="0.25">
      <c r="C2527" s="79"/>
      <c r="D2527" s="79">
        <v>800</v>
      </c>
      <c r="E2527" s="47">
        <v>2976.5095876764499</v>
      </c>
      <c r="F2527" s="47">
        <v>10297.5293217609</v>
      </c>
    </row>
    <row r="2528" spans="3:6" x14ac:dyDescent="0.25">
      <c r="C2528" s="79"/>
      <c r="D2528" s="79"/>
      <c r="E2528" s="47">
        <v>2982.03100550918</v>
      </c>
      <c r="F2528" s="47">
        <v>10561.2097981638</v>
      </c>
    </row>
    <row r="2529" spans="3:6" x14ac:dyDescent="0.25">
      <c r="C2529" s="79"/>
      <c r="D2529" s="79"/>
      <c r="E2529" s="47">
        <v>2988.8432092238199</v>
      </c>
      <c r="F2529" s="47">
        <v>10732.697321469401</v>
      </c>
    </row>
    <row r="2530" spans="3:6" x14ac:dyDescent="0.25">
      <c r="C2530" s="79"/>
      <c r="D2530" s="79"/>
      <c r="E2530" s="47">
        <v>2997.92374902964</v>
      </c>
      <c r="F2530" s="47">
        <v>10854.4308678543</v>
      </c>
    </row>
    <row r="2531" spans="3:6" x14ac:dyDescent="0.25">
      <c r="C2531" s="79"/>
      <c r="D2531" s="79"/>
      <c r="E2531" s="47">
        <v>3009.9212160172801</v>
      </c>
      <c r="F2531" s="47">
        <v>10946.2157537522</v>
      </c>
    </row>
    <row r="2532" spans="3:6" x14ac:dyDescent="0.25">
      <c r="C2532" s="79"/>
      <c r="D2532" s="79"/>
      <c r="E2532" s="47">
        <v>3025.3440221307601</v>
      </c>
      <c r="F2532" s="47">
        <v>11019.0475323705</v>
      </c>
    </row>
    <row r="2533" spans="3:6" x14ac:dyDescent="0.25">
      <c r="C2533" s="79"/>
      <c r="D2533" s="79"/>
      <c r="E2533" s="47">
        <v>3044.7016606420002</v>
      </c>
      <c r="F2533" s="47">
        <v>11079.4989829596</v>
      </c>
    </row>
    <row r="2534" spans="3:6" x14ac:dyDescent="0.25">
      <c r="C2534" s="79"/>
      <c r="D2534" s="79"/>
      <c r="E2534" s="47">
        <v>3068.4679055154702</v>
      </c>
      <c r="F2534" s="47">
        <v>11131.644997278299</v>
      </c>
    </row>
    <row r="2535" spans="3:6" x14ac:dyDescent="0.25">
      <c r="C2535" s="79"/>
      <c r="D2535" s="79"/>
      <c r="E2535" s="47">
        <v>3097.0947391446998</v>
      </c>
      <c r="F2535" s="47">
        <v>11178.280519788001</v>
      </c>
    </row>
    <row r="2536" spans="3:6" x14ac:dyDescent="0.25">
      <c r="C2536" s="79"/>
      <c r="D2536" s="79"/>
      <c r="E2536" s="47">
        <v>3131.0506252036298</v>
      </c>
      <c r="F2536" s="47">
        <v>11221.341379387</v>
      </c>
    </row>
    <row r="2537" spans="3:6" x14ac:dyDescent="0.25">
      <c r="C2537" s="79"/>
      <c r="D2537" s="79">
        <v>900</v>
      </c>
      <c r="E2537" s="47">
        <v>2978.7499630943698</v>
      </c>
      <c r="F2537" s="47">
        <v>10733.8590779481</v>
      </c>
    </row>
    <row r="2538" spans="3:6" x14ac:dyDescent="0.25">
      <c r="C2538" s="79"/>
      <c r="D2538" s="79"/>
      <c r="E2538" s="47">
        <v>2983.3534680975599</v>
      </c>
      <c r="F2538" s="47">
        <v>11015.044519786001</v>
      </c>
    </row>
    <row r="2539" spans="3:6" x14ac:dyDescent="0.25">
      <c r="C2539" s="79"/>
      <c r="D2539" s="79"/>
      <c r="E2539" s="47">
        <v>2989.58287961731</v>
      </c>
      <c r="F2539" s="47">
        <v>11198.014910566801</v>
      </c>
    </row>
    <row r="2540" spans="3:6" x14ac:dyDescent="0.25">
      <c r="C2540" s="79"/>
      <c r="D2540" s="79"/>
      <c r="E2540" s="47">
        <v>2998.2498865929701</v>
      </c>
      <c r="F2540" s="47">
        <v>11327.8787770044</v>
      </c>
    </row>
    <row r="2541" spans="3:6" x14ac:dyDescent="0.25">
      <c r="C2541" s="79"/>
      <c r="D2541" s="79"/>
      <c r="E2541" s="47">
        <v>3009.9028599846702</v>
      </c>
      <c r="F2541" s="47">
        <v>11426.0173881108</v>
      </c>
    </row>
    <row r="2542" spans="3:6" x14ac:dyDescent="0.25">
      <c r="C2542" s="79"/>
      <c r="D2542" s="79"/>
      <c r="E2542" s="47">
        <v>3025.0613711634201</v>
      </c>
      <c r="F2542" s="47">
        <v>11503.9585700548</v>
      </c>
    </row>
    <row r="2543" spans="3:6" x14ac:dyDescent="0.25">
      <c r="C2543" s="79"/>
      <c r="D2543" s="79"/>
      <c r="E2543" s="47">
        <v>3044.18805000884</v>
      </c>
      <c r="F2543" s="47">
        <v>11568.552334087201</v>
      </c>
    </row>
    <row r="2544" spans="3:6" x14ac:dyDescent="0.25">
      <c r="C2544" s="79"/>
      <c r="D2544" s="79"/>
      <c r="E2544" s="47">
        <v>3067.7511027874002</v>
      </c>
      <c r="F2544" s="47">
        <v>11624.1437969463</v>
      </c>
    </row>
    <row r="2545" spans="3:6" x14ac:dyDescent="0.25">
      <c r="C2545" s="79"/>
      <c r="D2545" s="79"/>
      <c r="E2545" s="47">
        <v>3096.2089200514802</v>
      </c>
      <c r="F2545" s="47">
        <v>11673.665395489699</v>
      </c>
    </row>
    <row r="2546" spans="3:6" x14ac:dyDescent="0.25">
      <c r="C2546" s="79"/>
      <c r="D2546" s="79"/>
      <c r="E2546" s="47">
        <v>3130.0052812613299</v>
      </c>
      <c r="F2546" s="47">
        <v>11719.2347588537</v>
      </c>
    </row>
    <row r="2547" spans="3:6" x14ac:dyDescent="0.25">
      <c r="C2547" s="79"/>
      <c r="D2547" s="79">
        <v>1000</v>
      </c>
      <c r="E2547" s="47">
        <v>2979.4878302963298</v>
      </c>
      <c r="F2547" s="47">
        <v>11176.101003546901</v>
      </c>
    </row>
    <row r="2548" spans="3:6" x14ac:dyDescent="0.25">
      <c r="C2548" s="79"/>
      <c r="D2548" s="79"/>
      <c r="E2548" s="47">
        <v>2983.1432239485598</v>
      </c>
      <c r="F2548" s="47">
        <v>11476.5906571084</v>
      </c>
    </row>
    <row r="2549" spans="3:6" x14ac:dyDescent="0.25">
      <c r="C2549" s="79"/>
      <c r="D2549" s="79"/>
      <c r="E2549" s="47">
        <v>2988.7274234453398</v>
      </c>
      <c r="F2549" s="47">
        <v>11671.566745772599</v>
      </c>
    </row>
    <row r="2550" spans="3:6" x14ac:dyDescent="0.25">
      <c r="C2550" s="79"/>
      <c r="D2550" s="79"/>
      <c r="E2550" s="47">
        <v>2996.9319675249999</v>
      </c>
      <c r="F2550" s="47">
        <v>11809.681426109</v>
      </c>
    </row>
    <row r="2551" spans="3:6" x14ac:dyDescent="0.25">
      <c r="C2551" s="79"/>
      <c r="D2551" s="79"/>
      <c r="E2551" s="47">
        <v>3008.2699945939898</v>
      </c>
      <c r="F2551" s="47">
        <v>11914.014248233299</v>
      </c>
    </row>
    <row r="2552" spans="3:6" x14ac:dyDescent="0.25">
      <c r="C2552" s="79"/>
      <c r="D2552" s="79"/>
      <c r="E2552" s="47">
        <v>3023.1581409855398</v>
      </c>
      <c r="F2552" s="47">
        <v>11996.835749006599</v>
      </c>
    </row>
    <row r="2553" spans="3:6" x14ac:dyDescent="0.25">
      <c r="C2553" s="79"/>
      <c r="D2553" s="79"/>
      <c r="E2553" s="47">
        <v>3042.0765975311801</v>
      </c>
      <c r="F2553" s="47">
        <v>12065.3929869719</v>
      </c>
    </row>
    <row r="2554" spans="3:6" x14ac:dyDescent="0.25">
      <c r="C2554" s="79"/>
      <c r="D2554" s="79"/>
      <c r="E2554" s="47">
        <v>3065.4568033635501</v>
      </c>
      <c r="F2554" s="47">
        <v>12124.314409647501</v>
      </c>
    </row>
    <row r="2555" spans="3:6" x14ac:dyDescent="0.25">
      <c r="C2555" s="79"/>
      <c r="D2555" s="79"/>
      <c r="E2555" s="47">
        <v>3093.7383135770501</v>
      </c>
      <c r="F2555" s="47">
        <v>12176.7271118717</v>
      </c>
    </row>
    <row r="2556" spans="3:6" x14ac:dyDescent="0.25">
      <c r="C2556" s="79"/>
      <c r="D2556" s="79"/>
      <c r="E2556" s="47">
        <v>3127.3754284073598</v>
      </c>
      <c r="F2556" s="47">
        <v>12224.815997892199</v>
      </c>
    </row>
    <row r="2557" spans="3:6" x14ac:dyDescent="0.25">
      <c r="C2557" s="79"/>
      <c r="D2557" s="79">
        <v>1100</v>
      </c>
      <c r="E2557" s="47">
        <v>2978.7807830501902</v>
      </c>
      <c r="F2557" s="47">
        <v>11624.4986247534</v>
      </c>
    </row>
    <row r="2558" spans="3:6" x14ac:dyDescent="0.25">
      <c r="C2558" s="79"/>
      <c r="D2558" s="79"/>
      <c r="E2558" s="47">
        <v>2981.46760840249</v>
      </c>
      <c r="F2558" s="47">
        <v>11943.4585649817</v>
      </c>
    </row>
    <row r="2559" spans="3:6" x14ac:dyDescent="0.25">
      <c r="C2559" s="79"/>
      <c r="D2559" s="79"/>
      <c r="E2559" s="47">
        <v>2986.4334129672802</v>
      </c>
      <c r="F2559" s="47">
        <v>12150.8868486839</v>
      </c>
    </row>
    <row r="2560" spans="3:6" x14ac:dyDescent="0.25">
      <c r="C2560" s="79"/>
      <c r="D2560" s="79"/>
      <c r="E2560" s="47">
        <v>2994.2021568359801</v>
      </c>
      <c r="F2560" s="47">
        <v>12298.0123627885</v>
      </c>
    </row>
    <row r="2561" spans="3:6" x14ac:dyDescent="0.25">
      <c r="C2561" s="79"/>
      <c r="D2561" s="79"/>
      <c r="E2561" s="47">
        <v>3005.1832641902001</v>
      </c>
      <c r="F2561" s="47">
        <v>12409.0823160362</v>
      </c>
    </row>
    <row r="2562" spans="3:6" x14ac:dyDescent="0.25">
      <c r="C2562" s="79"/>
      <c r="D2562" s="79"/>
      <c r="E2562" s="47">
        <v>3019.8076181139199</v>
      </c>
      <c r="F2562" s="47">
        <v>12497.156179805899</v>
      </c>
    </row>
    <row r="2563" spans="3:6" x14ac:dyDescent="0.25">
      <c r="C2563" s="79"/>
      <c r="D2563" s="79"/>
      <c r="E2563" s="47">
        <v>3038.47391773248</v>
      </c>
      <c r="F2563" s="47">
        <v>12569.9487479451</v>
      </c>
    </row>
    <row r="2564" spans="3:6" x14ac:dyDescent="0.25">
      <c r="C2564" s="79"/>
      <c r="D2564" s="79"/>
      <c r="E2564" s="47">
        <v>3061.64611426888</v>
      </c>
      <c r="F2564" s="47">
        <v>12632.355329665501</v>
      </c>
    </row>
    <row r="2565" spans="3:6" x14ac:dyDescent="0.25">
      <c r="C2565" s="79"/>
      <c r="D2565" s="79"/>
      <c r="E2565" s="47">
        <v>3089.7530709719999</v>
      </c>
      <c r="F2565" s="47">
        <v>12687.7093041101</v>
      </c>
    </row>
    <row r="2566" spans="3:6" x14ac:dyDescent="0.25">
      <c r="C2566" s="79"/>
      <c r="D2566" s="79"/>
      <c r="E2566" s="47">
        <v>3123.2182314503002</v>
      </c>
      <c r="F2566" s="47">
        <v>12738.374096370901</v>
      </c>
    </row>
    <row r="2567" spans="3:6" x14ac:dyDescent="0.25">
      <c r="C2567" s="79"/>
      <c r="D2567" s="79">
        <v>1200</v>
      </c>
      <c r="E2567" s="47">
        <v>2976.77012476032</v>
      </c>
      <c r="F2567" s="47">
        <v>12079.1258285889</v>
      </c>
    </row>
    <row r="2568" spans="3:6" x14ac:dyDescent="0.25">
      <c r="C2568" s="79"/>
      <c r="D2568" s="79"/>
      <c r="E2568" s="47">
        <v>2978.4710370532098</v>
      </c>
      <c r="F2568" s="47">
        <v>12417.693847022199</v>
      </c>
    </row>
    <row r="2569" spans="3:6" x14ac:dyDescent="0.25">
      <c r="C2569" s="79"/>
      <c r="D2569" s="79"/>
      <c r="E2569" s="47">
        <v>2982.76084750272</v>
      </c>
      <c r="F2569" s="47">
        <v>12637.2314742083</v>
      </c>
    </row>
    <row r="2570" spans="3:6" x14ac:dyDescent="0.25">
      <c r="C2570" s="79"/>
      <c r="D2570" s="79"/>
      <c r="E2570" s="47">
        <v>2990.0439121634299</v>
      </c>
      <c r="F2570" s="47">
        <v>12792.9917689086</v>
      </c>
    </row>
    <row r="2571" spans="3:6" x14ac:dyDescent="0.25">
      <c r="C2571" s="79"/>
      <c r="D2571" s="79"/>
      <c r="E2571" s="47">
        <v>3000.6713239545802</v>
      </c>
      <c r="F2571" s="47">
        <v>12910.531913680699</v>
      </c>
    </row>
    <row r="2572" spans="3:6" x14ac:dyDescent="0.25">
      <c r="C2572" s="79"/>
      <c r="D2572" s="79"/>
      <c r="E2572" s="47">
        <v>3015.0090905341899</v>
      </c>
      <c r="F2572" s="47">
        <v>13003.686706860901</v>
      </c>
    </row>
    <row r="2573" spans="3:6" x14ac:dyDescent="0.25">
      <c r="C2573" s="79"/>
      <c r="D2573" s="79"/>
      <c r="E2573" s="47">
        <v>3033.47165020086</v>
      </c>
      <c r="F2573" s="47">
        <v>13080.609221684699</v>
      </c>
    </row>
    <row r="2574" spans="3:6" x14ac:dyDescent="0.25">
      <c r="C2574" s="79"/>
      <c r="D2574" s="79"/>
      <c r="E2574" s="47">
        <v>3033.47165020086</v>
      </c>
      <c r="F2574" s="47">
        <v>13080.609221684699</v>
      </c>
    </row>
    <row r="2575" spans="3:6" x14ac:dyDescent="0.25">
      <c r="C2575" s="79"/>
      <c r="D2575" s="79"/>
      <c r="E2575" s="47">
        <v>3033.47165020086</v>
      </c>
      <c r="F2575" s="47">
        <v>13080.609221684699</v>
      </c>
    </row>
    <row r="2576" spans="3:6" x14ac:dyDescent="0.25">
      <c r="C2576" s="79"/>
      <c r="D2576" s="79"/>
      <c r="E2576" s="47">
        <v>3033.47165020086</v>
      </c>
      <c r="F2576" s="47">
        <v>13080.609221684699</v>
      </c>
    </row>
    <row r="2577" spans="3:6" x14ac:dyDescent="0.25">
      <c r="C2577" s="79">
        <v>30</v>
      </c>
      <c r="D2577" s="79">
        <v>0</v>
      </c>
      <c r="E2577" s="47">
        <v>2975.5271523884498</v>
      </c>
      <c r="F2577" s="47">
        <v>7986.0779397633096</v>
      </c>
    </row>
    <row r="2578" spans="3:6" x14ac:dyDescent="0.25">
      <c r="C2578" s="79"/>
      <c r="D2578" s="79"/>
      <c r="E2578" s="47">
        <v>2975.5271523884498</v>
      </c>
      <c r="F2578" s="47">
        <v>7986.0779397633096</v>
      </c>
    </row>
    <row r="2579" spans="3:6" x14ac:dyDescent="0.25">
      <c r="C2579" s="79"/>
      <c r="D2579" s="79"/>
      <c r="E2579" s="47">
        <v>2975.5271523884498</v>
      </c>
      <c r="F2579" s="47">
        <v>7986.0779397633096</v>
      </c>
    </row>
    <row r="2580" spans="3:6" x14ac:dyDescent="0.25">
      <c r="C2580" s="79"/>
      <c r="D2580" s="79"/>
      <c r="E2580" s="47">
        <v>2975.5271523884498</v>
      </c>
      <c r="F2580" s="47">
        <v>7986.0779397633096</v>
      </c>
    </row>
    <row r="2581" spans="3:6" x14ac:dyDescent="0.25">
      <c r="C2581" s="79"/>
      <c r="D2581" s="79"/>
      <c r="E2581" s="47">
        <v>2975.5271523884498</v>
      </c>
      <c r="F2581" s="47">
        <v>7986.0779397633096</v>
      </c>
    </row>
    <row r="2582" spans="3:6" x14ac:dyDescent="0.25">
      <c r="C2582" s="79"/>
      <c r="D2582" s="79"/>
      <c r="E2582" s="47">
        <v>2975.5271523884498</v>
      </c>
      <c r="F2582" s="47">
        <v>7986.0779397633096</v>
      </c>
    </row>
    <row r="2583" spans="3:6" x14ac:dyDescent="0.25">
      <c r="C2583" s="79"/>
      <c r="D2583" s="79"/>
      <c r="E2583" s="47">
        <v>2996.1843246437602</v>
      </c>
      <c r="F2583" s="47">
        <v>8022.0282773900699</v>
      </c>
    </row>
    <row r="2584" spans="3:6" x14ac:dyDescent="0.25">
      <c r="C2584" s="79"/>
      <c r="D2584" s="79"/>
      <c r="E2584" s="47">
        <v>3021.0937977357398</v>
      </c>
      <c r="F2584" s="47">
        <v>8053.5183262288701</v>
      </c>
    </row>
    <row r="2585" spans="3:6" x14ac:dyDescent="0.25">
      <c r="C2585" s="79"/>
      <c r="D2585" s="79"/>
      <c r="E2585" s="47">
        <v>3050.78746090707</v>
      </c>
      <c r="F2585" s="47">
        <v>8082.3150495587297</v>
      </c>
    </row>
    <row r="2586" spans="3:6" x14ac:dyDescent="0.25">
      <c r="C2586" s="79"/>
      <c r="D2586" s="79"/>
      <c r="E2586" s="47">
        <v>3085.7614305687098</v>
      </c>
      <c r="F2586" s="47">
        <v>8109.6516836743403</v>
      </c>
    </row>
    <row r="2587" spans="3:6" x14ac:dyDescent="0.25">
      <c r="C2587" s="79"/>
      <c r="D2587" s="79">
        <v>100</v>
      </c>
      <c r="E2587" s="47">
        <v>2959.3203862507798</v>
      </c>
      <c r="F2587" s="47">
        <v>8304.9254332220607</v>
      </c>
    </row>
    <row r="2588" spans="3:6" x14ac:dyDescent="0.25">
      <c r="C2588" s="79"/>
      <c r="D2588" s="79"/>
      <c r="E2588" s="47">
        <v>2959.3203862507798</v>
      </c>
      <c r="F2588" s="47">
        <v>8304.9254332220607</v>
      </c>
    </row>
    <row r="2589" spans="3:6" x14ac:dyDescent="0.25">
      <c r="C2589" s="79"/>
      <c r="D2589" s="79"/>
      <c r="E2589" s="47">
        <v>2959.3203862507798</v>
      </c>
      <c r="F2589" s="47">
        <v>8304.9254332220607</v>
      </c>
    </row>
    <row r="2590" spans="3:6" x14ac:dyDescent="0.25">
      <c r="C2590" s="79"/>
      <c r="D2590" s="79"/>
      <c r="E2590" s="47">
        <v>2959.3203862507798</v>
      </c>
      <c r="F2590" s="47">
        <v>8304.9254332220607</v>
      </c>
    </row>
    <row r="2591" spans="3:6" x14ac:dyDescent="0.25">
      <c r="C2591" s="79"/>
      <c r="D2591" s="79"/>
      <c r="E2591" s="47">
        <v>2972.9795637592101</v>
      </c>
      <c r="F2591" s="47">
        <v>8364.1091058220209</v>
      </c>
    </row>
    <row r="2592" spans="3:6" x14ac:dyDescent="0.25">
      <c r="C2592" s="79"/>
      <c r="D2592" s="79"/>
      <c r="E2592" s="47">
        <v>2989.7464007759399</v>
      </c>
      <c r="F2592" s="47">
        <v>8411.2732181977099</v>
      </c>
    </row>
    <row r="2593" spans="3:6" x14ac:dyDescent="0.25">
      <c r="C2593" s="79"/>
      <c r="D2593" s="79"/>
      <c r="E2593" s="47">
        <v>3010.2364338290599</v>
      </c>
      <c r="F2593" s="47">
        <v>8450.6780377166506</v>
      </c>
    </row>
    <row r="2594" spans="3:6" x14ac:dyDescent="0.25">
      <c r="C2594" s="79"/>
      <c r="D2594" s="79"/>
      <c r="E2594" s="47">
        <v>3034.99466011494</v>
      </c>
      <c r="F2594" s="47">
        <v>8485.1164899722498</v>
      </c>
    </row>
    <row r="2595" spans="3:6" x14ac:dyDescent="0.25">
      <c r="C2595" s="79"/>
      <c r="D2595" s="79"/>
      <c r="E2595" s="47">
        <v>3064.5416891421901</v>
      </c>
      <c r="F2595" s="47">
        <v>8516.4356292825196</v>
      </c>
    </row>
    <row r="2596" spans="3:6" x14ac:dyDescent="0.25">
      <c r="C2596" s="79"/>
      <c r="D2596" s="79"/>
      <c r="E2596" s="47">
        <v>3099.3762684199201</v>
      </c>
      <c r="F2596" s="47">
        <v>8545.9870617474207</v>
      </c>
    </row>
    <row r="2597" spans="3:6" x14ac:dyDescent="0.25">
      <c r="C2597" s="79"/>
      <c r="D2597" s="79">
        <v>200</v>
      </c>
      <c r="E2597" s="47">
        <v>2960.4455499032201</v>
      </c>
      <c r="F2597" s="47">
        <v>8646.3465924949196</v>
      </c>
    </row>
    <row r="2598" spans="3:6" x14ac:dyDescent="0.25">
      <c r="C2598" s="79"/>
      <c r="D2598" s="79"/>
      <c r="E2598" s="47">
        <v>2960.4455499032201</v>
      </c>
      <c r="F2598" s="47">
        <v>8646.3465924949196</v>
      </c>
    </row>
    <row r="2599" spans="3:6" x14ac:dyDescent="0.25">
      <c r="C2599" s="79"/>
      <c r="D2599" s="79"/>
      <c r="E2599" s="47">
        <v>2960.4455499032201</v>
      </c>
      <c r="F2599" s="47">
        <v>8646.3465924949196</v>
      </c>
    </row>
    <row r="2600" spans="3:6" x14ac:dyDescent="0.25">
      <c r="C2600" s="79"/>
      <c r="D2600" s="79"/>
      <c r="E2600" s="47">
        <v>2971.3776314051202</v>
      </c>
      <c r="F2600" s="47">
        <v>8731.6307408052908</v>
      </c>
    </row>
    <row r="2601" spans="3:6" x14ac:dyDescent="0.25">
      <c r="C2601" s="79"/>
      <c r="D2601" s="79"/>
      <c r="E2601" s="47">
        <v>2984.76791035309</v>
      </c>
      <c r="F2601" s="47">
        <v>8795.9779514081893</v>
      </c>
    </row>
    <row r="2602" spans="3:6" x14ac:dyDescent="0.25">
      <c r="C2602" s="79"/>
      <c r="D2602" s="79"/>
      <c r="E2602" s="47">
        <v>3001.3178106627402</v>
      </c>
      <c r="F2602" s="47">
        <v>8847.27892185376</v>
      </c>
    </row>
    <row r="2603" spans="3:6" x14ac:dyDescent="0.25">
      <c r="C2603" s="79"/>
      <c r="D2603" s="79"/>
      <c r="E2603" s="47">
        <v>3021.62007285973</v>
      </c>
      <c r="F2603" s="47">
        <v>8890.1331509821593</v>
      </c>
    </row>
    <row r="2604" spans="3:6" x14ac:dyDescent="0.25">
      <c r="C2604" s="79"/>
      <c r="D2604" s="79"/>
      <c r="E2604" s="47">
        <v>3046.2121999675801</v>
      </c>
      <c r="F2604" s="47">
        <v>8927.4748809906305</v>
      </c>
    </row>
    <row r="2605" spans="3:6" x14ac:dyDescent="0.25">
      <c r="C2605" s="79"/>
      <c r="D2605" s="79"/>
      <c r="E2605" s="47">
        <v>3075.6048671684098</v>
      </c>
      <c r="F2605" s="47">
        <v>8961.3167940054991</v>
      </c>
    </row>
    <row r="2606" spans="3:6" x14ac:dyDescent="0.25">
      <c r="C2606" s="79"/>
      <c r="D2606" s="79"/>
      <c r="E2606" s="47">
        <v>3110.2902233172799</v>
      </c>
      <c r="F2606" s="47">
        <v>8993.1079370528296</v>
      </c>
    </row>
    <row r="2607" spans="3:6" x14ac:dyDescent="0.25">
      <c r="C2607" s="79"/>
      <c r="D2607" s="79">
        <v>300</v>
      </c>
      <c r="E2607" s="47">
        <v>2952.7667664523001</v>
      </c>
      <c r="F2607" s="47">
        <v>8741.1445864323305</v>
      </c>
    </row>
    <row r="2608" spans="3:6" x14ac:dyDescent="0.25">
      <c r="C2608" s="79"/>
      <c r="D2608" s="79"/>
      <c r="E2608" s="47">
        <v>2961.4397533634701</v>
      </c>
      <c r="F2608" s="47">
        <v>8942.26275409952</v>
      </c>
    </row>
    <row r="2609" spans="3:6" x14ac:dyDescent="0.25">
      <c r="C2609" s="79"/>
      <c r="D2609" s="79"/>
      <c r="E2609" s="47">
        <v>2970.3349977139201</v>
      </c>
      <c r="F2609" s="47">
        <v>9072.9602261620093</v>
      </c>
    </row>
    <row r="2610" spans="3:6" x14ac:dyDescent="0.25">
      <c r="C2610" s="79"/>
      <c r="D2610" s="79"/>
      <c r="E2610" s="47">
        <v>2980.9053171517899</v>
      </c>
      <c r="F2610" s="47">
        <v>9165.6772503950906</v>
      </c>
    </row>
    <row r="2611" spans="3:6" x14ac:dyDescent="0.25">
      <c r="C2611" s="79"/>
      <c r="D2611" s="79"/>
      <c r="E2611" s="47">
        <v>2994.0297440487602</v>
      </c>
      <c r="F2611" s="47">
        <v>9235.7908661987003</v>
      </c>
    </row>
    <row r="2612" spans="3:6" x14ac:dyDescent="0.25">
      <c r="C2612" s="79"/>
      <c r="D2612" s="79"/>
      <c r="E2612" s="47">
        <v>3010.3634781825799</v>
      </c>
      <c r="F2612" s="47">
        <v>9291.6443625853408</v>
      </c>
    </row>
    <row r="2613" spans="3:6" x14ac:dyDescent="0.25">
      <c r="C2613" s="79"/>
      <c r="D2613" s="79"/>
      <c r="E2613" s="47">
        <v>3030.48624783376</v>
      </c>
      <c r="F2613" s="47">
        <v>9338.1823833356302</v>
      </c>
    </row>
    <row r="2614" spans="3:6" x14ac:dyDescent="0.25">
      <c r="C2614" s="79"/>
      <c r="D2614" s="79"/>
      <c r="E2614" s="47">
        <v>3054.9187866657498</v>
      </c>
      <c r="F2614" s="47">
        <v>9378.6083918275908</v>
      </c>
    </row>
    <row r="2615" spans="3:6" x14ac:dyDescent="0.25">
      <c r="C2615" s="79"/>
      <c r="D2615" s="79"/>
      <c r="E2615" s="47">
        <v>3084.15821952648</v>
      </c>
      <c r="F2615" s="47">
        <v>9415.1214935989592</v>
      </c>
    </row>
    <row r="2616" spans="3:6" x14ac:dyDescent="0.25">
      <c r="C2616" s="79"/>
      <c r="D2616" s="79"/>
      <c r="E2616" s="47">
        <v>3118.6938762486998</v>
      </c>
      <c r="F2616" s="47">
        <v>9449.2833426592006</v>
      </c>
    </row>
    <row r="2617" spans="3:6" x14ac:dyDescent="0.25">
      <c r="C2617" s="79"/>
      <c r="D2617" s="79">
        <v>400</v>
      </c>
      <c r="E2617" s="47">
        <v>2961.7775763595901</v>
      </c>
      <c r="F2617" s="47">
        <v>9151.0159909704598</v>
      </c>
    </row>
    <row r="2618" spans="3:6" x14ac:dyDescent="0.25">
      <c r="C2618" s="79"/>
      <c r="D2618" s="79"/>
      <c r="E2618" s="47">
        <v>2969.6663436837898</v>
      </c>
      <c r="F2618" s="47">
        <v>9368.3693831692508</v>
      </c>
    </row>
    <row r="2619" spans="3:6" x14ac:dyDescent="0.25">
      <c r="C2619" s="79"/>
      <c r="D2619" s="79"/>
      <c r="E2619" s="47">
        <v>2978.0363916875199</v>
      </c>
      <c r="F2619" s="47">
        <v>9509.4469058612904</v>
      </c>
    </row>
    <row r="2620" spans="3:6" x14ac:dyDescent="0.25">
      <c r="C2620" s="79"/>
      <c r="D2620" s="79"/>
      <c r="E2620" s="47">
        <v>2988.2201254534998</v>
      </c>
      <c r="F2620" s="47">
        <v>9609.5082944622991</v>
      </c>
    </row>
    <row r="2621" spans="3:6" x14ac:dyDescent="0.25">
      <c r="C2621" s="79"/>
      <c r="D2621" s="79"/>
      <c r="E2621" s="47">
        <v>3001.0393872210502</v>
      </c>
      <c r="F2621" s="47">
        <v>9685.2146067342801</v>
      </c>
    </row>
    <row r="2622" spans="3:6" x14ac:dyDescent="0.25">
      <c r="C2622" s="79"/>
      <c r="D2622" s="79"/>
      <c r="E2622" s="47">
        <v>3017.1381974333499</v>
      </c>
      <c r="F2622" s="47">
        <v>9745.4874295373102</v>
      </c>
    </row>
    <row r="2623" spans="3:6" x14ac:dyDescent="0.25">
      <c r="C2623" s="79"/>
      <c r="D2623" s="79"/>
      <c r="E2623" s="47">
        <v>3037.0589102039698</v>
      </c>
      <c r="F2623" s="47">
        <v>9795.6748685043003</v>
      </c>
    </row>
    <row r="2624" spans="3:6" x14ac:dyDescent="0.25">
      <c r="C2624" s="79"/>
      <c r="D2624" s="79"/>
      <c r="E2624" s="47">
        <v>3061.3089052005498</v>
      </c>
      <c r="F2624" s="47">
        <v>9839.2197749128609</v>
      </c>
    </row>
    <row r="2625" spans="3:6" x14ac:dyDescent="0.25">
      <c r="C2625" s="79"/>
      <c r="D2625" s="79"/>
      <c r="E2625" s="47">
        <v>3090.3865019185901</v>
      </c>
      <c r="F2625" s="47">
        <v>9878.4196641775306</v>
      </c>
    </row>
    <row r="2626" spans="3:6" x14ac:dyDescent="0.25">
      <c r="C2626" s="79"/>
      <c r="D2626" s="79"/>
      <c r="E2626" s="47">
        <v>3124.7697448808099</v>
      </c>
      <c r="F2626" s="47">
        <v>9914.9311287007804</v>
      </c>
    </row>
    <row r="2627" spans="3:6" x14ac:dyDescent="0.25">
      <c r="C2627" s="79"/>
      <c r="D2627" s="79">
        <v>500</v>
      </c>
      <c r="E2627" s="47">
        <v>2968.79981015879</v>
      </c>
      <c r="F2627" s="47">
        <v>9568.4776050012606</v>
      </c>
    </row>
    <row r="2628" spans="3:6" x14ac:dyDescent="0.25">
      <c r="C2628" s="79"/>
      <c r="D2628" s="79"/>
      <c r="E2628" s="47">
        <v>2975.8152557814901</v>
      </c>
      <c r="F2628" s="47">
        <v>9802.0709783509392</v>
      </c>
    </row>
    <row r="2629" spans="3:6" x14ac:dyDescent="0.25">
      <c r="C2629" s="79"/>
      <c r="D2629" s="79"/>
      <c r="E2629" s="47">
        <v>2983.6246001723398</v>
      </c>
      <c r="F2629" s="47">
        <v>9954.0142473344604</v>
      </c>
    </row>
    <row r="2630" spans="3:6" x14ac:dyDescent="0.25">
      <c r="C2630" s="79"/>
      <c r="D2630" s="79"/>
      <c r="E2630" s="47">
        <v>2993.41850634599</v>
      </c>
      <c r="F2630" s="47">
        <v>10061.9169425738</v>
      </c>
    </row>
    <row r="2631" spans="3:6" x14ac:dyDescent="0.25">
      <c r="C2631" s="79"/>
      <c r="D2631" s="79"/>
      <c r="E2631" s="47">
        <v>3005.95102325465</v>
      </c>
      <c r="F2631" s="47">
        <v>10143.5320840313</v>
      </c>
    </row>
    <row r="2632" spans="3:6" x14ac:dyDescent="0.25">
      <c r="C2632" s="79"/>
      <c r="D2632" s="79"/>
      <c r="E2632" s="47">
        <v>3021.8127574011301</v>
      </c>
      <c r="F2632" s="47">
        <v>10208.478981086701</v>
      </c>
    </row>
    <row r="2633" spans="3:6" x14ac:dyDescent="0.25">
      <c r="C2633" s="79"/>
      <c r="D2633" s="79"/>
      <c r="E2633" s="47">
        <v>3041.5326033641099</v>
      </c>
      <c r="F2633" s="47">
        <v>10262.4711961059</v>
      </c>
    </row>
    <row r="2634" spans="3:6" x14ac:dyDescent="0.25">
      <c r="C2634" s="79"/>
      <c r="D2634" s="79"/>
      <c r="E2634" s="47">
        <v>3065.6106110453102</v>
      </c>
      <c r="F2634" s="47">
        <v>10309.182554585201</v>
      </c>
    </row>
    <row r="2635" spans="3:6" x14ac:dyDescent="0.25">
      <c r="C2635" s="79"/>
      <c r="D2635" s="79"/>
      <c r="E2635" s="47">
        <v>3094.53076262273</v>
      </c>
      <c r="F2635" s="47">
        <v>10351.1020459597</v>
      </c>
    </row>
    <row r="2636" spans="3:6" x14ac:dyDescent="0.25">
      <c r="C2636" s="79"/>
      <c r="D2636" s="79"/>
      <c r="E2636" s="47">
        <v>3128.7578464544499</v>
      </c>
      <c r="F2636" s="47">
        <v>10390.037290300799</v>
      </c>
    </row>
    <row r="2637" spans="3:6" x14ac:dyDescent="0.25">
      <c r="C2637" s="79"/>
      <c r="D2637" s="79">
        <v>600</v>
      </c>
      <c r="E2637" s="47">
        <v>2973.9289431187299</v>
      </c>
      <c r="F2637" s="47">
        <v>9994.0242652080797</v>
      </c>
    </row>
    <row r="2638" spans="3:6" x14ac:dyDescent="0.25">
      <c r="C2638" s="79"/>
      <c r="D2638" s="79"/>
      <c r="E2638" s="47">
        <v>2980.0942795330998</v>
      </c>
      <c r="F2638" s="47">
        <v>10244.7486608282</v>
      </c>
    </row>
    <row r="2639" spans="3:6" x14ac:dyDescent="0.25">
      <c r="C2639" s="79"/>
      <c r="D2639" s="79"/>
      <c r="E2639" s="47">
        <v>2987.3383617408899</v>
      </c>
      <c r="F2639" s="47">
        <v>10407.572220976401</v>
      </c>
    </row>
    <row r="2640" spans="3:6" x14ac:dyDescent="0.25">
      <c r="C2640" s="79"/>
      <c r="D2640" s="79"/>
      <c r="E2640" s="47">
        <v>2996.70808286495</v>
      </c>
      <c r="F2640" s="47">
        <v>10523.170554124699</v>
      </c>
    </row>
    <row r="2641" spans="3:6" x14ac:dyDescent="0.25">
      <c r="C2641" s="79"/>
      <c r="D2641" s="79"/>
      <c r="E2641" s="47">
        <v>3008.9166870149002</v>
      </c>
      <c r="F2641" s="47">
        <v>10610.6115863796</v>
      </c>
    </row>
    <row r="2642" spans="3:6" x14ac:dyDescent="0.25">
      <c r="C2642" s="79"/>
      <c r="D2642" s="79"/>
      <c r="E2642" s="47">
        <v>3024.51725436993</v>
      </c>
      <c r="F2642" s="47">
        <v>10680.169461019599</v>
      </c>
    </row>
    <row r="2643" spans="3:6" x14ac:dyDescent="0.25">
      <c r="C2643" s="79"/>
      <c r="D2643" s="79"/>
      <c r="E2643" s="47">
        <v>3044.0295000797601</v>
      </c>
      <c r="F2643" s="47">
        <v>10737.9406462835</v>
      </c>
    </row>
    <row r="2644" spans="3:6" x14ac:dyDescent="0.25">
      <c r="C2644" s="79"/>
      <c r="D2644" s="79"/>
      <c r="E2644" s="47">
        <v>3067.9188458886301</v>
      </c>
      <c r="F2644" s="47">
        <v>10787.862103788801</v>
      </c>
    </row>
    <row r="2645" spans="3:6" x14ac:dyDescent="0.25">
      <c r="C2645" s="79"/>
      <c r="D2645" s="79"/>
      <c r="E2645" s="47">
        <v>3096.66178490015</v>
      </c>
      <c r="F2645" s="47">
        <v>10832.555037849301</v>
      </c>
    </row>
    <row r="2646" spans="3:6" x14ac:dyDescent="0.25">
      <c r="C2646" s="79"/>
      <c r="D2646" s="79"/>
      <c r="E2646" s="47">
        <v>3130.72854039819</v>
      </c>
      <c r="F2646" s="47">
        <v>10873.9037945368</v>
      </c>
    </row>
    <row r="2647" spans="3:6" x14ac:dyDescent="0.25">
      <c r="C2647" s="79"/>
      <c r="D2647" s="79">
        <v>700</v>
      </c>
      <c r="E2647" s="47">
        <v>2977.3400769587702</v>
      </c>
      <c r="F2647" s="47">
        <v>10424.7184744683</v>
      </c>
    </row>
    <row r="2648" spans="3:6" x14ac:dyDescent="0.25">
      <c r="C2648" s="79"/>
      <c r="D2648" s="79"/>
      <c r="E2648" s="47">
        <v>2982.5757968421899</v>
      </c>
      <c r="F2648" s="47">
        <v>10693.5019998802</v>
      </c>
    </row>
    <row r="2649" spans="3:6" x14ac:dyDescent="0.25">
      <c r="C2649" s="79"/>
      <c r="D2649" s="79"/>
      <c r="E2649" s="47">
        <v>2989.2202073582998</v>
      </c>
      <c r="F2649" s="47">
        <v>10868.3297008886</v>
      </c>
    </row>
    <row r="2650" spans="3:6" x14ac:dyDescent="0.25">
      <c r="C2650" s="79"/>
      <c r="D2650" s="79"/>
      <c r="E2650" s="47">
        <v>2998.1877538877002</v>
      </c>
      <c r="F2650" s="47">
        <v>10992.443101720201</v>
      </c>
    </row>
    <row r="2651" spans="3:6" x14ac:dyDescent="0.25">
      <c r="C2651" s="79"/>
      <c r="D2651" s="79"/>
      <c r="E2651" s="47">
        <v>3010.0835237095998</v>
      </c>
      <c r="F2651" s="47">
        <v>11086.2486387923</v>
      </c>
    </row>
    <row r="2652" spans="3:6" x14ac:dyDescent="0.25">
      <c r="C2652" s="79"/>
      <c r="D2652" s="79"/>
      <c r="E2652" s="47">
        <v>3025.4403101241501</v>
      </c>
      <c r="F2652" s="47">
        <v>11160.7513167414</v>
      </c>
    </row>
    <row r="2653" spans="3:6" x14ac:dyDescent="0.25">
      <c r="C2653" s="79"/>
      <c r="D2653" s="79"/>
      <c r="E2653" s="47">
        <v>3044.7332760210902</v>
      </c>
      <c r="F2653" s="47">
        <v>11222.529687140501</v>
      </c>
    </row>
    <row r="2654" spans="3:6" x14ac:dyDescent="0.25">
      <c r="C2654" s="79"/>
      <c r="D2654" s="79"/>
      <c r="E2654" s="47">
        <v>3068.4397556404101</v>
      </c>
      <c r="F2654" s="47">
        <v>11275.735445501001</v>
      </c>
    </row>
    <row r="2655" spans="3:6" x14ac:dyDescent="0.25">
      <c r="C2655" s="79"/>
      <c r="D2655" s="79"/>
      <c r="E2655" s="47">
        <v>3097.0252329398199</v>
      </c>
      <c r="F2655" s="47">
        <v>11323.138277350199</v>
      </c>
    </row>
    <row r="2656" spans="3:6" x14ac:dyDescent="0.25">
      <c r="C2656" s="79"/>
      <c r="D2656" s="79"/>
      <c r="E2656" s="47">
        <v>3130.92943774887</v>
      </c>
      <c r="F2656" s="47">
        <v>11366.903772551699</v>
      </c>
    </row>
    <row r="2657" spans="3:6" x14ac:dyDescent="0.25">
      <c r="C2657" s="79"/>
      <c r="D2657" s="79">
        <v>800</v>
      </c>
      <c r="E2657" s="47">
        <v>2979.1117473878398</v>
      </c>
      <c r="F2657" s="47">
        <v>10863.3313670762</v>
      </c>
    </row>
    <row r="2658" spans="3:6" x14ac:dyDescent="0.25">
      <c r="C2658" s="79"/>
      <c r="D2658" s="79"/>
      <c r="E2658" s="47">
        <v>2983.4549957173499</v>
      </c>
      <c r="F2658" s="47">
        <v>11149.7508032894</v>
      </c>
    </row>
    <row r="2659" spans="3:6" x14ac:dyDescent="0.25">
      <c r="C2659" s="79"/>
      <c r="D2659" s="79"/>
      <c r="E2659" s="47">
        <v>2989.5056410428401</v>
      </c>
      <c r="F2659" s="47">
        <v>11336.1162011544</v>
      </c>
    </row>
    <row r="2660" spans="3:6" x14ac:dyDescent="0.25">
      <c r="C2660" s="79"/>
      <c r="D2660" s="79"/>
      <c r="E2660" s="47">
        <v>2998.0189925206701</v>
      </c>
      <c r="F2660" s="47">
        <v>11468.3598705024</v>
      </c>
    </row>
    <row r="2661" spans="3:6" x14ac:dyDescent="0.25">
      <c r="C2661" s="79"/>
      <c r="D2661" s="79"/>
      <c r="E2661" s="47">
        <v>3009.5726396045502</v>
      </c>
      <c r="F2661" s="47">
        <v>11568.3112626315</v>
      </c>
    </row>
    <row r="2662" spans="3:6" x14ac:dyDescent="0.25">
      <c r="C2662" s="79"/>
      <c r="D2662" s="79"/>
      <c r="E2662" s="47">
        <v>3024.6543975186501</v>
      </c>
      <c r="F2662" s="47">
        <v>11647.6858247358</v>
      </c>
    </row>
    <row r="2663" spans="3:6" x14ac:dyDescent="0.25">
      <c r="C2663" s="79"/>
      <c r="D2663" s="79"/>
      <c r="E2663" s="47">
        <v>3043.7296708220001</v>
      </c>
      <c r="F2663" s="47">
        <v>11713.4317492551</v>
      </c>
    </row>
    <row r="2664" spans="3:6" x14ac:dyDescent="0.25">
      <c r="C2664" s="79"/>
      <c r="D2664" s="79"/>
      <c r="E2664" s="47">
        <v>3067.23209738593</v>
      </c>
      <c r="F2664" s="47">
        <v>11770.011399073999</v>
      </c>
    </row>
    <row r="2665" spans="3:6" x14ac:dyDescent="0.25">
      <c r="C2665" s="79"/>
      <c r="D2665" s="79"/>
      <c r="E2665" s="47">
        <v>3095.6362667117101</v>
      </c>
      <c r="F2665" s="47">
        <v>11820.3973874361</v>
      </c>
    </row>
    <row r="2666" spans="3:6" x14ac:dyDescent="0.25">
      <c r="C2666" s="79"/>
      <c r="D2666" s="79"/>
      <c r="E2666" s="47">
        <v>3129.3896753477402</v>
      </c>
      <c r="F2666" s="47">
        <v>11866.710303407101</v>
      </c>
    </row>
    <row r="2667" spans="3:6" x14ac:dyDescent="0.25">
      <c r="C2667" s="79"/>
      <c r="D2667" s="79">
        <v>900</v>
      </c>
      <c r="E2667" s="47">
        <v>2979.4380699997901</v>
      </c>
      <c r="F2667" s="47">
        <v>11306.920824787399</v>
      </c>
    </row>
    <row r="2668" spans="3:6" x14ac:dyDescent="0.25">
      <c r="C2668" s="79"/>
      <c r="D2668" s="79"/>
      <c r="E2668" s="47">
        <v>2982.7863297374502</v>
      </c>
      <c r="F2668" s="47">
        <v>11612.783617245899</v>
      </c>
    </row>
    <row r="2669" spans="3:6" x14ac:dyDescent="0.25">
      <c r="C2669" s="79"/>
      <c r="D2669" s="79"/>
      <c r="E2669" s="47">
        <v>2988.1908433928002</v>
      </c>
      <c r="F2669" s="47">
        <v>11811.663824523899</v>
      </c>
    </row>
    <row r="2670" spans="3:6" x14ac:dyDescent="0.25">
      <c r="C2670" s="79"/>
      <c r="D2670" s="79"/>
      <c r="E2670" s="47">
        <v>2996.2763767157599</v>
      </c>
      <c r="F2670" s="47">
        <v>11952.5807253606</v>
      </c>
    </row>
    <row r="2671" spans="3:6" x14ac:dyDescent="0.25">
      <c r="C2671" s="79"/>
      <c r="D2671" s="79"/>
      <c r="E2671" s="47">
        <v>3007.5044367499499</v>
      </c>
      <c r="F2671" s="47">
        <v>12058.7620240416</v>
      </c>
    </row>
    <row r="2672" spans="3:6" x14ac:dyDescent="0.25">
      <c r="C2672" s="79"/>
      <c r="D2672" s="79"/>
      <c r="E2672" s="47">
        <v>3022.3265520922801</v>
      </c>
      <c r="F2672" s="47">
        <v>12143.012199758699</v>
      </c>
    </row>
    <row r="2673" spans="3:6" x14ac:dyDescent="0.25">
      <c r="C2673" s="79"/>
      <c r="D2673" s="79"/>
      <c r="E2673" s="47">
        <v>3041.1755163750699</v>
      </c>
      <c r="F2673" s="47">
        <v>12212.7365037279</v>
      </c>
    </row>
    <row r="2674" spans="3:6" x14ac:dyDescent="0.25">
      <c r="C2674" s="79"/>
      <c r="D2674" s="79"/>
      <c r="E2674" s="47">
        <v>3064.49990457795</v>
      </c>
      <c r="F2674" s="47">
        <v>12272.6139811293</v>
      </c>
    </row>
    <row r="2675" spans="3:6" x14ac:dyDescent="0.25">
      <c r="C2675" s="79"/>
      <c r="D2675" s="79"/>
      <c r="E2675" s="47">
        <v>3092.72897338759</v>
      </c>
      <c r="F2675" s="47">
        <v>12325.848629955401</v>
      </c>
    </row>
    <row r="2676" spans="3:6" x14ac:dyDescent="0.25">
      <c r="C2676" s="79"/>
      <c r="D2676" s="79"/>
      <c r="E2676" s="47">
        <v>3126.3169266517698</v>
      </c>
      <c r="F2676" s="47">
        <v>12374.6723392935</v>
      </c>
    </row>
    <row r="2677" spans="3:6" x14ac:dyDescent="0.25">
      <c r="C2677" s="79"/>
      <c r="D2677" s="79">
        <v>1000</v>
      </c>
      <c r="E2677" s="47">
        <v>2978.3188380827301</v>
      </c>
      <c r="F2677" s="47">
        <v>11757.4087911427</v>
      </c>
    </row>
    <row r="2678" spans="3:6" x14ac:dyDescent="0.25">
      <c r="C2678" s="79"/>
      <c r="D2678" s="79"/>
      <c r="E2678" s="47">
        <v>2980.7243297813302</v>
      </c>
      <c r="F2678" s="47">
        <v>12081.842241439301</v>
      </c>
    </row>
    <row r="2679" spans="3:6" x14ac:dyDescent="0.25">
      <c r="C2679" s="79"/>
      <c r="D2679" s="79"/>
      <c r="E2679" s="47">
        <v>2985.5081891916798</v>
      </c>
      <c r="F2679" s="47">
        <v>12292.829109578701</v>
      </c>
    </row>
    <row r="2680" spans="3:6" x14ac:dyDescent="0.25">
      <c r="C2680" s="79"/>
      <c r="D2680" s="79"/>
      <c r="E2680" s="47">
        <v>2993.1363124951799</v>
      </c>
      <c r="F2680" s="47">
        <v>12442.4364281</v>
      </c>
    </row>
    <row r="2681" spans="3:6" x14ac:dyDescent="0.25">
      <c r="C2681" s="79"/>
      <c r="D2681" s="79"/>
      <c r="E2681" s="47">
        <v>3003.9971535622799</v>
      </c>
      <c r="F2681" s="47">
        <v>12555.404239507499</v>
      </c>
    </row>
    <row r="2682" spans="3:6" x14ac:dyDescent="0.25">
      <c r="C2682" s="79"/>
      <c r="D2682" s="79"/>
      <c r="E2682" s="47">
        <v>3018.5297642739301</v>
      </c>
      <c r="F2682" s="47">
        <v>12644.968312049999</v>
      </c>
    </row>
    <row r="2683" spans="3:6" x14ac:dyDescent="0.25">
      <c r="C2683" s="79"/>
      <c r="D2683" s="79"/>
      <c r="E2683" s="47">
        <v>3037.1406254673002</v>
      </c>
      <c r="F2683" s="47">
        <v>12718.9782309287</v>
      </c>
    </row>
    <row r="2684" spans="3:6" x14ac:dyDescent="0.25">
      <c r="C2684" s="79"/>
      <c r="D2684" s="79"/>
      <c r="E2684" s="47">
        <v>3060.2538284545999</v>
      </c>
      <c r="F2684" s="47">
        <v>12782.420107113699</v>
      </c>
    </row>
    <row r="2685" spans="3:6" x14ac:dyDescent="0.25">
      <c r="C2685" s="79"/>
      <c r="D2685" s="79"/>
      <c r="E2685" s="47">
        <v>3088.3076331448801</v>
      </c>
      <c r="F2685" s="47">
        <v>12838.6415927701</v>
      </c>
    </row>
    <row r="2686" spans="3:6" x14ac:dyDescent="0.25">
      <c r="C2686" s="79"/>
      <c r="D2686" s="79"/>
      <c r="E2686" s="47">
        <v>3121.7342085175601</v>
      </c>
      <c r="F2686" s="47">
        <v>12890.0498807473</v>
      </c>
    </row>
    <row r="2687" spans="3:6" x14ac:dyDescent="0.25">
      <c r="C2687" s="79"/>
      <c r="D2687" s="79">
        <v>1100</v>
      </c>
      <c r="E2687" s="47">
        <v>2975.9468550305701</v>
      </c>
      <c r="F2687" s="47">
        <v>12213.104596573599</v>
      </c>
    </row>
    <row r="2688" spans="3:6" x14ac:dyDescent="0.25">
      <c r="C2688" s="79"/>
      <c r="D2688" s="79"/>
      <c r="E2688" s="47">
        <v>2977.3276439453198</v>
      </c>
      <c r="F2688" s="47">
        <v>12558.0870891173</v>
      </c>
    </row>
    <row r="2689" spans="3:6" x14ac:dyDescent="0.25">
      <c r="C2689" s="79"/>
      <c r="D2689" s="79"/>
      <c r="E2689" s="47">
        <v>2981.4270417973698</v>
      </c>
      <c r="F2689" s="47">
        <v>12781.3047626958</v>
      </c>
    </row>
    <row r="2690" spans="3:6" x14ac:dyDescent="0.25">
      <c r="C2690" s="79"/>
      <c r="D2690" s="79"/>
      <c r="E2690" s="47">
        <v>2988.5764591593302</v>
      </c>
      <c r="F2690" s="47">
        <v>12939.6120453767</v>
      </c>
    </row>
    <row r="2691" spans="3:6" x14ac:dyDescent="0.25">
      <c r="C2691" s="79"/>
      <c r="D2691" s="79"/>
      <c r="E2691" s="47">
        <v>2999.11333440915</v>
      </c>
      <c r="F2691" s="47">
        <v>13059.0745656136</v>
      </c>
    </row>
    <row r="2692" spans="3:6" x14ac:dyDescent="0.25">
      <c r="C2692" s="79"/>
      <c r="D2692" s="79"/>
      <c r="E2692" s="47">
        <v>2999.11333440915</v>
      </c>
      <c r="F2692" s="47">
        <v>13059.0745656136</v>
      </c>
    </row>
    <row r="2693" spans="3:6" x14ac:dyDescent="0.25">
      <c r="C2693" s="79"/>
      <c r="D2693" s="79"/>
      <c r="E2693" s="47">
        <v>2999.11333440915</v>
      </c>
      <c r="F2693" s="47">
        <v>13059.0745656136</v>
      </c>
    </row>
    <row r="2694" spans="3:6" x14ac:dyDescent="0.25">
      <c r="C2694" s="79"/>
      <c r="D2694" s="79"/>
      <c r="E2694" s="47">
        <v>2999.11333440915</v>
      </c>
      <c r="F2694" s="47">
        <v>13059.0745656136</v>
      </c>
    </row>
    <row r="2695" spans="3:6" x14ac:dyDescent="0.25">
      <c r="C2695" s="79"/>
      <c r="D2695" s="79"/>
      <c r="E2695" s="47">
        <v>2999.11333440915</v>
      </c>
      <c r="F2695" s="47">
        <v>13059.0745656136</v>
      </c>
    </row>
    <row r="2696" spans="3:6" x14ac:dyDescent="0.25">
      <c r="C2696" s="79"/>
      <c r="D2696" s="79"/>
      <c r="E2696" s="47">
        <v>2999.11333440915</v>
      </c>
      <c r="F2696" s="47">
        <v>13059.0745656136</v>
      </c>
    </row>
    <row r="2697" spans="3:6" x14ac:dyDescent="0.25">
      <c r="C2697" s="79"/>
      <c r="D2697" s="79">
        <v>1200</v>
      </c>
      <c r="E2697" s="47">
        <v>2972.3464078653401</v>
      </c>
      <c r="F2697" s="47">
        <v>12673.9468899644</v>
      </c>
    </row>
    <row r="2698" spans="3:6" x14ac:dyDescent="0.25">
      <c r="C2698" s="79"/>
      <c r="D2698" s="79"/>
      <c r="E2698" s="47">
        <v>2972.6912155516302</v>
      </c>
      <c r="F2698" s="47">
        <v>13038.327780154201</v>
      </c>
    </row>
    <row r="2699" spans="3:6" x14ac:dyDescent="0.25">
      <c r="C2699" s="79"/>
      <c r="D2699" s="79"/>
      <c r="E2699" s="47">
        <v>2972.6912155516302</v>
      </c>
      <c r="F2699" s="47">
        <v>13038.327780154201</v>
      </c>
    </row>
    <row r="2700" spans="3:6" x14ac:dyDescent="0.25">
      <c r="C2700" s="79"/>
      <c r="D2700" s="79"/>
      <c r="E2700" s="47">
        <v>2972.6912155516302</v>
      </c>
      <c r="F2700" s="47">
        <v>13038.327780154201</v>
      </c>
    </row>
    <row r="2701" spans="3:6" x14ac:dyDescent="0.25">
      <c r="C2701" s="79"/>
      <c r="D2701" s="79"/>
      <c r="E2701" s="47">
        <v>2972.6912155516302</v>
      </c>
      <c r="F2701" s="47">
        <v>13038.327780154201</v>
      </c>
    </row>
    <row r="2702" spans="3:6" x14ac:dyDescent="0.25">
      <c r="C2702" s="79"/>
      <c r="D2702" s="79"/>
      <c r="E2702" s="47">
        <v>2972.6912155516302</v>
      </c>
      <c r="F2702" s="47">
        <v>13038.327780154201</v>
      </c>
    </row>
    <row r="2703" spans="3:6" x14ac:dyDescent="0.25">
      <c r="C2703" s="79"/>
      <c r="D2703" s="79"/>
      <c r="E2703" s="47">
        <v>2972.6912155516302</v>
      </c>
      <c r="F2703" s="47">
        <v>13038.327780154201</v>
      </c>
    </row>
    <row r="2704" spans="3:6" x14ac:dyDescent="0.25">
      <c r="C2704" s="79"/>
      <c r="D2704" s="79"/>
      <c r="E2704" s="47">
        <v>2972.6912155516302</v>
      </c>
      <c r="F2704" s="47">
        <v>13038.327780154201</v>
      </c>
    </row>
    <row r="2705" spans="3:6" x14ac:dyDescent="0.25">
      <c r="C2705" s="79"/>
      <c r="D2705" s="79"/>
      <c r="E2705" s="47">
        <v>2972.6912155516302</v>
      </c>
      <c r="F2705" s="47">
        <v>13038.327780154201</v>
      </c>
    </row>
    <row r="2706" spans="3:6" x14ac:dyDescent="0.25">
      <c r="C2706" s="79"/>
      <c r="D2706" s="79"/>
      <c r="E2706" s="47">
        <v>2972.6912155516302</v>
      </c>
      <c r="F2706" s="47">
        <v>13038.327780154201</v>
      </c>
    </row>
    <row r="2707" spans="3:6" x14ac:dyDescent="0.25">
      <c r="C2707" s="79">
        <v>35</v>
      </c>
      <c r="D2707" s="79">
        <v>0</v>
      </c>
      <c r="E2707" s="47">
        <v>2993.40852178871</v>
      </c>
      <c r="F2707" s="47">
        <v>8538.0632729920508</v>
      </c>
    </row>
    <row r="2708" spans="3:6" x14ac:dyDescent="0.25">
      <c r="C2708" s="79"/>
      <c r="D2708" s="79"/>
      <c r="E2708" s="47">
        <v>2993.40852178871</v>
      </c>
      <c r="F2708" s="47">
        <v>8538.0632729920508</v>
      </c>
    </row>
    <row r="2709" spans="3:6" x14ac:dyDescent="0.25">
      <c r="C2709" s="79"/>
      <c r="D2709" s="79"/>
      <c r="E2709" s="47">
        <v>2993.40852178871</v>
      </c>
      <c r="F2709" s="47">
        <v>8538.0632729920508</v>
      </c>
    </row>
    <row r="2710" spans="3:6" x14ac:dyDescent="0.25">
      <c r="C2710" s="79"/>
      <c r="D2710" s="79"/>
      <c r="E2710" s="47">
        <v>2993.40852178871</v>
      </c>
      <c r="F2710" s="47">
        <v>8538.0632729920508</v>
      </c>
    </row>
    <row r="2711" spans="3:6" x14ac:dyDescent="0.25">
      <c r="C2711" s="79"/>
      <c r="D2711" s="79"/>
      <c r="E2711" s="47">
        <v>2993.40852178871</v>
      </c>
      <c r="F2711" s="47">
        <v>8538.0632729920508</v>
      </c>
    </row>
    <row r="2712" spans="3:6" x14ac:dyDescent="0.25">
      <c r="C2712" s="79"/>
      <c r="D2712" s="79"/>
      <c r="E2712" s="47">
        <v>2993.40852178871</v>
      </c>
      <c r="F2712" s="47">
        <v>8538.0632729920508</v>
      </c>
    </row>
    <row r="2713" spans="3:6" x14ac:dyDescent="0.25">
      <c r="C2713" s="79"/>
      <c r="D2713" s="79"/>
      <c r="E2713" s="47">
        <v>3013.8465359107199</v>
      </c>
      <c r="F2713" s="47">
        <v>8578.4856750489507</v>
      </c>
    </row>
    <row r="2714" spans="3:6" x14ac:dyDescent="0.25">
      <c r="C2714" s="79"/>
      <c r="D2714" s="79"/>
      <c r="E2714" s="47">
        <v>3038.5592324008599</v>
      </c>
      <c r="F2714" s="47">
        <v>8613.7551177735695</v>
      </c>
    </row>
    <row r="2715" spans="3:6" x14ac:dyDescent="0.25">
      <c r="C2715" s="79"/>
      <c r="D2715" s="79"/>
      <c r="E2715" s="47">
        <v>3068.0650030709899</v>
      </c>
      <c r="F2715" s="47">
        <v>8645.8142275606606</v>
      </c>
    </row>
    <row r="2716" spans="3:6" x14ac:dyDescent="0.25">
      <c r="C2716" s="79"/>
      <c r="D2716" s="79"/>
      <c r="E2716" s="47">
        <v>3102.8559468169101</v>
      </c>
      <c r="F2716" s="47">
        <v>8676.0381044955593</v>
      </c>
    </row>
    <row r="2717" spans="3:6" x14ac:dyDescent="0.25">
      <c r="C2717" s="79"/>
      <c r="D2717" s="79">
        <v>100</v>
      </c>
      <c r="E2717" s="47">
        <v>2974.4172829532699</v>
      </c>
      <c r="F2717" s="47">
        <v>8858.0685593245598</v>
      </c>
    </row>
    <row r="2718" spans="3:6" x14ac:dyDescent="0.25">
      <c r="C2718" s="79"/>
      <c r="D2718" s="79"/>
      <c r="E2718" s="47">
        <v>2974.4172829532699</v>
      </c>
      <c r="F2718" s="47">
        <v>8858.0685593245598</v>
      </c>
    </row>
    <row r="2719" spans="3:6" x14ac:dyDescent="0.25">
      <c r="C2719" s="79"/>
      <c r="D2719" s="79"/>
      <c r="E2719" s="47">
        <v>2974.4172829532699</v>
      </c>
      <c r="F2719" s="47">
        <v>8858.0685593245598</v>
      </c>
    </row>
    <row r="2720" spans="3:6" x14ac:dyDescent="0.25">
      <c r="C2720" s="79"/>
      <c r="D2720" s="79"/>
      <c r="E2720" s="47">
        <v>2974.4172829532699</v>
      </c>
      <c r="F2720" s="47">
        <v>8858.0685593245598</v>
      </c>
    </row>
    <row r="2721" spans="3:6" x14ac:dyDescent="0.25">
      <c r="C2721" s="79"/>
      <c r="D2721" s="79"/>
      <c r="E2721" s="47">
        <v>2987.7280477491599</v>
      </c>
      <c r="F2721" s="47">
        <v>8924.2709527449297</v>
      </c>
    </row>
    <row r="2722" spans="3:6" x14ac:dyDescent="0.25">
      <c r="C2722" s="79"/>
      <c r="D2722" s="79"/>
      <c r="E2722" s="47">
        <v>3004.2197353093402</v>
      </c>
      <c r="F2722" s="47">
        <v>8976.9870170517606</v>
      </c>
    </row>
    <row r="2723" spans="3:6" x14ac:dyDescent="0.25">
      <c r="C2723" s="79"/>
      <c r="D2723" s="79"/>
      <c r="E2723" s="47">
        <v>3024.4722416827199</v>
      </c>
      <c r="F2723" s="47">
        <v>9020.9492626840492</v>
      </c>
    </row>
    <row r="2724" spans="3:6" x14ac:dyDescent="0.25">
      <c r="C2724" s="79"/>
      <c r="D2724" s="79"/>
      <c r="E2724" s="47">
        <v>3049.0186733506998</v>
      </c>
      <c r="F2724" s="47">
        <v>9059.2243850105697</v>
      </c>
    </row>
    <row r="2725" spans="3:6" x14ac:dyDescent="0.25">
      <c r="C2725" s="79"/>
      <c r="D2725" s="79"/>
      <c r="E2725" s="47">
        <v>3078.3679020720901</v>
      </c>
      <c r="F2725" s="47">
        <v>9093.8550153489705</v>
      </c>
    </row>
    <row r="2726" spans="3:6" x14ac:dyDescent="0.25">
      <c r="C2726" s="79"/>
      <c r="D2726" s="79"/>
      <c r="E2726" s="47">
        <v>3113.0074043592299</v>
      </c>
      <c r="F2726" s="47">
        <v>9126.3214910880306</v>
      </c>
    </row>
    <row r="2727" spans="3:6" x14ac:dyDescent="0.25">
      <c r="C2727" s="79"/>
      <c r="D2727" s="79">
        <v>200</v>
      </c>
      <c r="E2727" s="47">
        <v>2972.8147096775201</v>
      </c>
      <c r="F2727" s="47">
        <v>9199.9837459030405</v>
      </c>
    </row>
    <row r="2728" spans="3:6" x14ac:dyDescent="0.25">
      <c r="C2728" s="79"/>
      <c r="D2728" s="79"/>
      <c r="E2728" s="47">
        <v>2972.8147096775201</v>
      </c>
      <c r="F2728" s="47">
        <v>9199.9837459030405</v>
      </c>
    </row>
    <row r="2729" spans="3:6" x14ac:dyDescent="0.25">
      <c r="C2729" s="79"/>
      <c r="D2729" s="79"/>
      <c r="E2729" s="47">
        <v>2972.8147096775201</v>
      </c>
      <c r="F2729" s="47">
        <v>9199.9837459030405</v>
      </c>
    </row>
    <row r="2730" spans="3:6" x14ac:dyDescent="0.25">
      <c r="C2730" s="79"/>
      <c r="D2730" s="79"/>
      <c r="E2730" s="47">
        <v>2983.27466751374</v>
      </c>
      <c r="F2730" s="47">
        <v>9294.8510483171594</v>
      </c>
    </row>
    <row r="2731" spans="3:6" x14ac:dyDescent="0.25">
      <c r="C2731" s="79"/>
      <c r="D2731" s="79"/>
      <c r="E2731" s="47">
        <v>2996.3175426421199</v>
      </c>
      <c r="F2731" s="47">
        <v>9366.5958683293393</v>
      </c>
    </row>
    <row r="2732" spans="3:6" x14ac:dyDescent="0.25">
      <c r="C2732" s="79"/>
      <c r="D2732" s="79"/>
      <c r="E2732" s="47">
        <v>3012.5864692588002</v>
      </c>
      <c r="F2732" s="47">
        <v>9423.7407000784497</v>
      </c>
    </row>
    <row r="2733" spans="3:6" x14ac:dyDescent="0.25">
      <c r="C2733" s="79"/>
      <c r="D2733" s="79"/>
      <c r="E2733" s="47">
        <v>3032.6526970456498</v>
      </c>
      <c r="F2733" s="47">
        <v>9471.37160457545</v>
      </c>
    </row>
    <row r="2734" spans="3:6" x14ac:dyDescent="0.25">
      <c r="C2734" s="79"/>
      <c r="D2734" s="79"/>
      <c r="E2734" s="47">
        <v>3057.0336325446501</v>
      </c>
      <c r="F2734" s="47">
        <v>9512.7266178008103</v>
      </c>
    </row>
    <row r="2735" spans="3:6" x14ac:dyDescent="0.25">
      <c r="C2735" s="79"/>
      <c r="D2735" s="79"/>
      <c r="E2735" s="47">
        <v>3086.2246320150002</v>
      </c>
      <c r="F2735" s="47">
        <v>9550.0179530155601</v>
      </c>
    </row>
    <row r="2736" spans="3:6" x14ac:dyDescent="0.25">
      <c r="C2736" s="79"/>
      <c r="D2736" s="79"/>
      <c r="E2736" s="47">
        <v>3120.7125809651802</v>
      </c>
      <c r="F2736" s="47">
        <v>9584.8437953218399</v>
      </c>
    </row>
    <row r="2737" spans="3:6" x14ac:dyDescent="0.25">
      <c r="C2737" s="79"/>
      <c r="D2737" s="79">
        <v>300</v>
      </c>
      <c r="E2737" s="47">
        <v>2964.0356137692702</v>
      </c>
      <c r="F2737" s="47">
        <v>9272.5813997733094</v>
      </c>
    </row>
    <row r="2738" spans="3:6" x14ac:dyDescent="0.25">
      <c r="C2738" s="79"/>
      <c r="D2738" s="79"/>
      <c r="E2738" s="47">
        <v>2971.6836079274499</v>
      </c>
      <c r="F2738" s="47">
        <v>9494.6590820397196</v>
      </c>
    </row>
    <row r="2739" spans="3:6" x14ac:dyDescent="0.25">
      <c r="C2739" s="79"/>
      <c r="D2739" s="79"/>
      <c r="E2739" s="47">
        <v>2979.8824403922699</v>
      </c>
      <c r="F2739" s="47">
        <v>9639.1052824514009</v>
      </c>
    </row>
    <row r="2740" spans="3:6" x14ac:dyDescent="0.25">
      <c r="C2740" s="79"/>
      <c r="D2740" s="79"/>
      <c r="E2740" s="47">
        <v>2989.9497699010999</v>
      </c>
      <c r="F2740" s="47">
        <v>9741.5931670906502</v>
      </c>
    </row>
    <row r="2741" spans="3:6" x14ac:dyDescent="0.25">
      <c r="C2741" s="79"/>
      <c r="D2741" s="79"/>
      <c r="E2741" s="47">
        <v>3002.6873256661202</v>
      </c>
      <c r="F2741" s="47">
        <v>9818.9288701809292</v>
      </c>
    </row>
    <row r="2742" spans="3:6" x14ac:dyDescent="0.25">
      <c r="C2742" s="79"/>
      <c r="D2742" s="79"/>
      <c r="E2742" s="47">
        <v>3018.71511195944</v>
      </c>
      <c r="F2742" s="47">
        <v>9880.5179088285604</v>
      </c>
    </row>
    <row r="2743" spans="3:6" x14ac:dyDescent="0.25">
      <c r="C2743" s="79"/>
      <c r="D2743" s="79"/>
      <c r="E2743" s="47">
        <v>3038.5799023188702</v>
      </c>
      <c r="F2743" s="47">
        <v>9931.7813156543998</v>
      </c>
    </row>
    <row r="2744" spans="3:6" x14ac:dyDescent="0.25">
      <c r="C2744" s="79"/>
      <c r="D2744" s="79"/>
      <c r="E2744" s="47">
        <v>3062.7834315004202</v>
      </c>
      <c r="F2744" s="47">
        <v>9976.2064553186901</v>
      </c>
    </row>
    <row r="2745" spans="3:6" x14ac:dyDescent="0.25">
      <c r="C2745" s="79"/>
      <c r="D2745" s="79"/>
      <c r="E2745" s="47">
        <v>3091.81100700143</v>
      </c>
      <c r="F2745" s="47">
        <v>10016.204340750601</v>
      </c>
    </row>
    <row r="2746" spans="3:6" x14ac:dyDescent="0.25">
      <c r="C2746" s="79"/>
      <c r="D2746" s="79"/>
      <c r="E2746" s="47">
        <v>3126.1466739023899</v>
      </c>
      <c r="F2746" s="47">
        <v>10053.424370042299</v>
      </c>
    </row>
    <row r="2747" spans="3:6" x14ac:dyDescent="0.25">
      <c r="C2747" s="79"/>
      <c r="D2747" s="79">
        <v>400</v>
      </c>
      <c r="E2747" s="47">
        <v>2970.4851612891398</v>
      </c>
      <c r="F2747" s="47">
        <v>9692.5989585861007</v>
      </c>
    </row>
    <row r="2748" spans="3:6" x14ac:dyDescent="0.25">
      <c r="C2748" s="79"/>
      <c r="D2748" s="79"/>
      <c r="E2748" s="47">
        <v>2977.2566529987098</v>
      </c>
      <c r="F2748" s="47">
        <v>9931.0121088957294</v>
      </c>
    </row>
    <row r="2749" spans="3:6" x14ac:dyDescent="0.25">
      <c r="C2749" s="79"/>
      <c r="D2749" s="79"/>
      <c r="E2749" s="47">
        <v>2984.9020633984901</v>
      </c>
      <c r="F2749" s="47">
        <v>10086.116911073001</v>
      </c>
    </row>
    <row r="2750" spans="3:6" x14ac:dyDescent="0.25">
      <c r="C2750" s="79"/>
      <c r="D2750" s="79"/>
      <c r="E2750" s="47">
        <v>2994.5816440420299</v>
      </c>
      <c r="F2750" s="47">
        <v>10196.2719346707</v>
      </c>
    </row>
    <row r="2751" spans="3:6" x14ac:dyDescent="0.25">
      <c r="C2751" s="79"/>
      <c r="D2751" s="79"/>
      <c r="E2751" s="47">
        <v>3007.0226116681702</v>
      </c>
      <c r="F2751" s="47">
        <v>10279.601685232399</v>
      </c>
    </row>
    <row r="2752" spans="3:6" x14ac:dyDescent="0.25">
      <c r="C2752" s="79"/>
      <c r="D2752" s="79"/>
      <c r="E2752" s="47">
        <v>3022.8161977239602</v>
      </c>
      <c r="F2752" s="47">
        <v>10345.8981174766</v>
      </c>
    </row>
    <row r="2753" spans="3:6" x14ac:dyDescent="0.25">
      <c r="C2753" s="79"/>
      <c r="D2753" s="79"/>
      <c r="E2753" s="47">
        <v>3042.47502044251</v>
      </c>
      <c r="F2753" s="47">
        <v>10401.0223862372</v>
      </c>
    </row>
    <row r="2754" spans="3:6" x14ac:dyDescent="0.25">
      <c r="C2754" s="79"/>
      <c r="D2754" s="79"/>
      <c r="E2754" s="47">
        <v>3066.4886432698599</v>
      </c>
      <c r="F2754" s="47">
        <v>10448.6781865704</v>
      </c>
    </row>
    <row r="2755" spans="3:6" x14ac:dyDescent="0.25">
      <c r="C2755" s="79"/>
      <c r="D2755" s="79"/>
      <c r="E2755" s="47">
        <v>3095.3495097925202</v>
      </c>
      <c r="F2755" s="47">
        <v>10491.4068516196</v>
      </c>
    </row>
    <row r="2756" spans="3:6" x14ac:dyDescent="0.25">
      <c r="C2756" s="79"/>
      <c r="D2756" s="79"/>
      <c r="E2756" s="47">
        <v>3129.5270358306898</v>
      </c>
      <c r="F2756" s="47">
        <v>10531.0240017831</v>
      </c>
    </row>
    <row r="2757" spans="3:6" x14ac:dyDescent="0.25">
      <c r="C2757" s="79"/>
      <c r="D2757" s="79">
        <v>500</v>
      </c>
      <c r="E2757" s="47">
        <v>2975.0988611664802</v>
      </c>
      <c r="F2757" s="47">
        <v>10119.5382207774</v>
      </c>
    </row>
    <row r="2758" spans="3:6" x14ac:dyDescent="0.25">
      <c r="C2758" s="79"/>
      <c r="D2758" s="79"/>
      <c r="E2758" s="47">
        <v>2981.01753557235</v>
      </c>
      <c r="F2758" s="47">
        <v>10376.0545092458</v>
      </c>
    </row>
    <row r="2759" spans="3:6" x14ac:dyDescent="0.25">
      <c r="C2759" s="79"/>
      <c r="D2759" s="79"/>
      <c r="E2759" s="47">
        <v>2988.0670489219001</v>
      </c>
      <c r="F2759" s="47">
        <v>10542.3375426968</v>
      </c>
    </row>
    <row r="2760" spans="3:6" x14ac:dyDescent="0.25">
      <c r="C2760" s="79"/>
      <c r="D2760" s="79"/>
      <c r="E2760" s="47">
        <v>2997.31141009867</v>
      </c>
      <c r="F2760" s="47">
        <v>10660.2292099034</v>
      </c>
    </row>
    <row r="2761" spans="3:6" x14ac:dyDescent="0.25">
      <c r="C2761" s="79"/>
      <c r="D2761" s="79"/>
      <c r="E2761" s="47">
        <v>3009.4386202086398</v>
      </c>
      <c r="F2761" s="47">
        <v>10749.3828964561</v>
      </c>
    </row>
    <row r="2762" spans="3:6" x14ac:dyDescent="0.25">
      <c r="C2762" s="79"/>
      <c r="D2762" s="79"/>
      <c r="E2762" s="47">
        <v>3024.96639773473</v>
      </c>
      <c r="F2762" s="47">
        <v>10820.3045300495</v>
      </c>
    </row>
    <row r="2763" spans="3:6" x14ac:dyDescent="0.25">
      <c r="C2763" s="79"/>
      <c r="D2763" s="79"/>
      <c r="E2763" s="47">
        <v>3044.4099815936302</v>
      </c>
      <c r="F2763" s="47">
        <v>10879.1941761937</v>
      </c>
    </row>
    <row r="2764" spans="3:6" x14ac:dyDescent="0.25">
      <c r="C2764" s="79"/>
      <c r="D2764" s="79"/>
      <c r="E2764" s="47">
        <v>3068.2526101834401</v>
      </c>
      <c r="F2764" s="47">
        <v>10930.0263595539</v>
      </c>
    </row>
    <row r="2765" spans="3:6" x14ac:dyDescent="0.25">
      <c r="C2765" s="79"/>
      <c r="D2765" s="79"/>
      <c r="E2765" s="47">
        <v>3096.9491987352599</v>
      </c>
      <c r="F2765" s="47">
        <v>10975.5272630498</v>
      </c>
    </row>
    <row r="2766" spans="3:6" x14ac:dyDescent="0.25">
      <c r="C2766" s="79"/>
      <c r="D2766" s="79"/>
      <c r="E2766" s="47">
        <v>3130.9681223307498</v>
      </c>
      <c r="F2766" s="47">
        <v>11017.593977316699</v>
      </c>
    </row>
    <row r="2767" spans="3:6" x14ac:dyDescent="0.25">
      <c r="C2767" s="79"/>
      <c r="D2767" s="79">
        <v>600</v>
      </c>
      <c r="E2767" s="47">
        <v>2978.01942734873</v>
      </c>
      <c r="F2767" s="47">
        <v>10552.5950282412</v>
      </c>
    </row>
    <row r="2768" spans="3:6" x14ac:dyDescent="0.25">
      <c r="C2768" s="79"/>
      <c r="D2768" s="79"/>
      <c r="E2768" s="47">
        <v>2982.9930391262501</v>
      </c>
      <c r="F2768" s="47">
        <v>10826.502629147801</v>
      </c>
    </row>
    <row r="2769" spans="3:6" x14ac:dyDescent="0.25">
      <c r="C2769" s="79"/>
      <c r="D2769" s="79"/>
      <c r="E2769" s="47">
        <v>2989.4668243646902</v>
      </c>
      <c r="F2769" s="47">
        <v>11004.6942092585</v>
      </c>
    </row>
    <row r="2770" spans="3:6" x14ac:dyDescent="0.25">
      <c r="C2770" s="79"/>
      <c r="D2770" s="79"/>
      <c r="E2770" s="47">
        <v>2998.31126883665</v>
      </c>
      <c r="F2770" s="47">
        <v>11131.193449018499</v>
      </c>
    </row>
    <row r="2771" spans="3:6" x14ac:dyDescent="0.25">
      <c r="C2771" s="79"/>
      <c r="D2771" s="79"/>
      <c r="E2771" s="47">
        <v>3010.11058601384</v>
      </c>
      <c r="F2771" s="47">
        <v>11226.8038218652</v>
      </c>
    </row>
    <row r="2772" spans="3:6" x14ac:dyDescent="0.25">
      <c r="C2772" s="79"/>
      <c r="D2772" s="79"/>
      <c r="E2772" s="47">
        <v>3025.3924200574702</v>
      </c>
      <c r="F2772" s="47">
        <v>11302.7461189226</v>
      </c>
    </row>
    <row r="2773" spans="3:6" x14ac:dyDescent="0.25">
      <c r="C2773" s="79"/>
      <c r="D2773" s="79"/>
      <c r="E2773" s="47">
        <v>3044.6198937961199</v>
      </c>
      <c r="F2773" s="47">
        <v>11365.677396085701</v>
      </c>
    </row>
    <row r="2774" spans="3:6" x14ac:dyDescent="0.25">
      <c r="C2774" s="79"/>
      <c r="D2774" s="79"/>
      <c r="E2774" s="47">
        <v>3068.26167235401</v>
      </c>
      <c r="F2774" s="47">
        <v>11419.8781720016</v>
      </c>
    </row>
    <row r="2775" spans="3:6" x14ac:dyDescent="0.25">
      <c r="C2775" s="79"/>
      <c r="D2775" s="79"/>
      <c r="E2775" s="47">
        <v>3096.7829962270698</v>
      </c>
      <c r="F2775" s="47">
        <v>11468.218345567901</v>
      </c>
    </row>
    <row r="2776" spans="3:6" x14ac:dyDescent="0.25">
      <c r="C2776" s="79"/>
      <c r="D2776" s="79"/>
      <c r="E2776" s="47">
        <v>3130.6442115226901</v>
      </c>
      <c r="F2776" s="47">
        <v>11512.743274791699</v>
      </c>
    </row>
    <row r="2777" spans="3:6" x14ac:dyDescent="0.25">
      <c r="C2777" s="79"/>
      <c r="D2777" s="79">
        <v>700</v>
      </c>
      <c r="E2777" s="47">
        <v>2979.35628676032</v>
      </c>
      <c r="F2777" s="47">
        <v>10992.8966988757</v>
      </c>
    </row>
    <row r="2778" spans="3:6" x14ac:dyDescent="0.25">
      <c r="C2778" s="79"/>
      <c r="D2778" s="79"/>
      <c r="E2778" s="47">
        <v>2983.4226468147099</v>
      </c>
      <c r="F2778" s="47">
        <v>11285.148801458299</v>
      </c>
    </row>
    <row r="2779" spans="3:6" x14ac:dyDescent="0.25">
      <c r="C2779" s="79"/>
      <c r="D2779" s="79"/>
      <c r="E2779" s="47">
        <v>2989.2711494975001</v>
      </c>
      <c r="F2779" s="47">
        <v>11474.8820154407</v>
      </c>
    </row>
    <row r="2780" spans="3:6" x14ac:dyDescent="0.25">
      <c r="C2780" s="79"/>
      <c r="D2780" s="79"/>
      <c r="E2780" s="47">
        <v>2997.6535792705999</v>
      </c>
      <c r="F2780" s="47">
        <v>11609.5646314227</v>
      </c>
    </row>
    <row r="2781" spans="3:6" x14ac:dyDescent="0.25">
      <c r="C2781" s="79"/>
      <c r="D2781" s="79"/>
      <c r="E2781" s="47">
        <v>3009.12377162336</v>
      </c>
      <c r="F2781" s="47">
        <v>11711.3283910679</v>
      </c>
    </row>
    <row r="2782" spans="3:6" x14ac:dyDescent="0.25">
      <c r="C2782" s="79"/>
      <c r="D2782" s="79"/>
      <c r="E2782" s="47">
        <v>3024.12071320515</v>
      </c>
      <c r="F2782" s="47">
        <v>11792.135795644699</v>
      </c>
    </row>
    <row r="2783" spans="3:6" x14ac:dyDescent="0.25">
      <c r="C2783" s="79"/>
      <c r="D2783" s="79"/>
      <c r="E2783" s="47">
        <v>3043.1307688270999</v>
      </c>
      <c r="F2783" s="47">
        <v>11859.052764279</v>
      </c>
    </row>
    <row r="2784" spans="3:6" x14ac:dyDescent="0.25">
      <c r="C2784" s="79"/>
      <c r="D2784" s="79"/>
      <c r="E2784" s="47">
        <v>3066.5932219587999</v>
      </c>
      <c r="F2784" s="47">
        <v>11916.593731090899</v>
      </c>
    </row>
    <row r="2785" spans="3:6" x14ac:dyDescent="0.25">
      <c r="C2785" s="79"/>
      <c r="D2785" s="79"/>
      <c r="E2785" s="47">
        <v>3094.9404067086102</v>
      </c>
      <c r="F2785" s="47">
        <v>11967.8271993096</v>
      </c>
    </row>
    <row r="2786" spans="3:6" x14ac:dyDescent="0.25">
      <c r="C2786" s="79"/>
      <c r="D2786" s="79"/>
      <c r="E2786" s="47">
        <v>3128.64080249071</v>
      </c>
      <c r="F2786" s="47">
        <v>12014.8917013888</v>
      </c>
    </row>
    <row r="2787" spans="3:6" x14ac:dyDescent="0.25">
      <c r="C2787" s="79"/>
      <c r="D2787" s="79">
        <v>800</v>
      </c>
      <c r="E2787" s="47">
        <v>2979.2510692677702</v>
      </c>
      <c r="F2787" s="47">
        <v>11438.3239019674</v>
      </c>
    </row>
    <row r="2788" spans="3:6" x14ac:dyDescent="0.25">
      <c r="C2788" s="79"/>
      <c r="D2788" s="79"/>
      <c r="E2788" s="47">
        <v>2982.3195868714602</v>
      </c>
      <c r="F2788" s="47">
        <v>11749.6231654576</v>
      </c>
    </row>
    <row r="2789" spans="3:6" x14ac:dyDescent="0.25">
      <c r="C2789" s="79"/>
      <c r="D2789" s="79"/>
      <c r="E2789" s="47">
        <v>2987.54676044188</v>
      </c>
      <c r="F2789" s="47">
        <v>11952.035753714399</v>
      </c>
    </row>
    <row r="2790" spans="3:6" x14ac:dyDescent="0.25">
      <c r="C2790" s="79"/>
      <c r="D2790" s="79"/>
      <c r="E2790" s="47">
        <v>2995.5017704801098</v>
      </c>
      <c r="F2790" s="47">
        <v>12095.653113119701</v>
      </c>
    </row>
    <row r="2791" spans="3:6" x14ac:dyDescent="0.25">
      <c r="C2791" s="79"/>
      <c r="D2791" s="79"/>
      <c r="E2791" s="47">
        <v>3006.6251799799202</v>
      </c>
      <c r="F2791" s="47">
        <v>12204.091889056899</v>
      </c>
    </row>
    <row r="2792" spans="3:6" x14ac:dyDescent="0.25">
      <c r="C2792" s="79"/>
      <c r="D2792" s="79"/>
      <c r="E2792" s="47">
        <v>3021.3710849263098</v>
      </c>
      <c r="F2792" s="47">
        <v>12289.8748714188</v>
      </c>
    </row>
    <row r="2793" spans="3:6" x14ac:dyDescent="0.25">
      <c r="C2793" s="79"/>
      <c r="D2793" s="79"/>
      <c r="E2793" s="47">
        <v>3040.1462151003102</v>
      </c>
      <c r="F2793" s="47">
        <v>12360.753877585699</v>
      </c>
    </row>
    <row r="2794" spans="3:6" x14ac:dyDescent="0.25">
      <c r="C2794" s="79"/>
      <c r="D2794" s="79"/>
      <c r="E2794" s="47">
        <v>3063.4132867629201</v>
      </c>
      <c r="F2794" s="47">
        <v>12421.612944316401</v>
      </c>
    </row>
    <row r="2795" spans="3:6" x14ac:dyDescent="0.25">
      <c r="C2795" s="79"/>
      <c r="D2795" s="79"/>
      <c r="E2795" s="47">
        <v>3091.5978534538999</v>
      </c>
      <c r="F2795" s="47">
        <v>12475.668704862101</v>
      </c>
    </row>
    <row r="2796" spans="3:6" x14ac:dyDescent="0.25">
      <c r="C2796" s="79"/>
      <c r="D2796" s="79"/>
      <c r="E2796" s="47">
        <v>3125.1256844372901</v>
      </c>
      <c r="F2796" s="47">
        <v>12525.2250893364</v>
      </c>
    </row>
    <row r="2797" spans="3:6" x14ac:dyDescent="0.25">
      <c r="C2797" s="79"/>
      <c r="D2797" s="79">
        <v>900</v>
      </c>
      <c r="E2797" s="47">
        <v>2977.7548502384402</v>
      </c>
      <c r="F2797" s="47">
        <v>11890.940038967299</v>
      </c>
    </row>
    <row r="2798" spans="3:6" x14ac:dyDescent="0.25">
      <c r="C2798" s="79"/>
      <c r="D2798" s="79"/>
      <c r="E2798" s="47">
        <v>2979.8653620068999</v>
      </c>
      <c r="F2798" s="47">
        <v>12220.8444052094</v>
      </c>
    </row>
    <row r="2799" spans="3:6" x14ac:dyDescent="0.25">
      <c r="C2799" s="79"/>
      <c r="D2799" s="79"/>
      <c r="E2799" s="47">
        <v>2984.4603143465101</v>
      </c>
      <c r="F2799" s="47">
        <v>12435.3587460093</v>
      </c>
    </row>
    <row r="2800" spans="3:6" x14ac:dyDescent="0.25">
      <c r="C2800" s="79"/>
      <c r="D2800" s="79"/>
      <c r="E2800" s="47">
        <v>2991.9262524527899</v>
      </c>
      <c r="F2800" s="47">
        <v>12587.5179238858</v>
      </c>
    </row>
    <row r="2801" spans="3:6" x14ac:dyDescent="0.25">
      <c r="C2801" s="79"/>
      <c r="D2801" s="79"/>
      <c r="E2801" s="47">
        <v>3002.69660396468</v>
      </c>
      <c r="F2801" s="47">
        <v>12702.3842568989</v>
      </c>
    </row>
    <row r="2802" spans="3:6" x14ac:dyDescent="0.25">
      <c r="C2802" s="79"/>
      <c r="D2802" s="79"/>
      <c r="E2802" s="47">
        <v>3017.1448569343702</v>
      </c>
      <c r="F2802" s="47">
        <v>12793.438941332701</v>
      </c>
    </row>
    <row r="2803" spans="3:6" x14ac:dyDescent="0.25">
      <c r="C2803" s="79"/>
      <c r="D2803" s="79"/>
      <c r="E2803" s="47">
        <v>3035.6976110289002</v>
      </c>
      <c r="F2803" s="47">
        <v>12868.654263546099</v>
      </c>
    </row>
    <row r="2804" spans="3:6" x14ac:dyDescent="0.25">
      <c r="C2804" s="79"/>
      <c r="D2804" s="79"/>
      <c r="E2804" s="47">
        <v>3058.7475924539799</v>
      </c>
      <c r="F2804" s="47">
        <v>12933.1188668011</v>
      </c>
    </row>
    <row r="2805" spans="3:6" x14ac:dyDescent="0.25">
      <c r="C2805" s="79"/>
      <c r="D2805" s="79"/>
      <c r="E2805" s="47">
        <v>3086.74814039783</v>
      </c>
      <c r="F2805" s="47">
        <v>12990.232657886299</v>
      </c>
    </row>
    <row r="2806" spans="3:6" x14ac:dyDescent="0.25">
      <c r="C2806" s="79"/>
      <c r="D2806" s="79"/>
      <c r="E2806" s="47">
        <v>3120.1336910162399</v>
      </c>
      <c r="F2806" s="47">
        <v>13042.392636674</v>
      </c>
    </row>
    <row r="2807" spans="3:6" x14ac:dyDescent="0.25">
      <c r="C2807" s="79"/>
      <c r="D2807" s="79">
        <v>1000</v>
      </c>
      <c r="E2807" s="47">
        <v>2975.0198992435498</v>
      </c>
      <c r="F2807" s="47">
        <v>12347.6514723898</v>
      </c>
    </row>
    <row r="2808" spans="3:6" x14ac:dyDescent="0.25">
      <c r="C2808" s="79"/>
      <c r="D2808" s="79"/>
      <c r="E2808" s="47">
        <v>2976.0899483149601</v>
      </c>
      <c r="F2808" s="47">
        <v>12698.2828171405</v>
      </c>
    </row>
    <row r="2809" spans="3:6" x14ac:dyDescent="0.25">
      <c r="C2809" s="79"/>
      <c r="D2809" s="79"/>
      <c r="E2809" s="47">
        <v>2979.9887202769701</v>
      </c>
      <c r="F2809" s="47">
        <v>12926.018891673401</v>
      </c>
    </row>
    <row r="2810" spans="3:6" x14ac:dyDescent="0.25">
      <c r="C2810" s="79"/>
      <c r="D2810" s="79"/>
      <c r="E2810" s="47">
        <v>2987.0156352539302</v>
      </c>
      <c r="F2810" s="47">
        <v>13086.866618338399</v>
      </c>
    </row>
    <row r="2811" spans="3:6" x14ac:dyDescent="0.25">
      <c r="C2811" s="79"/>
      <c r="D2811" s="79"/>
      <c r="E2811" s="47">
        <v>2987.0156352539302</v>
      </c>
      <c r="F2811" s="47">
        <v>13086.866618338399</v>
      </c>
    </row>
    <row r="2812" spans="3:6" x14ac:dyDescent="0.25">
      <c r="C2812" s="79"/>
      <c r="D2812" s="79"/>
      <c r="E2812" s="47">
        <v>2987.0156352539302</v>
      </c>
      <c r="F2812" s="47">
        <v>13086.866618338399</v>
      </c>
    </row>
    <row r="2813" spans="3:6" x14ac:dyDescent="0.25">
      <c r="C2813" s="79"/>
      <c r="D2813" s="79"/>
      <c r="E2813" s="47">
        <v>2987.0156352539302</v>
      </c>
      <c r="F2813" s="47">
        <v>13086.866618338399</v>
      </c>
    </row>
    <row r="2814" spans="3:6" x14ac:dyDescent="0.25">
      <c r="C2814" s="79"/>
      <c r="D2814" s="79"/>
      <c r="E2814" s="47">
        <v>2987.0156352539302</v>
      </c>
      <c r="F2814" s="47">
        <v>13086.866618338399</v>
      </c>
    </row>
    <row r="2815" spans="3:6" x14ac:dyDescent="0.25">
      <c r="C2815" s="79"/>
      <c r="D2815" s="79"/>
      <c r="E2815" s="47">
        <v>2987.0156352539302</v>
      </c>
      <c r="F2815" s="47">
        <v>13086.866618338399</v>
      </c>
    </row>
    <row r="2816" spans="3:6" x14ac:dyDescent="0.25">
      <c r="C2816" s="79"/>
      <c r="D2816" s="79"/>
      <c r="E2816" s="47">
        <v>2987.0156352539302</v>
      </c>
      <c r="F2816" s="47">
        <v>13086.866618338399</v>
      </c>
    </row>
    <row r="2817" spans="3:6" x14ac:dyDescent="0.25">
      <c r="C2817" s="79"/>
      <c r="D2817" s="79">
        <v>1100</v>
      </c>
      <c r="E2817" s="47">
        <v>2971.0572318263298</v>
      </c>
      <c r="F2817" s="47">
        <v>12810.3231192823</v>
      </c>
    </row>
    <row r="2818" spans="3:6" x14ac:dyDescent="0.25">
      <c r="C2818" s="79"/>
      <c r="D2818" s="79"/>
      <c r="E2818" s="47">
        <v>2971.0572318263298</v>
      </c>
      <c r="F2818" s="47">
        <v>12810.3231192823</v>
      </c>
    </row>
    <row r="2819" spans="3:6" x14ac:dyDescent="0.25">
      <c r="C2819" s="79"/>
      <c r="D2819" s="79"/>
      <c r="E2819" s="47">
        <v>2971.0572318263298</v>
      </c>
      <c r="F2819" s="47">
        <v>12810.3231192823</v>
      </c>
    </row>
    <row r="2820" spans="3:6" x14ac:dyDescent="0.25">
      <c r="C2820" s="79"/>
      <c r="D2820" s="79"/>
      <c r="E2820" s="47">
        <v>2971.0572318263298</v>
      </c>
      <c r="F2820" s="47">
        <v>12810.3231192823</v>
      </c>
    </row>
    <row r="2821" spans="3:6" x14ac:dyDescent="0.25">
      <c r="C2821" s="79"/>
      <c r="D2821" s="79"/>
      <c r="E2821" s="47">
        <v>2971.0572318263298</v>
      </c>
      <c r="F2821" s="47">
        <v>12810.3231192823</v>
      </c>
    </row>
    <row r="2822" spans="3:6" x14ac:dyDescent="0.25">
      <c r="C2822" s="79"/>
      <c r="D2822" s="79"/>
      <c r="E2822" s="47">
        <v>2971.0572318263298</v>
      </c>
      <c r="F2822" s="47">
        <v>12810.3231192823</v>
      </c>
    </row>
    <row r="2823" spans="3:6" x14ac:dyDescent="0.25">
      <c r="C2823" s="79"/>
      <c r="D2823" s="79"/>
      <c r="E2823" s="47">
        <v>2971.0572318263298</v>
      </c>
      <c r="F2823" s="47">
        <v>12810.3231192823</v>
      </c>
    </row>
    <row r="2824" spans="3:6" x14ac:dyDescent="0.25">
      <c r="C2824" s="79"/>
      <c r="D2824" s="79"/>
      <c r="E2824" s="47">
        <v>2971.0572318263298</v>
      </c>
      <c r="F2824" s="47">
        <v>12810.3231192823</v>
      </c>
    </row>
    <row r="2825" spans="3:6" x14ac:dyDescent="0.25">
      <c r="C2825" s="79"/>
      <c r="D2825" s="79"/>
      <c r="E2825" s="47">
        <v>2971.0572318263298</v>
      </c>
      <c r="F2825" s="47">
        <v>12810.3231192823</v>
      </c>
    </row>
    <row r="2826" spans="3:6" x14ac:dyDescent="0.25">
      <c r="C2826" s="79"/>
      <c r="D2826" s="79"/>
      <c r="E2826" s="47">
        <v>2971.0572318263298</v>
      </c>
      <c r="F2826" s="47">
        <v>12810.3231192823</v>
      </c>
    </row>
  </sheetData>
  <mergeCells count="305">
    <mergeCell ref="C2707:C2826"/>
    <mergeCell ref="D2707:D2716"/>
    <mergeCell ref="D2717:D2726"/>
    <mergeCell ref="D2727:D2736"/>
    <mergeCell ref="D2737:D2746"/>
    <mergeCell ref="D2747:D2756"/>
    <mergeCell ref="D2757:D2766"/>
    <mergeCell ref="D2767:D2776"/>
    <mergeCell ref="D2777:D2786"/>
    <mergeCell ref="D2787:D2796"/>
    <mergeCell ref="D2797:D2806"/>
    <mergeCell ref="D2807:D2816"/>
    <mergeCell ref="D2817:D2826"/>
    <mergeCell ref="C2577:C2706"/>
    <mergeCell ref="D2577:D2586"/>
    <mergeCell ref="D2587:D2596"/>
    <mergeCell ref="D2597:D2606"/>
    <mergeCell ref="D2607:D2616"/>
    <mergeCell ref="D2617:D2626"/>
    <mergeCell ref="D2627:D2636"/>
    <mergeCell ref="D2637:D2646"/>
    <mergeCell ref="D2647:D2656"/>
    <mergeCell ref="D2657:D2666"/>
    <mergeCell ref="D2667:D2676"/>
    <mergeCell ref="D2677:D2686"/>
    <mergeCell ref="D2687:D2696"/>
    <mergeCell ref="D2697:D2706"/>
    <mergeCell ref="C2447:C2576"/>
    <mergeCell ref="D2447:D2456"/>
    <mergeCell ref="D2457:D2466"/>
    <mergeCell ref="D2467:D2476"/>
    <mergeCell ref="D2477:D2486"/>
    <mergeCell ref="D2487:D2496"/>
    <mergeCell ref="D2497:D2506"/>
    <mergeCell ref="D2507:D2516"/>
    <mergeCell ref="D2517:D2526"/>
    <mergeCell ref="D2527:D2536"/>
    <mergeCell ref="D2537:D2546"/>
    <mergeCell ref="D2547:D2556"/>
    <mergeCell ref="D2557:D2566"/>
    <mergeCell ref="D2567:D2576"/>
    <mergeCell ref="C2317:C2446"/>
    <mergeCell ref="D2317:D2326"/>
    <mergeCell ref="D2327:D2336"/>
    <mergeCell ref="D2337:D2346"/>
    <mergeCell ref="D2347:D2356"/>
    <mergeCell ref="D2357:D2366"/>
    <mergeCell ref="D2367:D2376"/>
    <mergeCell ref="D2377:D2386"/>
    <mergeCell ref="D2387:D2396"/>
    <mergeCell ref="D2397:D2406"/>
    <mergeCell ref="D2407:D2416"/>
    <mergeCell ref="D2417:D2426"/>
    <mergeCell ref="D2427:D2436"/>
    <mergeCell ref="D2437:D2446"/>
    <mergeCell ref="C2187:C2316"/>
    <mergeCell ref="D2187:D2196"/>
    <mergeCell ref="D2197:D2206"/>
    <mergeCell ref="D2207:D2216"/>
    <mergeCell ref="D2217:D2226"/>
    <mergeCell ref="D2227:D2236"/>
    <mergeCell ref="D2237:D2246"/>
    <mergeCell ref="D2247:D2256"/>
    <mergeCell ref="D2257:D2266"/>
    <mergeCell ref="D2267:D2276"/>
    <mergeCell ref="D2277:D2286"/>
    <mergeCell ref="D2287:D2296"/>
    <mergeCell ref="D2297:D2306"/>
    <mergeCell ref="D2307:D2316"/>
    <mergeCell ref="C2057:C2186"/>
    <mergeCell ref="D2057:D2066"/>
    <mergeCell ref="D2067:D2076"/>
    <mergeCell ref="D2077:D2086"/>
    <mergeCell ref="D2087:D2096"/>
    <mergeCell ref="D2097:D2106"/>
    <mergeCell ref="D2107:D2116"/>
    <mergeCell ref="D2117:D2126"/>
    <mergeCell ref="D2127:D2136"/>
    <mergeCell ref="D2137:D2146"/>
    <mergeCell ref="D2147:D2156"/>
    <mergeCell ref="D2157:D2166"/>
    <mergeCell ref="D2167:D2176"/>
    <mergeCell ref="D2177:D2186"/>
    <mergeCell ref="C1927:C2056"/>
    <mergeCell ref="D1927:D1936"/>
    <mergeCell ref="D1937:D1946"/>
    <mergeCell ref="D1947:D1956"/>
    <mergeCell ref="D1957:D1966"/>
    <mergeCell ref="D1967:D1976"/>
    <mergeCell ref="D1977:D1986"/>
    <mergeCell ref="D1987:D1996"/>
    <mergeCell ref="D1997:D2006"/>
    <mergeCell ref="D2007:D2016"/>
    <mergeCell ref="D2017:D2026"/>
    <mergeCell ref="D2027:D2036"/>
    <mergeCell ref="D2037:D2046"/>
    <mergeCell ref="D2047:D2056"/>
    <mergeCell ref="C1807:C1926"/>
    <mergeCell ref="D1807:D1816"/>
    <mergeCell ref="D1817:D1826"/>
    <mergeCell ref="D1827:D1836"/>
    <mergeCell ref="D1837:D1846"/>
    <mergeCell ref="D1847:D1856"/>
    <mergeCell ref="D1857:D1866"/>
    <mergeCell ref="D1867:D1876"/>
    <mergeCell ref="D1877:D1886"/>
    <mergeCell ref="D1887:D1896"/>
    <mergeCell ref="D1897:D1906"/>
    <mergeCell ref="D1907:D1916"/>
    <mergeCell ref="D1917:D1926"/>
    <mergeCell ref="C1707:C1806"/>
    <mergeCell ref="D1707:D1716"/>
    <mergeCell ref="D1717:D1726"/>
    <mergeCell ref="D1727:D1736"/>
    <mergeCell ref="D1737:D1746"/>
    <mergeCell ref="D1747:D1756"/>
    <mergeCell ref="D1757:D1766"/>
    <mergeCell ref="D1767:D1776"/>
    <mergeCell ref="D1777:D1786"/>
    <mergeCell ref="D1787:D1796"/>
    <mergeCell ref="D1797:D1806"/>
    <mergeCell ref="C1617:C1706"/>
    <mergeCell ref="D1617:D1626"/>
    <mergeCell ref="D1627:D1636"/>
    <mergeCell ref="D1637:D1646"/>
    <mergeCell ref="D1647:D1656"/>
    <mergeCell ref="D1657:D1666"/>
    <mergeCell ref="D1667:D1676"/>
    <mergeCell ref="D1677:D1686"/>
    <mergeCell ref="D1687:D1696"/>
    <mergeCell ref="D1697:D1706"/>
    <mergeCell ref="C1467:C1536"/>
    <mergeCell ref="D1467:D1476"/>
    <mergeCell ref="D1477:D1486"/>
    <mergeCell ref="D1487:D1496"/>
    <mergeCell ref="D1497:D1506"/>
    <mergeCell ref="D1507:D1516"/>
    <mergeCell ref="D1517:D1526"/>
    <mergeCell ref="D1527:D1536"/>
    <mergeCell ref="C1537:C1616"/>
    <mergeCell ref="D1537:D1546"/>
    <mergeCell ref="D1547:D1556"/>
    <mergeCell ref="D1557:D1566"/>
    <mergeCell ref="D1567:D1576"/>
    <mergeCell ref="D1577:D1586"/>
    <mergeCell ref="D1587:D1596"/>
    <mergeCell ref="D1597:D1606"/>
    <mergeCell ref="D1607:D1616"/>
    <mergeCell ref="C1335:C1464"/>
    <mergeCell ref="D1335:D1344"/>
    <mergeCell ref="D1345:D1354"/>
    <mergeCell ref="D1355:D1364"/>
    <mergeCell ref="D1365:D1374"/>
    <mergeCell ref="D1375:D1384"/>
    <mergeCell ref="D1385:D1394"/>
    <mergeCell ref="D1395:D1404"/>
    <mergeCell ref="D1405:D1414"/>
    <mergeCell ref="D1415:D1424"/>
    <mergeCell ref="D1425:D1434"/>
    <mergeCell ref="D1435:D1444"/>
    <mergeCell ref="D1445:D1454"/>
    <mergeCell ref="D1455:D1464"/>
    <mergeCell ref="C1205:C1334"/>
    <mergeCell ref="D1205:D1214"/>
    <mergeCell ref="D1215:D1224"/>
    <mergeCell ref="D1225:D1234"/>
    <mergeCell ref="D1235:D1244"/>
    <mergeCell ref="D1245:D1254"/>
    <mergeCell ref="D1255:D1264"/>
    <mergeCell ref="D1265:D1274"/>
    <mergeCell ref="D1275:D1284"/>
    <mergeCell ref="D1285:D1294"/>
    <mergeCell ref="D1295:D1304"/>
    <mergeCell ref="D1305:D1314"/>
    <mergeCell ref="D1315:D1324"/>
    <mergeCell ref="D1325:D1334"/>
    <mergeCell ref="C1075:C1204"/>
    <mergeCell ref="D1075:D1084"/>
    <mergeCell ref="D1085:D1094"/>
    <mergeCell ref="D1095:D1104"/>
    <mergeCell ref="D1105:D1114"/>
    <mergeCell ref="D1115:D1124"/>
    <mergeCell ref="D1125:D1134"/>
    <mergeCell ref="D1135:D1144"/>
    <mergeCell ref="D1145:D1154"/>
    <mergeCell ref="D1155:D1164"/>
    <mergeCell ref="D1165:D1174"/>
    <mergeCell ref="D1175:D1184"/>
    <mergeCell ref="D1185:D1194"/>
    <mergeCell ref="D1195:D1204"/>
    <mergeCell ref="C15:C94"/>
    <mergeCell ref="C95:C194"/>
    <mergeCell ref="D105:D114"/>
    <mergeCell ref="D115:D124"/>
    <mergeCell ref="D125:D134"/>
    <mergeCell ref="D135:D144"/>
    <mergeCell ref="D145:D154"/>
    <mergeCell ref="D155:D164"/>
    <mergeCell ref="D165:D174"/>
    <mergeCell ref="D175:D184"/>
    <mergeCell ref="D185:D194"/>
    <mergeCell ref="D85:D94"/>
    <mergeCell ref="D95:D104"/>
    <mergeCell ref="D65:D74"/>
    <mergeCell ref="D75:D84"/>
    <mergeCell ref="D15:D24"/>
    <mergeCell ref="D25:D34"/>
    <mergeCell ref="D35:D44"/>
    <mergeCell ref="D45:D54"/>
    <mergeCell ref="D55:D64"/>
    <mergeCell ref="C195:C304"/>
    <mergeCell ref="D195:D204"/>
    <mergeCell ref="D205:D214"/>
    <mergeCell ref="D215:D224"/>
    <mergeCell ref="D225:D234"/>
    <mergeCell ref="D235:D244"/>
    <mergeCell ref="D245:D254"/>
    <mergeCell ref="D255:D264"/>
    <mergeCell ref="D265:D274"/>
    <mergeCell ref="D275:D284"/>
    <mergeCell ref="D285:D294"/>
    <mergeCell ref="D295:D304"/>
    <mergeCell ref="C305:C424"/>
    <mergeCell ref="D305:D314"/>
    <mergeCell ref="D315:D324"/>
    <mergeCell ref="D325:D334"/>
    <mergeCell ref="D335:D344"/>
    <mergeCell ref="D345:D354"/>
    <mergeCell ref="D355:D364"/>
    <mergeCell ref="D365:D374"/>
    <mergeCell ref="D375:D384"/>
    <mergeCell ref="D385:D394"/>
    <mergeCell ref="D395:D404"/>
    <mergeCell ref="D405:D414"/>
    <mergeCell ref="D415:D424"/>
    <mergeCell ref="C425:C554"/>
    <mergeCell ref="D425:D434"/>
    <mergeCell ref="D435:D444"/>
    <mergeCell ref="D445:D454"/>
    <mergeCell ref="D455:D464"/>
    <mergeCell ref="D595:D604"/>
    <mergeCell ref="D605:D614"/>
    <mergeCell ref="D615:D624"/>
    <mergeCell ref="D625:D634"/>
    <mergeCell ref="D465:D474"/>
    <mergeCell ref="D475:D484"/>
    <mergeCell ref="D485:D494"/>
    <mergeCell ref="D495:D504"/>
    <mergeCell ref="D505:D514"/>
    <mergeCell ref="D515:D524"/>
    <mergeCell ref="D525:D534"/>
    <mergeCell ref="D535:D544"/>
    <mergeCell ref="D545:D554"/>
    <mergeCell ref="C555:C684"/>
    <mergeCell ref="D555:D564"/>
    <mergeCell ref="D565:D574"/>
    <mergeCell ref="D575:D584"/>
    <mergeCell ref="D585:D594"/>
    <mergeCell ref="D645:D654"/>
    <mergeCell ref="D635:D644"/>
    <mergeCell ref="D995:D1004"/>
    <mergeCell ref="D1005:D1014"/>
    <mergeCell ref="D1015:D1024"/>
    <mergeCell ref="D1025:D1034"/>
    <mergeCell ref="D1035:D1044"/>
    <mergeCell ref="D1045:D1054"/>
    <mergeCell ref="D655:D664"/>
    <mergeCell ref="D665:D674"/>
    <mergeCell ref="D675:D684"/>
    <mergeCell ref="D745:D754"/>
    <mergeCell ref="D755:D764"/>
    <mergeCell ref="D765:D774"/>
    <mergeCell ref="D825:D834"/>
    <mergeCell ref="D835:D844"/>
    <mergeCell ref="D845:D854"/>
    <mergeCell ref="D875:D884"/>
    <mergeCell ref="D885:D894"/>
    <mergeCell ref="D895:D904"/>
    <mergeCell ref="D905:D914"/>
    <mergeCell ref="D945:D954"/>
    <mergeCell ref="D955:D964"/>
    <mergeCell ref="D965:D974"/>
    <mergeCell ref="D975:D984"/>
    <mergeCell ref="D1055:D1064"/>
    <mergeCell ref="D1065:D1074"/>
    <mergeCell ref="C685:C814"/>
    <mergeCell ref="D775:D784"/>
    <mergeCell ref="D785:D794"/>
    <mergeCell ref="D795:D804"/>
    <mergeCell ref="D805:D814"/>
    <mergeCell ref="C815:C944"/>
    <mergeCell ref="D815:D824"/>
    <mergeCell ref="D915:D924"/>
    <mergeCell ref="D925:D934"/>
    <mergeCell ref="D935:D944"/>
    <mergeCell ref="D685:D694"/>
    <mergeCell ref="D695:D704"/>
    <mergeCell ref="D705:D714"/>
    <mergeCell ref="D715:D724"/>
    <mergeCell ref="D725:D734"/>
    <mergeCell ref="D735:D744"/>
    <mergeCell ref="D855:D864"/>
    <mergeCell ref="D865:D874"/>
    <mergeCell ref="C945:C1074"/>
    <mergeCell ref="D985:D994"/>
  </mergeCells>
  <pageMargins left="0.7" right="0.7" top="0.75" bottom="0.75" header="0.3" footer="0.3"/>
  <pageSetup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R4"/>
  <sheetViews>
    <sheetView zoomScaleNormal="100" workbookViewId="0">
      <selection activeCell="A5" sqref="A5"/>
    </sheetView>
  </sheetViews>
  <sheetFormatPr defaultRowHeight="15" x14ac:dyDescent="0.25"/>
  <cols>
    <col min="2" max="2" width="8.42578125" bestFit="1" customWidth="1"/>
    <col min="3" max="3" width="15.28515625" bestFit="1" customWidth="1"/>
    <col min="4" max="4" width="8" bestFit="1" customWidth="1"/>
    <col min="5" max="5" width="18" bestFit="1" customWidth="1"/>
    <col min="6" max="6" width="10.5703125" bestFit="1" customWidth="1"/>
    <col min="7" max="7" width="23.7109375" bestFit="1" customWidth="1"/>
    <col min="8" max="8" width="8.28515625" bestFit="1" customWidth="1"/>
    <col min="9" max="9" width="8" bestFit="1" customWidth="1"/>
    <col min="10" max="10" width="10.42578125" bestFit="1" customWidth="1"/>
    <col min="11" max="11" width="9.140625" style="17"/>
    <col min="13" max="13" width="19.42578125" bestFit="1" customWidth="1"/>
    <col min="14" max="14" width="17.28515625" customWidth="1"/>
    <col min="15" max="15" width="9.140625" style="17"/>
  </cols>
  <sheetData>
    <row r="1" spans="1:18" x14ac:dyDescent="0.25">
      <c r="A1" s="81" t="s">
        <v>10</v>
      </c>
      <c r="B1" s="81"/>
      <c r="C1" s="81"/>
      <c r="D1" s="81"/>
      <c r="E1" s="81"/>
      <c r="F1" s="81"/>
      <c r="G1" s="81"/>
      <c r="H1" s="81"/>
      <c r="I1" s="81"/>
      <c r="J1" s="81"/>
      <c r="L1" s="80" t="s">
        <v>11</v>
      </c>
      <c r="M1" s="80"/>
      <c r="N1" s="80"/>
      <c r="P1" s="4"/>
      <c r="Q1" s="4"/>
      <c r="R1" s="4"/>
    </row>
    <row r="2" spans="1:18" x14ac:dyDescent="0.25">
      <c r="B2" s="18" t="s">
        <v>12</v>
      </c>
      <c r="C2" s="18" t="s">
        <v>14</v>
      </c>
      <c r="D2" s="19" t="s">
        <v>13</v>
      </c>
      <c r="E2" s="18" t="s">
        <v>15</v>
      </c>
      <c r="F2" s="19" t="s">
        <v>16</v>
      </c>
      <c r="G2" s="18" t="s">
        <v>17</v>
      </c>
      <c r="H2" s="18" t="s">
        <v>18</v>
      </c>
      <c r="I2" s="18" t="s">
        <v>19</v>
      </c>
      <c r="J2" s="18" t="s">
        <v>22</v>
      </c>
      <c r="M2" s="18" t="s">
        <v>20</v>
      </c>
      <c r="N2" s="18" t="s">
        <v>21</v>
      </c>
    </row>
    <row r="3" spans="1:18" x14ac:dyDescent="0.25">
      <c r="A3" s="16" t="s">
        <v>50</v>
      </c>
      <c r="B3" s="20">
        <v>6000</v>
      </c>
      <c r="C3" s="20">
        <v>20000</v>
      </c>
      <c r="D3" s="20">
        <v>0.99</v>
      </c>
      <c r="E3" s="20">
        <v>20000</v>
      </c>
      <c r="F3" s="20">
        <v>0.99</v>
      </c>
      <c r="G3" s="20">
        <v>2E-3</v>
      </c>
      <c r="H3" s="20">
        <v>100</v>
      </c>
      <c r="I3" s="20">
        <v>0</v>
      </c>
      <c r="J3" s="20">
        <f t="shared" ref="J3" si="0">I3*B3/100</f>
        <v>0</v>
      </c>
      <c r="L3" s="22" t="s">
        <v>3</v>
      </c>
      <c r="M3" s="21" t="s">
        <v>45</v>
      </c>
      <c r="N3" s="21" t="s">
        <v>45</v>
      </c>
    </row>
    <row r="4" spans="1:18" x14ac:dyDescent="0.25">
      <c r="A4" s="16" t="s">
        <v>4</v>
      </c>
      <c r="B4" s="20">
        <v>100000</v>
      </c>
      <c r="C4" s="20">
        <v>20000</v>
      </c>
      <c r="D4" s="20">
        <v>1</v>
      </c>
      <c r="E4" s="20">
        <v>0</v>
      </c>
      <c r="F4" s="20">
        <v>1</v>
      </c>
      <c r="G4" s="20">
        <v>0</v>
      </c>
      <c r="H4" s="20">
        <v>100</v>
      </c>
      <c r="I4" s="20">
        <v>0</v>
      </c>
      <c r="J4" s="20">
        <f t="shared" ref="J4" si="1">I4*B4/100</f>
        <v>0</v>
      </c>
    </row>
  </sheetData>
  <mergeCells count="2">
    <mergeCell ref="L1:N1"/>
    <mergeCell ref="A1:J1"/>
  </mergeCells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:AF1156"/>
  <sheetViews>
    <sheetView topLeftCell="A1139" zoomScaleNormal="100" workbookViewId="0">
      <selection activeCell="E1157" sqref="A1157:XFD1048576"/>
    </sheetView>
  </sheetViews>
  <sheetFormatPr defaultRowHeight="15" x14ac:dyDescent="0.25"/>
  <sheetData>
    <row r="1" spans="1:32" hidden="1" x14ac:dyDescent="0.25">
      <c r="A1" t="str">
        <f>ADDRESS(ROW(D:D), COLUMN(D:D),4)&amp;":"&amp;ADDRESS(LOOKUP(2,1/(D:D&lt;&gt;""),ROW(D:D)),LOOKUP(2,1/(4:4&lt;&gt;""),COLUMN(4:4)),4)</f>
        <v>D1:F1156</v>
      </c>
    </row>
    <row r="2" spans="1:32" ht="15.75" x14ac:dyDescent="0.25">
      <c r="D2" s="23" t="s">
        <v>30</v>
      </c>
      <c r="E2" s="24" t="s">
        <v>11</v>
      </c>
      <c r="F2" s="12"/>
      <c r="G2" s="47"/>
      <c r="I2" s="47"/>
      <c r="J2" s="47"/>
    </row>
    <row r="3" spans="1:32" x14ac:dyDescent="0.25">
      <c r="D3" s="14" t="s">
        <v>47</v>
      </c>
      <c r="E3" s="25" t="s">
        <v>3</v>
      </c>
      <c r="F3" s="26"/>
    </row>
    <row r="4" spans="1:32" s="17" customFormat="1" ht="15.75" thickBot="1" x14ac:dyDescent="0.3">
      <c r="A4" s="27" t="s">
        <v>29</v>
      </c>
      <c r="B4" s="27" t="s">
        <v>0</v>
      </c>
      <c r="C4" s="27" t="s">
        <v>2</v>
      </c>
      <c r="D4" s="28" t="s">
        <v>23</v>
      </c>
      <c r="E4" s="29" t="s">
        <v>23</v>
      </c>
      <c r="F4" s="29" t="s">
        <v>24</v>
      </c>
    </row>
    <row r="5" spans="1:32" x14ac:dyDescent="0.25">
      <c r="A5" s="8">
        <v>1</v>
      </c>
      <c r="B5" s="8">
        <v>1</v>
      </c>
      <c r="C5" s="8">
        <v>8.3333333333333329E-2</v>
      </c>
      <c r="D5" s="46">
        <v>0</v>
      </c>
      <c r="E5" s="78">
        <v>1.3999999999999999E-4</v>
      </c>
      <c r="F5" s="78">
        <v>3.0000000000000001E-5</v>
      </c>
      <c r="J5" s="47"/>
      <c r="K5" s="47"/>
      <c r="AF5" s="9">
        <v>5.9499999999999997E-2</v>
      </c>
    </row>
    <row r="6" spans="1:32" x14ac:dyDescent="0.25">
      <c r="A6" s="8">
        <v>1</v>
      </c>
      <c r="B6" s="8">
        <v>2</v>
      </c>
      <c r="C6" s="8">
        <v>0.16666666666666666</v>
      </c>
      <c r="D6" s="46">
        <v>0</v>
      </c>
      <c r="E6" s="78">
        <v>1.3999999999999999E-4</v>
      </c>
      <c r="F6" s="78">
        <v>3.0000000000000001E-5</v>
      </c>
      <c r="J6" s="47"/>
      <c r="K6" s="47"/>
      <c r="AF6" s="9">
        <v>5.9400000000000001E-2</v>
      </c>
    </row>
    <row r="7" spans="1:32" x14ac:dyDescent="0.25">
      <c r="A7" s="8">
        <v>1</v>
      </c>
      <c r="B7" s="8">
        <v>3</v>
      </c>
      <c r="C7" s="8">
        <v>0.25</v>
      </c>
      <c r="D7" s="46">
        <v>0</v>
      </c>
      <c r="E7" s="78">
        <v>1.3999999999999999E-4</v>
      </c>
      <c r="F7" s="78">
        <v>3.0000000000000001E-5</v>
      </c>
      <c r="J7" s="47"/>
      <c r="K7" s="47"/>
      <c r="AF7" s="9">
        <v>0.05</v>
      </c>
    </row>
    <row r="8" spans="1:32" x14ac:dyDescent="0.25">
      <c r="A8" s="8">
        <v>1</v>
      </c>
      <c r="B8" s="8">
        <v>4</v>
      </c>
      <c r="C8" s="8">
        <v>0.33333333333333331</v>
      </c>
      <c r="D8" s="46">
        <v>0</v>
      </c>
      <c r="E8" s="78">
        <v>1.3999999999999999E-4</v>
      </c>
      <c r="F8" s="78">
        <v>3.0000000000000001E-5</v>
      </c>
      <c r="J8" s="47"/>
      <c r="K8" s="47"/>
      <c r="AF8" s="9">
        <v>0.04</v>
      </c>
    </row>
    <row r="9" spans="1:32" x14ac:dyDescent="0.25">
      <c r="A9" s="8">
        <v>1</v>
      </c>
      <c r="B9" s="8">
        <v>5</v>
      </c>
      <c r="C9" s="8">
        <v>0.41666666666666663</v>
      </c>
      <c r="D9" s="46">
        <v>0</v>
      </c>
      <c r="E9" s="78">
        <v>1.3999999999999999E-4</v>
      </c>
      <c r="F9" s="78">
        <v>3.0000000000000001E-5</v>
      </c>
      <c r="J9" s="47"/>
      <c r="K9" s="47"/>
      <c r="AF9" s="9">
        <v>3.5000000000000003E-2</v>
      </c>
    </row>
    <row r="10" spans="1:32" x14ac:dyDescent="0.25">
      <c r="A10" s="8">
        <v>1</v>
      </c>
      <c r="B10" s="8">
        <v>6</v>
      </c>
      <c r="C10" s="8">
        <v>0.5</v>
      </c>
      <c r="D10" s="46">
        <v>0</v>
      </c>
      <c r="E10" s="78">
        <v>1.3999999999999999E-4</v>
      </c>
      <c r="F10" s="78">
        <v>3.0000000000000001E-5</v>
      </c>
      <c r="J10" s="47"/>
      <c r="K10" s="47"/>
      <c r="AF10" s="9">
        <v>4.8979999999999996E-2</v>
      </c>
    </row>
    <row r="11" spans="1:32" x14ac:dyDescent="0.25">
      <c r="A11" s="8">
        <v>1</v>
      </c>
      <c r="B11" s="8">
        <v>7</v>
      </c>
      <c r="C11" s="8">
        <v>0.58333333333333326</v>
      </c>
      <c r="D11" s="46">
        <v>0</v>
      </c>
      <c r="E11" s="78">
        <v>1.3999999999999999E-4</v>
      </c>
      <c r="F11" s="78">
        <v>3.0000000000000001E-5</v>
      </c>
      <c r="J11" s="47"/>
      <c r="K11" s="47"/>
      <c r="AF11" s="9">
        <v>6.089E-2</v>
      </c>
    </row>
    <row r="12" spans="1:32" x14ac:dyDescent="0.25">
      <c r="A12" s="8">
        <v>1</v>
      </c>
      <c r="B12" s="8">
        <v>8</v>
      </c>
      <c r="C12" s="8">
        <v>0.66666666666666663</v>
      </c>
      <c r="D12" s="46">
        <v>0</v>
      </c>
      <c r="E12" s="78">
        <v>1.3999999999999999E-4</v>
      </c>
      <c r="F12" s="78">
        <v>3.0000000000000001E-5</v>
      </c>
      <c r="J12" s="47"/>
      <c r="K12" s="47"/>
      <c r="AF12" s="10">
        <v>7.1359999999999993E-2</v>
      </c>
    </row>
    <row r="13" spans="1:32" x14ac:dyDescent="0.25">
      <c r="A13" s="8">
        <v>1</v>
      </c>
      <c r="B13" s="8">
        <v>9</v>
      </c>
      <c r="C13" s="8">
        <v>0.75</v>
      </c>
      <c r="D13" s="46">
        <v>0</v>
      </c>
      <c r="E13" s="78">
        <v>1.3999999999999999E-4</v>
      </c>
      <c r="F13" s="78">
        <v>3.0000000000000001E-5</v>
      </c>
      <c r="J13" s="47"/>
      <c r="K13" s="47"/>
      <c r="AF13" s="11">
        <v>7.0000000000000007E-2</v>
      </c>
    </row>
    <row r="14" spans="1:32" x14ac:dyDescent="0.25">
      <c r="A14" s="8">
        <v>1</v>
      </c>
      <c r="B14" s="8">
        <v>10</v>
      </c>
      <c r="C14" s="8">
        <v>0.83333333333333326</v>
      </c>
      <c r="D14" s="46">
        <v>0</v>
      </c>
      <c r="E14" s="78">
        <v>1.3999999999999999E-4</v>
      </c>
      <c r="F14" s="78">
        <v>3.0000000000000001E-5</v>
      </c>
      <c r="J14" s="47"/>
      <c r="K14" s="47"/>
      <c r="AF14" s="11">
        <v>7.6680000000000012E-2</v>
      </c>
    </row>
    <row r="15" spans="1:32" x14ac:dyDescent="0.25">
      <c r="A15" s="8">
        <v>1</v>
      </c>
      <c r="B15" s="8">
        <v>11</v>
      </c>
      <c r="C15" s="8">
        <v>0.91666666666666663</v>
      </c>
      <c r="D15" s="46">
        <v>0</v>
      </c>
      <c r="E15" s="78">
        <v>1.3999999999999999E-4</v>
      </c>
      <c r="F15" s="78">
        <v>3.0000000000000001E-5</v>
      </c>
      <c r="J15" s="47"/>
      <c r="K15" s="47"/>
      <c r="AF15" s="11">
        <v>7.3459999999999998E-2</v>
      </c>
    </row>
    <row r="16" spans="1:32" x14ac:dyDescent="0.25">
      <c r="A16" s="8">
        <v>1</v>
      </c>
      <c r="B16" s="8">
        <v>12</v>
      </c>
      <c r="C16" s="8">
        <v>1</v>
      </c>
      <c r="D16" s="46">
        <v>0</v>
      </c>
      <c r="E16" s="78">
        <v>1.3999999999999999E-4</v>
      </c>
      <c r="F16" s="78">
        <v>3.0000000000000001E-5</v>
      </c>
      <c r="J16" s="47"/>
      <c r="K16" s="47"/>
      <c r="AF16" s="11">
        <v>8.0099999999999991E-2</v>
      </c>
    </row>
    <row r="17" spans="1:32" x14ac:dyDescent="0.25">
      <c r="A17" s="8">
        <v>1</v>
      </c>
      <c r="B17" s="8">
        <v>13</v>
      </c>
      <c r="C17" s="8">
        <v>1.0833333333333333</v>
      </c>
      <c r="D17" s="46">
        <v>0</v>
      </c>
      <c r="E17" s="78">
        <v>1.3999999999999999E-4</v>
      </c>
      <c r="F17" s="78">
        <v>3.0000000000000001E-5</v>
      </c>
      <c r="J17" s="47"/>
      <c r="K17" s="47"/>
      <c r="AF17" s="11">
        <v>6.5069999999999989E-2</v>
      </c>
    </row>
    <row r="18" spans="1:32" x14ac:dyDescent="0.25">
      <c r="A18" s="8">
        <v>1</v>
      </c>
      <c r="B18" s="8">
        <v>14</v>
      </c>
      <c r="C18" s="8">
        <v>1.1666666666666665</v>
      </c>
      <c r="D18" s="46">
        <v>0</v>
      </c>
      <c r="E18" s="78">
        <v>1.3999999999999999E-4</v>
      </c>
      <c r="F18" s="78">
        <v>3.0000000000000001E-5</v>
      </c>
      <c r="J18" s="47"/>
      <c r="K18" s="47"/>
      <c r="AF18" s="11">
        <v>6.1329999999999996E-2</v>
      </c>
    </row>
    <row r="19" spans="1:32" x14ac:dyDescent="0.25">
      <c r="A19" s="8">
        <v>1</v>
      </c>
      <c r="B19" s="8">
        <v>15</v>
      </c>
      <c r="C19" s="8">
        <v>1.25</v>
      </c>
      <c r="D19" s="46">
        <v>0</v>
      </c>
      <c r="E19" s="78">
        <v>1.3999999999999999E-4</v>
      </c>
      <c r="F19" s="78">
        <v>3.0000000000000001E-5</v>
      </c>
      <c r="J19" s="47"/>
      <c r="K19" s="47"/>
      <c r="AF19" s="11">
        <v>6.123E-2</v>
      </c>
    </row>
    <row r="20" spans="1:32" x14ac:dyDescent="0.25">
      <c r="A20" s="8">
        <v>1</v>
      </c>
      <c r="B20" s="8">
        <v>16</v>
      </c>
      <c r="C20" s="8">
        <v>1.3333333333333333</v>
      </c>
      <c r="D20" s="46">
        <v>0</v>
      </c>
      <c r="E20" s="78">
        <v>1.3999999999999999E-4</v>
      </c>
      <c r="F20" s="78">
        <v>3.0000000000000001E-5</v>
      </c>
      <c r="J20" s="47"/>
      <c r="K20" s="47"/>
      <c r="AF20" s="11">
        <v>6.2630000000000005E-2</v>
      </c>
    </row>
    <row r="21" spans="1:32" x14ac:dyDescent="0.25">
      <c r="A21" s="8">
        <v>1</v>
      </c>
      <c r="B21" s="8">
        <v>17</v>
      </c>
      <c r="C21" s="8">
        <v>1.4166666666666665</v>
      </c>
      <c r="D21" s="46">
        <v>0</v>
      </c>
      <c r="E21" s="78">
        <v>1.3999999999999999E-4</v>
      </c>
      <c r="F21" s="78">
        <v>3.0000000000000001E-5</v>
      </c>
      <c r="J21" s="47"/>
      <c r="K21" s="47"/>
      <c r="AF21" s="11">
        <v>6.5000000000000002E-2</v>
      </c>
    </row>
    <row r="22" spans="1:32" x14ac:dyDescent="0.25">
      <c r="A22" s="8">
        <v>1</v>
      </c>
      <c r="B22" s="8">
        <v>18</v>
      </c>
      <c r="C22" s="8">
        <v>1.5</v>
      </c>
      <c r="D22" s="46">
        <v>0</v>
      </c>
      <c r="E22" s="78">
        <v>1.3999999999999999E-4</v>
      </c>
      <c r="F22" s="78">
        <v>3.0000000000000001E-5</v>
      </c>
      <c r="J22" s="47"/>
      <c r="K22" s="47"/>
      <c r="AF22" s="11">
        <v>7.0379999999999998E-2</v>
      </c>
    </row>
    <row r="23" spans="1:32" x14ac:dyDescent="0.25">
      <c r="A23" s="8">
        <v>1</v>
      </c>
      <c r="B23" s="8">
        <v>19</v>
      </c>
      <c r="C23" s="8">
        <v>1.5833333333333333</v>
      </c>
      <c r="D23" s="46">
        <v>0</v>
      </c>
      <c r="E23" s="78">
        <v>1.3999999999999999E-4</v>
      </c>
      <c r="F23" s="78">
        <v>3.0000000000000001E-5</v>
      </c>
      <c r="J23" s="47"/>
      <c r="K23" s="47"/>
      <c r="AF23" s="11">
        <v>7.1999999999999995E-2</v>
      </c>
    </row>
    <row r="24" spans="1:32" x14ac:dyDescent="0.25">
      <c r="A24" s="8">
        <v>1</v>
      </c>
      <c r="B24" s="8">
        <v>20</v>
      </c>
      <c r="C24" s="8">
        <v>1.6666666666666665</v>
      </c>
      <c r="D24" s="46">
        <v>0</v>
      </c>
      <c r="E24" s="78">
        <v>1.3999999999999999E-4</v>
      </c>
      <c r="F24" s="78">
        <v>3.0000000000000001E-5</v>
      </c>
      <c r="J24" s="47"/>
      <c r="K24" s="47"/>
      <c r="AF24" s="10">
        <v>7.3439999999999991E-2</v>
      </c>
    </row>
    <row r="25" spans="1:32" x14ac:dyDescent="0.25">
      <c r="A25" s="8">
        <v>1</v>
      </c>
      <c r="B25" s="8">
        <v>21</v>
      </c>
      <c r="C25" s="8">
        <v>1.75</v>
      </c>
      <c r="D25" s="46">
        <v>0</v>
      </c>
      <c r="E25" s="78">
        <v>1.3999999999999999E-4</v>
      </c>
      <c r="F25" s="78">
        <v>3.0000000000000001E-5</v>
      </c>
      <c r="J25" s="47"/>
      <c r="K25" s="47"/>
      <c r="AF25" s="10">
        <v>6.9949999999999998E-2</v>
      </c>
    </row>
    <row r="26" spans="1:32" x14ac:dyDescent="0.25">
      <c r="A26" s="8">
        <v>1</v>
      </c>
      <c r="B26" s="8">
        <v>22</v>
      </c>
      <c r="C26" s="8">
        <v>1.8333333333333333</v>
      </c>
      <c r="D26" s="46">
        <v>0</v>
      </c>
      <c r="E26" s="78">
        <v>1.3999999999999999E-4</v>
      </c>
      <c r="F26" s="78">
        <v>3.0000000000000001E-5</v>
      </c>
      <c r="J26" s="47"/>
      <c r="K26" s="47"/>
      <c r="AF26" s="10">
        <v>6.4649999999999999E-2</v>
      </c>
    </row>
    <row r="27" spans="1:32" x14ac:dyDescent="0.25">
      <c r="A27" s="8">
        <v>1</v>
      </c>
      <c r="B27" s="8">
        <v>23</v>
      </c>
      <c r="C27" s="8">
        <v>1.9166666666666665</v>
      </c>
      <c r="D27" s="46">
        <v>0</v>
      </c>
      <c r="E27" s="78">
        <v>1.3999999999999999E-4</v>
      </c>
      <c r="F27" s="78">
        <v>3.0000000000000001E-5</v>
      </c>
      <c r="J27" s="47"/>
      <c r="K27" s="47"/>
      <c r="AF27" s="10">
        <v>6.1310000000000003E-2</v>
      </c>
    </row>
    <row r="28" spans="1:32" x14ac:dyDescent="0.25">
      <c r="A28" s="8">
        <v>1</v>
      </c>
      <c r="B28" s="8">
        <v>24</v>
      </c>
      <c r="C28" s="8">
        <v>2</v>
      </c>
      <c r="D28" s="46">
        <v>0</v>
      </c>
      <c r="E28" s="78">
        <v>1.3999999999999999E-4</v>
      </c>
      <c r="F28" s="78">
        <v>3.0000000000000001E-5</v>
      </c>
      <c r="J28" s="47"/>
      <c r="K28" s="47"/>
      <c r="AF28" s="9">
        <v>5.5E-2</v>
      </c>
    </row>
    <row r="29" spans="1:32" x14ac:dyDescent="0.25">
      <c r="A29" s="8">
        <v>1</v>
      </c>
      <c r="B29" s="8">
        <v>25</v>
      </c>
      <c r="C29" s="8">
        <v>2.083333333333333</v>
      </c>
      <c r="D29" s="46">
        <v>0</v>
      </c>
      <c r="E29" s="78">
        <v>1.3999999999999999E-4</v>
      </c>
      <c r="F29" s="78">
        <v>3.0000000000000001E-5</v>
      </c>
      <c r="J29" s="47"/>
      <c r="K29" s="47"/>
      <c r="AF29" s="9">
        <v>4.13076E-2</v>
      </c>
    </row>
    <row r="30" spans="1:32" x14ac:dyDescent="0.25">
      <c r="A30" s="8">
        <v>1</v>
      </c>
      <c r="B30" s="8">
        <v>26</v>
      </c>
      <c r="C30" s="8">
        <v>2.1666666666666665</v>
      </c>
      <c r="D30" s="46">
        <v>0</v>
      </c>
      <c r="E30" s="78">
        <v>1.3999999999999999E-4</v>
      </c>
      <c r="F30" s="78">
        <v>3.0000000000000001E-5</v>
      </c>
      <c r="J30" s="47"/>
      <c r="K30" s="47"/>
      <c r="AF30" s="9">
        <v>2.419E-2</v>
      </c>
    </row>
    <row r="31" spans="1:32" x14ac:dyDescent="0.25">
      <c r="A31" s="8">
        <v>1</v>
      </c>
      <c r="B31" s="8">
        <v>27</v>
      </c>
      <c r="C31" s="8">
        <v>2.25</v>
      </c>
      <c r="D31" s="46">
        <v>0</v>
      </c>
      <c r="E31" s="78">
        <v>1.3999999999999999E-4</v>
      </c>
      <c r="F31" s="78">
        <v>3.0000000000000001E-5</v>
      </c>
      <c r="J31" s="47"/>
      <c r="K31" s="47"/>
      <c r="AF31" s="9">
        <v>1.4930000000000001E-2</v>
      </c>
    </row>
    <row r="32" spans="1:32" x14ac:dyDescent="0.25">
      <c r="A32" s="8">
        <v>1</v>
      </c>
      <c r="B32" s="8">
        <v>28</v>
      </c>
      <c r="C32" s="8">
        <v>2.333333333333333</v>
      </c>
      <c r="D32" s="46">
        <v>0</v>
      </c>
      <c r="E32" s="78">
        <v>1.3999999999999999E-4</v>
      </c>
      <c r="F32" s="78">
        <v>3.0000000000000001E-5</v>
      </c>
      <c r="J32" s="47"/>
      <c r="K32" s="47"/>
      <c r="AF32" s="9">
        <v>9.2200000000000008E-3</v>
      </c>
    </row>
    <row r="33" spans="1:32" x14ac:dyDescent="0.25">
      <c r="A33" s="8">
        <v>1</v>
      </c>
      <c r="B33" s="8">
        <v>29</v>
      </c>
      <c r="C33" s="8">
        <v>2.4166666666666665</v>
      </c>
      <c r="D33" s="46">
        <v>0</v>
      </c>
      <c r="E33" s="78">
        <v>1.3999999999999999E-4</v>
      </c>
      <c r="F33" s="78">
        <v>3.0000000000000001E-5</v>
      </c>
      <c r="J33" s="47"/>
      <c r="K33" s="47"/>
      <c r="AF33" s="9">
        <v>8.7299999999999999E-3</v>
      </c>
    </row>
    <row r="34" spans="1:32" x14ac:dyDescent="0.25">
      <c r="A34" s="8">
        <v>1</v>
      </c>
      <c r="B34" s="8">
        <v>30</v>
      </c>
      <c r="C34" s="8">
        <v>2.5</v>
      </c>
      <c r="D34" s="46">
        <v>0</v>
      </c>
      <c r="E34" s="78">
        <v>1.3999999999999999E-4</v>
      </c>
      <c r="F34" s="78">
        <v>3.0000000000000001E-5</v>
      </c>
      <c r="J34" s="47"/>
      <c r="K34" s="47"/>
      <c r="AF34" s="9">
        <v>1.001E-2</v>
      </c>
    </row>
    <row r="35" spans="1:32" x14ac:dyDescent="0.25">
      <c r="A35" s="8">
        <v>1</v>
      </c>
      <c r="B35" s="8">
        <v>31</v>
      </c>
      <c r="C35" s="8">
        <v>2.583333333333333</v>
      </c>
      <c r="D35" s="46">
        <v>0</v>
      </c>
      <c r="E35" s="78">
        <v>1.3999999999999999E-4</v>
      </c>
      <c r="F35" s="78">
        <v>3.0000000000000001E-5</v>
      </c>
      <c r="J35" s="47"/>
      <c r="K35" s="47"/>
      <c r="AF35" s="9">
        <v>1.435E-2</v>
      </c>
    </row>
    <row r="36" spans="1:32" x14ac:dyDescent="0.25">
      <c r="A36" s="8">
        <v>1</v>
      </c>
      <c r="B36" s="8">
        <v>32</v>
      </c>
      <c r="C36" s="8">
        <v>2.6666666666666665</v>
      </c>
      <c r="D36" s="46">
        <v>0</v>
      </c>
      <c r="E36" s="78">
        <v>1.3999999999999999E-4</v>
      </c>
      <c r="F36" s="78">
        <v>3.0000000000000001E-5</v>
      </c>
      <c r="J36" s="47"/>
      <c r="K36" s="47"/>
      <c r="AF36" s="10">
        <v>1.7569999999999999E-2</v>
      </c>
    </row>
    <row r="37" spans="1:32" x14ac:dyDescent="0.25">
      <c r="A37" s="8">
        <v>1</v>
      </c>
      <c r="B37" s="8">
        <v>33</v>
      </c>
      <c r="C37" s="8">
        <v>2.75</v>
      </c>
      <c r="D37" s="46">
        <v>0</v>
      </c>
      <c r="E37" s="78">
        <v>1.3999999999999999E-4</v>
      </c>
      <c r="F37" s="78">
        <v>3.0000000000000001E-5</v>
      </c>
      <c r="J37" s="47"/>
      <c r="K37" s="47"/>
      <c r="AF37" s="11">
        <v>3.0329999999999999E-2</v>
      </c>
    </row>
    <row r="38" spans="1:32" x14ac:dyDescent="0.25">
      <c r="A38" s="8">
        <v>1</v>
      </c>
      <c r="B38" s="8">
        <v>34</v>
      </c>
      <c r="C38" s="8">
        <v>2.833333333333333</v>
      </c>
      <c r="D38" s="46">
        <v>0</v>
      </c>
      <c r="E38" s="78">
        <v>1.3999999999999999E-4</v>
      </c>
      <c r="F38" s="78">
        <v>3.0000000000000001E-5</v>
      </c>
      <c r="J38" s="47"/>
      <c r="K38" s="47"/>
      <c r="AF38" s="11">
        <v>5.5E-2</v>
      </c>
    </row>
    <row r="39" spans="1:32" x14ac:dyDescent="0.25">
      <c r="A39" s="8">
        <v>1</v>
      </c>
      <c r="B39" s="8">
        <v>35</v>
      </c>
      <c r="C39" s="8">
        <v>2.9166666666666665</v>
      </c>
      <c r="D39" s="46">
        <v>0</v>
      </c>
      <c r="E39" s="78">
        <v>1.3999999999999999E-4</v>
      </c>
      <c r="F39" s="78">
        <v>3.0000000000000001E-5</v>
      </c>
      <c r="J39" s="47"/>
      <c r="K39" s="47"/>
      <c r="AF39" s="11">
        <v>5.9420000000000001E-2</v>
      </c>
    </row>
    <row r="40" spans="1:32" x14ac:dyDescent="0.25">
      <c r="A40" s="8">
        <v>1</v>
      </c>
      <c r="B40" s="8">
        <v>36</v>
      </c>
      <c r="C40" s="8">
        <v>3</v>
      </c>
      <c r="D40" s="46">
        <v>0</v>
      </c>
      <c r="E40" s="78">
        <v>1.3999999999999999E-4</v>
      </c>
      <c r="F40" s="78">
        <v>3.0000000000000001E-5</v>
      </c>
      <c r="J40" s="47"/>
      <c r="K40" s="47"/>
      <c r="AF40" s="11">
        <v>6.0020000000000004E-2</v>
      </c>
    </row>
    <row r="41" spans="1:32" x14ac:dyDescent="0.25">
      <c r="A41" s="8">
        <v>1</v>
      </c>
      <c r="B41" s="8">
        <v>37</v>
      </c>
      <c r="C41" s="8">
        <v>3.083333333333333</v>
      </c>
      <c r="D41" s="46">
        <v>0</v>
      </c>
      <c r="E41" s="78">
        <v>1.3999999999999999E-4</v>
      </c>
      <c r="F41" s="78">
        <v>3.0000000000000001E-5</v>
      </c>
      <c r="J41" s="47"/>
      <c r="K41" s="47"/>
      <c r="AF41" s="11">
        <v>5.8700000000000002E-2</v>
      </c>
    </row>
    <row r="42" spans="1:32" x14ac:dyDescent="0.25">
      <c r="A42" s="8">
        <v>1</v>
      </c>
      <c r="B42" s="8">
        <v>38</v>
      </c>
      <c r="C42" s="8">
        <v>3.1666666666666665</v>
      </c>
      <c r="D42" s="46">
        <v>0</v>
      </c>
      <c r="E42" s="78">
        <v>1.3999999999999999E-4</v>
      </c>
      <c r="F42" s="78">
        <v>3.0000000000000001E-5</v>
      </c>
      <c r="J42" s="47"/>
      <c r="K42" s="47"/>
      <c r="AF42" s="11">
        <v>4.9950000000000001E-2</v>
      </c>
    </row>
    <row r="43" spans="1:32" x14ac:dyDescent="0.25">
      <c r="A43" s="8">
        <v>1</v>
      </c>
      <c r="B43" s="8">
        <v>39</v>
      </c>
      <c r="C43" s="8">
        <v>3.25</v>
      </c>
      <c r="D43" s="46">
        <v>0</v>
      </c>
      <c r="E43" s="78">
        <v>1.3999999999999999E-4</v>
      </c>
      <c r="F43" s="78">
        <v>3.0000000000000001E-5</v>
      </c>
      <c r="J43" s="47"/>
      <c r="K43" s="47"/>
      <c r="AF43" s="11">
        <v>4.6551309999999999E-2</v>
      </c>
    </row>
    <row r="44" spans="1:32" x14ac:dyDescent="0.25">
      <c r="A44" s="8">
        <v>1</v>
      </c>
      <c r="B44" s="8">
        <v>40</v>
      </c>
      <c r="C44" s="8">
        <v>3.333333333333333</v>
      </c>
      <c r="D44" s="46">
        <v>0</v>
      </c>
      <c r="E44" s="78">
        <v>1.3999999999999999E-4</v>
      </c>
      <c r="F44" s="78">
        <v>3.0000000000000001E-5</v>
      </c>
      <c r="J44" s="47"/>
      <c r="K44" s="47"/>
      <c r="AF44" s="11">
        <v>5.0009999999999999E-2</v>
      </c>
    </row>
    <row r="45" spans="1:32" x14ac:dyDescent="0.25">
      <c r="A45" s="8">
        <v>1</v>
      </c>
      <c r="B45" s="8">
        <v>41</v>
      </c>
      <c r="C45" s="8">
        <v>3.4166666666666665</v>
      </c>
      <c r="D45" s="46">
        <v>0</v>
      </c>
      <c r="E45" s="78">
        <v>1.3999999999999999E-4</v>
      </c>
      <c r="F45" s="78">
        <v>3.0000000000000001E-5</v>
      </c>
      <c r="J45" s="47"/>
      <c r="K45" s="47"/>
      <c r="AF45" s="11">
        <v>5.9670000000000001E-2</v>
      </c>
    </row>
    <row r="46" spans="1:32" x14ac:dyDescent="0.25">
      <c r="A46" s="8">
        <v>1</v>
      </c>
      <c r="B46" s="8">
        <v>42</v>
      </c>
      <c r="C46" s="8">
        <v>3.5</v>
      </c>
      <c r="D46" s="46">
        <v>0</v>
      </c>
      <c r="E46" s="78">
        <v>1.3999999999999999E-4</v>
      </c>
      <c r="F46" s="78">
        <v>3.0000000000000001E-5</v>
      </c>
      <c r="J46" s="47"/>
      <c r="K46" s="47"/>
      <c r="AF46" s="11">
        <v>6.8049999999999999E-2</v>
      </c>
    </row>
    <row r="47" spans="1:32" x14ac:dyDescent="0.25">
      <c r="A47" s="8">
        <v>1</v>
      </c>
      <c r="B47" s="8">
        <v>43</v>
      </c>
      <c r="C47" s="8">
        <v>3.583333333333333</v>
      </c>
      <c r="D47" s="46">
        <v>0</v>
      </c>
      <c r="E47" s="78">
        <v>1.3999999999999999E-4</v>
      </c>
      <c r="F47" s="78">
        <v>3.0000000000000001E-5</v>
      </c>
      <c r="J47" s="47"/>
      <c r="K47" s="47"/>
      <c r="AF47" s="11">
        <v>7.0040000000000005E-2</v>
      </c>
    </row>
    <row r="48" spans="1:32" x14ac:dyDescent="0.25">
      <c r="A48" s="8">
        <v>1</v>
      </c>
      <c r="B48" s="8">
        <v>44</v>
      </c>
      <c r="C48" s="8">
        <v>3.6666666666666665</v>
      </c>
      <c r="D48" s="46">
        <v>0</v>
      </c>
      <c r="E48" s="78">
        <v>1.3999999999999999E-4</v>
      </c>
      <c r="F48" s="78">
        <v>3.0000000000000001E-5</v>
      </c>
      <c r="J48" s="47"/>
      <c r="K48" s="47"/>
      <c r="AF48" s="10">
        <v>7.4150000000000008E-2</v>
      </c>
    </row>
    <row r="49" spans="1:32" x14ac:dyDescent="0.25">
      <c r="A49" s="8">
        <v>1</v>
      </c>
      <c r="B49" s="8">
        <v>45</v>
      </c>
      <c r="C49" s="8">
        <v>3.75</v>
      </c>
      <c r="D49" s="46">
        <v>0</v>
      </c>
      <c r="E49" s="78">
        <v>1.3999999999999999E-4</v>
      </c>
      <c r="F49" s="78">
        <v>3.0000000000000001E-5</v>
      </c>
      <c r="J49" s="47"/>
      <c r="K49" s="47"/>
      <c r="AF49" s="10">
        <v>7.0379999999999998E-2</v>
      </c>
    </row>
    <row r="50" spans="1:32" x14ac:dyDescent="0.25">
      <c r="A50" s="8">
        <v>1</v>
      </c>
      <c r="B50" s="8">
        <v>46</v>
      </c>
      <c r="C50" s="8">
        <v>3.833333333333333</v>
      </c>
      <c r="D50" s="46">
        <v>0</v>
      </c>
      <c r="E50" s="78">
        <v>1.3999999999999999E-4</v>
      </c>
      <c r="F50" s="78">
        <v>3.0000000000000001E-5</v>
      </c>
      <c r="J50" s="47"/>
      <c r="K50" s="47"/>
      <c r="AF50" s="10">
        <v>6.5049999999999997E-2</v>
      </c>
    </row>
    <row r="51" spans="1:32" x14ac:dyDescent="0.25">
      <c r="A51" s="8">
        <v>1</v>
      </c>
      <c r="B51" s="8">
        <v>47</v>
      </c>
      <c r="C51" s="8">
        <v>3.9166666666666665</v>
      </c>
      <c r="D51" s="46">
        <v>0</v>
      </c>
      <c r="E51" s="78">
        <v>1.3999999999999999E-4</v>
      </c>
      <c r="F51" s="78">
        <v>3.0000000000000001E-5</v>
      </c>
      <c r="J51" s="47"/>
      <c r="K51" s="47"/>
      <c r="AF51" s="10">
        <v>6.1100000000000002E-2</v>
      </c>
    </row>
    <row r="52" spans="1:32" x14ac:dyDescent="0.25">
      <c r="A52" s="8">
        <v>1</v>
      </c>
      <c r="B52" s="8">
        <v>48</v>
      </c>
      <c r="C52" s="8">
        <v>4</v>
      </c>
      <c r="D52" s="46">
        <v>0</v>
      </c>
      <c r="E52" s="78">
        <v>1.3999999999999999E-4</v>
      </c>
      <c r="F52" s="78">
        <v>3.0000000000000001E-5</v>
      </c>
      <c r="J52" s="47"/>
      <c r="K52" s="47"/>
      <c r="AF52" s="9">
        <v>5.8000000000000003E-2</v>
      </c>
    </row>
    <row r="53" spans="1:32" x14ac:dyDescent="0.25">
      <c r="A53" s="8">
        <v>1</v>
      </c>
      <c r="B53" s="8">
        <v>49</v>
      </c>
      <c r="C53" s="8">
        <v>4.083333333333333</v>
      </c>
      <c r="D53" s="46">
        <v>0</v>
      </c>
      <c r="E53" s="78">
        <v>1.3999999999999999E-4</v>
      </c>
      <c r="F53" s="78">
        <v>3.0000000000000001E-5</v>
      </c>
      <c r="J53" s="47"/>
      <c r="K53" s="47"/>
    </row>
    <row r="54" spans="1:32" x14ac:dyDescent="0.25">
      <c r="A54" s="8">
        <v>1</v>
      </c>
      <c r="B54" s="8">
        <v>50</v>
      </c>
      <c r="C54" s="8">
        <v>4.1666666666666661</v>
      </c>
      <c r="D54" s="46">
        <v>0</v>
      </c>
      <c r="E54" s="78">
        <v>1.3999999999999999E-4</v>
      </c>
      <c r="F54" s="78">
        <v>3.0000000000000001E-5</v>
      </c>
      <c r="J54" s="47"/>
      <c r="K54" s="47"/>
    </row>
    <row r="55" spans="1:32" x14ac:dyDescent="0.25">
      <c r="A55" s="8">
        <v>1</v>
      </c>
      <c r="B55" s="8">
        <v>51</v>
      </c>
      <c r="C55" s="8">
        <v>4.25</v>
      </c>
      <c r="D55" s="46">
        <v>0</v>
      </c>
      <c r="E55" s="78">
        <v>1.3999999999999999E-4</v>
      </c>
      <c r="F55" s="78">
        <v>3.0000000000000001E-5</v>
      </c>
      <c r="J55" s="47"/>
      <c r="K55" s="47"/>
    </row>
    <row r="56" spans="1:32" x14ac:dyDescent="0.25">
      <c r="A56" s="8">
        <v>1</v>
      </c>
      <c r="B56" s="8">
        <v>52</v>
      </c>
      <c r="C56" s="8">
        <v>4.333333333333333</v>
      </c>
      <c r="D56" s="46">
        <v>0</v>
      </c>
      <c r="E56" s="78">
        <v>1.3999999999999999E-4</v>
      </c>
      <c r="F56" s="78">
        <v>3.0000000000000001E-5</v>
      </c>
      <c r="J56" s="47"/>
      <c r="K56" s="47"/>
    </row>
    <row r="57" spans="1:32" x14ac:dyDescent="0.25">
      <c r="A57" s="8">
        <v>1</v>
      </c>
      <c r="B57" s="8">
        <v>53</v>
      </c>
      <c r="C57" s="8">
        <v>4.4166666666666661</v>
      </c>
      <c r="D57" s="46">
        <v>0</v>
      </c>
      <c r="E57" s="78">
        <v>1.3999999999999999E-4</v>
      </c>
      <c r="F57" s="78">
        <v>3.0000000000000001E-5</v>
      </c>
      <c r="J57" s="47"/>
      <c r="K57" s="47"/>
    </row>
    <row r="58" spans="1:32" x14ac:dyDescent="0.25">
      <c r="A58" s="8">
        <v>1</v>
      </c>
      <c r="B58" s="8">
        <v>54</v>
      </c>
      <c r="C58" s="8">
        <v>4.5</v>
      </c>
      <c r="D58" s="46">
        <v>0</v>
      </c>
      <c r="E58" s="78">
        <v>1.3999999999999999E-4</v>
      </c>
      <c r="F58" s="78">
        <v>3.0000000000000001E-5</v>
      </c>
      <c r="J58" s="47"/>
      <c r="K58" s="47"/>
    </row>
    <row r="59" spans="1:32" x14ac:dyDescent="0.25">
      <c r="A59" s="8">
        <v>1</v>
      </c>
      <c r="B59" s="8">
        <v>55</v>
      </c>
      <c r="C59" s="8">
        <v>4.583333333333333</v>
      </c>
      <c r="D59" s="46">
        <v>0</v>
      </c>
      <c r="E59" s="78">
        <v>1.3999999999999999E-4</v>
      </c>
      <c r="F59" s="78">
        <v>3.0000000000000001E-5</v>
      </c>
      <c r="J59" s="47"/>
      <c r="K59" s="47"/>
    </row>
    <row r="60" spans="1:32" x14ac:dyDescent="0.25">
      <c r="A60" s="8">
        <v>1</v>
      </c>
      <c r="B60" s="8">
        <v>56</v>
      </c>
      <c r="C60" s="8">
        <v>4.6666666666666661</v>
      </c>
      <c r="D60" s="46">
        <v>0</v>
      </c>
      <c r="E60" s="78">
        <v>1.3999999999999999E-4</v>
      </c>
      <c r="F60" s="78">
        <v>3.0000000000000001E-5</v>
      </c>
      <c r="J60" s="47"/>
      <c r="K60" s="47"/>
    </row>
    <row r="61" spans="1:32" x14ac:dyDescent="0.25">
      <c r="A61" s="8">
        <v>1</v>
      </c>
      <c r="B61" s="8">
        <v>57</v>
      </c>
      <c r="C61" s="8">
        <v>4.75</v>
      </c>
      <c r="D61" s="46">
        <v>0</v>
      </c>
      <c r="E61" s="78">
        <v>1.3999999999999999E-4</v>
      </c>
      <c r="F61" s="78">
        <v>3.0000000000000001E-5</v>
      </c>
      <c r="J61" s="47"/>
      <c r="K61" s="47"/>
    </row>
    <row r="62" spans="1:32" x14ac:dyDescent="0.25">
      <c r="A62" s="8">
        <v>1</v>
      </c>
      <c r="B62" s="8">
        <v>58</v>
      </c>
      <c r="C62" s="8">
        <v>4.833333333333333</v>
      </c>
      <c r="D62" s="46">
        <v>0</v>
      </c>
      <c r="E62" s="78">
        <v>1.3999999999999999E-4</v>
      </c>
      <c r="F62" s="78">
        <v>3.0000000000000001E-5</v>
      </c>
      <c r="J62" s="47"/>
      <c r="K62" s="47"/>
    </row>
    <row r="63" spans="1:32" x14ac:dyDescent="0.25">
      <c r="A63" s="8">
        <v>1</v>
      </c>
      <c r="B63" s="8">
        <v>59</v>
      </c>
      <c r="C63" s="8">
        <v>4.9166666666666661</v>
      </c>
      <c r="D63" s="46">
        <v>0</v>
      </c>
      <c r="E63" s="78">
        <v>1.3999999999999999E-4</v>
      </c>
      <c r="F63" s="78">
        <v>3.0000000000000001E-5</v>
      </c>
      <c r="J63" s="47"/>
      <c r="K63" s="47"/>
    </row>
    <row r="64" spans="1:32" x14ac:dyDescent="0.25">
      <c r="A64" s="8">
        <v>1</v>
      </c>
      <c r="B64" s="8">
        <v>60</v>
      </c>
      <c r="C64" s="8">
        <v>5</v>
      </c>
      <c r="D64" s="46">
        <v>0</v>
      </c>
      <c r="E64" s="78">
        <v>1.3999999999999999E-4</v>
      </c>
      <c r="F64" s="78">
        <v>3.0000000000000001E-5</v>
      </c>
      <c r="J64" s="47"/>
      <c r="K64" s="47"/>
    </row>
    <row r="65" spans="1:11" x14ac:dyDescent="0.25">
      <c r="A65" s="8">
        <v>1</v>
      </c>
      <c r="B65" s="8">
        <v>61</v>
      </c>
      <c r="C65" s="8">
        <v>5.083333333333333</v>
      </c>
      <c r="D65" s="46">
        <v>0</v>
      </c>
      <c r="E65" s="78">
        <v>1.3999999999999999E-4</v>
      </c>
      <c r="F65" s="78">
        <v>3.0000000000000001E-5</v>
      </c>
      <c r="J65" s="47"/>
      <c r="K65" s="47"/>
    </row>
    <row r="66" spans="1:11" x14ac:dyDescent="0.25">
      <c r="A66" s="8">
        <v>1</v>
      </c>
      <c r="B66" s="8">
        <v>62</v>
      </c>
      <c r="C66" s="8">
        <v>5.1666666666666661</v>
      </c>
      <c r="D66" s="46">
        <v>0</v>
      </c>
      <c r="E66" s="78">
        <v>1.3999999999999999E-4</v>
      </c>
      <c r="F66" s="78">
        <v>3.0000000000000001E-5</v>
      </c>
      <c r="J66" s="47"/>
      <c r="K66" s="47"/>
    </row>
    <row r="67" spans="1:11" x14ac:dyDescent="0.25">
      <c r="A67" s="8">
        <v>1</v>
      </c>
      <c r="B67" s="8">
        <v>63</v>
      </c>
      <c r="C67" s="8">
        <v>5.25</v>
      </c>
      <c r="D67" s="46">
        <v>0</v>
      </c>
      <c r="E67" s="78">
        <v>1.3999999999999999E-4</v>
      </c>
      <c r="F67" s="78">
        <v>3.0000000000000001E-5</v>
      </c>
      <c r="J67" s="47"/>
      <c r="K67" s="47"/>
    </row>
    <row r="68" spans="1:11" x14ac:dyDescent="0.25">
      <c r="A68" s="8">
        <v>1</v>
      </c>
      <c r="B68" s="8">
        <v>64</v>
      </c>
      <c r="C68" s="8">
        <v>5.333333333333333</v>
      </c>
      <c r="D68" s="46">
        <v>0</v>
      </c>
      <c r="E68" s="78">
        <v>1.3999999999999999E-4</v>
      </c>
      <c r="F68" s="78">
        <v>3.0000000000000001E-5</v>
      </c>
      <c r="J68" s="47"/>
      <c r="K68" s="47"/>
    </row>
    <row r="69" spans="1:11" x14ac:dyDescent="0.25">
      <c r="A69" s="8">
        <v>1</v>
      </c>
      <c r="B69" s="8">
        <v>65</v>
      </c>
      <c r="C69" s="8">
        <v>5.4166666666666661</v>
      </c>
      <c r="D69" s="46">
        <v>0</v>
      </c>
      <c r="E69" s="78">
        <v>1.3999999999999999E-4</v>
      </c>
      <c r="F69" s="78">
        <v>3.0000000000000001E-5</v>
      </c>
      <c r="J69" s="47"/>
      <c r="K69" s="47"/>
    </row>
    <row r="70" spans="1:11" x14ac:dyDescent="0.25">
      <c r="A70" s="8">
        <v>1</v>
      </c>
      <c r="B70" s="8">
        <v>66</v>
      </c>
      <c r="C70" s="8">
        <v>5.5</v>
      </c>
      <c r="D70" s="46">
        <v>0</v>
      </c>
      <c r="E70" s="78">
        <v>1.3999999999999999E-4</v>
      </c>
      <c r="F70" s="78">
        <v>3.0000000000000001E-5</v>
      </c>
      <c r="J70" s="47"/>
      <c r="K70" s="47"/>
    </row>
    <row r="71" spans="1:11" x14ac:dyDescent="0.25">
      <c r="A71" s="8">
        <v>1</v>
      </c>
      <c r="B71" s="8">
        <v>67</v>
      </c>
      <c r="C71" s="8">
        <v>5.583333333333333</v>
      </c>
      <c r="D71" s="46">
        <v>0</v>
      </c>
      <c r="E71" s="78">
        <v>1.3999999999999999E-4</v>
      </c>
      <c r="F71" s="78">
        <v>3.0000000000000001E-5</v>
      </c>
      <c r="J71" s="47"/>
      <c r="K71" s="47"/>
    </row>
    <row r="72" spans="1:11" x14ac:dyDescent="0.25">
      <c r="A72" s="8">
        <v>1</v>
      </c>
      <c r="B72" s="8">
        <v>68</v>
      </c>
      <c r="C72" s="8">
        <v>5.6666666666666661</v>
      </c>
      <c r="D72" s="46">
        <v>0</v>
      </c>
      <c r="E72" s="78">
        <v>1.3999999999999999E-4</v>
      </c>
      <c r="F72" s="78">
        <v>3.0000000000000001E-5</v>
      </c>
      <c r="J72" s="47"/>
      <c r="K72" s="47"/>
    </row>
    <row r="73" spans="1:11" x14ac:dyDescent="0.25">
      <c r="A73" s="8">
        <v>1</v>
      </c>
      <c r="B73" s="8">
        <v>69</v>
      </c>
      <c r="C73" s="8">
        <v>5.75</v>
      </c>
      <c r="D73" s="46">
        <v>0</v>
      </c>
      <c r="E73" s="78">
        <v>1.3999999999999999E-4</v>
      </c>
      <c r="F73" s="78">
        <v>3.0000000000000001E-5</v>
      </c>
      <c r="J73" s="47"/>
      <c r="K73" s="47"/>
    </row>
    <row r="74" spans="1:11" x14ac:dyDescent="0.25">
      <c r="A74" s="8">
        <v>1</v>
      </c>
      <c r="B74" s="8">
        <v>70</v>
      </c>
      <c r="C74" s="8">
        <v>5.833333333333333</v>
      </c>
      <c r="D74" s="46">
        <v>0</v>
      </c>
      <c r="E74" s="78">
        <v>1.3999999999999999E-4</v>
      </c>
      <c r="F74" s="78">
        <v>3.0000000000000001E-5</v>
      </c>
      <c r="J74" s="47"/>
      <c r="K74" s="47"/>
    </row>
    <row r="75" spans="1:11" x14ac:dyDescent="0.25">
      <c r="A75" s="8">
        <v>1</v>
      </c>
      <c r="B75" s="8">
        <v>71</v>
      </c>
      <c r="C75" s="8">
        <v>5.9166666666666661</v>
      </c>
      <c r="D75" s="46">
        <v>0</v>
      </c>
      <c r="E75" s="78">
        <v>1.3999999999999999E-4</v>
      </c>
      <c r="F75" s="78">
        <v>3.0000000000000001E-5</v>
      </c>
      <c r="J75" s="47"/>
      <c r="K75" s="47"/>
    </row>
    <row r="76" spans="1:11" x14ac:dyDescent="0.25">
      <c r="A76" s="8">
        <v>1</v>
      </c>
      <c r="B76" s="8">
        <v>72</v>
      </c>
      <c r="C76" s="8">
        <v>6</v>
      </c>
      <c r="D76" s="46">
        <v>0</v>
      </c>
      <c r="E76" s="78">
        <v>1.3999999999999999E-4</v>
      </c>
      <c r="F76" s="78">
        <v>3.0000000000000001E-5</v>
      </c>
      <c r="J76" s="47"/>
      <c r="K76" s="47"/>
    </row>
    <row r="77" spans="1:11" x14ac:dyDescent="0.25">
      <c r="A77" s="8">
        <v>1</v>
      </c>
      <c r="B77" s="8">
        <v>73</v>
      </c>
      <c r="C77" s="8">
        <v>6.083333333333333</v>
      </c>
      <c r="D77" s="46">
        <v>0</v>
      </c>
      <c r="E77" s="78">
        <v>1.3999999999999999E-4</v>
      </c>
      <c r="F77" s="78">
        <v>3.0000000000000001E-5</v>
      </c>
      <c r="J77" s="47"/>
      <c r="K77" s="47"/>
    </row>
    <row r="78" spans="1:11" x14ac:dyDescent="0.25">
      <c r="A78" s="8">
        <v>1</v>
      </c>
      <c r="B78" s="8">
        <v>74</v>
      </c>
      <c r="C78" s="8">
        <v>6.1666666666666661</v>
      </c>
      <c r="D78" s="46">
        <v>0</v>
      </c>
      <c r="E78" s="78">
        <v>1.3999999999999999E-4</v>
      </c>
      <c r="F78" s="78">
        <v>3.0000000000000001E-5</v>
      </c>
      <c r="J78" s="47"/>
      <c r="K78" s="47"/>
    </row>
    <row r="79" spans="1:11" x14ac:dyDescent="0.25">
      <c r="A79" s="8">
        <v>1</v>
      </c>
      <c r="B79" s="8">
        <v>75</v>
      </c>
      <c r="C79" s="8">
        <v>6.25</v>
      </c>
      <c r="D79" s="46">
        <v>0</v>
      </c>
      <c r="E79" s="78">
        <v>1.3999999999999999E-4</v>
      </c>
      <c r="F79" s="78">
        <v>3.0000000000000001E-5</v>
      </c>
      <c r="J79" s="47"/>
      <c r="K79" s="47"/>
    </row>
    <row r="80" spans="1:11" x14ac:dyDescent="0.25">
      <c r="A80" s="8">
        <v>1</v>
      </c>
      <c r="B80" s="8">
        <v>76</v>
      </c>
      <c r="C80" s="8">
        <v>6.333333333333333</v>
      </c>
      <c r="D80" s="46">
        <v>0</v>
      </c>
      <c r="E80" s="78">
        <v>1.3999999999999999E-4</v>
      </c>
      <c r="F80" s="78">
        <v>3.0000000000000001E-5</v>
      </c>
      <c r="J80" s="47"/>
      <c r="K80" s="47"/>
    </row>
    <row r="81" spans="1:11" x14ac:dyDescent="0.25">
      <c r="A81" s="8">
        <v>1</v>
      </c>
      <c r="B81" s="8">
        <v>77</v>
      </c>
      <c r="C81" s="8">
        <v>6.4166666666666661</v>
      </c>
      <c r="D81" s="46">
        <v>0</v>
      </c>
      <c r="E81" s="78">
        <v>1.3999999999999999E-4</v>
      </c>
      <c r="F81" s="78">
        <v>3.0000000000000001E-5</v>
      </c>
      <c r="J81" s="47"/>
      <c r="K81" s="47"/>
    </row>
    <row r="82" spans="1:11" x14ac:dyDescent="0.25">
      <c r="A82" s="8">
        <v>1</v>
      </c>
      <c r="B82" s="8">
        <v>78</v>
      </c>
      <c r="C82" s="8">
        <v>6.5</v>
      </c>
      <c r="D82" s="46">
        <v>0</v>
      </c>
      <c r="E82" s="78">
        <v>1.3999999999999999E-4</v>
      </c>
      <c r="F82" s="78">
        <v>3.0000000000000001E-5</v>
      </c>
      <c r="J82" s="47"/>
      <c r="K82" s="47"/>
    </row>
    <row r="83" spans="1:11" x14ac:dyDescent="0.25">
      <c r="A83" s="8">
        <v>1</v>
      </c>
      <c r="B83" s="8">
        <v>79</v>
      </c>
      <c r="C83" s="8">
        <v>6.583333333333333</v>
      </c>
      <c r="D83" s="46">
        <v>0</v>
      </c>
      <c r="E83" s="78">
        <v>1.3999999999999999E-4</v>
      </c>
      <c r="F83" s="78">
        <v>3.0000000000000001E-5</v>
      </c>
      <c r="J83" s="47"/>
      <c r="K83" s="47"/>
    </row>
    <row r="84" spans="1:11" x14ac:dyDescent="0.25">
      <c r="A84" s="8">
        <v>1</v>
      </c>
      <c r="B84" s="8">
        <v>80</v>
      </c>
      <c r="C84" s="8">
        <v>6.6666666666666661</v>
      </c>
      <c r="D84" s="46">
        <v>0</v>
      </c>
      <c r="E84" s="78">
        <v>1.3999999999999999E-4</v>
      </c>
      <c r="F84" s="78">
        <v>3.0000000000000001E-5</v>
      </c>
      <c r="J84" s="47"/>
      <c r="K84" s="47"/>
    </row>
    <row r="85" spans="1:11" x14ac:dyDescent="0.25">
      <c r="A85" s="8">
        <v>1</v>
      </c>
      <c r="B85" s="8">
        <v>81</v>
      </c>
      <c r="C85" s="8">
        <v>6.75</v>
      </c>
      <c r="D85" s="46">
        <v>0</v>
      </c>
      <c r="E85" s="78">
        <v>1.3999999999999999E-4</v>
      </c>
      <c r="F85" s="78">
        <v>3.0000000000000001E-5</v>
      </c>
      <c r="J85" s="47"/>
      <c r="K85" s="47"/>
    </row>
    <row r="86" spans="1:11" x14ac:dyDescent="0.25">
      <c r="A86" s="8">
        <v>1</v>
      </c>
      <c r="B86" s="8">
        <v>82</v>
      </c>
      <c r="C86" s="8">
        <v>6.833333333333333</v>
      </c>
      <c r="D86" s="46">
        <v>0</v>
      </c>
      <c r="E86" s="78">
        <v>1.3999999999999999E-4</v>
      </c>
      <c r="F86" s="78">
        <v>3.0000000000000001E-5</v>
      </c>
      <c r="J86" s="47"/>
      <c r="K86" s="47"/>
    </row>
    <row r="87" spans="1:11" x14ac:dyDescent="0.25">
      <c r="A87" s="8">
        <v>1</v>
      </c>
      <c r="B87" s="8">
        <v>83</v>
      </c>
      <c r="C87" s="8">
        <v>6.9166666666666661</v>
      </c>
      <c r="D87" s="46">
        <v>0</v>
      </c>
      <c r="E87" s="78">
        <v>1.3999999999999999E-4</v>
      </c>
      <c r="F87" s="78">
        <v>3.0000000000000001E-5</v>
      </c>
      <c r="J87" s="47"/>
      <c r="K87" s="47"/>
    </row>
    <row r="88" spans="1:11" x14ac:dyDescent="0.25">
      <c r="A88" s="8">
        <v>1</v>
      </c>
      <c r="B88" s="8">
        <v>84</v>
      </c>
      <c r="C88" s="8">
        <v>7</v>
      </c>
      <c r="D88" s="46">
        <v>0</v>
      </c>
      <c r="E88" s="78">
        <v>1.3999999999999999E-4</v>
      </c>
      <c r="F88" s="78">
        <v>3.0000000000000001E-5</v>
      </c>
      <c r="J88" s="47"/>
      <c r="K88" s="47"/>
    </row>
    <row r="89" spans="1:11" x14ac:dyDescent="0.25">
      <c r="A89" s="8">
        <v>1</v>
      </c>
      <c r="B89" s="8">
        <v>85</v>
      </c>
      <c r="C89" s="8">
        <v>7.083333333333333</v>
      </c>
      <c r="D89" s="46">
        <v>0</v>
      </c>
      <c r="E89" s="78">
        <v>1.3999999999999999E-4</v>
      </c>
      <c r="F89" s="78">
        <v>3.0000000000000001E-5</v>
      </c>
      <c r="J89" s="47"/>
      <c r="K89" s="47"/>
    </row>
    <row r="90" spans="1:11" x14ac:dyDescent="0.25">
      <c r="A90" s="8">
        <v>1</v>
      </c>
      <c r="B90" s="8">
        <v>86</v>
      </c>
      <c r="C90" s="8">
        <v>7.1666666666666661</v>
      </c>
      <c r="D90" s="46">
        <v>0</v>
      </c>
      <c r="E90" s="78">
        <v>1.3999999999999999E-4</v>
      </c>
      <c r="F90" s="78">
        <v>3.0000000000000001E-5</v>
      </c>
      <c r="J90" s="47"/>
      <c r="K90" s="47"/>
    </row>
    <row r="91" spans="1:11" x14ac:dyDescent="0.25">
      <c r="A91" s="8">
        <v>1</v>
      </c>
      <c r="B91" s="8">
        <v>87</v>
      </c>
      <c r="C91" s="8">
        <v>7.25</v>
      </c>
      <c r="D91" s="46">
        <v>0</v>
      </c>
      <c r="E91" s="78">
        <v>1.3999999999999999E-4</v>
      </c>
      <c r="F91" s="78">
        <v>3.0000000000000001E-5</v>
      </c>
      <c r="J91" s="47"/>
      <c r="K91" s="47"/>
    </row>
    <row r="92" spans="1:11" x14ac:dyDescent="0.25">
      <c r="A92" s="8">
        <v>1</v>
      </c>
      <c r="B92" s="8">
        <v>88</v>
      </c>
      <c r="C92" s="8">
        <v>7.333333333333333</v>
      </c>
      <c r="D92" s="46">
        <v>0</v>
      </c>
      <c r="E92" s="78">
        <v>1.3999999999999999E-4</v>
      </c>
      <c r="F92" s="78">
        <v>3.0000000000000001E-5</v>
      </c>
      <c r="J92" s="47"/>
      <c r="K92" s="47"/>
    </row>
    <row r="93" spans="1:11" x14ac:dyDescent="0.25">
      <c r="A93" s="8">
        <v>1</v>
      </c>
      <c r="B93" s="8">
        <v>89</v>
      </c>
      <c r="C93" s="8">
        <v>7.4166666666666661</v>
      </c>
      <c r="D93" s="46">
        <v>0</v>
      </c>
      <c r="E93" s="78">
        <v>1.3999999999999999E-4</v>
      </c>
      <c r="F93" s="78">
        <v>3.0000000000000001E-5</v>
      </c>
      <c r="J93" s="47"/>
      <c r="K93" s="47"/>
    </row>
    <row r="94" spans="1:11" x14ac:dyDescent="0.25">
      <c r="A94" s="8">
        <v>1</v>
      </c>
      <c r="B94" s="8">
        <v>90</v>
      </c>
      <c r="C94" s="8">
        <v>7.5</v>
      </c>
      <c r="D94" s="46">
        <v>0</v>
      </c>
      <c r="E94" s="78">
        <v>1.3999999999999999E-4</v>
      </c>
      <c r="F94" s="78">
        <v>3.0000000000000001E-5</v>
      </c>
      <c r="J94" s="47"/>
      <c r="K94" s="47"/>
    </row>
    <row r="95" spans="1:11" x14ac:dyDescent="0.25">
      <c r="A95" s="8">
        <v>1</v>
      </c>
      <c r="B95" s="8">
        <v>91</v>
      </c>
      <c r="C95" s="8">
        <v>7.583333333333333</v>
      </c>
      <c r="D95" s="46">
        <v>0</v>
      </c>
      <c r="E95" s="78">
        <v>1.3999999999999999E-4</v>
      </c>
      <c r="F95" s="78">
        <v>3.0000000000000001E-5</v>
      </c>
      <c r="J95" s="47"/>
      <c r="K95" s="47"/>
    </row>
    <row r="96" spans="1:11" x14ac:dyDescent="0.25">
      <c r="A96" s="8">
        <v>1</v>
      </c>
      <c r="B96" s="8">
        <v>92</v>
      </c>
      <c r="C96" s="8">
        <v>7.6666666666666661</v>
      </c>
      <c r="D96" s="46">
        <v>0</v>
      </c>
      <c r="E96" s="78">
        <v>1.3999999999999999E-4</v>
      </c>
      <c r="F96" s="78">
        <v>3.0000000000000001E-5</v>
      </c>
      <c r="J96" s="47"/>
      <c r="K96" s="47"/>
    </row>
    <row r="97" spans="1:11" x14ac:dyDescent="0.25">
      <c r="A97" s="8">
        <v>1</v>
      </c>
      <c r="B97" s="8">
        <v>93</v>
      </c>
      <c r="C97" s="8">
        <v>7.75</v>
      </c>
      <c r="D97" s="46">
        <v>0</v>
      </c>
      <c r="E97" s="78">
        <v>1.3999999999999999E-4</v>
      </c>
      <c r="F97" s="78">
        <v>3.0000000000000001E-5</v>
      </c>
      <c r="J97" s="47"/>
      <c r="K97" s="47"/>
    </row>
    <row r="98" spans="1:11" x14ac:dyDescent="0.25">
      <c r="A98" s="8">
        <v>1</v>
      </c>
      <c r="B98" s="8">
        <v>94</v>
      </c>
      <c r="C98" s="8">
        <v>7.833333333333333</v>
      </c>
      <c r="D98" s="46">
        <v>0</v>
      </c>
      <c r="E98" s="78">
        <v>1.3999999999999999E-4</v>
      </c>
      <c r="F98" s="78">
        <v>3.0000000000000001E-5</v>
      </c>
      <c r="J98" s="47"/>
      <c r="K98" s="47"/>
    </row>
    <row r="99" spans="1:11" x14ac:dyDescent="0.25">
      <c r="A99" s="8">
        <v>1</v>
      </c>
      <c r="B99" s="8">
        <v>95</v>
      </c>
      <c r="C99" s="8">
        <v>7.9166666666666661</v>
      </c>
      <c r="D99" s="46">
        <v>0</v>
      </c>
      <c r="E99" s="78">
        <v>1.3999999999999999E-4</v>
      </c>
      <c r="F99" s="78">
        <v>3.0000000000000001E-5</v>
      </c>
      <c r="J99" s="47"/>
      <c r="K99" s="47"/>
    </row>
    <row r="100" spans="1:11" x14ac:dyDescent="0.25">
      <c r="A100" s="8">
        <v>1</v>
      </c>
      <c r="B100" s="8">
        <v>96</v>
      </c>
      <c r="C100" s="8">
        <v>8</v>
      </c>
      <c r="D100" s="46">
        <v>0</v>
      </c>
      <c r="E100" s="78">
        <v>1.3999999999999999E-4</v>
      </c>
      <c r="F100" s="78">
        <v>3.0000000000000001E-5</v>
      </c>
      <c r="J100" s="47"/>
      <c r="K100" s="47"/>
    </row>
    <row r="101" spans="1:11" x14ac:dyDescent="0.25">
      <c r="A101" s="8">
        <v>1</v>
      </c>
      <c r="B101" s="8">
        <v>97</v>
      </c>
      <c r="C101" s="8">
        <v>8.0833333333333321</v>
      </c>
      <c r="D101" s="46">
        <v>0</v>
      </c>
      <c r="E101" s="78">
        <v>1.3999999999999999E-4</v>
      </c>
      <c r="F101" s="78">
        <v>3.0000000000000001E-5</v>
      </c>
      <c r="J101" s="47"/>
      <c r="K101" s="47"/>
    </row>
    <row r="102" spans="1:11" x14ac:dyDescent="0.25">
      <c r="A102" s="8">
        <v>1</v>
      </c>
      <c r="B102" s="8">
        <v>98</v>
      </c>
      <c r="C102" s="8">
        <v>8.1666666666666661</v>
      </c>
      <c r="D102" s="46">
        <v>0</v>
      </c>
      <c r="E102" s="78">
        <v>1.3999999999999999E-4</v>
      </c>
      <c r="F102" s="78">
        <v>3.0000000000000001E-5</v>
      </c>
      <c r="J102" s="47"/>
      <c r="K102" s="47"/>
    </row>
    <row r="103" spans="1:11" x14ac:dyDescent="0.25">
      <c r="A103" s="8">
        <v>1</v>
      </c>
      <c r="B103" s="8">
        <v>99</v>
      </c>
      <c r="C103" s="8">
        <v>8.25</v>
      </c>
      <c r="D103" s="46">
        <v>0</v>
      </c>
      <c r="E103" s="78">
        <v>1.3999999999999999E-4</v>
      </c>
      <c r="F103" s="78">
        <v>3.0000000000000001E-5</v>
      </c>
      <c r="J103" s="47"/>
      <c r="K103" s="47"/>
    </row>
    <row r="104" spans="1:11" x14ac:dyDescent="0.25">
      <c r="A104" s="8">
        <v>1</v>
      </c>
      <c r="B104" s="8">
        <v>100</v>
      </c>
      <c r="C104" s="8">
        <v>8.3333333333333321</v>
      </c>
      <c r="D104" s="46">
        <v>0</v>
      </c>
      <c r="E104" s="78">
        <v>1.3999999999999999E-4</v>
      </c>
      <c r="F104" s="78">
        <v>3.0000000000000001E-5</v>
      </c>
      <c r="J104" s="47"/>
      <c r="K104" s="47"/>
    </row>
    <row r="105" spans="1:11" x14ac:dyDescent="0.25">
      <c r="A105" s="8">
        <v>1</v>
      </c>
      <c r="B105" s="8">
        <v>101</v>
      </c>
      <c r="C105" s="8">
        <v>8.4166666666666661</v>
      </c>
      <c r="D105" s="46">
        <v>0</v>
      </c>
      <c r="E105" s="78">
        <v>1.3999999999999999E-4</v>
      </c>
      <c r="F105" s="78">
        <v>3.0000000000000001E-5</v>
      </c>
      <c r="J105" s="47"/>
      <c r="K105" s="47"/>
    </row>
    <row r="106" spans="1:11" x14ac:dyDescent="0.25">
      <c r="A106" s="8">
        <v>1</v>
      </c>
      <c r="B106" s="8">
        <v>102</v>
      </c>
      <c r="C106" s="8">
        <v>8.5</v>
      </c>
      <c r="D106" s="46">
        <v>0</v>
      </c>
      <c r="E106" s="78">
        <v>1.3999999999999999E-4</v>
      </c>
      <c r="F106" s="78">
        <v>3.0000000000000001E-5</v>
      </c>
      <c r="J106" s="47"/>
      <c r="K106" s="47"/>
    </row>
    <row r="107" spans="1:11" x14ac:dyDescent="0.25">
      <c r="A107" s="8">
        <v>1</v>
      </c>
      <c r="B107" s="8">
        <v>103</v>
      </c>
      <c r="C107" s="8">
        <v>8.5833333333333321</v>
      </c>
      <c r="D107" s="46">
        <v>0</v>
      </c>
      <c r="E107" s="78">
        <v>1.3999999999999999E-4</v>
      </c>
      <c r="F107" s="78">
        <v>3.0000000000000001E-5</v>
      </c>
      <c r="J107" s="47"/>
      <c r="K107" s="47"/>
    </row>
    <row r="108" spans="1:11" x14ac:dyDescent="0.25">
      <c r="A108" s="8">
        <v>1</v>
      </c>
      <c r="B108" s="8">
        <v>104</v>
      </c>
      <c r="C108" s="8">
        <v>8.6666666666666661</v>
      </c>
      <c r="D108" s="46">
        <v>0</v>
      </c>
      <c r="E108" s="78">
        <v>1.3999999999999999E-4</v>
      </c>
      <c r="F108" s="78">
        <v>3.0000000000000001E-5</v>
      </c>
      <c r="J108" s="47"/>
      <c r="K108" s="47"/>
    </row>
    <row r="109" spans="1:11" x14ac:dyDescent="0.25">
      <c r="A109" s="8">
        <v>1</v>
      </c>
      <c r="B109" s="8">
        <v>105</v>
      </c>
      <c r="C109" s="8">
        <v>8.75</v>
      </c>
      <c r="D109" s="46">
        <v>0</v>
      </c>
      <c r="E109" s="78">
        <v>1.3999999999999999E-4</v>
      </c>
      <c r="F109" s="78">
        <v>3.0000000000000001E-5</v>
      </c>
      <c r="J109" s="47"/>
      <c r="K109" s="47"/>
    </row>
    <row r="110" spans="1:11" x14ac:dyDescent="0.25">
      <c r="A110" s="8">
        <v>1</v>
      </c>
      <c r="B110" s="8">
        <v>106</v>
      </c>
      <c r="C110" s="8">
        <v>8.8333333333333321</v>
      </c>
      <c r="D110" s="46">
        <v>0</v>
      </c>
      <c r="E110" s="78">
        <v>1.3999999999999999E-4</v>
      </c>
      <c r="F110" s="78">
        <v>3.0000000000000001E-5</v>
      </c>
      <c r="J110" s="47"/>
      <c r="K110" s="47"/>
    </row>
    <row r="111" spans="1:11" x14ac:dyDescent="0.25">
      <c r="A111" s="8">
        <v>1</v>
      </c>
      <c r="B111" s="8">
        <v>107</v>
      </c>
      <c r="C111" s="8">
        <v>8.9166666666666661</v>
      </c>
      <c r="D111" s="46">
        <v>0</v>
      </c>
      <c r="E111" s="78">
        <v>1.3999999999999999E-4</v>
      </c>
      <c r="F111" s="78">
        <v>3.0000000000000001E-5</v>
      </c>
      <c r="J111" s="47"/>
      <c r="K111" s="47"/>
    </row>
    <row r="112" spans="1:11" x14ac:dyDescent="0.25">
      <c r="A112" s="8">
        <v>1</v>
      </c>
      <c r="B112" s="8">
        <v>108</v>
      </c>
      <c r="C112" s="8">
        <v>9</v>
      </c>
      <c r="D112" s="46">
        <v>0</v>
      </c>
      <c r="E112" s="78">
        <v>1.3999999999999999E-4</v>
      </c>
      <c r="F112" s="78">
        <v>3.0000000000000001E-5</v>
      </c>
      <c r="J112" s="47"/>
      <c r="K112" s="47"/>
    </row>
    <row r="113" spans="1:11" x14ac:dyDescent="0.25">
      <c r="A113" s="8">
        <v>1</v>
      </c>
      <c r="B113" s="8">
        <v>109</v>
      </c>
      <c r="C113" s="8">
        <v>9.0833333333333321</v>
      </c>
      <c r="D113" s="46">
        <v>0</v>
      </c>
      <c r="E113" s="78">
        <v>1.3999999999999999E-4</v>
      </c>
      <c r="F113" s="78">
        <v>3.0000000000000001E-5</v>
      </c>
      <c r="J113" s="47"/>
      <c r="K113" s="47"/>
    </row>
    <row r="114" spans="1:11" x14ac:dyDescent="0.25">
      <c r="A114" s="8">
        <v>1</v>
      </c>
      <c r="B114" s="8">
        <v>110</v>
      </c>
      <c r="C114" s="8">
        <v>9.1666666666666661</v>
      </c>
      <c r="D114" s="46">
        <v>0</v>
      </c>
      <c r="E114" s="78">
        <v>1.3999999999999999E-4</v>
      </c>
      <c r="F114" s="78">
        <v>3.0000000000000001E-5</v>
      </c>
      <c r="J114" s="47"/>
      <c r="K114" s="47"/>
    </row>
    <row r="115" spans="1:11" x14ac:dyDescent="0.25">
      <c r="A115" s="8">
        <v>1</v>
      </c>
      <c r="B115" s="8">
        <v>111</v>
      </c>
      <c r="C115" s="8">
        <v>9.25</v>
      </c>
      <c r="D115" s="46">
        <v>0</v>
      </c>
      <c r="E115" s="78">
        <v>1.3999999999999999E-4</v>
      </c>
      <c r="F115" s="78">
        <v>3.0000000000000001E-5</v>
      </c>
      <c r="J115" s="47"/>
      <c r="K115" s="47"/>
    </row>
    <row r="116" spans="1:11" x14ac:dyDescent="0.25">
      <c r="A116" s="8">
        <v>1</v>
      </c>
      <c r="B116" s="8">
        <v>112</v>
      </c>
      <c r="C116" s="8">
        <v>9.3333333333333321</v>
      </c>
      <c r="D116" s="46">
        <v>0</v>
      </c>
      <c r="E116" s="78">
        <v>1.3999999999999999E-4</v>
      </c>
      <c r="F116" s="78">
        <v>3.0000000000000001E-5</v>
      </c>
      <c r="J116" s="47"/>
      <c r="K116" s="47"/>
    </row>
    <row r="117" spans="1:11" x14ac:dyDescent="0.25">
      <c r="A117" s="8">
        <v>1</v>
      </c>
      <c r="B117" s="8">
        <v>113</v>
      </c>
      <c r="C117" s="8">
        <v>9.4166666666666661</v>
      </c>
      <c r="D117" s="46">
        <v>0</v>
      </c>
      <c r="E117" s="78">
        <v>1.3999999999999999E-4</v>
      </c>
      <c r="F117" s="78">
        <v>3.0000000000000001E-5</v>
      </c>
      <c r="J117" s="47"/>
      <c r="K117" s="47"/>
    </row>
    <row r="118" spans="1:11" x14ac:dyDescent="0.25">
      <c r="A118" s="8">
        <v>1</v>
      </c>
      <c r="B118" s="8">
        <v>114</v>
      </c>
      <c r="C118" s="8">
        <v>9.5</v>
      </c>
      <c r="D118" s="46">
        <v>0</v>
      </c>
      <c r="E118" s="78">
        <v>1.3999999999999999E-4</v>
      </c>
      <c r="F118" s="78">
        <v>3.0000000000000001E-5</v>
      </c>
      <c r="J118" s="47"/>
      <c r="K118" s="47"/>
    </row>
    <row r="119" spans="1:11" x14ac:dyDescent="0.25">
      <c r="A119" s="8">
        <v>1</v>
      </c>
      <c r="B119" s="8">
        <v>115</v>
      </c>
      <c r="C119" s="8">
        <v>9.5833333333333321</v>
      </c>
      <c r="D119" s="46">
        <v>0</v>
      </c>
      <c r="E119" s="78">
        <v>1.3999999999999999E-4</v>
      </c>
      <c r="F119" s="78">
        <v>3.0000000000000001E-5</v>
      </c>
      <c r="J119" s="47"/>
      <c r="K119" s="47"/>
    </row>
    <row r="120" spans="1:11" x14ac:dyDescent="0.25">
      <c r="A120" s="8">
        <v>1</v>
      </c>
      <c r="B120" s="8">
        <v>116</v>
      </c>
      <c r="C120" s="8">
        <v>9.6666666666666661</v>
      </c>
      <c r="D120" s="46">
        <v>0</v>
      </c>
      <c r="E120" s="78">
        <v>1.3999999999999999E-4</v>
      </c>
      <c r="F120" s="78">
        <v>3.0000000000000001E-5</v>
      </c>
      <c r="J120" s="47"/>
      <c r="K120" s="47"/>
    </row>
    <row r="121" spans="1:11" x14ac:dyDescent="0.25">
      <c r="A121" s="8">
        <v>1</v>
      </c>
      <c r="B121" s="8">
        <v>117</v>
      </c>
      <c r="C121" s="8">
        <v>9.75</v>
      </c>
      <c r="D121" s="46">
        <v>0</v>
      </c>
      <c r="E121" s="78">
        <v>1.3999999999999999E-4</v>
      </c>
      <c r="F121" s="78">
        <v>3.0000000000000001E-5</v>
      </c>
      <c r="J121" s="47"/>
      <c r="K121" s="47"/>
    </row>
    <row r="122" spans="1:11" x14ac:dyDescent="0.25">
      <c r="A122" s="8">
        <v>1</v>
      </c>
      <c r="B122" s="8">
        <v>118</v>
      </c>
      <c r="C122" s="8">
        <v>9.8333333333333321</v>
      </c>
      <c r="D122" s="46">
        <v>0</v>
      </c>
      <c r="E122" s="78">
        <v>1.3999999999999999E-4</v>
      </c>
      <c r="F122" s="78">
        <v>3.0000000000000001E-5</v>
      </c>
      <c r="J122" s="47"/>
      <c r="K122" s="47"/>
    </row>
    <row r="123" spans="1:11" x14ac:dyDescent="0.25">
      <c r="A123" s="8">
        <v>1</v>
      </c>
      <c r="B123" s="8">
        <v>119</v>
      </c>
      <c r="C123" s="8">
        <v>9.9166666666666661</v>
      </c>
      <c r="D123" s="46">
        <v>0</v>
      </c>
      <c r="E123" s="78">
        <v>1.3999999999999999E-4</v>
      </c>
      <c r="F123" s="78">
        <v>3.0000000000000001E-5</v>
      </c>
      <c r="J123" s="47"/>
      <c r="K123" s="47"/>
    </row>
    <row r="124" spans="1:11" x14ac:dyDescent="0.25">
      <c r="A124" s="8">
        <v>1</v>
      </c>
      <c r="B124" s="8">
        <v>120</v>
      </c>
      <c r="C124" s="8">
        <v>10</v>
      </c>
      <c r="D124" s="46">
        <v>0</v>
      </c>
      <c r="E124" s="78">
        <v>1.3999999999999999E-4</v>
      </c>
      <c r="F124" s="78">
        <v>3.0000000000000001E-5</v>
      </c>
      <c r="J124" s="47"/>
      <c r="K124" s="47"/>
    </row>
    <row r="125" spans="1:11" x14ac:dyDescent="0.25">
      <c r="A125" s="8">
        <v>1</v>
      </c>
      <c r="B125" s="8">
        <v>121</v>
      </c>
      <c r="C125" s="8">
        <v>10.083333333333332</v>
      </c>
      <c r="D125" s="46">
        <v>0</v>
      </c>
      <c r="E125" s="78">
        <v>1.3999999999999999E-4</v>
      </c>
      <c r="F125" s="78">
        <v>3.0000000000000001E-5</v>
      </c>
      <c r="J125" s="47"/>
      <c r="K125" s="47"/>
    </row>
    <row r="126" spans="1:11" x14ac:dyDescent="0.25">
      <c r="A126" s="8">
        <v>1</v>
      </c>
      <c r="B126" s="8">
        <v>122</v>
      </c>
      <c r="C126" s="8">
        <v>10.166666666666666</v>
      </c>
      <c r="D126" s="46">
        <v>0</v>
      </c>
      <c r="E126" s="78">
        <v>1.3999999999999999E-4</v>
      </c>
      <c r="F126" s="78">
        <v>3.0000000000000001E-5</v>
      </c>
      <c r="J126" s="47"/>
      <c r="K126" s="47"/>
    </row>
    <row r="127" spans="1:11" x14ac:dyDescent="0.25">
      <c r="A127" s="8">
        <v>1</v>
      </c>
      <c r="B127" s="8">
        <v>123</v>
      </c>
      <c r="C127" s="8">
        <v>10.25</v>
      </c>
      <c r="D127" s="46">
        <v>0</v>
      </c>
      <c r="E127" s="78">
        <v>1.3999999999999999E-4</v>
      </c>
      <c r="F127" s="78">
        <v>3.0000000000000001E-5</v>
      </c>
      <c r="J127" s="47"/>
      <c r="K127" s="47"/>
    </row>
    <row r="128" spans="1:11" x14ac:dyDescent="0.25">
      <c r="A128" s="8">
        <v>1</v>
      </c>
      <c r="B128" s="8">
        <v>124</v>
      </c>
      <c r="C128" s="8">
        <v>10.333333333333332</v>
      </c>
      <c r="D128" s="46">
        <v>0</v>
      </c>
      <c r="E128" s="78">
        <v>1.3999999999999999E-4</v>
      </c>
      <c r="F128" s="78">
        <v>3.0000000000000001E-5</v>
      </c>
      <c r="J128" s="47"/>
      <c r="K128" s="47"/>
    </row>
    <row r="129" spans="1:11" x14ac:dyDescent="0.25">
      <c r="A129" s="8">
        <v>1</v>
      </c>
      <c r="B129" s="8">
        <v>125</v>
      </c>
      <c r="C129" s="8">
        <v>10.416666666666666</v>
      </c>
      <c r="D129" s="46">
        <v>0</v>
      </c>
      <c r="E129" s="78">
        <v>1.3999999999999999E-4</v>
      </c>
      <c r="F129" s="78">
        <v>3.0000000000000001E-5</v>
      </c>
      <c r="J129" s="47"/>
      <c r="K129" s="47"/>
    </row>
    <row r="130" spans="1:11" x14ac:dyDescent="0.25">
      <c r="A130" s="8">
        <v>1</v>
      </c>
      <c r="B130" s="8">
        <v>126</v>
      </c>
      <c r="C130" s="8">
        <v>10.5</v>
      </c>
      <c r="D130" s="46">
        <v>0</v>
      </c>
      <c r="E130" s="78">
        <v>1.3999999999999999E-4</v>
      </c>
      <c r="F130" s="78">
        <v>3.0000000000000001E-5</v>
      </c>
      <c r="J130" s="47"/>
      <c r="K130" s="47"/>
    </row>
    <row r="131" spans="1:11" x14ac:dyDescent="0.25">
      <c r="A131" s="8">
        <v>1</v>
      </c>
      <c r="B131" s="8">
        <v>127</v>
      </c>
      <c r="C131" s="8">
        <v>10.583333333333332</v>
      </c>
      <c r="D131" s="46">
        <v>0</v>
      </c>
      <c r="E131" s="78">
        <v>1.3999999999999999E-4</v>
      </c>
      <c r="F131" s="78">
        <v>3.0000000000000001E-5</v>
      </c>
      <c r="J131" s="47"/>
      <c r="K131" s="47"/>
    </row>
    <row r="132" spans="1:11" x14ac:dyDescent="0.25">
      <c r="A132" s="8">
        <v>1</v>
      </c>
      <c r="B132" s="8">
        <v>128</v>
      </c>
      <c r="C132" s="8">
        <v>10.666666666666666</v>
      </c>
      <c r="D132" s="46">
        <v>0</v>
      </c>
      <c r="E132" s="78">
        <v>1.3999999999999999E-4</v>
      </c>
      <c r="F132" s="78">
        <v>3.0000000000000001E-5</v>
      </c>
      <c r="J132" s="47"/>
      <c r="K132" s="47"/>
    </row>
    <row r="133" spans="1:11" x14ac:dyDescent="0.25">
      <c r="A133" s="8">
        <v>1</v>
      </c>
      <c r="B133" s="8">
        <v>129</v>
      </c>
      <c r="C133" s="8">
        <v>10.75</v>
      </c>
      <c r="D133" s="46">
        <v>0</v>
      </c>
      <c r="E133" s="78">
        <v>1.3999999999999999E-4</v>
      </c>
      <c r="F133" s="78">
        <v>3.0000000000000001E-5</v>
      </c>
      <c r="J133" s="47"/>
      <c r="K133" s="47"/>
    </row>
    <row r="134" spans="1:11" x14ac:dyDescent="0.25">
      <c r="A134" s="8">
        <v>1</v>
      </c>
      <c r="B134" s="8">
        <v>130</v>
      </c>
      <c r="C134" s="8">
        <v>10.833333333333332</v>
      </c>
      <c r="D134" s="46">
        <v>0</v>
      </c>
      <c r="E134" s="78">
        <v>1.3999999999999999E-4</v>
      </c>
      <c r="F134" s="78">
        <v>3.0000000000000001E-5</v>
      </c>
      <c r="J134" s="47"/>
      <c r="K134" s="47"/>
    </row>
    <row r="135" spans="1:11" x14ac:dyDescent="0.25">
      <c r="A135" s="8">
        <v>1</v>
      </c>
      <c r="B135" s="8">
        <v>131</v>
      </c>
      <c r="C135" s="8">
        <v>10.916666666666666</v>
      </c>
      <c r="D135" s="46">
        <v>0</v>
      </c>
      <c r="E135" s="78">
        <v>1.3999999999999999E-4</v>
      </c>
      <c r="F135" s="78">
        <v>3.0000000000000001E-5</v>
      </c>
      <c r="J135" s="47"/>
      <c r="K135" s="47"/>
    </row>
    <row r="136" spans="1:11" x14ac:dyDescent="0.25">
      <c r="A136" s="8">
        <v>1</v>
      </c>
      <c r="B136" s="8">
        <v>132</v>
      </c>
      <c r="C136" s="8">
        <v>11</v>
      </c>
      <c r="D136" s="46">
        <v>0</v>
      </c>
      <c r="E136" s="78">
        <v>1.3999999999999999E-4</v>
      </c>
      <c r="F136" s="78">
        <v>3.0000000000000001E-5</v>
      </c>
      <c r="J136" s="47"/>
      <c r="K136" s="47"/>
    </row>
    <row r="137" spans="1:11" x14ac:dyDescent="0.25">
      <c r="A137" s="8">
        <v>1</v>
      </c>
      <c r="B137" s="8">
        <v>133</v>
      </c>
      <c r="C137" s="8">
        <v>11.083333333333332</v>
      </c>
      <c r="D137" s="46">
        <v>0</v>
      </c>
      <c r="E137" s="78">
        <v>1.3999999999999999E-4</v>
      </c>
      <c r="F137" s="78">
        <v>3.0000000000000001E-5</v>
      </c>
      <c r="J137" s="47"/>
      <c r="K137" s="47"/>
    </row>
    <row r="138" spans="1:11" x14ac:dyDescent="0.25">
      <c r="A138" s="8">
        <v>1</v>
      </c>
      <c r="B138" s="8">
        <v>134</v>
      </c>
      <c r="C138" s="8">
        <v>11.166666666666666</v>
      </c>
      <c r="D138" s="46">
        <v>0</v>
      </c>
      <c r="E138" s="78">
        <v>1.3999999999999999E-4</v>
      </c>
      <c r="F138" s="78">
        <v>3.0000000000000001E-5</v>
      </c>
      <c r="J138" s="47"/>
      <c r="K138" s="47"/>
    </row>
    <row r="139" spans="1:11" x14ac:dyDescent="0.25">
      <c r="A139" s="8">
        <v>1</v>
      </c>
      <c r="B139" s="8">
        <v>135</v>
      </c>
      <c r="C139" s="8">
        <v>11.25</v>
      </c>
      <c r="D139" s="46">
        <v>0</v>
      </c>
      <c r="E139" s="78">
        <v>1.3999999999999999E-4</v>
      </c>
      <c r="F139" s="78">
        <v>3.0000000000000001E-5</v>
      </c>
      <c r="J139" s="47"/>
      <c r="K139" s="47"/>
    </row>
    <row r="140" spans="1:11" x14ac:dyDescent="0.25">
      <c r="A140" s="8">
        <v>1</v>
      </c>
      <c r="B140" s="8">
        <v>136</v>
      </c>
      <c r="C140" s="8">
        <v>11.333333333333332</v>
      </c>
      <c r="D140" s="46">
        <v>0</v>
      </c>
      <c r="E140" s="78">
        <v>1.3999999999999999E-4</v>
      </c>
      <c r="F140" s="78">
        <v>3.0000000000000001E-5</v>
      </c>
      <c r="J140" s="47"/>
      <c r="K140" s="47"/>
    </row>
    <row r="141" spans="1:11" x14ac:dyDescent="0.25">
      <c r="A141" s="8">
        <v>1</v>
      </c>
      <c r="B141" s="8">
        <v>137</v>
      </c>
      <c r="C141" s="8">
        <v>11.416666666666666</v>
      </c>
      <c r="D141" s="46">
        <v>0</v>
      </c>
      <c r="E141" s="78">
        <v>1.3999999999999999E-4</v>
      </c>
      <c r="F141" s="78">
        <v>3.0000000000000001E-5</v>
      </c>
      <c r="J141" s="47"/>
      <c r="K141" s="47"/>
    </row>
    <row r="142" spans="1:11" x14ac:dyDescent="0.25">
      <c r="A142" s="8">
        <v>1</v>
      </c>
      <c r="B142" s="8">
        <v>138</v>
      </c>
      <c r="C142" s="8">
        <v>11.5</v>
      </c>
      <c r="D142" s="46">
        <v>0</v>
      </c>
      <c r="E142" s="78">
        <v>1.3999999999999999E-4</v>
      </c>
      <c r="F142" s="78">
        <v>3.0000000000000001E-5</v>
      </c>
      <c r="J142" s="47"/>
      <c r="K142" s="47"/>
    </row>
    <row r="143" spans="1:11" x14ac:dyDescent="0.25">
      <c r="A143" s="8">
        <v>1</v>
      </c>
      <c r="B143" s="8">
        <v>139</v>
      </c>
      <c r="C143" s="8">
        <v>11.583333333333332</v>
      </c>
      <c r="D143" s="46">
        <v>0</v>
      </c>
      <c r="E143" s="78">
        <v>1.3999999999999999E-4</v>
      </c>
      <c r="F143" s="78">
        <v>3.0000000000000001E-5</v>
      </c>
      <c r="J143" s="47"/>
      <c r="K143" s="47"/>
    </row>
    <row r="144" spans="1:11" x14ac:dyDescent="0.25">
      <c r="A144" s="8">
        <v>1</v>
      </c>
      <c r="B144" s="8">
        <v>140</v>
      </c>
      <c r="C144" s="8">
        <v>11.666666666666666</v>
      </c>
      <c r="D144" s="46">
        <v>0</v>
      </c>
      <c r="E144" s="78">
        <v>1.3999999999999999E-4</v>
      </c>
      <c r="F144" s="78">
        <v>3.0000000000000001E-5</v>
      </c>
      <c r="J144" s="47"/>
      <c r="K144" s="47"/>
    </row>
    <row r="145" spans="1:11" x14ac:dyDescent="0.25">
      <c r="A145" s="8">
        <v>1</v>
      </c>
      <c r="B145" s="8">
        <v>141</v>
      </c>
      <c r="C145" s="8">
        <v>11.75</v>
      </c>
      <c r="D145" s="46">
        <v>0</v>
      </c>
      <c r="E145" s="78">
        <v>1.3999999999999999E-4</v>
      </c>
      <c r="F145" s="78">
        <v>3.0000000000000001E-5</v>
      </c>
      <c r="J145" s="47"/>
      <c r="K145" s="47"/>
    </row>
    <row r="146" spans="1:11" x14ac:dyDescent="0.25">
      <c r="A146" s="8">
        <v>1</v>
      </c>
      <c r="B146" s="8">
        <v>142</v>
      </c>
      <c r="C146" s="8">
        <v>11.833333333333332</v>
      </c>
      <c r="D146" s="46">
        <v>0</v>
      </c>
      <c r="E146" s="78">
        <v>1.3999999999999999E-4</v>
      </c>
      <c r="F146" s="78">
        <v>3.0000000000000001E-5</v>
      </c>
      <c r="J146" s="47"/>
      <c r="K146" s="47"/>
    </row>
    <row r="147" spans="1:11" x14ac:dyDescent="0.25">
      <c r="A147" s="8">
        <v>1</v>
      </c>
      <c r="B147" s="8">
        <v>143</v>
      </c>
      <c r="C147" s="8">
        <v>11.916666666666666</v>
      </c>
      <c r="D147" s="46">
        <v>0</v>
      </c>
      <c r="E147" s="78">
        <v>1.3999999999999999E-4</v>
      </c>
      <c r="F147" s="78">
        <v>3.0000000000000001E-5</v>
      </c>
      <c r="J147" s="47"/>
      <c r="K147" s="47"/>
    </row>
    <row r="148" spans="1:11" x14ac:dyDescent="0.25">
      <c r="A148" s="8">
        <v>1</v>
      </c>
      <c r="B148" s="8">
        <v>144</v>
      </c>
      <c r="C148" s="8">
        <v>12</v>
      </c>
      <c r="D148" s="46">
        <v>0</v>
      </c>
      <c r="E148" s="78">
        <v>1.3999999999999999E-4</v>
      </c>
      <c r="F148" s="78">
        <v>3.0000000000000001E-5</v>
      </c>
      <c r="J148" s="47"/>
      <c r="K148" s="47"/>
    </row>
    <row r="149" spans="1:11" x14ac:dyDescent="0.25">
      <c r="A149" s="8">
        <v>1</v>
      </c>
      <c r="B149" s="8">
        <v>145</v>
      </c>
      <c r="C149" s="8">
        <v>12.083333333333332</v>
      </c>
      <c r="D149" s="46">
        <v>0</v>
      </c>
      <c r="E149" s="78">
        <v>1.3999999999999999E-4</v>
      </c>
      <c r="F149" s="78">
        <v>3.0000000000000001E-5</v>
      </c>
      <c r="J149" s="47"/>
      <c r="K149" s="47"/>
    </row>
    <row r="150" spans="1:11" x14ac:dyDescent="0.25">
      <c r="A150" s="8">
        <v>1</v>
      </c>
      <c r="B150" s="8">
        <v>146</v>
      </c>
      <c r="C150" s="8">
        <v>12.166666666666666</v>
      </c>
      <c r="D150" s="46">
        <v>0</v>
      </c>
      <c r="E150" s="78">
        <v>1.3999999999999999E-4</v>
      </c>
      <c r="F150" s="78">
        <v>3.0000000000000001E-5</v>
      </c>
      <c r="J150" s="47"/>
      <c r="K150" s="47"/>
    </row>
    <row r="151" spans="1:11" x14ac:dyDescent="0.25">
      <c r="A151" s="8">
        <v>1</v>
      </c>
      <c r="B151" s="8">
        <v>147</v>
      </c>
      <c r="C151" s="8">
        <v>12.25</v>
      </c>
      <c r="D151" s="46">
        <v>0</v>
      </c>
      <c r="E151" s="78">
        <v>1.3999999999999999E-4</v>
      </c>
      <c r="F151" s="78">
        <v>3.0000000000000001E-5</v>
      </c>
      <c r="J151" s="47"/>
      <c r="K151" s="47"/>
    </row>
    <row r="152" spans="1:11" x14ac:dyDescent="0.25">
      <c r="A152" s="8">
        <v>1</v>
      </c>
      <c r="B152" s="8">
        <v>148</v>
      </c>
      <c r="C152" s="8">
        <v>12.333333333333332</v>
      </c>
      <c r="D152" s="46">
        <v>0</v>
      </c>
      <c r="E152" s="78">
        <v>1.3999999999999999E-4</v>
      </c>
      <c r="F152" s="78">
        <v>3.0000000000000001E-5</v>
      </c>
      <c r="J152" s="47"/>
      <c r="K152" s="47"/>
    </row>
    <row r="153" spans="1:11" x14ac:dyDescent="0.25">
      <c r="A153" s="8">
        <v>1</v>
      </c>
      <c r="B153" s="8">
        <v>149</v>
      </c>
      <c r="C153" s="8">
        <v>12.416666666666666</v>
      </c>
      <c r="D153" s="46">
        <v>0</v>
      </c>
      <c r="E153" s="78">
        <v>1.3999999999999999E-4</v>
      </c>
      <c r="F153" s="78">
        <v>3.0000000000000001E-5</v>
      </c>
      <c r="J153" s="47"/>
      <c r="K153" s="47"/>
    </row>
    <row r="154" spans="1:11" x14ac:dyDescent="0.25">
      <c r="A154" s="8">
        <v>1</v>
      </c>
      <c r="B154" s="8">
        <v>150</v>
      </c>
      <c r="C154" s="8">
        <v>12.5</v>
      </c>
      <c r="D154" s="46">
        <v>0</v>
      </c>
      <c r="E154" s="78">
        <v>1.3999999999999999E-4</v>
      </c>
      <c r="F154" s="78">
        <v>3.0000000000000001E-5</v>
      </c>
      <c r="J154" s="47"/>
      <c r="K154" s="47"/>
    </row>
    <row r="155" spans="1:11" x14ac:dyDescent="0.25">
      <c r="A155" s="8">
        <v>1</v>
      </c>
      <c r="B155" s="8">
        <v>151</v>
      </c>
      <c r="C155" s="8">
        <v>12.583333333333332</v>
      </c>
      <c r="D155" s="46">
        <v>0</v>
      </c>
      <c r="E155" s="78">
        <v>1.3999999999999999E-4</v>
      </c>
      <c r="F155" s="78">
        <v>3.0000000000000001E-5</v>
      </c>
      <c r="J155" s="47"/>
      <c r="K155" s="47"/>
    </row>
    <row r="156" spans="1:11" x14ac:dyDescent="0.25">
      <c r="A156" s="8">
        <v>1</v>
      </c>
      <c r="B156" s="8">
        <v>152</v>
      </c>
      <c r="C156" s="8">
        <v>12.666666666666666</v>
      </c>
      <c r="D156" s="46">
        <v>0</v>
      </c>
      <c r="E156" s="78">
        <v>1.3999999999999999E-4</v>
      </c>
      <c r="F156" s="78">
        <v>3.0000000000000001E-5</v>
      </c>
      <c r="J156" s="47"/>
      <c r="K156" s="47"/>
    </row>
    <row r="157" spans="1:11" x14ac:dyDescent="0.25">
      <c r="A157" s="8">
        <v>1</v>
      </c>
      <c r="B157" s="8">
        <v>153</v>
      </c>
      <c r="C157" s="8">
        <v>12.75</v>
      </c>
      <c r="D157" s="46">
        <v>0</v>
      </c>
      <c r="E157" s="78">
        <v>1.3999999999999999E-4</v>
      </c>
      <c r="F157" s="78">
        <v>3.0000000000000001E-5</v>
      </c>
      <c r="J157" s="47"/>
      <c r="K157" s="47"/>
    </row>
    <row r="158" spans="1:11" x14ac:dyDescent="0.25">
      <c r="A158" s="8">
        <v>1</v>
      </c>
      <c r="B158" s="8">
        <v>154</v>
      </c>
      <c r="C158" s="8">
        <v>12.833333333333332</v>
      </c>
      <c r="D158" s="46">
        <v>0</v>
      </c>
      <c r="E158" s="78">
        <v>1.3999999999999999E-4</v>
      </c>
      <c r="F158" s="78">
        <v>3.0000000000000001E-5</v>
      </c>
      <c r="J158" s="47"/>
      <c r="K158" s="47"/>
    </row>
    <row r="159" spans="1:11" x14ac:dyDescent="0.25">
      <c r="A159" s="8">
        <v>1</v>
      </c>
      <c r="B159" s="8">
        <v>155</v>
      </c>
      <c r="C159" s="8">
        <v>12.916666666666666</v>
      </c>
      <c r="D159" s="46">
        <v>0</v>
      </c>
      <c r="E159" s="78">
        <v>1.3999999999999999E-4</v>
      </c>
      <c r="F159" s="78">
        <v>3.0000000000000001E-5</v>
      </c>
      <c r="J159" s="47"/>
      <c r="K159" s="47"/>
    </row>
    <row r="160" spans="1:11" x14ac:dyDescent="0.25">
      <c r="A160" s="8">
        <v>1</v>
      </c>
      <c r="B160" s="8">
        <v>156</v>
      </c>
      <c r="C160" s="8">
        <v>13</v>
      </c>
      <c r="D160" s="46">
        <v>0</v>
      </c>
      <c r="E160" s="78">
        <v>1.3999999999999999E-4</v>
      </c>
      <c r="F160" s="78">
        <v>3.0000000000000001E-5</v>
      </c>
      <c r="J160" s="47"/>
      <c r="K160" s="47"/>
    </row>
    <row r="161" spans="1:11" x14ac:dyDescent="0.25">
      <c r="A161" s="8">
        <v>1</v>
      </c>
      <c r="B161" s="8">
        <v>157</v>
      </c>
      <c r="C161" s="8">
        <v>13.083333333333332</v>
      </c>
      <c r="D161" s="46">
        <v>0</v>
      </c>
      <c r="E161" s="78">
        <v>1.3999999999999999E-4</v>
      </c>
      <c r="F161" s="78">
        <v>3.0000000000000001E-5</v>
      </c>
      <c r="J161" s="47"/>
      <c r="K161" s="47"/>
    </row>
    <row r="162" spans="1:11" x14ac:dyDescent="0.25">
      <c r="A162" s="8">
        <v>1</v>
      </c>
      <c r="B162" s="8">
        <v>158</v>
      </c>
      <c r="C162" s="8">
        <v>13.166666666666666</v>
      </c>
      <c r="D162" s="46">
        <v>0</v>
      </c>
      <c r="E162" s="78">
        <v>1.3999999999999999E-4</v>
      </c>
      <c r="F162" s="78">
        <v>3.0000000000000001E-5</v>
      </c>
      <c r="J162" s="47"/>
      <c r="K162" s="47"/>
    </row>
    <row r="163" spans="1:11" x14ac:dyDescent="0.25">
      <c r="A163" s="8">
        <v>1</v>
      </c>
      <c r="B163" s="8">
        <v>159</v>
      </c>
      <c r="C163" s="8">
        <v>13.25</v>
      </c>
      <c r="D163" s="46">
        <v>0</v>
      </c>
      <c r="E163" s="78">
        <v>1.3999999999999999E-4</v>
      </c>
      <c r="F163" s="78">
        <v>3.0000000000000001E-5</v>
      </c>
      <c r="J163" s="47"/>
      <c r="K163" s="47"/>
    </row>
    <row r="164" spans="1:11" x14ac:dyDescent="0.25">
      <c r="A164" s="8">
        <v>1</v>
      </c>
      <c r="B164" s="8">
        <v>160</v>
      </c>
      <c r="C164" s="8">
        <v>13.333333333333332</v>
      </c>
      <c r="D164" s="46">
        <v>0</v>
      </c>
      <c r="E164" s="78">
        <v>1.3999999999999999E-4</v>
      </c>
      <c r="F164" s="78">
        <v>3.0000000000000001E-5</v>
      </c>
      <c r="J164" s="47"/>
      <c r="K164" s="47"/>
    </row>
    <row r="165" spans="1:11" x14ac:dyDescent="0.25">
      <c r="A165" s="8">
        <v>1</v>
      </c>
      <c r="B165" s="8">
        <v>161</v>
      </c>
      <c r="C165" s="8">
        <v>13.416666666666666</v>
      </c>
      <c r="D165" s="46">
        <v>0</v>
      </c>
      <c r="E165" s="78">
        <v>1.3999999999999999E-4</v>
      </c>
      <c r="F165" s="78">
        <v>3.0000000000000001E-5</v>
      </c>
      <c r="J165" s="47"/>
      <c r="K165" s="47"/>
    </row>
    <row r="166" spans="1:11" x14ac:dyDescent="0.25">
      <c r="A166" s="8">
        <v>1</v>
      </c>
      <c r="B166" s="8">
        <v>162</v>
      </c>
      <c r="C166" s="8">
        <v>13.5</v>
      </c>
      <c r="D166" s="46">
        <v>0</v>
      </c>
      <c r="E166" s="78">
        <v>1.3999999999999999E-4</v>
      </c>
      <c r="F166" s="78">
        <v>3.0000000000000001E-5</v>
      </c>
      <c r="J166" s="47"/>
      <c r="K166" s="47"/>
    </row>
    <row r="167" spans="1:11" x14ac:dyDescent="0.25">
      <c r="A167" s="8">
        <v>1</v>
      </c>
      <c r="B167" s="8">
        <v>163</v>
      </c>
      <c r="C167" s="8">
        <v>13.583333333333332</v>
      </c>
      <c r="D167" s="46">
        <v>0</v>
      </c>
      <c r="E167" s="78">
        <v>1.3999999999999999E-4</v>
      </c>
      <c r="F167" s="78">
        <v>3.0000000000000001E-5</v>
      </c>
      <c r="J167" s="47"/>
      <c r="K167" s="47"/>
    </row>
    <row r="168" spans="1:11" x14ac:dyDescent="0.25">
      <c r="A168" s="8">
        <v>1</v>
      </c>
      <c r="B168" s="8">
        <v>164</v>
      </c>
      <c r="C168" s="8">
        <v>13.666666666666666</v>
      </c>
      <c r="D168" s="46">
        <v>0</v>
      </c>
      <c r="E168" s="78">
        <v>1.3999999999999999E-4</v>
      </c>
      <c r="F168" s="78">
        <v>3.0000000000000001E-5</v>
      </c>
      <c r="J168" s="47"/>
      <c r="K168" s="47"/>
    </row>
    <row r="169" spans="1:11" x14ac:dyDescent="0.25">
      <c r="A169" s="8">
        <v>1</v>
      </c>
      <c r="B169" s="8">
        <v>165</v>
      </c>
      <c r="C169" s="8">
        <v>13.75</v>
      </c>
      <c r="D169" s="46">
        <v>0</v>
      </c>
      <c r="E169" s="78">
        <v>1.3999999999999999E-4</v>
      </c>
      <c r="F169" s="78">
        <v>3.0000000000000001E-5</v>
      </c>
      <c r="J169" s="47"/>
      <c r="K169" s="47"/>
    </row>
    <row r="170" spans="1:11" x14ac:dyDescent="0.25">
      <c r="A170" s="8">
        <v>1</v>
      </c>
      <c r="B170" s="8">
        <v>166</v>
      </c>
      <c r="C170" s="8">
        <v>13.833333333333332</v>
      </c>
      <c r="D170" s="46">
        <v>0</v>
      </c>
      <c r="E170" s="78">
        <v>1.3999999999999999E-4</v>
      </c>
      <c r="F170" s="78">
        <v>3.0000000000000001E-5</v>
      </c>
      <c r="J170" s="47"/>
      <c r="K170" s="47"/>
    </row>
    <row r="171" spans="1:11" x14ac:dyDescent="0.25">
      <c r="A171" s="8">
        <v>1</v>
      </c>
      <c r="B171" s="8">
        <v>167</v>
      </c>
      <c r="C171" s="8">
        <v>13.916666666666666</v>
      </c>
      <c r="D171" s="46">
        <v>0</v>
      </c>
      <c r="E171" s="78">
        <v>1.3999999999999999E-4</v>
      </c>
      <c r="F171" s="78">
        <v>3.0000000000000001E-5</v>
      </c>
      <c r="J171" s="47"/>
      <c r="K171" s="47"/>
    </row>
    <row r="172" spans="1:11" x14ac:dyDescent="0.25">
      <c r="A172" s="8">
        <v>1</v>
      </c>
      <c r="B172" s="8">
        <v>168</v>
      </c>
      <c r="C172" s="8">
        <v>14</v>
      </c>
      <c r="D172" s="46">
        <v>0</v>
      </c>
      <c r="E172" s="78">
        <v>1.3999999999999999E-4</v>
      </c>
      <c r="F172" s="78">
        <v>3.0000000000000001E-5</v>
      </c>
      <c r="J172" s="47"/>
      <c r="K172" s="47"/>
    </row>
    <row r="173" spans="1:11" x14ac:dyDescent="0.25">
      <c r="A173" s="8">
        <v>1</v>
      </c>
      <c r="B173" s="8">
        <v>169</v>
      </c>
      <c r="C173" s="8">
        <v>14.083333333333332</v>
      </c>
      <c r="D173" s="46">
        <v>0</v>
      </c>
      <c r="E173" s="78">
        <v>1.3999999999999999E-4</v>
      </c>
      <c r="F173" s="78">
        <v>3.0000000000000001E-5</v>
      </c>
      <c r="J173" s="47"/>
      <c r="K173" s="47"/>
    </row>
    <row r="174" spans="1:11" x14ac:dyDescent="0.25">
      <c r="A174" s="8">
        <v>1</v>
      </c>
      <c r="B174" s="8">
        <v>170</v>
      </c>
      <c r="C174" s="8">
        <v>14.166666666666666</v>
      </c>
      <c r="D174" s="46">
        <v>0</v>
      </c>
      <c r="E174" s="78">
        <v>1.3999999999999999E-4</v>
      </c>
      <c r="F174" s="78">
        <v>3.0000000000000001E-5</v>
      </c>
      <c r="J174" s="47"/>
      <c r="K174" s="47"/>
    </row>
    <row r="175" spans="1:11" x14ac:dyDescent="0.25">
      <c r="A175" s="8">
        <v>1</v>
      </c>
      <c r="B175" s="8">
        <v>171</v>
      </c>
      <c r="C175" s="8">
        <v>14.25</v>
      </c>
      <c r="D175" s="46">
        <v>0</v>
      </c>
      <c r="E175" s="78">
        <v>1.3999999999999999E-4</v>
      </c>
      <c r="F175" s="78">
        <v>3.0000000000000001E-5</v>
      </c>
      <c r="J175" s="47"/>
      <c r="K175" s="47"/>
    </row>
    <row r="176" spans="1:11" x14ac:dyDescent="0.25">
      <c r="A176" s="8">
        <v>1</v>
      </c>
      <c r="B176" s="8">
        <v>172</v>
      </c>
      <c r="C176" s="8">
        <v>14.333333333333332</v>
      </c>
      <c r="D176" s="46">
        <v>0</v>
      </c>
      <c r="E176" s="78">
        <v>1.3999999999999999E-4</v>
      </c>
      <c r="F176" s="78">
        <v>3.0000000000000001E-5</v>
      </c>
      <c r="J176" s="47"/>
      <c r="K176" s="47"/>
    </row>
    <row r="177" spans="1:11" x14ac:dyDescent="0.25">
      <c r="A177" s="8">
        <v>1</v>
      </c>
      <c r="B177" s="8">
        <v>173</v>
      </c>
      <c r="C177" s="8">
        <v>14.416666666666666</v>
      </c>
      <c r="D177" s="46">
        <v>0</v>
      </c>
      <c r="E177" s="78">
        <v>1.3999999999999999E-4</v>
      </c>
      <c r="F177" s="78">
        <v>3.0000000000000001E-5</v>
      </c>
      <c r="J177" s="47"/>
      <c r="K177" s="47"/>
    </row>
    <row r="178" spans="1:11" x14ac:dyDescent="0.25">
      <c r="A178" s="8">
        <v>1</v>
      </c>
      <c r="B178" s="8">
        <v>174</v>
      </c>
      <c r="C178" s="8">
        <v>14.5</v>
      </c>
      <c r="D178" s="46">
        <v>0</v>
      </c>
      <c r="E178" s="78">
        <v>1.3999999999999999E-4</v>
      </c>
      <c r="F178" s="78">
        <v>3.0000000000000001E-5</v>
      </c>
      <c r="J178" s="47"/>
      <c r="K178" s="47"/>
    </row>
    <row r="179" spans="1:11" x14ac:dyDescent="0.25">
      <c r="A179" s="8">
        <v>1</v>
      </c>
      <c r="B179" s="8">
        <v>175</v>
      </c>
      <c r="C179" s="8">
        <v>14.583333333333332</v>
      </c>
      <c r="D179" s="46">
        <v>0</v>
      </c>
      <c r="E179" s="78">
        <v>1.3999999999999999E-4</v>
      </c>
      <c r="F179" s="78">
        <v>3.0000000000000001E-5</v>
      </c>
      <c r="J179" s="47"/>
      <c r="K179" s="47"/>
    </row>
    <row r="180" spans="1:11" x14ac:dyDescent="0.25">
      <c r="A180" s="8">
        <v>1</v>
      </c>
      <c r="B180" s="8">
        <v>176</v>
      </c>
      <c r="C180" s="8">
        <v>14.666666666666666</v>
      </c>
      <c r="D180" s="46">
        <v>0</v>
      </c>
      <c r="E180" s="78">
        <v>1.3999999999999999E-4</v>
      </c>
      <c r="F180" s="78">
        <v>3.0000000000000001E-5</v>
      </c>
      <c r="J180" s="47"/>
      <c r="K180" s="47"/>
    </row>
    <row r="181" spans="1:11" x14ac:dyDescent="0.25">
      <c r="A181" s="8">
        <v>1</v>
      </c>
      <c r="B181" s="8">
        <v>177</v>
      </c>
      <c r="C181" s="8">
        <v>14.75</v>
      </c>
      <c r="D181" s="46">
        <v>0</v>
      </c>
      <c r="E181" s="78">
        <v>1.3999999999999999E-4</v>
      </c>
      <c r="F181" s="78">
        <v>3.0000000000000001E-5</v>
      </c>
      <c r="J181" s="47"/>
      <c r="K181" s="47"/>
    </row>
    <row r="182" spans="1:11" x14ac:dyDescent="0.25">
      <c r="A182" s="8">
        <v>1</v>
      </c>
      <c r="B182" s="8">
        <v>178</v>
      </c>
      <c r="C182" s="8">
        <v>14.833333333333332</v>
      </c>
      <c r="D182" s="46">
        <v>0</v>
      </c>
      <c r="E182" s="78">
        <v>1.3999999999999999E-4</v>
      </c>
      <c r="F182" s="78">
        <v>3.0000000000000001E-5</v>
      </c>
      <c r="J182" s="47"/>
      <c r="K182" s="47"/>
    </row>
    <row r="183" spans="1:11" x14ac:dyDescent="0.25">
      <c r="A183" s="8">
        <v>1</v>
      </c>
      <c r="B183" s="8">
        <v>179</v>
      </c>
      <c r="C183" s="8">
        <v>14.916666666666666</v>
      </c>
      <c r="D183" s="46">
        <v>0</v>
      </c>
      <c r="E183" s="78">
        <v>1.3999999999999999E-4</v>
      </c>
      <c r="F183" s="78">
        <v>3.0000000000000001E-5</v>
      </c>
      <c r="J183" s="47"/>
      <c r="K183" s="47"/>
    </row>
    <row r="184" spans="1:11" x14ac:dyDescent="0.25">
      <c r="A184" s="8">
        <v>1</v>
      </c>
      <c r="B184" s="8">
        <v>180</v>
      </c>
      <c r="C184" s="8">
        <v>15</v>
      </c>
      <c r="D184" s="46">
        <v>0</v>
      </c>
      <c r="E184" s="78">
        <v>1.3999999999999999E-4</v>
      </c>
      <c r="F184" s="78">
        <v>3.0000000000000001E-5</v>
      </c>
      <c r="J184" s="47"/>
      <c r="K184" s="47"/>
    </row>
    <row r="185" spans="1:11" x14ac:dyDescent="0.25">
      <c r="A185" s="8">
        <v>1</v>
      </c>
      <c r="B185" s="8">
        <v>181</v>
      </c>
      <c r="C185" s="8">
        <v>15.083333333333332</v>
      </c>
      <c r="D185" s="46">
        <v>0</v>
      </c>
      <c r="E185" s="78">
        <v>1.3999999999999999E-4</v>
      </c>
      <c r="F185" s="78">
        <v>3.0000000000000001E-5</v>
      </c>
      <c r="J185" s="47"/>
      <c r="K185" s="47"/>
    </row>
    <row r="186" spans="1:11" x14ac:dyDescent="0.25">
      <c r="A186" s="8">
        <v>1</v>
      </c>
      <c r="B186" s="8">
        <v>182</v>
      </c>
      <c r="C186" s="8">
        <v>15.166666666666666</v>
      </c>
      <c r="D186" s="46">
        <v>0</v>
      </c>
      <c r="E186" s="78">
        <v>1.3999999999999999E-4</v>
      </c>
      <c r="F186" s="78">
        <v>3.0000000000000001E-5</v>
      </c>
      <c r="J186" s="47"/>
      <c r="K186" s="47"/>
    </row>
    <row r="187" spans="1:11" x14ac:dyDescent="0.25">
      <c r="A187" s="8">
        <v>1</v>
      </c>
      <c r="B187" s="8">
        <v>183</v>
      </c>
      <c r="C187" s="8">
        <v>15.25</v>
      </c>
      <c r="D187" s="46">
        <v>0</v>
      </c>
      <c r="E187" s="78">
        <v>1.3999999999999999E-4</v>
      </c>
      <c r="F187" s="78">
        <v>3.0000000000000001E-5</v>
      </c>
      <c r="J187" s="47"/>
      <c r="K187" s="47"/>
    </row>
    <row r="188" spans="1:11" x14ac:dyDescent="0.25">
      <c r="A188" s="8">
        <v>1</v>
      </c>
      <c r="B188" s="8">
        <v>184</v>
      </c>
      <c r="C188" s="8">
        <v>15.333333333333332</v>
      </c>
      <c r="D188" s="46">
        <v>0</v>
      </c>
      <c r="E188" s="78">
        <v>1.3999999999999999E-4</v>
      </c>
      <c r="F188" s="78">
        <v>3.0000000000000001E-5</v>
      </c>
      <c r="J188" s="47"/>
      <c r="K188" s="47"/>
    </row>
    <row r="189" spans="1:11" x14ac:dyDescent="0.25">
      <c r="A189" s="8">
        <v>1</v>
      </c>
      <c r="B189" s="8">
        <v>185</v>
      </c>
      <c r="C189" s="8">
        <v>15.416666666666666</v>
      </c>
      <c r="D189" s="46">
        <v>0</v>
      </c>
      <c r="E189" s="78">
        <v>1.3999999999999999E-4</v>
      </c>
      <c r="F189" s="78">
        <v>3.0000000000000001E-5</v>
      </c>
      <c r="J189" s="47"/>
      <c r="K189" s="47"/>
    </row>
    <row r="190" spans="1:11" x14ac:dyDescent="0.25">
      <c r="A190" s="8">
        <v>1</v>
      </c>
      <c r="B190" s="8">
        <v>186</v>
      </c>
      <c r="C190" s="8">
        <v>15.5</v>
      </c>
      <c r="D190" s="46">
        <v>0</v>
      </c>
      <c r="E190" s="78">
        <v>1.3999999999999999E-4</v>
      </c>
      <c r="F190" s="78">
        <v>3.0000000000000001E-5</v>
      </c>
      <c r="J190" s="47"/>
      <c r="K190" s="47"/>
    </row>
    <row r="191" spans="1:11" x14ac:dyDescent="0.25">
      <c r="A191" s="8">
        <v>1</v>
      </c>
      <c r="B191" s="8">
        <v>187</v>
      </c>
      <c r="C191" s="8">
        <v>15.583333333333332</v>
      </c>
      <c r="D191" s="46">
        <v>0</v>
      </c>
      <c r="E191" s="78">
        <v>1.3999999999999999E-4</v>
      </c>
      <c r="F191" s="78">
        <v>3.0000000000000001E-5</v>
      </c>
      <c r="J191" s="47"/>
      <c r="K191" s="47"/>
    </row>
    <row r="192" spans="1:11" x14ac:dyDescent="0.25">
      <c r="A192" s="8">
        <v>1</v>
      </c>
      <c r="B192" s="8">
        <v>188</v>
      </c>
      <c r="C192" s="8">
        <v>15.666666666666666</v>
      </c>
      <c r="D192" s="46">
        <v>0</v>
      </c>
      <c r="E192" s="78">
        <v>1.3999999999999999E-4</v>
      </c>
      <c r="F192" s="78">
        <v>3.0000000000000001E-5</v>
      </c>
      <c r="J192" s="47"/>
      <c r="K192" s="47"/>
    </row>
    <row r="193" spans="1:11" x14ac:dyDescent="0.25">
      <c r="A193" s="8">
        <v>1</v>
      </c>
      <c r="B193" s="8">
        <v>189</v>
      </c>
      <c r="C193" s="8">
        <v>15.75</v>
      </c>
      <c r="D193" s="46">
        <v>0</v>
      </c>
      <c r="E193" s="78">
        <v>1.3999999999999999E-4</v>
      </c>
      <c r="F193" s="78">
        <v>3.0000000000000001E-5</v>
      </c>
      <c r="J193" s="47"/>
      <c r="K193" s="47"/>
    </row>
    <row r="194" spans="1:11" x14ac:dyDescent="0.25">
      <c r="A194" s="8">
        <v>1</v>
      </c>
      <c r="B194" s="8">
        <v>190</v>
      </c>
      <c r="C194" s="8">
        <v>15.833333333333332</v>
      </c>
      <c r="D194" s="46">
        <v>0</v>
      </c>
      <c r="E194" s="78">
        <v>1.3999999999999999E-4</v>
      </c>
      <c r="F194" s="78">
        <v>3.0000000000000001E-5</v>
      </c>
      <c r="J194" s="47"/>
      <c r="K194" s="47"/>
    </row>
    <row r="195" spans="1:11" x14ac:dyDescent="0.25">
      <c r="A195" s="8">
        <v>1</v>
      </c>
      <c r="B195" s="8">
        <v>191</v>
      </c>
      <c r="C195" s="8">
        <v>15.916666666666666</v>
      </c>
      <c r="D195" s="46">
        <v>0</v>
      </c>
      <c r="E195" s="78">
        <v>1.3999999999999999E-4</v>
      </c>
      <c r="F195" s="78">
        <v>3.0000000000000001E-5</v>
      </c>
      <c r="J195" s="47"/>
      <c r="K195" s="47"/>
    </row>
    <row r="196" spans="1:11" x14ac:dyDescent="0.25">
      <c r="A196" s="8">
        <v>1</v>
      </c>
      <c r="B196" s="8">
        <v>192</v>
      </c>
      <c r="C196" s="8">
        <v>16</v>
      </c>
      <c r="D196" s="46">
        <v>0</v>
      </c>
      <c r="E196" s="78">
        <v>1.3999999999999999E-4</v>
      </c>
      <c r="F196" s="78">
        <v>3.0000000000000001E-5</v>
      </c>
      <c r="J196" s="47"/>
      <c r="K196" s="47"/>
    </row>
    <row r="197" spans="1:11" x14ac:dyDescent="0.25">
      <c r="A197" s="8">
        <v>1</v>
      </c>
      <c r="B197" s="8">
        <v>193</v>
      </c>
      <c r="C197" s="8">
        <v>16.083333333333332</v>
      </c>
      <c r="D197" s="46">
        <v>0</v>
      </c>
      <c r="E197" s="78">
        <v>1.3999999999999999E-4</v>
      </c>
      <c r="F197" s="78">
        <v>3.0000000000000001E-5</v>
      </c>
      <c r="J197" s="47"/>
      <c r="K197" s="47"/>
    </row>
    <row r="198" spans="1:11" x14ac:dyDescent="0.25">
      <c r="A198" s="8">
        <v>1</v>
      </c>
      <c r="B198" s="8">
        <v>194</v>
      </c>
      <c r="C198" s="8">
        <v>16.166666666666664</v>
      </c>
      <c r="D198" s="46">
        <v>0</v>
      </c>
      <c r="E198" s="78">
        <v>1.3999999999999999E-4</v>
      </c>
      <c r="F198" s="78">
        <v>3.0000000000000001E-5</v>
      </c>
      <c r="J198" s="47"/>
      <c r="K198" s="47"/>
    </row>
    <row r="199" spans="1:11" x14ac:dyDescent="0.25">
      <c r="A199" s="8">
        <v>1</v>
      </c>
      <c r="B199" s="8">
        <v>195</v>
      </c>
      <c r="C199" s="8">
        <v>16.25</v>
      </c>
      <c r="D199" s="46">
        <v>0</v>
      </c>
      <c r="E199" s="78">
        <v>1.3999999999999999E-4</v>
      </c>
      <c r="F199" s="78">
        <v>3.0000000000000001E-5</v>
      </c>
      <c r="J199" s="47"/>
      <c r="K199" s="47"/>
    </row>
    <row r="200" spans="1:11" x14ac:dyDescent="0.25">
      <c r="A200" s="8">
        <v>1</v>
      </c>
      <c r="B200" s="8">
        <v>196</v>
      </c>
      <c r="C200" s="8">
        <v>16.333333333333332</v>
      </c>
      <c r="D200" s="46">
        <v>0</v>
      </c>
      <c r="E200" s="78">
        <v>1.3999999999999999E-4</v>
      </c>
      <c r="F200" s="78">
        <v>3.0000000000000001E-5</v>
      </c>
      <c r="J200" s="47"/>
      <c r="K200" s="47"/>
    </row>
    <row r="201" spans="1:11" x14ac:dyDescent="0.25">
      <c r="A201" s="8">
        <v>1</v>
      </c>
      <c r="B201" s="8">
        <v>197</v>
      </c>
      <c r="C201" s="8">
        <v>16.416666666666664</v>
      </c>
      <c r="D201" s="46">
        <v>0</v>
      </c>
      <c r="E201" s="78">
        <v>1.3999999999999999E-4</v>
      </c>
      <c r="F201" s="78">
        <v>3.0000000000000001E-5</v>
      </c>
      <c r="J201" s="47"/>
      <c r="K201" s="47"/>
    </row>
    <row r="202" spans="1:11" x14ac:dyDescent="0.25">
      <c r="A202" s="8">
        <v>1</v>
      </c>
      <c r="B202" s="8">
        <v>198</v>
      </c>
      <c r="C202" s="8">
        <v>16.5</v>
      </c>
      <c r="D202" s="46">
        <v>0</v>
      </c>
      <c r="E202" s="78">
        <v>1.3999999999999999E-4</v>
      </c>
      <c r="F202" s="78">
        <v>3.0000000000000001E-5</v>
      </c>
      <c r="J202" s="47"/>
      <c r="K202" s="47"/>
    </row>
    <row r="203" spans="1:11" x14ac:dyDescent="0.25">
      <c r="A203" s="8">
        <v>1</v>
      </c>
      <c r="B203" s="8">
        <v>199</v>
      </c>
      <c r="C203" s="8">
        <v>16.583333333333332</v>
      </c>
      <c r="D203" s="46">
        <v>0</v>
      </c>
      <c r="E203" s="78">
        <v>1.3999999999999999E-4</v>
      </c>
      <c r="F203" s="78">
        <v>3.0000000000000001E-5</v>
      </c>
      <c r="J203" s="47"/>
      <c r="K203" s="47"/>
    </row>
    <row r="204" spans="1:11" x14ac:dyDescent="0.25">
      <c r="A204" s="8">
        <v>1</v>
      </c>
      <c r="B204" s="8">
        <v>200</v>
      </c>
      <c r="C204" s="8">
        <v>16.666666666666664</v>
      </c>
      <c r="D204" s="46">
        <v>0</v>
      </c>
      <c r="E204" s="78">
        <v>1.3999999999999999E-4</v>
      </c>
      <c r="F204" s="78">
        <v>3.0000000000000001E-5</v>
      </c>
      <c r="J204" s="47"/>
      <c r="K204" s="47"/>
    </row>
    <row r="205" spans="1:11" x14ac:dyDescent="0.25">
      <c r="A205" s="8">
        <v>1</v>
      </c>
      <c r="B205" s="8">
        <v>201</v>
      </c>
      <c r="C205" s="8">
        <v>16.75</v>
      </c>
      <c r="D205" s="46">
        <v>0</v>
      </c>
      <c r="E205" s="78">
        <v>1.3999999999999999E-4</v>
      </c>
      <c r="F205" s="78">
        <v>3.0000000000000001E-5</v>
      </c>
      <c r="J205" s="47"/>
      <c r="K205" s="47"/>
    </row>
    <row r="206" spans="1:11" x14ac:dyDescent="0.25">
      <c r="A206" s="8">
        <v>1</v>
      </c>
      <c r="B206" s="8">
        <v>202</v>
      </c>
      <c r="C206" s="8">
        <v>16.833333333333332</v>
      </c>
      <c r="D206" s="46">
        <v>0</v>
      </c>
      <c r="E206" s="78">
        <v>1.3999999999999999E-4</v>
      </c>
      <c r="F206" s="78">
        <v>3.0000000000000001E-5</v>
      </c>
      <c r="J206" s="47"/>
      <c r="K206" s="47"/>
    </row>
    <row r="207" spans="1:11" x14ac:dyDescent="0.25">
      <c r="A207" s="8">
        <v>1</v>
      </c>
      <c r="B207" s="8">
        <v>203</v>
      </c>
      <c r="C207" s="8">
        <v>16.916666666666664</v>
      </c>
      <c r="D207" s="46">
        <v>0</v>
      </c>
      <c r="E207" s="78">
        <v>1.3999999999999999E-4</v>
      </c>
      <c r="F207" s="78">
        <v>3.0000000000000001E-5</v>
      </c>
      <c r="J207" s="47"/>
      <c r="K207" s="47"/>
    </row>
    <row r="208" spans="1:11" x14ac:dyDescent="0.25">
      <c r="A208" s="8">
        <v>1</v>
      </c>
      <c r="B208" s="8">
        <v>204</v>
      </c>
      <c r="C208" s="8">
        <v>17</v>
      </c>
      <c r="D208" s="46">
        <v>0</v>
      </c>
      <c r="E208" s="78">
        <v>1.3999999999999999E-4</v>
      </c>
      <c r="F208" s="78">
        <v>3.0000000000000001E-5</v>
      </c>
      <c r="J208" s="47"/>
      <c r="K208" s="47"/>
    </row>
    <row r="209" spans="1:11" x14ac:dyDescent="0.25">
      <c r="A209" s="8">
        <v>1</v>
      </c>
      <c r="B209" s="8">
        <v>205</v>
      </c>
      <c r="C209" s="8">
        <v>17.083333333333332</v>
      </c>
      <c r="D209" s="46">
        <v>0</v>
      </c>
      <c r="E209" s="78">
        <v>1.3999999999999999E-4</v>
      </c>
      <c r="F209" s="78">
        <v>3.0000000000000001E-5</v>
      </c>
      <c r="J209" s="47"/>
      <c r="K209" s="47"/>
    </row>
    <row r="210" spans="1:11" x14ac:dyDescent="0.25">
      <c r="A210" s="8">
        <v>1</v>
      </c>
      <c r="B210" s="8">
        <v>206</v>
      </c>
      <c r="C210" s="8">
        <v>17.166666666666664</v>
      </c>
      <c r="D210" s="46">
        <v>0</v>
      </c>
      <c r="E210" s="78">
        <v>1.3999999999999999E-4</v>
      </c>
      <c r="F210" s="78">
        <v>3.0000000000000001E-5</v>
      </c>
      <c r="J210" s="47"/>
      <c r="K210" s="47"/>
    </row>
    <row r="211" spans="1:11" x14ac:dyDescent="0.25">
      <c r="A211" s="8">
        <v>1</v>
      </c>
      <c r="B211" s="8">
        <v>207</v>
      </c>
      <c r="C211" s="8">
        <v>17.25</v>
      </c>
      <c r="D211" s="46">
        <v>0</v>
      </c>
      <c r="E211" s="78">
        <v>1.3999999999999999E-4</v>
      </c>
      <c r="F211" s="78">
        <v>3.0000000000000001E-5</v>
      </c>
      <c r="J211" s="47"/>
      <c r="K211" s="47"/>
    </row>
    <row r="212" spans="1:11" x14ac:dyDescent="0.25">
      <c r="A212" s="8">
        <v>1</v>
      </c>
      <c r="B212" s="8">
        <v>208</v>
      </c>
      <c r="C212" s="8">
        <v>17.333333333333332</v>
      </c>
      <c r="D212" s="46">
        <v>0</v>
      </c>
      <c r="E212" s="78">
        <v>1.3999999999999999E-4</v>
      </c>
      <c r="F212" s="78">
        <v>3.0000000000000001E-5</v>
      </c>
      <c r="J212" s="47"/>
      <c r="K212" s="47"/>
    </row>
    <row r="213" spans="1:11" x14ac:dyDescent="0.25">
      <c r="A213" s="8">
        <v>1</v>
      </c>
      <c r="B213" s="8">
        <v>209</v>
      </c>
      <c r="C213" s="8">
        <v>17.416666666666664</v>
      </c>
      <c r="D213" s="46">
        <v>0</v>
      </c>
      <c r="E213" s="78">
        <v>1.3999999999999999E-4</v>
      </c>
      <c r="F213" s="78">
        <v>3.0000000000000001E-5</v>
      </c>
      <c r="J213" s="47"/>
      <c r="K213" s="47"/>
    </row>
    <row r="214" spans="1:11" x14ac:dyDescent="0.25">
      <c r="A214" s="8">
        <v>1</v>
      </c>
      <c r="B214" s="8">
        <v>210</v>
      </c>
      <c r="C214" s="8">
        <v>17.5</v>
      </c>
      <c r="D214" s="46">
        <v>0</v>
      </c>
      <c r="E214" s="78">
        <v>1.3999999999999999E-4</v>
      </c>
      <c r="F214" s="78">
        <v>3.0000000000000001E-5</v>
      </c>
      <c r="J214" s="47"/>
      <c r="K214" s="47"/>
    </row>
    <row r="215" spans="1:11" x14ac:dyDescent="0.25">
      <c r="A215" s="8">
        <v>1</v>
      </c>
      <c r="B215" s="8">
        <v>211</v>
      </c>
      <c r="C215" s="8">
        <v>17.583333333333332</v>
      </c>
      <c r="D215" s="46">
        <v>0</v>
      </c>
      <c r="E215" s="78">
        <v>1.3999999999999999E-4</v>
      </c>
      <c r="F215" s="78">
        <v>3.0000000000000001E-5</v>
      </c>
      <c r="J215" s="47"/>
      <c r="K215" s="47"/>
    </row>
    <row r="216" spans="1:11" x14ac:dyDescent="0.25">
      <c r="A216" s="8">
        <v>1</v>
      </c>
      <c r="B216" s="8">
        <v>212</v>
      </c>
      <c r="C216" s="8">
        <v>17.666666666666664</v>
      </c>
      <c r="D216" s="46">
        <v>0</v>
      </c>
      <c r="E216" s="78">
        <v>1.3999999999999999E-4</v>
      </c>
      <c r="F216" s="78">
        <v>3.0000000000000001E-5</v>
      </c>
      <c r="J216" s="47"/>
      <c r="K216" s="47"/>
    </row>
    <row r="217" spans="1:11" x14ac:dyDescent="0.25">
      <c r="A217" s="8">
        <v>1</v>
      </c>
      <c r="B217" s="8">
        <v>213</v>
      </c>
      <c r="C217" s="8">
        <v>17.75</v>
      </c>
      <c r="D217" s="46">
        <v>0</v>
      </c>
      <c r="E217" s="78">
        <v>1.3999999999999999E-4</v>
      </c>
      <c r="F217" s="78">
        <v>3.0000000000000001E-5</v>
      </c>
      <c r="J217" s="47"/>
      <c r="K217" s="47"/>
    </row>
    <row r="218" spans="1:11" x14ac:dyDescent="0.25">
      <c r="A218" s="8">
        <v>1</v>
      </c>
      <c r="B218" s="8">
        <v>214</v>
      </c>
      <c r="C218" s="8">
        <v>17.833333333333332</v>
      </c>
      <c r="D218" s="46">
        <v>0</v>
      </c>
      <c r="E218" s="78">
        <v>1.3999999999999999E-4</v>
      </c>
      <c r="F218" s="78">
        <v>3.0000000000000001E-5</v>
      </c>
      <c r="J218" s="47"/>
      <c r="K218" s="47"/>
    </row>
    <row r="219" spans="1:11" x14ac:dyDescent="0.25">
      <c r="A219" s="8">
        <v>1</v>
      </c>
      <c r="B219" s="8">
        <v>215</v>
      </c>
      <c r="C219" s="8">
        <v>17.916666666666664</v>
      </c>
      <c r="D219" s="46">
        <v>0</v>
      </c>
      <c r="E219" s="78">
        <v>1.3999999999999999E-4</v>
      </c>
      <c r="F219" s="78">
        <v>3.0000000000000001E-5</v>
      </c>
      <c r="J219" s="47"/>
      <c r="K219" s="47"/>
    </row>
    <row r="220" spans="1:11" x14ac:dyDescent="0.25">
      <c r="A220" s="8">
        <v>1</v>
      </c>
      <c r="B220" s="8">
        <v>216</v>
      </c>
      <c r="C220" s="8">
        <v>18</v>
      </c>
      <c r="D220" s="46">
        <v>0</v>
      </c>
      <c r="E220" s="78">
        <v>1.3999999999999999E-4</v>
      </c>
      <c r="F220" s="78">
        <v>3.0000000000000001E-5</v>
      </c>
      <c r="J220" s="47"/>
      <c r="K220" s="47"/>
    </row>
    <row r="221" spans="1:11" x14ac:dyDescent="0.25">
      <c r="A221" s="8">
        <v>1</v>
      </c>
      <c r="B221" s="8">
        <v>217</v>
      </c>
      <c r="C221" s="8">
        <v>18.083333333333332</v>
      </c>
      <c r="D221" s="46">
        <v>0</v>
      </c>
      <c r="E221" s="78">
        <v>1.3999999999999999E-4</v>
      </c>
      <c r="F221" s="78">
        <v>3.0000000000000001E-5</v>
      </c>
      <c r="J221" s="47"/>
      <c r="K221" s="47"/>
    </row>
    <row r="222" spans="1:11" x14ac:dyDescent="0.25">
      <c r="A222" s="8">
        <v>1</v>
      </c>
      <c r="B222" s="8">
        <v>218</v>
      </c>
      <c r="C222" s="8">
        <v>18.166666666666664</v>
      </c>
      <c r="D222" s="46">
        <v>0</v>
      </c>
      <c r="E222" s="78">
        <v>1.3999999999999999E-4</v>
      </c>
      <c r="F222" s="78">
        <v>3.0000000000000001E-5</v>
      </c>
      <c r="J222" s="47"/>
      <c r="K222" s="47"/>
    </row>
    <row r="223" spans="1:11" x14ac:dyDescent="0.25">
      <c r="A223" s="8">
        <v>1</v>
      </c>
      <c r="B223" s="8">
        <v>219</v>
      </c>
      <c r="C223" s="8">
        <v>18.25</v>
      </c>
      <c r="D223" s="46">
        <v>0</v>
      </c>
      <c r="E223" s="78">
        <v>1.3999999999999999E-4</v>
      </c>
      <c r="F223" s="78">
        <v>3.0000000000000001E-5</v>
      </c>
      <c r="J223" s="47"/>
      <c r="K223" s="47"/>
    </row>
    <row r="224" spans="1:11" x14ac:dyDescent="0.25">
      <c r="A224" s="8">
        <v>1</v>
      </c>
      <c r="B224" s="8">
        <v>220</v>
      </c>
      <c r="C224" s="8">
        <v>18.333333333333332</v>
      </c>
      <c r="D224" s="46">
        <v>0</v>
      </c>
      <c r="E224" s="78">
        <v>1.3999999999999999E-4</v>
      </c>
      <c r="F224" s="78">
        <v>3.0000000000000001E-5</v>
      </c>
      <c r="J224" s="47"/>
      <c r="K224" s="47"/>
    </row>
    <row r="225" spans="1:11" x14ac:dyDescent="0.25">
      <c r="A225" s="8">
        <v>1</v>
      </c>
      <c r="B225" s="8">
        <v>221</v>
      </c>
      <c r="C225" s="8">
        <v>18.416666666666664</v>
      </c>
      <c r="D225" s="46">
        <v>0</v>
      </c>
      <c r="E225" s="78">
        <v>1.3999999999999999E-4</v>
      </c>
      <c r="F225" s="78">
        <v>3.0000000000000001E-5</v>
      </c>
      <c r="J225" s="47"/>
      <c r="K225" s="47"/>
    </row>
    <row r="226" spans="1:11" x14ac:dyDescent="0.25">
      <c r="A226" s="8">
        <v>1</v>
      </c>
      <c r="B226" s="8">
        <v>222</v>
      </c>
      <c r="C226" s="8">
        <v>18.5</v>
      </c>
      <c r="D226" s="46">
        <v>0</v>
      </c>
      <c r="E226" s="78">
        <v>1.3999999999999999E-4</v>
      </c>
      <c r="F226" s="78">
        <v>3.0000000000000001E-5</v>
      </c>
      <c r="J226" s="47"/>
      <c r="K226" s="47"/>
    </row>
    <row r="227" spans="1:11" x14ac:dyDescent="0.25">
      <c r="A227" s="8">
        <v>1</v>
      </c>
      <c r="B227" s="8">
        <v>223</v>
      </c>
      <c r="C227" s="8">
        <v>18.583333333333332</v>
      </c>
      <c r="D227" s="46">
        <v>0</v>
      </c>
      <c r="E227" s="78">
        <v>1.3999999999999999E-4</v>
      </c>
      <c r="F227" s="78">
        <v>3.0000000000000001E-5</v>
      </c>
      <c r="J227" s="47"/>
      <c r="K227" s="47"/>
    </row>
    <row r="228" spans="1:11" x14ac:dyDescent="0.25">
      <c r="A228" s="8">
        <v>1</v>
      </c>
      <c r="B228" s="8">
        <v>224</v>
      </c>
      <c r="C228" s="8">
        <v>18.666666666666664</v>
      </c>
      <c r="D228" s="46">
        <v>0</v>
      </c>
      <c r="E228" s="78">
        <v>1.3999999999999999E-4</v>
      </c>
      <c r="F228" s="78">
        <v>3.0000000000000001E-5</v>
      </c>
      <c r="J228" s="47"/>
      <c r="K228" s="47"/>
    </row>
    <row r="229" spans="1:11" x14ac:dyDescent="0.25">
      <c r="A229" s="8">
        <v>1</v>
      </c>
      <c r="B229" s="8">
        <v>225</v>
      </c>
      <c r="C229" s="8">
        <v>18.75</v>
      </c>
      <c r="D229" s="46">
        <v>0</v>
      </c>
      <c r="E229" s="78">
        <v>1.3999999999999999E-4</v>
      </c>
      <c r="F229" s="78">
        <v>3.0000000000000001E-5</v>
      </c>
      <c r="J229" s="47"/>
      <c r="K229" s="47"/>
    </row>
    <row r="230" spans="1:11" x14ac:dyDescent="0.25">
      <c r="A230" s="8">
        <v>1</v>
      </c>
      <c r="B230" s="8">
        <v>226</v>
      </c>
      <c r="C230" s="8">
        <v>18.833333333333332</v>
      </c>
      <c r="D230" s="46">
        <v>0</v>
      </c>
      <c r="E230" s="78">
        <v>1.3999999999999999E-4</v>
      </c>
      <c r="F230" s="78">
        <v>3.0000000000000001E-5</v>
      </c>
      <c r="J230" s="47"/>
      <c r="K230" s="47"/>
    </row>
    <row r="231" spans="1:11" x14ac:dyDescent="0.25">
      <c r="A231" s="8">
        <v>1</v>
      </c>
      <c r="B231" s="8">
        <v>227</v>
      </c>
      <c r="C231" s="8">
        <v>18.916666666666664</v>
      </c>
      <c r="D231" s="46">
        <v>0</v>
      </c>
      <c r="E231" s="78">
        <v>1.3999999999999999E-4</v>
      </c>
      <c r="F231" s="78">
        <v>3.0000000000000001E-5</v>
      </c>
      <c r="J231" s="47"/>
      <c r="K231" s="47"/>
    </row>
    <row r="232" spans="1:11" x14ac:dyDescent="0.25">
      <c r="A232" s="8">
        <v>1</v>
      </c>
      <c r="B232" s="8">
        <v>228</v>
      </c>
      <c r="C232" s="8">
        <v>19</v>
      </c>
      <c r="D232" s="46">
        <v>0</v>
      </c>
      <c r="E232" s="78">
        <v>1.3999999999999999E-4</v>
      </c>
      <c r="F232" s="78">
        <v>3.0000000000000001E-5</v>
      </c>
      <c r="J232" s="47"/>
      <c r="K232" s="47"/>
    </row>
    <row r="233" spans="1:11" x14ac:dyDescent="0.25">
      <c r="A233" s="8">
        <v>1</v>
      </c>
      <c r="B233" s="8">
        <v>229</v>
      </c>
      <c r="C233" s="8">
        <v>19.083333333333332</v>
      </c>
      <c r="D233" s="46">
        <v>0</v>
      </c>
      <c r="E233" s="78">
        <v>1.3999999999999999E-4</v>
      </c>
      <c r="F233" s="78">
        <v>3.0000000000000001E-5</v>
      </c>
      <c r="J233" s="47"/>
      <c r="K233" s="47"/>
    </row>
    <row r="234" spans="1:11" x14ac:dyDescent="0.25">
      <c r="A234" s="8">
        <v>1</v>
      </c>
      <c r="B234" s="8">
        <v>230</v>
      </c>
      <c r="C234" s="8">
        <v>19.166666666666664</v>
      </c>
      <c r="D234" s="46">
        <v>0</v>
      </c>
      <c r="E234" s="78">
        <v>1.3999999999999999E-4</v>
      </c>
      <c r="F234" s="78">
        <v>3.0000000000000001E-5</v>
      </c>
      <c r="J234" s="47"/>
      <c r="K234" s="47"/>
    </row>
    <row r="235" spans="1:11" x14ac:dyDescent="0.25">
      <c r="A235" s="8">
        <v>1</v>
      </c>
      <c r="B235" s="8">
        <v>231</v>
      </c>
      <c r="C235" s="8">
        <v>19.25</v>
      </c>
      <c r="D235" s="46">
        <v>0</v>
      </c>
      <c r="E235" s="78">
        <v>1.3999999999999999E-4</v>
      </c>
      <c r="F235" s="78">
        <v>3.0000000000000001E-5</v>
      </c>
      <c r="J235" s="47"/>
      <c r="K235" s="47"/>
    </row>
    <row r="236" spans="1:11" x14ac:dyDescent="0.25">
      <c r="A236" s="8">
        <v>1</v>
      </c>
      <c r="B236" s="8">
        <v>232</v>
      </c>
      <c r="C236" s="8">
        <v>19.333333333333332</v>
      </c>
      <c r="D236" s="46">
        <v>0</v>
      </c>
      <c r="E236" s="78">
        <v>1.3999999999999999E-4</v>
      </c>
      <c r="F236" s="78">
        <v>3.0000000000000001E-5</v>
      </c>
      <c r="J236" s="47"/>
      <c r="K236" s="47"/>
    </row>
    <row r="237" spans="1:11" x14ac:dyDescent="0.25">
      <c r="A237" s="8">
        <v>1</v>
      </c>
      <c r="B237" s="8">
        <v>233</v>
      </c>
      <c r="C237" s="8">
        <v>19.416666666666664</v>
      </c>
      <c r="D237" s="46">
        <v>0</v>
      </c>
      <c r="E237" s="78">
        <v>1.3999999999999999E-4</v>
      </c>
      <c r="F237" s="78">
        <v>3.0000000000000001E-5</v>
      </c>
      <c r="J237" s="47"/>
      <c r="K237" s="47"/>
    </row>
    <row r="238" spans="1:11" x14ac:dyDescent="0.25">
      <c r="A238" s="8">
        <v>1</v>
      </c>
      <c r="B238" s="8">
        <v>234</v>
      </c>
      <c r="C238" s="8">
        <v>19.5</v>
      </c>
      <c r="D238" s="46">
        <v>0</v>
      </c>
      <c r="E238" s="78">
        <v>1.3999999999999999E-4</v>
      </c>
      <c r="F238" s="78">
        <v>3.0000000000000001E-5</v>
      </c>
      <c r="J238" s="47"/>
      <c r="K238" s="47"/>
    </row>
    <row r="239" spans="1:11" x14ac:dyDescent="0.25">
      <c r="A239" s="8">
        <v>1</v>
      </c>
      <c r="B239" s="8">
        <v>235</v>
      </c>
      <c r="C239" s="8">
        <v>19.583333333333332</v>
      </c>
      <c r="D239" s="46">
        <v>0</v>
      </c>
      <c r="E239" s="78">
        <v>1.3999999999999999E-4</v>
      </c>
      <c r="F239" s="78">
        <v>3.0000000000000001E-5</v>
      </c>
      <c r="J239" s="47"/>
      <c r="K239" s="47"/>
    </row>
    <row r="240" spans="1:11" x14ac:dyDescent="0.25">
      <c r="A240" s="8">
        <v>1</v>
      </c>
      <c r="B240" s="8">
        <v>236</v>
      </c>
      <c r="C240" s="8">
        <v>19.666666666666664</v>
      </c>
      <c r="D240" s="46">
        <v>0</v>
      </c>
      <c r="E240" s="78">
        <v>1.3999999999999999E-4</v>
      </c>
      <c r="F240" s="78">
        <v>3.0000000000000001E-5</v>
      </c>
      <c r="J240" s="47"/>
      <c r="K240" s="47"/>
    </row>
    <row r="241" spans="1:11" x14ac:dyDescent="0.25">
      <c r="A241" s="8">
        <v>1</v>
      </c>
      <c r="B241" s="8">
        <v>237</v>
      </c>
      <c r="C241" s="8">
        <v>19.75</v>
      </c>
      <c r="D241" s="46">
        <v>0</v>
      </c>
      <c r="E241" s="78">
        <v>1.3999999999999999E-4</v>
      </c>
      <c r="F241" s="78">
        <v>3.0000000000000001E-5</v>
      </c>
      <c r="J241" s="47"/>
      <c r="K241" s="47"/>
    </row>
    <row r="242" spans="1:11" x14ac:dyDescent="0.25">
      <c r="A242" s="8">
        <v>1</v>
      </c>
      <c r="B242" s="8">
        <v>238</v>
      </c>
      <c r="C242" s="8">
        <v>19.833333333333332</v>
      </c>
      <c r="D242" s="46">
        <v>0</v>
      </c>
      <c r="E242" s="78">
        <v>1.3999999999999999E-4</v>
      </c>
      <c r="F242" s="78">
        <v>3.0000000000000001E-5</v>
      </c>
      <c r="J242" s="47"/>
      <c r="K242" s="47"/>
    </row>
    <row r="243" spans="1:11" x14ac:dyDescent="0.25">
      <c r="A243" s="8">
        <v>1</v>
      </c>
      <c r="B243" s="8">
        <v>239</v>
      </c>
      <c r="C243" s="8">
        <v>19.916666666666664</v>
      </c>
      <c r="D243" s="46">
        <v>0</v>
      </c>
      <c r="E243" s="78">
        <v>1.3999999999999999E-4</v>
      </c>
      <c r="F243" s="78">
        <v>3.0000000000000001E-5</v>
      </c>
      <c r="J243" s="47"/>
      <c r="K243" s="47"/>
    </row>
    <row r="244" spans="1:11" x14ac:dyDescent="0.25">
      <c r="A244" s="8">
        <v>1</v>
      </c>
      <c r="B244" s="8">
        <v>240</v>
      </c>
      <c r="C244" s="8">
        <v>20</v>
      </c>
      <c r="D244" s="46">
        <v>0</v>
      </c>
      <c r="E244" s="78">
        <v>1.3999999999999999E-4</v>
      </c>
      <c r="F244" s="78">
        <v>3.0000000000000001E-5</v>
      </c>
      <c r="J244" s="47"/>
      <c r="K244" s="47"/>
    </row>
    <row r="245" spans="1:11" x14ac:dyDescent="0.25">
      <c r="A245" s="8">
        <v>1</v>
      </c>
      <c r="B245" s="8">
        <v>241</v>
      </c>
      <c r="C245" s="8">
        <v>20.083333333333332</v>
      </c>
      <c r="D245" s="46">
        <v>0</v>
      </c>
      <c r="E245" s="78">
        <v>1.3999999999999999E-4</v>
      </c>
      <c r="F245" s="78">
        <v>3.0000000000000001E-5</v>
      </c>
      <c r="J245" s="47"/>
      <c r="K245" s="47"/>
    </row>
    <row r="246" spans="1:11" x14ac:dyDescent="0.25">
      <c r="A246" s="8">
        <v>1</v>
      </c>
      <c r="B246" s="8">
        <v>242</v>
      </c>
      <c r="C246" s="8">
        <v>20.166666666666664</v>
      </c>
      <c r="D246" s="46">
        <v>0</v>
      </c>
      <c r="E246" s="78">
        <v>1.3999999999999999E-4</v>
      </c>
      <c r="F246" s="78">
        <v>3.0000000000000001E-5</v>
      </c>
      <c r="J246" s="47"/>
      <c r="K246" s="47"/>
    </row>
    <row r="247" spans="1:11" x14ac:dyDescent="0.25">
      <c r="A247" s="8">
        <v>1</v>
      </c>
      <c r="B247" s="8">
        <v>243</v>
      </c>
      <c r="C247" s="8">
        <v>20.25</v>
      </c>
      <c r="D247" s="46">
        <v>0</v>
      </c>
      <c r="E247" s="78">
        <v>1.3999999999999999E-4</v>
      </c>
      <c r="F247" s="78">
        <v>3.0000000000000001E-5</v>
      </c>
      <c r="J247" s="47"/>
      <c r="K247" s="47"/>
    </row>
    <row r="248" spans="1:11" x14ac:dyDescent="0.25">
      <c r="A248" s="8">
        <v>1</v>
      </c>
      <c r="B248" s="8">
        <v>244</v>
      </c>
      <c r="C248" s="8">
        <v>20.333333333333332</v>
      </c>
      <c r="D248" s="46">
        <v>0</v>
      </c>
      <c r="E248" s="78">
        <v>1.3999999999999999E-4</v>
      </c>
      <c r="F248" s="78">
        <v>3.0000000000000001E-5</v>
      </c>
      <c r="J248" s="47"/>
      <c r="K248" s="47"/>
    </row>
    <row r="249" spans="1:11" x14ac:dyDescent="0.25">
      <c r="A249" s="8">
        <v>1</v>
      </c>
      <c r="B249" s="8">
        <v>245</v>
      </c>
      <c r="C249" s="8">
        <v>20.416666666666664</v>
      </c>
      <c r="D249" s="46">
        <v>0</v>
      </c>
      <c r="E249" s="78">
        <v>1.3999999999999999E-4</v>
      </c>
      <c r="F249" s="78">
        <v>3.0000000000000001E-5</v>
      </c>
      <c r="J249" s="47"/>
      <c r="K249" s="47"/>
    </row>
    <row r="250" spans="1:11" x14ac:dyDescent="0.25">
      <c r="A250" s="8">
        <v>1</v>
      </c>
      <c r="B250" s="8">
        <v>246</v>
      </c>
      <c r="C250" s="8">
        <v>20.5</v>
      </c>
      <c r="D250" s="46">
        <v>0</v>
      </c>
      <c r="E250" s="78">
        <v>1.3999999999999999E-4</v>
      </c>
      <c r="F250" s="78">
        <v>3.0000000000000001E-5</v>
      </c>
      <c r="J250" s="47"/>
      <c r="K250" s="47"/>
    </row>
    <row r="251" spans="1:11" x14ac:dyDescent="0.25">
      <c r="A251" s="8">
        <v>1</v>
      </c>
      <c r="B251" s="8">
        <v>247</v>
      </c>
      <c r="C251" s="8">
        <v>20.583333333333332</v>
      </c>
      <c r="D251" s="46">
        <v>0</v>
      </c>
      <c r="E251" s="78">
        <v>1.3999999999999999E-4</v>
      </c>
      <c r="F251" s="78">
        <v>3.0000000000000001E-5</v>
      </c>
      <c r="J251" s="47"/>
      <c r="K251" s="47"/>
    </row>
    <row r="252" spans="1:11" x14ac:dyDescent="0.25">
      <c r="A252" s="8">
        <v>1</v>
      </c>
      <c r="B252" s="8">
        <v>248</v>
      </c>
      <c r="C252" s="8">
        <v>20.666666666666664</v>
      </c>
      <c r="D252" s="46">
        <v>0</v>
      </c>
      <c r="E252" s="78">
        <v>1.3999999999999999E-4</v>
      </c>
      <c r="F252" s="78">
        <v>3.0000000000000001E-5</v>
      </c>
      <c r="J252" s="47"/>
      <c r="K252" s="47"/>
    </row>
    <row r="253" spans="1:11" x14ac:dyDescent="0.25">
      <c r="A253" s="8">
        <v>1</v>
      </c>
      <c r="B253" s="8">
        <v>249</v>
      </c>
      <c r="C253" s="8">
        <v>20.75</v>
      </c>
      <c r="D253" s="46">
        <v>0</v>
      </c>
      <c r="E253" s="78">
        <v>1.3999999999999999E-4</v>
      </c>
      <c r="F253" s="78">
        <v>3.0000000000000001E-5</v>
      </c>
      <c r="J253" s="47"/>
      <c r="K253" s="47"/>
    </row>
    <row r="254" spans="1:11" x14ac:dyDescent="0.25">
      <c r="A254" s="8">
        <v>1</v>
      </c>
      <c r="B254" s="8">
        <v>250</v>
      </c>
      <c r="C254" s="8">
        <v>20.833333333333332</v>
      </c>
      <c r="D254" s="46">
        <v>0</v>
      </c>
      <c r="E254" s="78">
        <v>1.3999999999999999E-4</v>
      </c>
      <c r="F254" s="78">
        <v>3.0000000000000001E-5</v>
      </c>
      <c r="J254" s="47"/>
      <c r="K254" s="47"/>
    </row>
    <row r="255" spans="1:11" x14ac:dyDescent="0.25">
      <c r="A255" s="8">
        <v>1</v>
      </c>
      <c r="B255" s="8">
        <v>251</v>
      </c>
      <c r="C255" s="8">
        <v>20.916666666666664</v>
      </c>
      <c r="D255" s="46">
        <v>0</v>
      </c>
      <c r="E255" s="78">
        <v>1.3999999999999999E-4</v>
      </c>
      <c r="F255" s="78">
        <v>3.0000000000000001E-5</v>
      </c>
      <c r="J255" s="47"/>
      <c r="K255" s="47"/>
    </row>
    <row r="256" spans="1:11" x14ac:dyDescent="0.25">
      <c r="A256" s="8">
        <v>1</v>
      </c>
      <c r="B256" s="8">
        <v>252</v>
      </c>
      <c r="C256" s="8">
        <v>21</v>
      </c>
      <c r="D256" s="46">
        <v>0</v>
      </c>
      <c r="E256" s="78">
        <v>1.3999999999999999E-4</v>
      </c>
      <c r="F256" s="78">
        <v>3.0000000000000001E-5</v>
      </c>
      <c r="J256" s="47"/>
      <c r="K256" s="47"/>
    </row>
    <row r="257" spans="1:11" x14ac:dyDescent="0.25">
      <c r="A257" s="8">
        <v>1</v>
      </c>
      <c r="B257" s="8">
        <v>253</v>
      </c>
      <c r="C257" s="8">
        <v>21.083333333333332</v>
      </c>
      <c r="D257" s="46">
        <v>0</v>
      </c>
      <c r="E257" s="78">
        <v>1.3999999999999999E-4</v>
      </c>
      <c r="F257" s="78">
        <v>3.0000000000000001E-5</v>
      </c>
      <c r="J257" s="47"/>
      <c r="K257" s="47"/>
    </row>
    <row r="258" spans="1:11" x14ac:dyDescent="0.25">
      <c r="A258" s="8">
        <v>1</v>
      </c>
      <c r="B258" s="8">
        <v>254</v>
      </c>
      <c r="C258" s="8">
        <v>21.166666666666664</v>
      </c>
      <c r="D258" s="46">
        <v>0</v>
      </c>
      <c r="E258" s="78">
        <v>1.3999999999999999E-4</v>
      </c>
      <c r="F258" s="78">
        <v>3.0000000000000001E-5</v>
      </c>
      <c r="J258" s="47"/>
      <c r="K258" s="47"/>
    </row>
    <row r="259" spans="1:11" x14ac:dyDescent="0.25">
      <c r="A259" s="8">
        <v>1</v>
      </c>
      <c r="B259" s="8">
        <v>255</v>
      </c>
      <c r="C259" s="8">
        <v>21.25</v>
      </c>
      <c r="D259" s="46">
        <v>0</v>
      </c>
      <c r="E259" s="78">
        <v>1.3999999999999999E-4</v>
      </c>
      <c r="F259" s="78">
        <v>3.0000000000000001E-5</v>
      </c>
      <c r="J259" s="47"/>
      <c r="K259" s="47"/>
    </row>
    <row r="260" spans="1:11" x14ac:dyDescent="0.25">
      <c r="A260" s="8">
        <v>1</v>
      </c>
      <c r="B260" s="8">
        <v>256</v>
      </c>
      <c r="C260" s="8">
        <v>21.333333333333332</v>
      </c>
      <c r="D260" s="46">
        <v>0</v>
      </c>
      <c r="E260" s="78">
        <v>1.3999999999999999E-4</v>
      </c>
      <c r="F260" s="78">
        <v>3.0000000000000001E-5</v>
      </c>
      <c r="J260" s="47"/>
      <c r="K260" s="47"/>
    </row>
    <row r="261" spans="1:11" x14ac:dyDescent="0.25">
      <c r="A261" s="8">
        <v>1</v>
      </c>
      <c r="B261" s="8">
        <v>257</v>
      </c>
      <c r="C261" s="8">
        <v>21.416666666666664</v>
      </c>
      <c r="D261" s="46">
        <v>0</v>
      </c>
      <c r="E261" s="78">
        <v>1.3999999999999999E-4</v>
      </c>
      <c r="F261" s="78">
        <v>3.0000000000000001E-5</v>
      </c>
      <c r="J261" s="47"/>
      <c r="K261" s="47"/>
    </row>
    <row r="262" spans="1:11" x14ac:dyDescent="0.25">
      <c r="A262" s="8">
        <v>1</v>
      </c>
      <c r="B262" s="8">
        <v>258</v>
      </c>
      <c r="C262" s="8">
        <v>21.5</v>
      </c>
      <c r="D262" s="46">
        <v>0</v>
      </c>
      <c r="E262" s="78">
        <v>1.3999999999999999E-4</v>
      </c>
      <c r="F262" s="78">
        <v>3.0000000000000001E-5</v>
      </c>
      <c r="J262" s="47"/>
      <c r="K262" s="47"/>
    </row>
    <row r="263" spans="1:11" x14ac:dyDescent="0.25">
      <c r="A263" s="8">
        <v>1</v>
      </c>
      <c r="B263" s="8">
        <v>259</v>
      </c>
      <c r="C263" s="8">
        <v>21.583333333333332</v>
      </c>
      <c r="D263" s="46">
        <v>0</v>
      </c>
      <c r="E263" s="78">
        <v>1.3999999999999999E-4</v>
      </c>
      <c r="F263" s="78">
        <v>3.0000000000000001E-5</v>
      </c>
      <c r="J263" s="47"/>
      <c r="K263" s="47"/>
    </row>
    <row r="264" spans="1:11" x14ac:dyDescent="0.25">
      <c r="A264" s="8">
        <v>1</v>
      </c>
      <c r="B264" s="8">
        <v>260</v>
      </c>
      <c r="C264" s="8">
        <v>21.666666666666664</v>
      </c>
      <c r="D264" s="46">
        <v>0</v>
      </c>
      <c r="E264" s="78">
        <v>1.3999999999999999E-4</v>
      </c>
      <c r="F264" s="78">
        <v>3.0000000000000001E-5</v>
      </c>
      <c r="J264" s="47"/>
      <c r="K264" s="47"/>
    </row>
    <row r="265" spans="1:11" x14ac:dyDescent="0.25">
      <c r="A265" s="8">
        <v>1</v>
      </c>
      <c r="B265" s="8">
        <v>261</v>
      </c>
      <c r="C265" s="8">
        <v>21.75</v>
      </c>
      <c r="D265" s="46">
        <v>0</v>
      </c>
      <c r="E265" s="78">
        <v>1.3999999999999999E-4</v>
      </c>
      <c r="F265" s="78">
        <v>3.0000000000000001E-5</v>
      </c>
      <c r="J265" s="47"/>
      <c r="K265" s="47"/>
    </row>
    <row r="266" spans="1:11" x14ac:dyDescent="0.25">
      <c r="A266" s="8">
        <v>1</v>
      </c>
      <c r="B266" s="8">
        <v>262</v>
      </c>
      <c r="C266" s="8">
        <v>21.833333333333332</v>
      </c>
      <c r="D266" s="46">
        <v>0</v>
      </c>
      <c r="E266" s="78">
        <v>1.3999999999999999E-4</v>
      </c>
      <c r="F266" s="78">
        <v>3.0000000000000001E-5</v>
      </c>
      <c r="J266" s="47"/>
      <c r="K266" s="47"/>
    </row>
    <row r="267" spans="1:11" x14ac:dyDescent="0.25">
      <c r="A267" s="8">
        <v>1</v>
      </c>
      <c r="B267" s="8">
        <v>263</v>
      </c>
      <c r="C267" s="8">
        <v>21.916666666666664</v>
      </c>
      <c r="D267" s="46">
        <v>0</v>
      </c>
      <c r="E267" s="78">
        <v>1.3999999999999999E-4</v>
      </c>
      <c r="F267" s="78">
        <v>3.0000000000000001E-5</v>
      </c>
      <c r="J267" s="47"/>
      <c r="K267" s="47"/>
    </row>
    <row r="268" spans="1:11" x14ac:dyDescent="0.25">
      <c r="A268" s="8">
        <v>1</v>
      </c>
      <c r="B268" s="8">
        <v>264</v>
      </c>
      <c r="C268" s="8">
        <v>22</v>
      </c>
      <c r="D268" s="46">
        <v>0</v>
      </c>
      <c r="E268" s="78">
        <v>1.3999999999999999E-4</v>
      </c>
      <c r="F268" s="78">
        <v>3.0000000000000001E-5</v>
      </c>
      <c r="J268" s="47"/>
      <c r="K268" s="47"/>
    </row>
    <row r="269" spans="1:11" x14ac:dyDescent="0.25">
      <c r="A269" s="8">
        <v>1</v>
      </c>
      <c r="B269" s="8">
        <v>265</v>
      </c>
      <c r="C269" s="8">
        <v>22.083333333333332</v>
      </c>
      <c r="D269" s="46">
        <v>0</v>
      </c>
      <c r="E269" s="78">
        <v>1.3999999999999999E-4</v>
      </c>
      <c r="F269" s="78">
        <v>3.0000000000000001E-5</v>
      </c>
      <c r="J269" s="47"/>
      <c r="K269" s="47"/>
    </row>
    <row r="270" spans="1:11" x14ac:dyDescent="0.25">
      <c r="A270" s="8">
        <v>1</v>
      </c>
      <c r="B270" s="8">
        <v>266</v>
      </c>
      <c r="C270" s="8">
        <v>22.166666666666664</v>
      </c>
      <c r="D270" s="46">
        <v>0</v>
      </c>
      <c r="E270" s="78">
        <v>1.3999999999999999E-4</v>
      </c>
      <c r="F270" s="78">
        <v>3.0000000000000001E-5</v>
      </c>
      <c r="J270" s="47"/>
      <c r="K270" s="47"/>
    </row>
    <row r="271" spans="1:11" x14ac:dyDescent="0.25">
      <c r="A271" s="8">
        <v>1</v>
      </c>
      <c r="B271" s="8">
        <v>267</v>
      </c>
      <c r="C271" s="8">
        <v>22.25</v>
      </c>
      <c r="D271" s="46">
        <v>0</v>
      </c>
      <c r="E271" s="78">
        <v>1.3999999999999999E-4</v>
      </c>
      <c r="F271" s="78">
        <v>3.0000000000000001E-5</v>
      </c>
      <c r="J271" s="47"/>
      <c r="K271" s="47"/>
    </row>
    <row r="272" spans="1:11" x14ac:dyDescent="0.25">
      <c r="A272" s="8">
        <v>1</v>
      </c>
      <c r="B272" s="8">
        <v>268</v>
      </c>
      <c r="C272" s="8">
        <v>22.333333333333332</v>
      </c>
      <c r="D272" s="46">
        <v>0</v>
      </c>
      <c r="E272" s="78">
        <v>1.3999999999999999E-4</v>
      </c>
      <c r="F272" s="78">
        <v>3.0000000000000001E-5</v>
      </c>
      <c r="J272" s="47"/>
      <c r="K272" s="47"/>
    </row>
    <row r="273" spans="1:11" x14ac:dyDescent="0.25">
      <c r="A273" s="8">
        <v>1</v>
      </c>
      <c r="B273" s="8">
        <v>269</v>
      </c>
      <c r="C273" s="8">
        <v>22.416666666666664</v>
      </c>
      <c r="D273" s="46">
        <v>0</v>
      </c>
      <c r="E273" s="78">
        <v>1.3999999999999999E-4</v>
      </c>
      <c r="F273" s="78">
        <v>3.0000000000000001E-5</v>
      </c>
      <c r="J273" s="47"/>
      <c r="K273" s="47"/>
    </row>
    <row r="274" spans="1:11" x14ac:dyDescent="0.25">
      <c r="A274" s="8">
        <v>1</v>
      </c>
      <c r="B274" s="8">
        <v>270</v>
      </c>
      <c r="C274" s="8">
        <v>22.5</v>
      </c>
      <c r="D274" s="46">
        <v>0</v>
      </c>
      <c r="E274" s="78">
        <v>1.3999999999999999E-4</v>
      </c>
      <c r="F274" s="78">
        <v>3.0000000000000001E-5</v>
      </c>
      <c r="J274" s="47"/>
      <c r="K274" s="47"/>
    </row>
    <row r="275" spans="1:11" x14ac:dyDescent="0.25">
      <c r="A275" s="8">
        <v>1</v>
      </c>
      <c r="B275" s="8">
        <v>271</v>
      </c>
      <c r="C275" s="8">
        <v>22.583333333333332</v>
      </c>
      <c r="D275" s="46">
        <v>0</v>
      </c>
      <c r="E275" s="78">
        <v>1.3999999999999999E-4</v>
      </c>
      <c r="F275" s="78">
        <v>3.0000000000000001E-5</v>
      </c>
      <c r="J275" s="47"/>
      <c r="K275" s="47"/>
    </row>
    <row r="276" spans="1:11" x14ac:dyDescent="0.25">
      <c r="A276" s="8">
        <v>1</v>
      </c>
      <c r="B276" s="8">
        <v>272</v>
      </c>
      <c r="C276" s="8">
        <v>22.666666666666664</v>
      </c>
      <c r="D276" s="46">
        <v>0</v>
      </c>
      <c r="E276" s="78">
        <v>1.3999999999999999E-4</v>
      </c>
      <c r="F276" s="78">
        <v>3.0000000000000001E-5</v>
      </c>
      <c r="J276" s="47"/>
      <c r="K276" s="47"/>
    </row>
    <row r="277" spans="1:11" x14ac:dyDescent="0.25">
      <c r="A277" s="8">
        <v>1</v>
      </c>
      <c r="B277" s="8">
        <v>273</v>
      </c>
      <c r="C277" s="8">
        <v>22.75</v>
      </c>
      <c r="D277" s="46">
        <v>0</v>
      </c>
      <c r="E277" s="78">
        <v>1.3999999999999999E-4</v>
      </c>
      <c r="F277" s="78">
        <v>3.0000000000000001E-5</v>
      </c>
      <c r="J277" s="47"/>
      <c r="K277" s="47"/>
    </row>
    <row r="278" spans="1:11" x14ac:dyDescent="0.25">
      <c r="A278" s="8">
        <v>1</v>
      </c>
      <c r="B278" s="8">
        <v>274</v>
      </c>
      <c r="C278" s="8">
        <v>22.833333333333332</v>
      </c>
      <c r="D278" s="46">
        <v>0</v>
      </c>
      <c r="E278" s="78">
        <v>1.3999999999999999E-4</v>
      </c>
      <c r="F278" s="78">
        <v>3.0000000000000001E-5</v>
      </c>
      <c r="J278" s="47"/>
      <c r="K278" s="47"/>
    </row>
    <row r="279" spans="1:11" x14ac:dyDescent="0.25">
      <c r="A279" s="8">
        <v>1</v>
      </c>
      <c r="B279" s="8">
        <v>275</v>
      </c>
      <c r="C279" s="8">
        <v>22.916666666666664</v>
      </c>
      <c r="D279" s="46">
        <v>0</v>
      </c>
      <c r="E279" s="78">
        <v>1.3999999999999999E-4</v>
      </c>
      <c r="F279" s="78">
        <v>3.0000000000000001E-5</v>
      </c>
      <c r="J279" s="47"/>
      <c r="K279" s="47"/>
    </row>
    <row r="280" spans="1:11" x14ac:dyDescent="0.25">
      <c r="A280" s="8">
        <v>1</v>
      </c>
      <c r="B280" s="8">
        <v>276</v>
      </c>
      <c r="C280" s="8">
        <v>23</v>
      </c>
      <c r="D280" s="46">
        <v>0</v>
      </c>
      <c r="E280" s="78">
        <v>1.3999999999999999E-4</v>
      </c>
      <c r="F280" s="78">
        <v>3.0000000000000001E-5</v>
      </c>
      <c r="J280" s="47"/>
      <c r="K280" s="47"/>
    </row>
    <row r="281" spans="1:11" x14ac:dyDescent="0.25">
      <c r="A281" s="8">
        <v>1</v>
      </c>
      <c r="B281" s="8">
        <v>277</v>
      </c>
      <c r="C281" s="8">
        <v>23.083333333333332</v>
      </c>
      <c r="D281" s="46">
        <v>0</v>
      </c>
      <c r="E281" s="78">
        <v>1.3999999999999999E-4</v>
      </c>
      <c r="F281" s="78">
        <v>3.0000000000000001E-5</v>
      </c>
      <c r="J281" s="47"/>
      <c r="K281" s="47"/>
    </row>
    <row r="282" spans="1:11" x14ac:dyDescent="0.25">
      <c r="A282" s="8">
        <v>1</v>
      </c>
      <c r="B282" s="8">
        <v>278</v>
      </c>
      <c r="C282" s="8">
        <v>23.166666666666664</v>
      </c>
      <c r="D282" s="46">
        <v>0</v>
      </c>
      <c r="E282" s="78">
        <v>1.3999999999999999E-4</v>
      </c>
      <c r="F282" s="78">
        <v>3.0000000000000001E-5</v>
      </c>
      <c r="J282" s="47"/>
      <c r="K282" s="47"/>
    </row>
    <row r="283" spans="1:11" x14ac:dyDescent="0.25">
      <c r="A283" s="8">
        <v>1</v>
      </c>
      <c r="B283" s="8">
        <v>279</v>
      </c>
      <c r="C283" s="8">
        <v>23.25</v>
      </c>
      <c r="D283" s="46">
        <v>0</v>
      </c>
      <c r="E283" s="78">
        <v>1.3999999999999999E-4</v>
      </c>
      <c r="F283" s="78">
        <v>3.0000000000000001E-5</v>
      </c>
      <c r="J283" s="47"/>
      <c r="K283" s="47"/>
    </row>
    <row r="284" spans="1:11" x14ac:dyDescent="0.25">
      <c r="A284" s="8">
        <v>1</v>
      </c>
      <c r="B284" s="8">
        <v>280</v>
      </c>
      <c r="C284" s="8">
        <v>23.333333333333332</v>
      </c>
      <c r="D284" s="46">
        <v>0</v>
      </c>
      <c r="E284" s="78">
        <v>1.3999999999999999E-4</v>
      </c>
      <c r="F284" s="78">
        <v>3.0000000000000001E-5</v>
      </c>
      <c r="J284" s="47"/>
      <c r="K284" s="47"/>
    </row>
    <row r="285" spans="1:11" x14ac:dyDescent="0.25">
      <c r="A285" s="8">
        <v>1</v>
      </c>
      <c r="B285" s="8">
        <v>281</v>
      </c>
      <c r="C285" s="8">
        <v>23.416666666666664</v>
      </c>
      <c r="D285" s="46">
        <v>0</v>
      </c>
      <c r="E285" s="78">
        <v>1.3999999999999999E-4</v>
      </c>
      <c r="F285" s="78">
        <v>3.0000000000000001E-5</v>
      </c>
      <c r="J285" s="47"/>
      <c r="K285" s="47"/>
    </row>
    <row r="286" spans="1:11" x14ac:dyDescent="0.25">
      <c r="A286" s="8">
        <v>1</v>
      </c>
      <c r="B286" s="8">
        <v>282</v>
      </c>
      <c r="C286" s="8">
        <v>23.5</v>
      </c>
      <c r="D286" s="46">
        <v>0</v>
      </c>
      <c r="E286" s="78">
        <v>1.3999999999999999E-4</v>
      </c>
      <c r="F286" s="78">
        <v>3.0000000000000001E-5</v>
      </c>
      <c r="J286" s="47"/>
      <c r="K286" s="47"/>
    </row>
    <row r="287" spans="1:11" x14ac:dyDescent="0.25">
      <c r="A287" s="8">
        <v>1</v>
      </c>
      <c r="B287" s="8">
        <v>283</v>
      </c>
      <c r="C287" s="8">
        <v>23.583333333333332</v>
      </c>
      <c r="D287" s="46">
        <v>0</v>
      </c>
      <c r="E287" s="78">
        <v>1.3999999999999999E-4</v>
      </c>
      <c r="F287" s="78">
        <v>3.0000000000000001E-5</v>
      </c>
      <c r="J287" s="47"/>
      <c r="K287" s="47"/>
    </row>
    <row r="288" spans="1:11" x14ac:dyDescent="0.25">
      <c r="A288" s="8">
        <v>1</v>
      </c>
      <c r="B288" s="8">
        <v>284</v>
      </c>
      <c r="C288" s="8">
        <v>23.666666666666664</v>
      </c>
      <c r="D288" s="46">
        <v>0</v>
      </c>
      <c r="E288" s="78">
        <v>1.3999999999999999E-4</v>
      </c>
      <c r="F288" s="78">
        <v>3.0000000000000001E-5</v>
      </c>
      <c r="J288" s="47"/>
      <c r="K288" s="47"/>
    </row>
    <row r="289" spans="1:11" x14ac:dyDescent="0.25">
      <c r="A289" s="8">
        <v>1</v>
      </c>
      <c r="B289" s="8">
        <v>285</v>
      </c>
      <c r="C289" s="8">
        <v>23.75</v>
      </c>
      <c r="D289" s="46">
        <v>0</v>
      </c>
      <c r="E289" s="78">
        <v>1.3999999999999999E-4</v>
      </c>
      <c r="F289" s="78">
        <v>3.0000000000000001E-5</v>
      </c>
      <c r="J289" s="47"/>
      <c r="K289" s="47"/>
    </row>
    <row r="290" spans="1:11" x14ac:dyDescent="0.25">
      <c r="A290" s="8">
        <v>1</v>
      </c>
      <c r="B290" s="8">
        <v>286</v>
      </c>
      <c r="C290" s="8">
        <v>23.833333333333332</v>
      </c>
      <c r="D290" s="46">
        <v>0</v>
      </c>
      <c r="E290" s="78">
        <v>1.3999999999999999E-4</v>
      </c>
      <c r="F290" s="78">
        <v>3.0000000000000001E-5</v>
      </c>
      <c r="J290" s="47"/>
      <c r="K290" s="47"/>
    </row>
    <row r="291" spans="1:11" x14ac:dyDescent="0.25">
      <c r="A291" s="8">
        <v>1</v>
      </c>
      <c r="B291" s="8">
        <v>287</v>
      </c>
      <c r="C291" s="8">
        <v>23.916666666666664</v>
      </c>
      <c r="D291" s="46">
        <v>0</v>
      </c>
      <c r="E291" s="78">
        <v>1.3999999999999999E-4</v>
      </c>
      <c r="F291" s="78">
        <v>3.0000000000000001E-5</v>
      </c>
      <c r="J291" s="47"/>
      <c r="K291" s="47"/>
    </row>
    <row r="292" spans="1:11" x14ac:dyDescent="0.25">
      <c r="A292" s="8">
        <v>1</v>
      </c>
      <c r="B292" s="8">
        <v>288</v>
      </c>
      <c r="C292" s="8">
        <v>24</v>
      </c>
      <c r="D292" s="46">
        <v>0</v>
      </c>
      <c r="E292" s="78">
        <v>1.3999999999999999E-4</v>
      </c>
      <c r="F292" s="78">
        <v>3.0000000000000001E-5</v>
      </c>
      <c r="J292" s="47"/>
      <c r="K292" s="47"/>
    </row>
    <row r="293" spans="1:11" x14ac:dyDescent="0.25">
      <c r="A293" s="8">
        <v>2</v>
      </c>
      <c r="B293" s="8">
        <v>289</v>
      </c>
      <c r="C293" s="8">
        <v>24.083333333333332</v>
      </c>
      <c r="D293" s="46">
        <v>0</v>
      </c>
      <c r="E293" s="78">
        <v>1.3999999999999999E-4</v>
      </c>
      <c r="F293" s="78">
        <v>3.0000000000000001E-5</v>
      </c>
      <c r="J293" s="47"/>
      <c r="K293" s="47"/>
    </row>
    <row r="294" spans="1:11" x14ac:dyDescent="0.25">
      <c r="A294" s="8">
        <v>2</v>
      </c>
      <c r="B294" s="8">
        <v>290</v>
      </c>
      <c r="C294" s="8">
        <v>24.166666666666664</v>
      </c>
      <c r="D294" s="46">
        <v>0</v>
      </c>
      <c r="E294" s="78">
        <v>1.3999999999999999E-4</v>
      </c>
      <c r="F294" s="78">
        <v>3.0000000000000001E-5</v>
      </c>
      <c r="J294" s="47"/>
      <c r="K294" s="47"/>
    </row>
    <row r="295" spans="1:11" x14ac:dyDescent="0.25">
      <c r="A295" s="8">
        <v>2</v>
      </c>
      <c r="B295" s="8">
        <v>291</v>
      </c>
      <c r="C295" s="8">
        <v>24.25</v>
      </c>
      <c r="D295" s="46">
        <v>0</v>
      </c>
      <c r="E295" s="78">
        <v>1.3999999999999999E-4</v>
      </c>
      <c r="F295" s="78">
        <v>3.0000000000000001E-5</v>
      </c>
      <c r="J295" s="47"/>
      <c r="K295" s="47"/>
    </row>
    <row r="296" spans="1:11" x14ac:dyDescent="0.25">
      <c r="A296" s="8">
        <v>2</v>
      </c>
      <c r="B296" s="8">
        <v>292</v>
      </c>
      <c r="C296" s="8">
        <v>24.333333333333332</v>
      </c>
      <c r="D296" s="46">
        <v>0</v>
      </c>
      <c r="E296" s="78">
        <v>1.3999999999999999E-4</v>
      </c>
      <c r="F296" s="78">
        <v>3.0000000000000001E-5</v>
      </c>
      <c r="J296" s="47"/>
      <c r="K296" s="47"/>
    </row>
    <row r="297" spans="1:11" x14ac:dyDescent="0.25">
      <c r="A297" s="8">
        <v>2</v>
      </c>
      <c r="B297" s="8">
        <v>293</v>
      </c>
      <c r="C297" s="8">
        <v>24.416666666666664</v>
      </c>
      <c r="D297" s="46">
        <v>0</v>
      </c>
      <c r="E297" s="78">
        <v>1.3999999999999999E-4</v>
      </c>
      <c r="F297" s="78">
        <v>3.0000000000000001E-5</v>
      </c>
      <c r="J297" s="47"/>
      <c r="K297" s="47"/>
    </row>
    <row r="298" spans="1:11" x14ac:dyDescent="0.25">
      <c r="A298" s="8">
        <v>2</v>
      </c>
      <c r="B298" s="8">
        <v>294</v>
      </c>
      <c r="C298" s="8">
        <v>24.5</v>
      </c>
      <c r="D298" s="46">
        <v>0</v>
      </c>
      <c r="E298" s="78">
        <v>1.3999999999999999E-4</v>
      </c>
      <c r="F298" s="78">
        <v>3.0000000000000001E-5</v>
      </c>
      <c r="J298" s="47"/>
      <c r="K298" s="47"/>
    </row>
    <row r="299" spans="1:11" x14ac:dyDescent="0.25">
      <c r="A299" s="8">
        <v>2</v>
      </c>
      <c r="B299" s="8">
        <v>295</v>
      </c>
      <c r="C299" s="8">
        <v>24.583333333333332</v>
      </c>
      <c r="D299" s="46">
        <v>0</v>
      </c>
      <c r="E299" s="78">
        <v>1.3999999999999999E-4</v>
      </c>
      <c r="F299" s="78">
        <v>3.0000000000000001E-5</v>
      </c>
      <c r="J299" s="47"/>
      <c r="K299" s="47"/>
    </row>
    <row r="300" spans="1:11" x14ac:dyDescent="0.25">
      <c r="A300" s="8">
        <v>2</v>
      </c>
      <c r="B300" s="8">
        <v>296</v>
      </c>
      <c r="C300" s="8">
        <v>24.666666666666664</v>
      </c>
      <c r="D300" s="46">
        <v>0</v>
      </c>
      <c r="E300" s="78">
        <v>1.3999999999999999E-4</v>
      </c>
      <c r="F300" s="78">
        <v>3.0000000000000001E-5</v>
      </c>
      <c r="J300" s="47"/>
      <c r="K300" s="47"/>
    </row>
    <row r="301" spans="1:11" x14ac:dyDescent="0.25">
      <c r="A301" s="8">
        <v>2</v>
      </c>
      <c r="B301" s="8">
        <v>297</v>
      </c>
      <c r="C301" s="8">
        <v>24.75</v>
      </c>
      <c r="D301" s="46">
        <v>0</v>
      </c>
      <c r="E301" s="78">
        <v>1.3999999999999999E-4</v>
      </c>
      <c r="F301" s="78">
        <v>3.0000000000000001E-5</v>
      </c>
      <c r="J301" s="47"/>
      <c r="K301" s="47"/>
    </row>
    <row r="302" spans="1:11" x14ac:dyDescent="0.25">
      <c r="A302" s="8">
        <v>2</v>
      </c>
      <c r="B302" s="8">
        <v>298</v>
      </c>
      <c r="C302" s="8">
        <v>24.833333333333332</v>
      </c>
      <c r="D302" s="46">
        <v>0</v>
      </c>
      <c r="E302" s="78">
        <v>1.3999999999999999E-4</v>
      </c>
      <c r="F302" s="78">
        <v>3.0000000000000001E-5</v>
      </c>
      <c r="J302" s="47"/>
      <c r="K302" s="47"/>
    </row>
    <row r="303" spans="1:11" x14ac:dyDescent="0.25">
      <c r="A303" s="8">
        <v>2</v>
      </c>
      <c r="B303" s="8">
        <v>299</v>
      </c>
      <c r="C303" s="8">
        <v>24.916666666666664</v>
      </c>
      <c r="D303" s="46">
        <v>0</v>
      </c>
      <c r="E303" s="78">
        <v>1.3999999999999999E-4</v>
      </c>
      <c r="F303" s="78">
        <v>3.0000000000000001E-5</v>
      </c>
      <c r="J303" s="47"/>
      <c r="K303" s="47"/>
    </row>
    <row r="304" spans="1:11" x14ac:dyDescent="0.25">
      <c r="A304" s="8">
        <v>2</v>
      </c>
      <c r="B304" s="8">
        <v>300</v>
      </c>
      <c r="C304" s="8">
        <v>25</v>
      </c>
      <c r="D304" s="46">
        <v>0</v>
      </c>
      <c r="E304" s="78">
        <v>1.3999999999999999E-4</v>
      </c>
      <c r="F304" s="78">
        <v>3.0000000000000001E-5</v>
      </c>
      <c r="J304" s="47"/>
      <c r="K304" s="47"/>
    </row>
    <row r="305" spans="1:11" x14ac:dyDescent="0.25">
      <c r="A305" s="8">
        <v>2</v>
      </c>
      <c r="B305" s="8">
        <v>301</v>
      </c>
      <c r="C305" s="8">
        <v>25.083333333333332</v>
      </c>
      <c r="D305" s="46">
        <v>0</v>
      </c>
      <c r="E305" s="78">
        <v>1.3999999999999999E-4</v>
      </c>
      <c r="F305" s="78">
        <v>3.0000000000000001E-5</v>
      </c>
      <c r="J305" s="47"/>
      <c r="K305" s="47"/>
    </row>
    <row r="306" spans="1:11" x14ac:dyDescent="0.25">
      <c r="A306" s="8">
        <v>2</v>
      </c>
      <c r="B306" s="8">
        <v>302</v>
      </c>
      <c r="C306" s="8">
        <v>25.166666666666664</v>
      </c>
      <c r="D306" s="46">
        <v>0</v>
      </c>
      <c r="E306" s="78">
        <v>1.3999999999999999E-4</v>
      </c>
      <c r="F306" s="78">
        <v>3.0000000000000001E-5</v>
      </c>
      <c r="J306" s="47"/>
      <c r="K306" s="47"/>
    </row>
    <row r="307" spans="1:11" x14ac:dyDescent="0.25">
      <c r="A307" s="8">
        <v>2</v>
      </c>
      <c r="B307" s="8">
        <v>303</v>
      </c>
      <c r="C307" s="8">
        <v>25.25</v>
      </c>
      <c r="D307" s="46">
        <v>0</v>
      </c>
      <c r="E307" s="78">
        <v>1.3999999999999999E-4</v>
      </c>
      <c r="F307" s="78">
        <v>3.0000000000000001E-5</v>
      </c>
      <c r="J307" s="47"/>
      <c r="K307" s="47"/>
    </row>
    <row r="308" spans="1:11" x14ac:dyDescent="0.25">
      <c r="A308" s="8">
        <v>2</v>
      </c>
      <c r="B308" s="8">
        <v>304</v>
      </c>
      <c r="C308" s="8">
        <v>25.333333333333332</v>
      </c>
      <c r="D308" s="46">
        <v>0</v>
      </c>
      <c r="E308" s="78">
        <v>1.3999999999999999E-4</v>
      </c>
      <c r="F308" s="78">
        <v>3.0000000000000001E-5</v>
      </c>
      <c r="J308" s="47"/>
      <c r="K308" s="47"/>
    </row>
    <row r="309" spans="1:11" x14ac:dyDescent="0.25">
      <c r="A309" s="8">
        <v>2</v>
      </c>
      <c r="B309" s="8">
        <v>305</v>
      </c>
      <c r="C309" s="8">
        <v>25.416666666666664</v>
      </c>
      <c r="D309" s="46">
        <v>0</v>
      </c>
      <c r="E309" s="78">
        <v>1.3999999999999999E-4</v>
      </c>
      <c r="F309" s="78">
        <v>3.0000000000000001E-5</v>
      </c>
      <c r="J309" s="47"/>
      <c r="K309" s="47"/>
    </row>
    <row r="310" spans="1:11" x14ac:dyDescent="0.25">
      <c r="A310" s="8">
        <v>2</v>
      </c>
      <c r="B310" s="8">
        <v>306</v>
      </c>
      <c r="C310" s="8">
        <v>25.5</v>
      </c>
      <c r="D310" s="46">
        <v>0</v>
      </c>
      <c r="E310" s="78">
        <v>1.3999999999999999E-4</v>
      </c>
      <c r="F310" s="78">
        <v>3.0000000000000001E-5</v>
      </c>
      <c r="J310" s="47"/>
      <c r="K310" s="47"/>
    </row>
    <row r="311" spans="1:11" x14ac:dyDescent="0.25">
      <c r="A311" s="8">
        <v>2</v>
      </c>
      <c r="B311" s="8">
        <v>307</v>
      </c>
      <c r="C311" s="8">
        <v>25.583333333333332</v>
      </c>
      <c r="D311" s="46">
        <v>0</v>
      </c>
      <c r="E311" s="78">
        <v>1.3999999999999999E-4</v>
      </c>
      <c r="F311" s="78">
        <v>3.0000000000000001E-5</v>
      </c>
      <c r="J311" s="47"/>
      <c r="K311" s="47"/>
    </row>
    <row r="312" spans="1:11" x14ac:dyDescent="0.25">
      <c r="A312" s="8">
        <v>2</v>
      </c>
      <c r="B312" s="8">
        <v>308</v>
      </c>
      <c r="C312" s="8">
        <v>25.666666666666664</v>
      </c>
      <c r="D312" s="46">
        <v>0</v>
      </c>
      <c r="E312" s="78">
        <v>1.3999999999999999E-4</v>
      </c>
      <c r="F312" s="78">
        <v>3.0000000000000001E-5</v>
      </c>
      <c r="J312" s="47"/>
      <c r="K312" s="47"/>
    </row>
    <row r="313" spans="1:11" x14ac:dyDescent="0.25">
      <c r="A313" s="8">
        <v>2</v>
      </c>
      <c r="B313" s="8">
        <v>309</v>
      </c>
      <c r="C313" s="8">
        <v>25.75</v>
      </c>
      <c r="D313" s="46">
        <v>0</v>
      </c>
      <c r="E313" s="78">
        <v>1.3999999999999999E-4</v>
      </c>
      <c r="F313" s="78">
        <v>3.0000000000000001E-5</v>
      </c>
      <c r="J313" s="47"/>
      <c r="K313" s="47"/>
    </row>
    <row r="314" spans="1:11" x14ac:dyDescent="0.25">
      <c r="A314" s="8">
        <v>2</v>
      </c>
      <c r="B314" s="8">
        <v>310</v>
      </c>
      <c r="C314" s="8">
        <v>25.833333333333332</v>
      </c>
      <c r="D314" s="46">
        <v>0</v>
      </c>
      <c r="E314" s="78">
        <v>1.3999999999999999E-4</v>
      </c>
      <c r="F314" s="78">
        <v>3.0000000000000001E-5</v>
      </c>
      <c r="J314" s="47"/>
      <c r="K314" s="47"/>
    </row>
    <row r="315" spans="1:11" x14ac:dyDescent="0.25">
      <c r="A315" s="8">
        <v>2</v>
      </c>
      <c r="B315" s="8">
        <v>311</v>
      </c>
      <c r="C315" s="8">
        <v>25.916666666666664</v>
      </c>
      <c r="D315" s="46">
        <v>0</v>
      </c>
      <c r="E315" s="78">
        <v>1.3999999999999999E-4</v>
      </c>
      <c r="F315" s="78">
        <v>3.0000000000000001E-5</v>
      </c>
      <c r="J315" s="47"/>
      <c r="K315" s="47"/>
    </row>
    <row r="316" spans="1:11" x14ac:dyDescent="0.25">
      <c r="A316" s="8">
        <v>2</v>
      </c>
      <c r="B316" s="8">
        <v>312</v>
      </c>
      <c r="C316" s="8">
        <v>26</v>
      </c>
      <c r="D316" s="46">
        <v>0</v>
      </c>
      <c r="E316" s="78">
        <v>1.3999999999999999E-4</v>
      </c>
      <c r="F316" s="78">
        <v>3.0000000000000001E-5</v>
      </c>
      <c r="J316" s="47"/>
      <c r="K316" s="47"/>
    </row>
    <row r="317" spans="1:11" x14ac:dyDescent="0.25">
      <c r="A317" s="8">
        <v>2</v>
      </c>
      <c r="B317" s="8">
        <v>313</v>
      </c>
      <c r="C317" s="8">
        <v>26.083333333333332</v>
      </c>
      <c r="D317" s="46">
        <v>0</v>
      </c>
      <c r="E317" s="78">
        <v>1.3999999999999999E-4</v>
      </c>
      <c r="F317" s="78">
        <v>3.0000000000000001E-5</v>
      </c>
      <c r="J317" s="47"/>
      <c r="K317" s="47"/>
    </row>
    <row r="318" spans="1:11" x14ac:dyDescent="0.25">
      <c r="A318" s="8">
        <v>2</v>
      </c>
      <c r="B318" s="8">
        <v>314</v>
      </c>
      <c r="C318" s="8">
        <v>26.166666666666664</v>
      </c>
      <c r="D318" s="46">
        <v>0</v>
      </c>
      <c r="E318" s="78">
        <v>1.3999999999999999E-4</v>
      </c>
      <c r="F318" s="78">
        <v>3.0000000000000001E-5</v>
      </c>
      <c r="J318" s="47"/>
      <c r="K318" s="47"/>
    </row>
    <row r="319" spans="1:11" x14ac:dyDescent="0.25">
      <c r="A319" s="8">
        <v>2</v>
      </c>
      <c r="B319" s="8">
        <v>315</v>
      </c>
      <c r="C319" s="8">
        <v>26.25</v>
      </c>
      <c r="D319" s="46">
        <v>0</v>
      </c>
      <c r="E319" s="78">
        <v>1.3999999999999999E-4</v>
      </c>
      <c r="F319" s="78">
        <v>3.0000000000000001E-5</v>
      </c>
      <c r="J319" s="47"/>
      <c r="K319" s="47"/>
    </row>
    <row r="320" spans="1:11" x14ac:dyDescent="0.25">
      <c r="A320" s="8">
        <v>2</v>
      </c>
      <c r="B320" s="8">
        <v>316</v>
      </c>
      <c r="C320" s="8">
        <v>26.333333333333332</v>
      </c>
      <c r="D320" s="46">
        <v>0</v>
      </c>
      <c r="E320" s="78">
        <v>1.3999999999999999E-4</v>
      </c>
      <c r="F320" s="78">
        <v>3.0000000000000001E-5</v>
      </c>
      <c r="J320" s="47"/>
      <c r="K320" s="47"/>
    </row>
    <row r="321" spans="1:11" x14ac:dyDescent="0.25">
      <c r="A321" s="8">
        <v>2</v>
      </c>
      <c r="B321" s="8">
        <v>317</v>
      </c>
      <c r="C321" s="8">
        <v>26.416666666666664</v>
      </c>
      <c r="D321" s="46">
        <v>0</v>
      </c>
      <c r="E321" s="78">
        <v>1.3999999999999999E-4</v>
      </c>
      <c r="F321" s="78">
        <v>3.0000000000000001E-5</v>
      </c>
      <c r="J321" s="47"/>
      <c r="K321" s="47"/>
    </row>
    <row r="322" spans="1:11" x14ac:dyDescent="0.25">
      <c r="A322" s="8">
        <v>2</v>
      </c>
      <c r="B322" s="8">
        <v>318</v>
      </c>
      <c r="C322" s="8">
        <v>26.5</v>
      </c>
      <c r="D322" s="46">
        <v>0</v>
      </c>
      <c r="E322" s="78">
        <v>1.3999999999999999E-4</v>
      </c>
      <c r="F322" s="78">
        <v>3.0000000000000001E-5</v>
      </c>
      <c r="J322" s="47"/>
      <c r="K322" s="47"/>
    </row>
    <row r="323" spans="1:11" x14ac:dyDescent="0.25">
      <c r="A323" s="8">
        <v>2</v>
      </c>
      <c r="B323" s="8">
        <v>319</v>
      </c>
      <c r="C323" s="8">
        <v>26.583333333333332</v>
      </c>
      <c r="D323" s="46">
        <v>0</v>
      </c>
      <c r="E323" s="78">
        <v>1.3999999999999999E-4</v>
      </c>
      <c r="F323" s="78">
        <v>3.0000000000000001E-5</v>
      </c>
      <c r="J323" s="47"/>
      <c r="K323" s="47"/>
    </row>
    <row r="324" spans="1:11" x14ac:dyDescent="0.25">
      <c r="A324" s="8">
        <v>2</v>
      </c>
      <c r="B324" s="8">
        <v>320</v>
      </c>
      <c r="C324" s="8">
        <v>26.666666666666664</v>
      </c>
      <c r="D324" s="46">
        <v>0</v>
      </c>
      <c r="E324" s="78">
        <v>1.3999999999999999E-4</v>
      </c>
      <c r="F324" s="78">
        <v>3.0000000000000001E-5</v>
      </c>
      <c r="J324" s="47"/>
      <c r="K324" s="47"/>
    </row>
    <row r="325" spans="1:11" x14ac:dyDescent="0.25">
      <c r="A325" s="8">
        <v>2</v>
      </c>
      <c r="B325" s="8">
        <v>321</v>
      </c>
      <c r="C325" s="8">
        <v>26.75</v>
      </c>
      <c r="D325" s="46">
        <v>0</v>
      </c>
      <c r="E325" s="78">
        <v>1.3999999999999999E-4</v>
      </c>
      <c r="F325" s="78">
        <v>3.0000000000000001E-5</v>
      </c>
      <c r="J325" s="47"/>
      <c r="K325" s="47"/>
    </row>
    <row r="326" spans="1:11" x14ac:dyDescent="0.25">
      <c r="A326" s="8">
        <v>2</v>
      </c>
      <c r="B326" s="8">
        <v>322</v>
      </c>
      <c r="C326" s="8">
        <v>26.833333333333332</v>
      </c>
      <c r="D326" s="46">
        <v>0</v>
      </c>
      <c r="E326" s="78">
        <v>1.3999999999999999E-4</v>
      </c>
      <c r="F326" s="78">
        <v>3.0000000000000001E-5</v>
      </c>
      <c r="J326" s="47"/>
      <c r="K326" s="47"/>
    </row>
    <row r="327" spans="1:11" x14ac:dyDescent="0.25">
      <c r="A327" s="8">
        <v>2</v>
      </c>
      <c r="B327" s="8">
        <v>323</v>
      </c>
      <c r="C327" s="8">
        <v>26.916666666666664</v>
      </c>
      <c r="D327" s="46">
        <v>0</v>
      </c>
      <c r="E327" s="78">
        <v>1.3999999999999999E-4</v>
      </c>
      <c r="F327" s="78">
        <v>3.0000000000000001E-5</v>
      </c>
      <c r="J327" s="47"/>
      <c r="K327" s="47"/>
    </row>
    <row r="328" spans="1:11" x14ac:dyDescent="0.25">
      <c r="A328" s="8">
        <v>2</v>
      </c>
      <c r="B328" s="8">
        <v>324</v>
      </c>
      <c r="C328" s="8">
        <v>27</v>
      </c>
      <c r="D328" s="46">
        <v>0</v>
      </c>
      <c r="E328" s="78">
        <v>1.3999999999999999E-4</v>
      </c>
      <c r="F328" s="78">
        <v>3.0000000000000001E-5</v>
      </c>
      <c r="J328" s="47"/>
      <c r="K328" s="47"/>
    </row>
    <row r="329" spans="1:11" x14ac:dyDescent="0.25">
      <c r="A329" s="8">
        <v>2</v>
      </c>
      <c r="B329" s="8">
        <v>325</v>
      </c>
      <c r="C329" s="8">
        <v>27.083333333333332</v>
      </c>
      <c r="D329" s="46">
        <v>0</v>
      </c>
      <c r="E329" s="78">
        <v>1.3999999999999999E-4</v>
      </c>
      <c r="F329" s="78">
        <v>3.0000000000000001E-5</v>
      </c>
      <c r="J329" s="47"/>
      <c r="K329" s="47"/>
    </row>
    <row r="330" spans="1:11" x14ac:dyDescent="0.25">
      <c r="A330" s="8">
        <v>2</v>
      </c>
      <c r="B330" s="8">
        <v>326</v>
      </c>
      <c r="C330" s="8">
        <v>27.166666666666664</v>
      </c>
      <c r="D330" s="46">
        <v>0</v>
      </c>
      <c r="E330" s="78">
        <v>1.3999999999999999E-4</v>
      </c>
      <c r="F330" s="78">
        <v>3.0000000000000001E-5</v>
      </c>
      <c r="J330" s="47"/>
      <c r="K330" s="47"/>
    </row>
    <row r="331" spans="1:11" x14ac:dyDescent="0.25">
      <c r="A331" s="8">
        <v>2</v>
      </c>
      <c r="B331" s="8">
        <v>327</v>
      </c>
      <c r="C331" s="8">
        <v>27.25</v>
      </c>
      <c r="D331" s="46">
        <v>0</v>
      </c>
      <c r="E331" s="78">
        <v>1.3999999999999999E-4</v>
      </c>
      <c r="F331" s="78">
        <v>3.0000000000000001E-5</v>
      </c>
      <c r="J331" s="47"/>
      <c r="K331" s="47"/>
    </row>
    <row r="332" spans="1:11" x14ac:dyDescent="0.25">
      <c r="A332" s="8">
        <v>2</v>
      </c>
      <c r="B332" s="8">
        <v>328</v>
      </c>
      <c r="C332" s="8">
        <v>27.333333333333332</v>
      </c>
      <c r="D332" s="46">
        <v>0</v>
      </c>
      <c r="E332" s="78">
        <v>1.3999999999999999E-4</v>
      </c>
      <c r="F332" s="78">
        <v>3.0000000000000001E-5</v>
      </c>
      <c r="J332" s="47"/>
      <c r="K332" s="47"/>
    </row>
    <row r="333" spans="1:11" x14ac:dyDescent="0.25">
      <c r="A333" s="8">
        <v>2</v>
      </c>
      <c r="B333" s="8">
        <v>329</v>
      </c>
      <c r="C333" s="8">
        <v>27.416666666666664</v>
      </c>
      <c r="D333" s="46">
        <v>0</v>
      </c>
      <c r="E333" s="78">
        <v>1.3999999999999999E-4</v>
      </c>
      <c r="F333" s="78">
        <v>3.0000000000000001E-5</v>
      </c>
      <c r="J333" s="47"/>
      <c r="K333" s="47"/>
    </row>
    <row r="334" spans="1:11" x14ac:dyDescent="0.25">
      <c r="A334" s="8">
        <v>2</v>
      </c>
      <c r="B334" s="8">
        <v>330</v>
      </c>
      <c r="C334" s="8">
        <v>27.5</v>
      </c>
      <c r="D334" s="46">
        <v>0</v>
      </c>
      <c r="E334" s="78">
        <v>1.3999999999999999E-4</v>
      </c>
      <c r="F334" s="78">
        <v>3.0000000000000001E-5</v>
      </c>
      <c r="J334" s="47"/>
      <c r="K334" s="47"/>
    </row>
    <row r="335" spans="1:11" x14ac:dyDescent="0.25">
      <c r="A335" s="8">
        <v>2</v>
      </c>
      <c r="B335" s="8">
        <v>331</v>
      </c>
      <c r="C335" s="8">
        <v>27.583333333333332</v>
      </c>
      <c r="D335" s="46">
        <v>0</v>
      </c>
      <c r="E335" s="78">
        <v>1.3999999999999999E-4</v>
      </c>
      <c r="F335" s="78">
        <v>3.0000000000000001E-5</v>
      </c>
      <c r="J335" s="47"/>
      <c r="K335" s="47"/>
    </row>
    <row r="336" spans="1:11" x14ac:dyDescent="0.25">
      <c r="A336" s="8">
        <v>2</v>
      </c>
      <c r="B336" s="8">
        <v>332</v>
      </c>
      <c r="C336" s="8">
        <v>27.666666666666664</v>
      </c>
      <c r="D336" s="46">
        <v>0</v>
      </c>
      <c r="E336" s="78">
        <v>1.3999999999999999E-4</v>
      </c>
      <c r="F336" s="78">
        <v>3.0000000000000001E-5</v>
      </c>
      <c r="J336" s="47"/>
      <c r="K336" s="47"/>
    </row>
    <row r="337" spans="1:11" x14ac:dyDescent="0.25">
      <c r="A337" s="8">
        <v>2</v>
      </c>
      <c r="B337" s="8">
        <v>333</v>
      </c>
      <c r="C337" s="8">
        <v>27.75</v>
      </c>
      <c r="D337" s="46">
        <v>0</v>
      </c>
      <c r="E337" s="78">
        <v>1.3999999999999999E-4</v>
      </c>
      <c r="F337" s="78">
        <v>3.0000000000000001E-5</v>
      </c>
      <c r="J337" s="47"/>
      <c r="K337" s="47"/>
    </row>
    <row r="338" spans="1:11" x14ac:dyDescent="0.25">
      <c r="A338" s="8">
        <v>2</v>
      </c>
      <c r="B338" s="8">
        <v>334</v>
      </c>
      <c r="C338" s="8">
        <v>27.833333333333332</v>
      </c>
      <c r="D338" s="46">
        <v>0</v>
      </c>
      <c r="E338" s="78">
        <v>1.3999999999999999E-4</v>
      </c>
      <c r="F338" s="78">
        <v>3.0000000000000001E-5</v>
      </c>
      <c r="J338" s="47"/>
      <c r="K338" s="47"/>
    </row>
    <row r="339" spans="1:11" x14ac:dyDescent="0.25">
      <c r="A339" s="8">
        <v>2</v>
      </c>
      <c r="B339" s="8">
        <v>335</v>
      </c>
      <c r="C339" s="8">
        <v>27.916666666666664</v>
      </c>
      <c r="D339" s="46">
        <v>0</v>
      </c>
      <c r="E339" s="78">
        <v>1.3999999999999999E-4</v>
      </c>
      <c r="F339" s="78">
        <v>3.0000000000000001E-5</v>
      </c>
      <c r="J339" s="47"/>
      <c r="K339" s="47"/>
    </row>
    <row r="340" spans="1:11" x14ac:dyDescent="0.25">
      <c r="A340" s="8">
        <v>2</v>
      </c>
      <c r="B340" s="8">
        <v>336</v>
      </c>
      <c r="C340" s="8">
        <v>28</v>
      </c>
      <c r="D340" s="46">
        <v>0</v>
      </c>
      <c r="E340" s="78">
        <v>1.3999999999999999E-4</v>
      </c>
      <c r="F340" s="78">
        <v>3.0000000000000001E-5</v>
      </c>
      <c r="J340" s="47"/>
      <c r="K340" s="47"/>
    </row>
    <row r="341" spans="1:11" x14ac:dyDescent="0.25">
      <c r="A341" s="8">
        <v>2</v>
      </c>
      <c r="B341" s="8">
        <v>337</v>
      </c>
      <c r="C341" s="8">
        <v>28.083333333333332</v>
      </c>
      <c r="D341" s="46">
        <v>0</v>
      </c>
      <c r="E341" s="78">
        <v>1.3999999999999999E-4</v>
      </c>
      <c r="F341" s="78">
        <v>3.0000000000000001E-5</v>
      </c>
      <c r="J341" s="47"/>
      <c r="K341" s="47"/>
    </row>
    <row r="342" spans="1:11" x14ac:dyDescent="0.25">
      <c r="A342" s="8">
        <v>2</v>
      </c>
      <c r="B342" s="8">
        <v>338</v>
      </c>
      <c r="C342" s="8">
        <v>28.166666666666664</v>
      </c>
      <c r="D342" s="46">
        <v>0</v>
      </c>
      <c r="E342" s="78">
        <v>1.3999999999999999E-4</v>
      </c>
      <c r="F342" s="78">
        <v>3.0000000000000001E-5</v>
      </c>
      <c r="J342" s="47"/>
      <c r="K342" s="47"/>
    </row>
    <row r="343" spans="1:11" x14ac:dyDescent="0.25">
      <c r="A343" s="8">
        <v>2</v>
      </c>
      <c r="B343" s="8">
        <v>339</v>
      </c>
      <c r="C343" s="8">
        <v>28.25</v>
      </c>
      <c r="D343" s="46">
        <v>0</v>
      </c>
      <c r="E343" s="78">
        <v>1.3999999999999999E-4</v>
      </c>
      <c r="F343" s="78">
        <v>3.0000000000000001E-5</v>
      </c>
      <c r="J343" s="47"/>
      <c r="K343" s="47"/>
    </row>
    <row r="344" spans="1:11" x14ac:dyDescent="0.25">
      <c r="A344" s="8">
        <v>2</v>
      </c>
      <c r="B344" s="8">
        <v>340</v>
      </c>
      <c r="C344" s="8">
        <v>28.333333333333332</v>
      </c>
      <c r="D344" s="46">
        <v>0</v>
      </c>
      <c r="E344" s="78">
        <v>1.3999999999999999E-4</v>
      </c>
      <c r="F344" s="78">
        <v>3.0000000000000001E-5</v>
      </c>
      <c r="J344" s="47"/>
      <c r="K344" s="47"/>
    </row>
    <row r="345" spans="1:11" x14ac:dyDescent="0.25">
      <c r="A345" s="8">
        <v>2</v>
      </c>
      <c r="B345" s="8">
        <v>341</v>
      </c>
      <c r="C345" s="8">
        <v>28.416666666666664</v>
      </c>
      <c r="D345" s="46">
        <v>0</v>
      </c>
      <c r="E345" s="78">
        <v>1.3999999999999999E-4</v>
      </c>
      <c r="F345" s="78">
        <v>3.0000000000000001E-5</v>
      </c>
      <c r="J345" s="47"/>
      <c r="K345" s="47"/>
    </row>
    <row r="346" spans="1:11" x14ac:dyDescent="0.25">
      <c r="A346" s="8">
        <v>2</v>
      </c>
      <c r="B346" s="8">
        <v>342</v>
      </c>
      <c r="C346" s="8">
        <v>28.5</v>
      </c>
      <c r="D346" s="46">
        <v>0</v>
      </c>
      <c r="E346" s="78">
        <v>1.3999999999999999E-4</v>
      </c>
      <c r="F346" s="78">
        <v>3.0000000000000001E-5</v>
      </c>
      <c r="J346" s="47"/>
      <c r="K346" s="47"/>
    </row>
    <row r="347" spans="1:11" x14ac:dyDescent="0.25">
      <c r="A347" s="8">
        <v>2</v>
      </c>
      <c r="B347" s="8">
        <v>343</v>
      </c>
      <c r="C347" s="8">
        <v>28.583333333333332</v>
      </c>
      <c r="D347" s="46">
        <v>0</v>
      </c>
      <c r="E347" s="78">
        <v>1.3999999999999999E-4</v>
      </c>
      <c r="F347" s="78">
        <v>3.0000000000000001E-5</v>
      </c>
      <c r="J347" s="47"/>
      <c r="K347" s="47"/>
    </row>
    <row r="348" spans="1:11" x14ac:dyDescent="0.25">
      <c r="A348" s="8">
        <v>2</v>
      </c>
      <c r="B348" s="8">
        <v>344</v>
      </c>
      <c r="C348" s="8">
        <v>28.666666666666664</v>
      </c>
      <c r="D348" s="46">
        <v>0</v>
      </c>
      <c r="E348" s="78">
        <v>1.3999999999999999E-4</v>
      </c>
      <c r="F348" s="78">
        <v>3.0000000000000001E-5</v>
      </c>
      <c r="J348" s="47"/>
      <c r="K348" s="47"/>
    </row>
    <row r="349" spans="1:11" x14ac:dyDescent="0.25">
      <c r="A349" s="8">
        <v>2</v>
      </c>
      <c r="B349" s="8">
        <v>345</v>
      </c>
      <c r="C349" s="8">
        <v>28.75</v>
      </c>
      <c r="D349" s="46">
        <v>0</v>
      </c>
      <c r="E349" s="78">
        <v>1.3999999999999999E-4</v>
      </c>
      <c r="F349" s="78">
        <v>3.0000000000000001E-5</v>
      </c>
      <c r="J349" s="47"/>
      <c r="K349" s="47"/>
    </row>
    <row r="350" spans="1:11" x14ac:dyDescent="0.25">
      <c r="A350" s="8">
        <v>2</v>
      </c>
      <c r="B350" s="8">
        <v>346</v>
      </c>
      <c r="C350" s="8">
        <v>28.833333333333332</v>
      </c>
      <c r="D350" s="46">
        <v>0</v>
      </c>
      <c r="E350" s="78">
        <v>1.3999999999999999E-4</v>
      </c>
      <c r="F350" s="78">
        <v>3.0000000000000001E-5</v>
      </c>
      <c r="J350" s="47"/>
      <c r="K350" s="47"/>
    </row>
    <row r="351" spans="1:11" x14ac:dyDescent="0.25">
      <c r="A351" s="8">
        <v>2</v>
      </c>
      <c r="B351" s="8">
        <v>347</v>
      </c>
      <c r="C351" s="8">
        <v>28.916666666666664</v>
      </c>
      <c r="D351" s="46">
        <v>0</v>
      </c>
      <c r="E351" s="78">
        <v>1.3999999999999999E-4</v>
      </c>
      <c r="F351" s="78">
        <v>3.0000000000000001E-5</v>
      </c>
      <c r="J351" s="47"/>
      <c r="K351" s="47"/>
    </row>
    <row r="352" spans="1:11" x14ac:dyDescent="0.25">
      <c r="A352" s="8">
        <v>2</v>
      </c>
      <c r="B352" s="8">
        <v>348</v>
      </c>
      <c r="C352" s="8">
        <v>29</v>
      </c>
      <c r="D352" s="46">
        <v>0</v>
      </c>
      <c r="E352" s="78">
        <v>1.3999999999999999E-4</v>
      </c>
      <c r="F352" s="78">
        <v>3.0000000000000001E-5</v>
      </c>
      <c r="J352" s="47"/>
      <c r="K352" s="47"/>
    </row>
    <row r="353" spans="1:11" x14ac:dyDescent="0.25">
      <c r="A353" s="8">
        <v>2</v>
      </c>
      <c r="B353" s="8">
        <v>349</v>
      </c>
      <c r="C353" s="8">
        <v>29.083333333333332</v>
      </c>
      <c r="D353" s="46">
        <v>0</v>
      </c>
      <c r="E353" s="78">
        <v>1.3999999999999999E-4</v>
      </c>
      <c r="F353" s="78">
        <v>3.0000000000000001E-5</v>
      </c>
      <c r="J353" s="47"/>
      <c r="K353" s="47"/>
    </row>
    <row r="354" spans="1:11" x14ac:dyDescent="0.25">
      <c r="A354" s="8">
        <v>2</v>
      </c>
      <c r="B354" s="8">
        <v>350</v>
      </c>
      <c r="C354" s="8">
        <v>29.166666666666664</v>
      </c>
      <c r="D354" s="46">
        <v>0</v>
      </c>
      <c r="E354" s="78">
        <v>1.3999999999999999E-4</v>
      </c>
      <c r="F354" s="78">
        <v>3.0000000000000001E-5</v>
      </c>
      <c r="J354" s="47"/>
      <c r="K354" s="47"/>
    </row>
    <row r="355" spans="1:11" x14ac:dyDescent="0.25">
      <c r="A355" s="8">
        <v>2</v>
      </c>
      <c r="B355" s="8">
        <v>351</v>
      </c>
      <c r="C355" s="8">
        <v>29.25</v>
      </c>
      <c r="D355" s="46">
        <v>0</v>
      </c>
      <c r="E355" s="78">
        <v>1.3999999999999999E-4</v>
      </c>
      <c r="F355" s="78">
        <v>3.0000000000000001E-5</v>
      </c>
      <c r="J355" s="47"/>
      <c r="K355" s="47"/>
    </row>
    <row r="356" spans="1:11" x14ac:dyDescent="0.25">
      <c r="A356" s="8">
        <v>2</v>
      </c>
      <c r="B356" s="8">
        <v>352</v>
      </c>
      <c r="C356" s="8">
        <v>29.333333333333332</v>
      </c>
      <c r="D356" s="46">
        <v>0</v>
      </c>
      <c r="E356" s="78">
        <v>1.3999999999999999E-4</v>
      </c>
      <c r="F356" s="78">
        <v>3.0000000000000001E-5</v>
      </c>
      <c r="J356" s="47"/>
      <c r="K356" s="47"/>
    </row>
    <row r="357" spans="1:11" x14ac:dyDescent="0.25">
      <c r="A357" s="8">
        <v>2</v>
      </c>
      <c r="B357" s="8">
        <v>353</v>
      </c>
      <c r="C357" s="8">
        <v>29.416666666666664</v>
      </c>
      <c r="D357" s="46">
        <v>0</v>
      </c>
      <c r="E357" s="78">
        <v>1.3999999999999999E-4</v>
      </c>
      <c r="F357" s="78">
        <v>3.0000000000000001E-5</v>
      </c>
      <c r="J357" s="47"/>
      <c r="K357" s="47"/>
    </row>
    <row r="358" spans="1:11" x14ac:dyDescent="0.25">
      <c r="A358" s="8">
        <v>2</v>
      </c>
      <c r="B358" s="8">
        <v>354</v>
      </c>
      <c r="C358" s="8">
        <v>29.5</v>
      </c>
      <c r="D358" s="46">
        <v>0</v>
      </c>
      <c r="E358" s="78">
        <v>1.3999999999999999E-4</v>
      </c>
      <c r="F358" s="78">
        <v>3.0000000000000001E-5</v>
      </c>
      <c r="J358" s="47"/>
      <c r="K358" s="47"/>
    </row>
    <row r="359" spans="1:11" x14ac:dyDescent="0.25">
      <c r="A359" s="8">
        <v>2</v>
      </c>
      <c r="B359" s="8">
        <v>355</v>
      </c>
      <c r="C359" s="8">
        <v>29.583333333333332</v>
      </c>
      <c r="D359" s="46">
        <v>0</v>
      </c>
      <c r="E359" s="78">
        <v>1.3999999999999999E-4</v>
      </c>
      <c r="F359" s="78">
        <v>3.0000000000000001E-5</v>
      </c>
      <c r="J359" s="47"/>
      <c r="K359" s="47"/>
    </row>
    <row r="360" spans="1:11" x14ac:dyDescent="0.25">
      <c r="A360" s="8">
        <v>2</v>
      </c>
      <c r="B360" s="8">
        <v>356</v>
      </c>
      <c r="C360" s="8">
        <v>29.666666666666664</v>
      </c>
      <c r="D360" s="46">
        <v>0</v>
      </c>
      <c r="E360" s="78">
        <v>1.3999999999999999E-4</v>
      </c>
      <c r="F360" s="78">
        <v>3.0000000000000001E-5</v>
      </c>
      <c r="J360" s="47"/>
      <c r="K360" s="47"/>
    </row>
    <row r="361" spans="1:11" x14ac:dyDescent="0.25">
      <c r="A361" s="8">
        <v>2</v>
      </c>
      <c r="B361" s="8">
        <v>357</v>
      </c>
      <c r="C361" s="8">
        <v>29.75</v>
      </c>
      <c r="D361" s="46">
        <v>0</v>
      </c>
      <c r="E361" s="78">
        <v>1.3999999999999999E-4</v>
      </c>
      <c r="F361" s="78">
        <v>3.0000000000000001E-5</v>
      </c>
      <c r="J361" s="47"/>
      <c r="K361" s="47"/>
    </row>
    <row r="362" spans="1:11" x14ac:dyDescent="0.25">
      <c r="A362" s="8">
        <v>2</v>
      </c>
      <c r="B362" s="8">
        <v>358</v>
      </c>
      <c r="C362" s="8">
        <v>29.833333333333332</v>
      </c>
      <c r="D362" s="46">
        <v>0</v>
      </c>
      <c r="E362" s="78">
        <v>1.3999999999999999E-4</v>
      </c>
      <c r="F362" s="78">
        <v>3.0000000000000001E-5</v>
      </c>
      <c r="J362" s="47"/>
      <c r="K362" s="47"/>
    </row>
    <row r="363" spans="1:11" x14ac:dyDescent="0.25">
      <c r="A363" s="8">
        <v>2</v>
      </c>
      <c r="B363" s="8">
        <v>359</v>
      </c>
      <c r="C363" s="8">
        <v>29.916666666666664</v>
      </c>
      <c r="D363" s="46">
        <v>0</v>
      </c>
      <c r="E363" s="78">
        <v>1.3999999999999999E-4</v>
      </c>
      <c r="F363" s="78">
        <v>3.0000000000000001E-5</v>
      </c>
      <c r="J363" s="47"/>
      <c r="K363" s="47"/>
    </row>
    <row r="364" spans="1:11" x14ac:dyDescent="0.25">
      <c r="A364" s="8">
        <v>2</v>
      </c>
      <c r="B364" s="8">
        <v>360</v>
      </c>
      <c r="C364" s="8">
        <v>30</v>
      </c>
      <c r="D364" s="46">
        <v>0</v>
      </c>
      <c r="E364" s="78">
        <v>1.3999999999999999E-4</v>
      </c>
      <c r="F364" s="78">
        <v>3.0000000000000001E-5</v>
      </c>
      <c r="J364" s="47"/>
      <c r="K364" s="47"/>
    </row>
    <row r="365" spans="1:11" x14ac:dyDescent="0.25">
      <c r="A365" s="8">
        <v>2</v>
      </c>
      <c r="B365" s="8">
        <v>361</v>
      </c>
      <c r="C365" s="8">
        <v>30.083333333333332</v>
      </c>
      <c r="D365" s="46">
        <v>0</v>
      </c>
      <c r="E365" s="78">
        <v>1.3999999999999999E-4</v>
      </c>
      <c r="F365" s="78">
        <v>3.0000000000000001E-5</v>
      </c>
      <c r="J365" s="47"/>
      <c r="K365" s="47"/>
    </row>
    <row r="366" spans="1:11" x14ac:dyDescent="0.25">
      <c r="A366" s="8">
        <v>2</v>
      </c>
      <c r="B366" s="8">
        <v>362</v>
      </c>
      <c r="C366" s="8">
        <v>30.166666666666664</v>
      </c>
      <c r="D366" s="46">
        <v>0</v>
      </c>
      <c r="E366" s="78">
        <v>1.3999999999999999E-4</v>
      </c>
      <c r="F366" s="78">
        <v>3.0000000000000001E-5</v>
      </c>
      <c r="J366" s="47"/>
      <c r="K366" s="47"/>
    </row>
    <row r="367" spans="1:11" x14ac:dyDescent="0.25">
      <c r="A367" s="8">
        <v>2</v>
      </c>
      <c r="B367" s="8">
        <v>363</v>
      </c>
      <c r="C367" s="8">
        <v>30.25</v>
      </c>
      <c r="D367" s="46">
        <v>0</v>
      </c>
      <c r="E367" s="78">
        <v>1.3999999999999999E-4</v>
      </c>
      <c r="F367" s="78">
        <v>3.0000000000000001E-5</v>
      </c>
      <c r="J367" s="47"/>
      <c r="K367" s="47"/>
    </row>
    <row r="368" spans="1:11" x14ac:dyDescent="0.25">
      <c r="A368" s="8">
        <v>2</v>
      </c>
      <c r="B368" s="8">
        <v>364</v>
      </c>
      <c r="C368" s="8">
        <v>30.333333333333332</v>
      </c>
      <c r="D368" s="46">
        <v>0</v>
      </c>
      <c r="E368" s="78">
        <v>1.3999999999999999E-4</v>
      </c>
      <c r="F368" s="78">
        <v>3.0000000000000001E-5</v>
      </c>
      <c r="J368" s="47"/>
      <c r="K368" s="47"/>
    </row>
    <row r="369" spans="1:11" x14ac:dyDescent="0.25">
      <c r="A369" s="8">
        <v>2</v>
      </c>
      <c r="B369" s="8">
        <v>365</v>
      </c>
      <c r="C369" s="8">
        <v>30.416666666666664</v>
      </c>
      <c r="D369" s="46">
        <v>0</v>
      </c>
      <c r="E369" s="78">
        <v>1.3999999999999999E-4</v>
      </c>
      <c r="F369" s="78">
        <v>3.0000000000000001E-5</v>
      </c>
      <c r="J369" s="47"/>
      <c r="K369" s="47"/>
    </row>
    <row r="370" spans="1:11" x14ac:dyDescent="0.25">
      <c r="A370" s="8">
        <v>2</v>
      </c>
      <c r="B370" s="8">
        <v>366</v>
      </c>
      <c r="C370" s="8">
        <v>30.5</v>
      </c>
      <c r="D370" s="46">
        <v>0</v>
      </c>
      <c r="E370" s="78">
        <v>1.3999999999999999E-4</v>
      </c>
      <c r="F370" s="78">
        <v>3.0000000000000001E-5</v>
      </c>
      <c r="J370" s="47"/>
      <c r="K370" s="47"/>
    </row>
    <row r="371" spans="1:11" x14ac:dyDescent="0.25">
      <c r="A371" s="8">
        <v>2</v>
      </c>
      <c r="B371" s="8">
        <v>367</v>
      </c>
      <c r="C371" s="8">
        <v>30.583333333333332</v>
      </c>
      <c r="D371" s="46">
        <v>0</v>
      </c>
      <c r="E371" s="78">
        <v>1.3999999999999999E-4</v>
      </c>
      <c r="F371" s="78">
        <v>3.0000000000000001E-5</v>
      </c>
      <c r="J371" s="47"/>
      <c r="K371" s="47"/>
    </row>
    <row r="372" spans="1:11" x14ac:dyDescent="0.25">
      <c r="A372" s="8">
        <v>2</v>
      </c>
      <c r="B372" s="8">
        <v>368</v>
      </c>
      <c r="C372" s="8">
        <v>30.666666666666664</v>
      </c>
      <c r="D372" s="46">
        <v>0</v>
      </c>
      <c r="E372" s="78">
        <v>1.3999999999999999E-4</v>
      </c>
      <c r="F372" s="78">
        <v>3.0000000000000001E-5</v>
      </c>
      <c r="J372" s="47"/>
      <c r="K372" s="47"/>
    </row>
    <row r="373" spans="1:11" x14ac:dyDescent="0.25">
      <c r="A373" s="8">
        <v>2</v>
      </c>
      <c r="B373" s="8">
        <v>369</v>
      </c>
      <c r="C373" s="8">
        <v>30.75</v>
      </c>
      <c r="D373" s="46">
        <v>0</v>
      </c>
      <c r="E373" s="78">
        <v>1.3999999999999999E-4</v>
      </c>
      <c r="F373" s="78">
        <v>3.0000000000000001E-5</v>
      </c>
      <c r="J373" s="47"/>
      <c r="K373" s="47"/>
    </row>
    <row r="374" spans="1:11" x14ac:dyDescent="0.25">
      <c r="A374" s="8">
        <v>2</v>
      </c>
      <c r="B374" s="8">
        <v>370</v>
      </c>
      <c r="C374" s="8">
        <v>30.833333333333332</v>
      </c>
      <c r="D374" s="46">
        <v>0</v>
      </c>
      <c r="E374" s="78">
        <v>1.3999999999999999E-4</v>
      </c>
      <c r="F374" s="78">
        <v>3.0000000000000001E-5</v>
      </c>
      <c r="J374" s="47"/>
      <c r="K374" s="47"/>
    </row>
    <row r="375" spans="1:11" x14ac:dyDescent="0.25">
      <c r="A375" s="8">
        <v>2</v>
      </c>
      <c r="B375" s="8">
        <v>371</v>
      </c>
      <c r="C375" s="8">
        <v>30.916666666666664</v>
      </c>
      <c r="D375" s="46">
        <v>0</v>
      </c>
      <c r="E375" s="78">
        <v>1.3999999999999999E-4</v>
      </c>
      <c r="F375" s="78">
        <v>3.0000000000000001E-5</v>
      </c>
      <c r="J375" s="47"/>
      <c r="K375" s="47"/>
    </row>
    <row r="376" spans="1:11" x14ac:dyDescent="0.25">
      <c r="A376" s="8">
        <v>2</v>
      </c>
      <c r="B376" s="8">
        <v>372</v>
      </c>
      <c r="C376" s="8">
        <v>31</v>
      </c>
      <c r="D376" s="46">
        <v>0</v>
      </c>
      <c r="E376" s="78">
        <v>1.3999999999999999E-4</v>
      </c>
      <c r="F376" s="78">
        <v>3.0000000000000001E-5</v>
      </c>
      <c r="J376" s="47"/>
      <c r="K376" s="47"/>
    </row>
    <row r="377" spans="1:11" x14ac:dyDescent="0.25">
      <c r="A377" s="8">
        <v>2</v>
      </c>
      <c r="B377" s="8">
        <v>373</v>
      </c>
      <c r="C377" s="8">
        <v>31.083333333333332</v>
      </c>
      <c r="D377" s="46">
        <v>0</v>
      </c>
      <c r="E377" s="78">
        <v>1.3999999999999999E-4</v>
      </c>
      <c r="F377" s="78">
        <v>3.0000000000000001E-5</v>
      </c>
      <c r="J377" s="47"/>
      <c r="K377" s="47"/>
    </row>
    <row r="378" spans="1:11" x14ac:dyDescent="0.25">
      <c r="A378" s="8">
        <v>2</v>
      </c>
      <c r="B378" s="8">
        <v>374</v>
      </c>
      <c r="C378" s="8">
        <v>31.166666666666664</v>
      </c>
      <c r="D378" s="46">
        <v>0</v>
      </c>
      <c r="E378" s="78">
        <v>1.3999999999999999E-4</v>
      </c>
      <c r="F378" s="78">
        <v>3.0000000000000001E-5</v>
      </c>
      <c r="J378" s="47"/>
      <c r="K378" s="47"/>
    </row>
    <row r="379" spans="1:11" x14ac:dyDescent="0.25">
      <c r="A379" s="8">
        <v>2</v>
      </c>
      <c r="B379" s="8">
        <v>375</v>
      </c>
      <c r="C379" s="8">
        <v>31.25</v>
      </c>
      <c r="D379" s="46">
        <v>0</v>
      </c>
      <c r="E379" s="78">
        <v>1.3999999999999999E-4</v>
      </c>
      <c r="F379" s="78">
        <v>3.0000000000000001E-5</v>
      </c>
      <c r="J379" s="47"/>
      <c r="K379" s="47"/>
    </row>
    <row r="380" spans="1:11" x14ac:dyDescent="0.25">
      <c r="A380" s="8">
        <v>2</v>
      </c>
      <c r="B380" s="8">
        <v>376</v>
      </c>
      <c r="C380" s="8">
        <v>31.333333333333332</v>
      </c>
      <c r="D380" s="46">
        <v>0</v>
      </c>
      <c r="E380" s="78">
        <v>1.3999999999999999E-4</v>
      </c>
      <c r="F380" s="78">
        <v>3.0000000000000001E-5</v>
      </c>
      <c r="J380" s="47"/>
      <c r="K380" s="47"/>
    </row>
    <row r="381" spans="1:11" x14ac:dyDescent="0.25">
      <c r="A381" s="8">
        <v>2</v>
      </c>
      <c r="B381" s="8">
        <v>377</v>
      </c>
      <c r="C381" s="8">
        <v>31.416666666666664</v>
      </c>
      <c r="D381" s="46">
        <v>0</v>
      </c>
      <c r="E381" s="78">
        <v>1.3999999999999999E-4</v>
      </c>
      <c r="F381" s="78">
        <v>3.0000000000000001E-5</v>
      </c>
      <c r="J381" s="47"/>
      <c r="K381" s="47"/>
    </row>
    <row r="382" spans="1:11" x14ac:dyDescent="0.25">
      <c r="A382" s="8">
        <v>2</v>
      </c>
      <c r="B382" s="8">
        <v>378</v>
      </c>
      <c r="C382" s="8">
        <v>31.5</v>
      </c>
      <c r="D382" s="46">
        <v>0</v>
      </c>
      <c r="E382" s="78">
        <v>1.3999999999999999E-4</v>
      </c>
      <c r="F382" s="78">
        <v>3.0000000000000001E-5</v>
      </c>
      <c r="J382" s="47"/>
      <c r="K382" s="47"/>
    </row>
    <row r="383" spans="1:11" x14ac:dyDescent="0.25">
      <c r="A383" s="8">
        <v>2</v>
      </c>
      <c r="B383" s="8">
        <v>379</v>
      </c>
      <c r="C383" s="8">
        <v>31.583333333333332</v>
      </c>
      <c r="D383" s="46">
        <v>0</v>
      </c>
      <c r="E383" s="78">
        <v>1.3999999999999999E-4</v>
      </c>
      <c r="F383" s="78">
        <v>3.0000000000000001E-5</v>
      </c>
      <c r="J383" s="47"/>
      <c r="K383" s="47"/>
    </row>
    <row r="384" spans="1:11" x14ac:dyDescent="0.25">
      <c r="A384" s="8">
        <v>2</v>
      </c>
      <c r="B384" s="8">
        <v>380</v>
      </c>
      <c r="C384" s="8">
        <v>31.666666666666664</v>
      </c>
      <c r="D384" s="46">
        <v>0</v>
      </c>
      <c r="E384" s="78">
        <v>1.3999999999999999E-4</v>
      </c>
      <c r="F384" s="78">
        <v>3.0000000000000001E-5</v>
      </c>
      <c r="J384" s="47"/>
      <c r="K384" s="47"/>
    </row>
    <row r="385" spans="1:11" x14ac:dyDescent="0.25">
      <c r="A385" s="8">
        <v>2</v>
      </c>
      <c r="B385" s="8">
        <v>381</v>
      </c>
      <c r="C385" s="8">
        <v>31.75</v>
      </c>
      <c r="D385" s="46">
        <v>0</v>
      </c>
      <c r="E385" s="78">
        <v>1.3999999999999999E-4</v>
      </c>
      <c r="F385" s="78">
        <v>3.0000000000000001E-5</v>
      </c>
      <c r="J385" s="47"/>
      <c r="K385" s="47"/>
    </row>
    <row r="386" spans="1:11" x14ac:dyDescent="0.25">
      <c r="A386" s="8">
        <v>2</v>
      </c>
      <c r="B386" s="8">
        <v>382</v>
      </c>
      <c r="C386" s="8">
        <v>31.833333333333332</v>
      </c>
      <c r="D386" s="46">
        <v>0</v>
      </c>
      <c r="E386" s="78">
        <v>1.3999999999999999E-4</v>
      </c>
      <c r="F386" s="78">
        <v>3.0000000000000001E-5</v>
      </c>
      <c r="J386" s="47"/>
      <c r="K386" s="47"/>
    </row>
    <row r="387" spans="1:11" x14ac:dyDescent="0.25">
      <c r="A387" s="8">
        <v>2</v>
      </c>
      <c r="B387" s="8">
        <v>383</v>
      </c>
      <c r="C387" s="8">
        <v>31.916666666666664</v>
      </c>
      <c r="D387" s="46">
        <v>0</v>
      </c>
      <c r="E387" s="78">
        <v>1.3999999999999999E-4</v>
      </c>
      <c r="F387" s="78">
        <v>3.0000000000000001E-5</v>
      </c>
      <c r="J387" s="47"/>
      <c r="K387" s="47"/>
    </row>
    <row r="388" spans="1:11" x14ac:dyDescent="0.25">
      <c r="A388" s="8">
        <v>2</v>
      </c>
      <c r="B388" s="8">
        <v>384</v>
      </c>
      <c r="C388" s="8">
        <v>32</v>
      </c>
      <c r="D388" s="46">
        <v>0</v>
      </c>
      <c r="E388" s="78">
        <v>1.3999999999999999E-4</v>
      </c>
      <c r="F388" s="78">
        <v>3.0000000000000001E-5</v>
      </c>
      <c r="J388" s="47"/>
      <c r="K388" s="47"/>
    </row>
    <row r="389" spans="1:11" x14ac:dyDescent="0.25">
      <c r="A389" s="8">
        <v>2</v>
      </c>
      <c r="B389" s="8">
        <v>385</v>
      </c>
      <c r="C389" s="8">
        <v>32.083333333333329</v>
      </c>
      <c r="D389" s="46">
        <v>0</v>
      </c>
      <c r="E389" s="78">
        <v>1.3999999999999999E-4</v>
      </c>
      <c r="F389" s="78">
        <v>3.0000000000000001E-5</v>
      </c>
      <c r="J389" s="47"/>
      <c r="K389" s="47"/>
    </row>
    <row r="390" spans="1:11" x14ac:dyDescent="0.25">
      <c r="A390" s="8">
        <v>2</v>
      </c>
      <c r="B390" s="8">
        <v>386</v>
      </c>
      <c r="C390" s="8">
        <v>32.166666666666664</v>
      </c>
      <c r="D390" s="46">
        <v>0</v>
      </c>
      <c r="E390" s="78">
        <v>1.3999999999999999E-4</v>
      </c>
      <c r="F390" s="78">
        <v>3.0000000000000001E-5</v>
      </c>
      <c r="J390" s="47"/>
      <c r="K390" s="47"/>
    </row>
    <row r="391" spans="1:11" x14ac:dyDescent="0.25">
      <c r="A391" s="8">
        <v>2</v>
      </c>
      <c r="B391" s="8">
        <v>387</v>
      </c>
      <c r="C391" s="8">
        <v>32.25</v>
      </c>
      <c r="D391" s="46">
        <v>0</v>
      </c>
      <c r="E391" s="78">
        <v>1.3999999999999999E-4</v>
      </c>
      <c r="F391" s="78">
        <v>3.0000000000000001E-5</v>
      </c>
      <c r="J391" s="47"/>
      <c r="K391" s="47"/>
    </row>
    <row r="392" spans="1:11" x14ac:dyDescent="0.25">
      <c r="A392" s="8">
        <v>2</v>
      </c>
      <c r="B392" s="8">
        <v>388</v>
      </c>
      <c r="C392" s="8">
        <v>32.333333333333329</v>
      </c>
      <c r="D392" s="46">
        <v>0</v>
      </c>
      <c r="E392" s="78">
        <v>1.3999999999999999E-4</v>
      </c>
      <c r="F392" s="78">
        <v>3.0000000000000001E-5</v>
      </c>
      <c r="J392" s="47"/>
      <c r="K392" s="47"/>
    </row>
    <row r="393" spans="1:11" x14ac:dyDescent="0.25">
      <c r="A393" s="8">
        <v>2</v>
      </c>
      <c r="B393" s="8">
        <v>389</v>
      </c>
      <c r="C393" s="8">
        <v>32.416666666666664</v>
      </c>
      <c r="D393" s="46">
        <v>0</v>
      </c>
      <c r="E393" s="78">
        <v>1.3999999999999999E-4</v>
      </c>
      <c r="F393" s="78">
        <v>3.0000000000000001E-5</v>
      </c>
      <c r="J393" s="47"/>
      <c r="K393" s="47"/>
    </row>
    <row r="394" spans="1:11" x14ac:dyDescent="0.25">
      <c r="A394" s="8">
        <v>2</v>
      </c>
      <c r="B394" s="8">
        <v>390</v>
      </c>
      <c r="C394" s="8">
        <v>32.5</v>
      </c>
      <c r="D394" s="46">
        <v>0</v>
      </c>
      <c r="E394" s="78">
        <v>1.3999999999999999E-4</v>
      </c>
      <c r="F394" s="78">
        <v>3.0000000000000001E-5</v>
      </c>
      <c r="J394" s="47"/>
      <c r="K394" s="47"/>
    </row>
    <row r="395" spans="1:11" x14ac:dyDescent="0.25">
      <c r="A395" s="8">
        <v>2</v>
      </c>
      <c r="B395" s="8">
        <v>391</v>
      </c>
      <c r="C395" s="8">
        <v>32.583333333333329</v>
      </c>
      <c r="D395" s="46">
        <v>0</v>
      </c>
      <c r="E395" s="78">
        <v>1.3999999999999999E-4</v>
      </c>
      <c r="F395" s="78">
        <v>3.0000000000000001E-5</v>
      </c>
      <c r="J395" s="47"/>
      <c r="K395" s="47"/>
    </row>
    <row r="396" spans="1:11" x14ac:dyDescent="0.25">
      <c r="A396" s="8">
        <v>2</v>
      </c>
      <c r="B396" s="8">
        <v>392</v>
      </c>
      <c r="C396" s="8">
        <v>32.666666666666664</v>
      </c>
      <c r="D396" s="46">
        <v>0</v>
      </c>
      <c r="E396" s="78">
        <v>1.3999999999999999E-4</v>
      </c>
      <c r="F396" s="78">
        <v>3.0000000000000001E-5</v>
      </c>
      <c r="J396" s="47"/>
      <c r="K396" s="47"/>
    </row>
    <row r="397" spans="1:11" x14ac:dyDescent="0.25">
      <c r="A397" s="8">
        <v>2</v>
      </c>
      <c r="B397" s="8">
        <v>393</v>
      </c>
      <c r="C397" s="8">
        <v>32.75</v>
      </c>
      <c r="D397" s="46">
        <v>0</v>
      </c>
      <c r="E397" s="78">
        <v>1.3999999999999999E-4</v>
      </c>
      <c r="F397" s="78">
        <v>3.0000000000000001E-5</v>
      </c>
      <c r="J397" s="47"/>
      <c r="K397" s="47"/>
    </row>
    <row r="398" spans="1:11" x14ac:dyDescent="0.25">
      <c r="A398" s="8">
        <v>2</v>
      </c>
      <c r="B398" s="8">
        <v>394</v>
      </c>
      <c r="C398" s="8">
        <v>32.833333333333329</v>
      </c>
      <c r="D398" s="46">
        <v>0</v>
      </c>
      <c r="E398" s="78">
        <v>1.3999999999999999E-4</v>
      </c>
      <c r="F398" s="78">
        <v>3.0000000000000001E-5</v>
      </c>
      <c r="J398" s="47"/>
      <c r="K398" s="47"/>
    </row>
    <row r="399" spans="1:11" x14ac:dyDescent="0.25">
      <c r="A399" s="8">
        <v>2</v>
      </c>
      <c r="B399" s="8">
        <v>395</v>
      </c>
      <c r="C399" s="8">
        <v>32.916666666666664</v>
      </c>
      <c r="D399" s="46">
        <v>0</v>
      </c>
      <c r="E399" s="78">
        <v>1.3999999999999999E-4</v>
      </c>
      <c r="F399" s="78">
        <v>3.0000000000000001E-5</v>
      </c>
      <c r="J399" s="47"/>
      <c r="K399" s="47"/>
    </row>
    <row r="400" spans="1:11" x14ac:dyDescent="0.25">
      <c r="A400" s="8">
        <v>2</v>
      </c>
      <c r="B400" s="8">
        <v>396</v>
      </c>
      <c r="C400" s="8">
        <v>33</v>
      </c>
      <c r="D400" s="46">
        <v>0</v>
      </c>
      <c r="E400" s="78">
        <v>1.3999999999999999E-4</v>
      </c>
      <c r="F400" s="78">
        <v>3.0000000000000001E-5</v>
      </c>
      <c r="J400" s="47"/>
      <c r="K400" s="47"/>
    </row>
    <row r="401" spans="1:11" x14ac:dyDescent="0.25">
      <c r="A401" s="8">
        <v>2</v>
      </c>
      <c r="B401" s="8">
        <v>397</v>
      </c>
      <c r="C401" s="8">
        <v>33.083333333333329</v>
      </c>
      <c r="D401" s="46">
        <v>0</v>
      </c>
      <c r="E401" s="78">
        <v>1.3999999999999999E-4</v>
      </c>
      <c r="F401" s="78">
        <v>3.0000000000000001E-5</v>
      </c>
      <c r="J401" s="47"/>
      <c r="K401" s="47"/>
    </row>
    <row r="402" spans="1:11" x14ac:dyDescent="0.25">
      <c r="A402" s="8">
        <v>2</v>
      </c>
      <c r="B402" s="8">
        <v>398</v>
      </c>
      <c r="C402" s="8">
        <v>33.166666666666664</v>
      </c>
      <c r="D402" s="46">
        <v>0</v>
      </c>
      <c r="E402" s="78">
        <v>1.3999999999999999E-4</v>
      </c>
      <c r="F402" s="78">
        <v>3.0000000000000001E-5</v>
      </c>
      <c r="J402" s="47"/>
      <c r="K402" s="47"/>
    </row>
    <row r="403" spans="1:11" x14ac:dyDescent="0.25">
      <c r="A403" s="8">
        <v>2</v>
      </c>
      <c r="B403" s="8">
        <v>399</v>
      </c>
      <c r="C403" s="8">
        <v>33.25</v>
      </c>
      <c r="D403" s="46">
        <v>0</v>
      </c>
      <c r="E403" s="78">
        <v>1.3999999999999999E-4</v>
      </c>
      <c r="F403" s="78">
        <v>3.0000000000000001E-5</v>
      </c>
      <c r="J403" s="47"/>
      <c r="K403" s="47"/>
    </row>
    <row r="404" spans="1:11" x14ac:dyDescent="0.25">
      <c r="A404" s="8">
        <v>2</v>
      </c>
      <c r="B404" s="8">
        <v>400</v>
      </c>
      <c r="C404" s="8">
        <v>33.333333333333329</v>
      </c>
      <c r="D404" s="46">
        <v>0</v>
      </c>
      <c r="E404" s="78">
        <v>1.3999999999999999E-4</v>
      </c>
      <c r="F404" s="78">
        <v>3.0000000000000001E-5</v>
      </c>
      <c r="J404" s="47"/>
      <c r="K404" s="47"/>
    </row>
    <row r="405" spans="1:11" x14ac:dyDescent="0.25">
      <c r="A405" s="8">
        <v>2</v>
      </c>
      <c r="B405" s="8">
        <v>401</v>
      </c>
      <c r="C405" s="8">
        <v>33.416666666666664</v>
      </c>
      <c r="D405" s="46">
        <v>0</v>
      </c>
      <c r="E405" s="78">
        <v>1.3999999999999999E-4</v>
      </c>
      <c r="F405" s="78">
        <v>3.0000000000000001E-5</v>
      </c>
      <c r="J405" s="47"/>
      <c r="K405" s="47"/>
    </row>
    <row r="406" spans="1:11" x14ac:dyDescent="0.25">
      <c r="A406" s="8">
        <v>2</v>
      </c>
      <c r="B406" s="8">
        <v>402</v>
      </c>
      <c r="C406" s="8">
        <v>33.5</v>
      </c>
      <c r="D406" s="46">
        <v>0</v>
      </c>
      <c r="E406" s="78">
        <v>1.3999999999999999E-4</v>
      </c>
      <c r="F406" s="78">
        <v>3.0000000000000001E-5</v>
      </c>
      <c r="J406" s="47"/>
      <c r="K406" s="47"/>
    </row>
    <row r="407" spans="1:11" x14ac:dyDescent="0.25">
      <c r="A407" s="8">
        <v>2</v>
      </c>
      <c r="B407" s="8">
        <v>403</v>
      </c>
      <c r="C407" s="8">
        <v>33.583333333333329</v>
      </c>
      <c r="D407" s="46">
        <v>0</v>
      </c>
      <c r="E407" s="78">
        <v>1.3999999999999999E-4</v>
      </c>
      <c r="F407" s="78">
        <v>3.0000000000000001E-5</v>
      </c>
      <c r="J407" s="47"/>
      <c r="K407" s="47"/>
    </row>
    <row r="408" spans="1:11" x14ac:dyDescent="0.25">
      <c r="A408" s="8">
        <v>2</v>
      </c>
      <c r="B408" s="8">
        <v>404</v>
      </c>
      <c r="C408" s="8">
        <v>33.666666666666664</v>
      </c>
      <c r="D408" s="46">
        <v>0</v>
      </c>
      <c r="E408" s="78">
        <v>1.3999999999999999E-4</v>
      </c>
      <c r="F408" s="78">
        <v>3.0000000000000001E-5</v>
      </c>
      <c r="J408" s="47"/>
      <c r="K408" s="47"/>
    </row>
    <row r="409" spans="1:11" x14ac:dyDescent="0.25">
      <c r="A409" s="8">
        <v>2</v>
      </c>
      <c r="B409" s="8">
        <v>405</v>
      </c>
      <c r="C409" s="8">
        <v>33.75</v>
      </c>
      <c r="D409" s="46">
        <v>0</v>
      </c>
      <c r="E409" s="78">
        <v>1.3999999999999999E-4</v>
      </c>
      <c r="F409" s="78">
        <v>3.0000000000000001E-5</v>
      </c>
      <c r="J409" s="47"/>
      <c r="K409" s="47"/>
    </row>
    <row r="410" spans="1:11" x14ac:dyDescent="0.25">
      <c r="A410" s="8">
        <v>2</v>
      </c>
      <c r="B410" s="8">
        <v>406</v>
      </c>
      <c r="C410" s="8">
        <v>33.833333333333329</v>
      </c>
      <c r="D410" s="46">
        <v>0</v>
      </c>
      <c r="E410" s="78">
        <v>1.3999999999999999E-4</v>
      </c>
      <c r="F410" s="78">
        <v>3.0000000000000001E-5</v>
      </c>
      <c r="J410" s="47"/>
      <c r="K410" s="47"/>
    </row>
    <row r="411" spans="1:11" x14ac:dyDescent="0.25">
      <c r="A411" s="8">
        <v>2</v>
      </c>
      <c r="B411" s="8">
        <v>407</v>
      </c>
      <c r="C411" s="8">
        <v>33.916666666666664</v>
      </c>
      <c r="D411" s="46">
        <v>0</v>
      </c>
      <c r="E411" s="78">
        <v>1.3999999999999999E-4</v>
      </c>
      <c r="F411" s="78">
        <v>3.0000000000000001E-5</v>
      </c>
      <c r="J411" s="47"/>
      <c r="K411" s="47"/>
    </row>
    <row r="412" spans="1:11" x14ac:dyDescent="0.25">
      <c r="A412" s="8">
        <v>2</v>
      </c>
      <c r="B412" s="8">
        <v>408</v>
      </c>
      <c r="C412" s="8">
        <v>34</v>
      </c>
      <c r="D412" s="46">
        <v>0</v>
      </c>
      <c r="E412" s="78">
        <v>1.3999999999999999E-4</v>
      </c>
      <c r="F412" s="78">
        <v>3.0000000000000001E-5</v>
      </c>
      <c r="J412" s="47"/>
      <c r="K412" s="47"/>
    </row>
    <row r="413" spans="1:11" x14ac:dyDescent="0.25">
      <c r="A413" s="8">
        <v>2</v>
      </c>
      <c r="B413" s="8">
        <v>409</v>
      </c>
      <c r="C413" s="8">
        <v>34.083333333333329</v>
      </c>
      <c r="D413" s="46">
        <v>0</v>
      </c>
      <c r="E413" s="78">
        <v>1.3999999999999999E-4</v>
      </c>
      <c r="F413" s="78">
        <v>3.0000000000000001E-5</v>
      </c>
      <c r="J413" s="47"/>
      <c r="K413" s="47"/>
    </row>
    <row r="414" spans="1:11" x14ac:dyDescent="0.25">
      <c r="A414" s="8">
        <v>2</v>
      </c>
      <c r="B414" s="8">
        <v>410</v>
      </c>
      <c r="C414" s="8">
        <v>34.166666666666664</v>
      </c>
      <c r="D414" s="46">
        <v>0</v>
      </c>
      <c r="E414" s="78">
        <v>1.3999999999999999E-4</v>
      </c>
      <c r="F414" s="78">
        <v>3.0000000000000001E-5</v>
      </c>
      <c r="J414" s="47"/>
      <c r="K414" s="47"/>
    </row>
    <row r="415" spans="1:11" x14ac:dyDescent="0.25">
      <c r="A415" s="8">
        <v>2</v>
      </c>
      <c r="B415" s="8">
        <v>411</v>
      </c>
      <c r="C415" s="8">
        <v>34.25</v>
      </c>
      <c r="D415" s="46">
        <v>0</v>
      </c>
      <c r="E415" s="78">
        <v>1.3999999999999999E-4</v>
      </c>
      <c r="F415" s="78">
        <v>3.0000000000000001E-5</v>
      </c>
      <c r="J415" s="47"/>
      <c r="K415" s="47"/>
    </row>
    <row r="416" spans="1:11" x14ac:dyDescent="0.25">
      <c r="A416" s="8">
        <v>2</v>
      </c>
      <c r="B416" s="8">
        <v>412</v>
      </c>
      <c r="C416" s="8">
        <v>34.333333333333329</v>
      </c>
      <c r="D416" s="46">
        <v>0</v>
      </c>
      <c r="E416" s="78">
        <v>1.3999999999999999E-4</v>
      </c>
      <c r="F416" s="78">
        <v>3.0000000000000001E-5</v>
      </c>
      <c r="J416" s="47"/>
      <c r="K416" s="47"/>
    </row>
    <row r="417" spans="1:11" x14ac:dyDescent="0.25">
      <c r="A417" s="8">
        <v>2</v>
      </c>
      <c r="B417" s="8">
        <v>413</v>
      </c>
      <c r="C417" s="8">
        <v>34.416666666666664</v>
      </c>
      <c r="D417" s="46">
        <v>0</v>
      </c>
      <c r="E417" s="78">
        <v>1.3999999999999999E-4</v>
      </c>
      <c r="F417" s="78">
        <v>3.0000000000000001E-5</v>
      </c>
      <c r="J417" s="47"/>
      <c r="K417" s="47"/>
    </row>
    <row r="418" spans="1:11" x14ac:dyDescent="0.25">
      <c r="A418" s="8">
        <v>2</v>
      </c>
      <c r="B418" s="8">
        <v>414</v>
      </c>
      <c r="C418" s="8">
        <v>34.5</v>
      </c>
      <c r="D418" s="46">
        <v>0</v>
      </c>
      <c r="E418" s="78">
        <v>1.3999999999999999E-4</v>
      </c>
      <c r="F418" s="78">
        <v>3.0000000000000001E-5</v>
      </c>
      <c r="J418" s="47"/>
      <c r="K418" s="47"/>
    </row>
    <row r="419" spans="1:11" x14ac:dyDescent="0.25">
      <c r="A419" s="8">
        <v>2</v>
      </c>
      <c r="B419" s="8">
        <v>415</v>
      </c>
      <c r="C419" s="8">
        <v>34.583333333333329</v>
      </c>
      <c r="D419" s="46">
        <v>0</v>
      </c>
      <c r="E419" s="78">
        <v>1.3999999999999999E-4</v>
      </c>
      <c r="F419" s="78">
        <v>3.0000000000000001E-5</v>
      </c>
      <c r="J419" s="47"/>
      <c r="K419" s="47"/>
    </row>
    <row r="420" spans="1:11" x14ac:dyDescent="0.25">
      <c r="A420" s="8">
        <v>2</v>
      </c>
      <c r="B420" s="8">
        <v>416</v>
      </c>
      <c r="C420" s="8">
        <v>34.666666666666664</v>
      </c>
      <c r="D420" s="46">
        <v>0</v>
      </c>
      <c r="E420" s="78">
        <v>1.3999999999999999E-4</v>
      </c>
      <c r="F420" s="78">
        <v>3.0000000000000001E-5</v>
      </c>
      <c r="J420" s="47"/>
      <c r="K420" s="47"/>
    </row>
    <row r="421" spans="1:11" x14ac:dyDescent="0.25">
      <c r="A421" s="8">
        <v>2</v>
      </c>
      <c r="B421" s="8">
        <v>417</v>
      </c>
      <c r="C421" s="8">
        <v>34.75</v>
      </c>
      <c r="D421" s="46">
        <v>0</v>
      </c>
      <c r="E421" s="78">
        <v>1.3999999999999999E-4</v>
      </c>
      <c r="F421" s="78">
        <v>3.0000000000000001E-5</v>
      </c>
      <c r="J421" s="47"/>
      <c r="K421" s="47"/>
    </row>
    <row r="422" spans="1:11" x14ac:dyDescent="0.25">
      <c r="A422" s="8">
        <v>2</v>
      </c>
      <c r="B422" s="8">
        <v>418</v>
      </c>
      <c r="C422" s="8">
        <v>34.833333333333329</v>
      </c>
      <c r="D422" s="46">
        <v>0</v>
      </c>
      <c r="E422" s="78">
        <v>1.3999999999999999E-4</v>
      </c>
      <c r="F422" s="78">
        <v>3.0000000000000001E-5</v>
      </c>
      <c r="J422" s="47"/>
      <c r="K422" s="47"/>
    </row>
    <row r="423" spans="1:11" x14ac:dyDescent="0.25">
      <c r="A423" s="8">
        <v>2</v>
      </c>
      <c r="B423" s="8">
        <v>419</v>
      </c>
      <c r="C423" s="8">
        <v>34.916666666666664</v>
      </c>
      <c r="D423" s="46">
        <v>0</v>
      </c>
      <c r="E423" s="78">
        <v>1.3999999999999999E-4</v>
      </c>
      <c r="F423" s="78">
        <v>3.0000000000000001E-5</v>
      </c>
      <c r="J423" s="47"/>
      <c r="K423" s="47"/>
    </row>
    <row r="424" spans="1:11" x14ac:dyDescent="0.25">
      <c r="A424" s="8">
        <v>2</v>
      </c>
      <c r="B424" s="8">
        <v>420</v>
      </c>
      <c r="C424" s="8">
        <v>35</v>
      </c>
      <c r="D424" s="46">
        <v>0</v>
      </c>
      <c r="E424" s="78">
        <v>1.3999999999999999E-4</v>
      </c>
      <c r="F424" s="78">
        <v>3.0000000000000001E-5</v>
      </c>
      <c r="J424" s="47"/>
      <c r="K424" s="47"/>
    </row>
    <row r="425" spans="1:11" x14ac:dyDescent="0.25">
      <c r="A425" s="8">
        <v>2</v>
      </c>
      <c r="B425" s="8">
        <v>421</v>
      </c>
      <c r="C425" s="8">
        <v>35.083333333333329</v>
      </c>
      <c r="D425" s="46">
        <v>0</v>
      </c>
      <c r="E425" s="78">
        <v>1.3999999999999999E-4</v>
      </c>
      <c r="F425" s="78">
        <v>3.0000000000000001E-5</v>
      </c>
      <c r="J425" s="47"/>
      <c r="K425" s="47"/>
    </row>
    <row r="426" spans="1:11" x14ac:dyDescent="0.25">
      <c r="A426" s="8">
        <v>2</v>
      </c>
      <c r="B426" s="8">
        <v>422</v>
      </c>
      <c r="C426" s="8">
        <v>35.166666666666664</v>
      </c>
      <c r="D426" s="46">
        <v>0</v>
      </c>
      <c r="E426" s="78">
        <v>1.3999999999999999E-4</v>
      </c>
      <c r="F426" s="78">
        <v>3.0000000000000001E-5</v>
      </c>
      <c r="J426" s="47"/>
      <c r="K426" s="47"/>
    </row>
    <row r="427" spans="1:11" x14ac:dyDescent="0.25">
      <c r="A427" s="8">
        <v>2</v>
      </c>
      <c r="B427" s="8">
        <v>423</v>
      </c>
      <c r="C427" s="8">
        <v>35.25</v>
      </c>
      <c r="D427" s="46">
        <v>0</v>
      </c>
      <c r="E427" s="78">
        <v>1.3999999999999999E-4</v>
      </c>
      <c r="F427" s="78">
        <v>3.0000000000000001E-5</v>
      </c>
      <c r="J427" s="47"/>
      <c r="K427" s="47"/>
    </row>
    <row r="428" spans="1:11" x14ac:dyDescent="0.25">
      <c r="A428" s="8">
        <v>2</v>
      </c>
      <c r="B428" s="8">
        <v>424</v>
      </c>
      <c r="C428" s="8">
        <v>35.333333333333329</v>
      </c>
      <c r="D428" s="46">
        <v>0</v>
      </c>
      <c r="E428" s="78">
        <v>1.3999999999999999E-4</v>
      </c>
      <c r="F428" s="78">
        <v>3.0000000000000001E-5</v>
      </c>
      <c r="J428" s="47"/>
      <c r="K428" s="47"/>
    </row>
    <row r="429" spans="1:11" x14ac:dyDescent="0.25">
      <c r="A429" s="8">
        <v>2</v>
      </c>
      <c r="B429" s="8">
        <v>425</v>
      </c>
      <c r="C429" s="8">
        <v>35.416666666666664</v>
      </c>
      <c r="D429" s="46">
        <v>0</v>
      </c>
      <c r="E429" s="78">
        <v>1.3999999999999999E-4</v>
      </c>
      <c r="F429" s="78">
        <v>3.0000000000000001E-5</v>
      </c>
      <c r="J429" s="47"/>
      <c r="K429" s="47"/>
    </row>
    <row r="430" spans="1:11" x14ac:dyDescent="0.25">
      <c r="A430" s="8">
        <v>2</v>
      </c>
      <c r="B430" s="8">
        <v>426</v>
      </c>
      <c r="C430" s="8">
        <v>35.5</v>
      </c>
      <c r="D430" s="46">
        <v>0</v>
      </c>
      <c r="E430" s="78">
        <v>1.3999999999999999E-4</v>
      </c>
      <c r="F430" s="78">
        <v>3.0000000000000001E-5</v>
      </c>
      <c r="J430" s="47"/>
      <c r="K430" s="47"/>
    </row>
    <row r="431" spans="1:11" x14ac:dyDescent="0.25">
      <c r="A431" s="8">
        <v>2</v>
      </c>
      <c r="B431" s="8">
        <v>427</v>
      </c>
      <c r="C431" s="8">
        <v>35.583333333333329</v>
      </c>
      <c r="D431" s="46">
        <v>0</v>
      </c>
      <c r="E431" s="78">
        <v>1.3999999999999999E-4</v>
      </c>
      <c r="F431" s="78">
        <v>3.0000000000000001E-5</v>
      </c>
      <c r="J431" s="47"/>
      <c r="K431" s="47"/>
    </row>
    <row r="432" spans="1:11" x14ac:dyDescent="0.25">
      <c r="A432" s="8">
        <v>2</v>
      </c>
      <c r="B432" s="8">
        <v>428</v>
      </c>
      <c r="C432" s="8">
        <v>35.666666666666664</v>
      </c>
      <c r="D432" s="46">
        <v>0</v>
      </c>
      <c r="E432" s="78">
        <v>1.3999999999999999E-4</v>
      </c>
      <c r="F432" s="78">
        <v>3.0000000000000001E-5</v>
      </c>
      <c r="J432" s="47"/>
      <c r="K432" s="47"/>
    </row>
    <row r="433" spans="1:11" x14ac:dyDescent="0.25">
      <c r="A433" s="8">
        <v>2</v>
      </c>
      <c r="B433" s="8">
        <v>429</v>
      </c>
      <c r="C433" s="8">
        <v>35.75</v>
      </c>
      <c r="D433" s="46">
        <v>0</v>
      </c>
      <c r="E433" s="78">
        <v>1.3999999999999999E-4</v>
      </c>
      <c r="F433" s="78">
        <v>3.0000000000000001E-5</v>
      </c>
      <c r="J433" s="47"/>
      <c r="K433" s="47"/>
    </row>
    <row r="434" spans="1:11" x14ac:dyDescent="0.25">
      <c r="A434" s="8">
        <v>2</v>
      </c>
      <c r="B434" s="8">
        <v>430</v>
      </c>
      <c r="C434" s="8">
        <v>35.833333333333329</v>
      </c>
      <c r="D434" s="46">
        <v>0</v>
      </c>
      <c r="E434" s="78">
        <v>1.3999999999999999E-4</v>
      </c>
      <c r="F434" s="78">
        <v>3.0000000000000001E-5</v>
      </c>
      <c r="J434" s="47"/>
      <c r="K434" s="47"/>
    </row>
    <row r="435" spans="1:11" x14ac:dyDescent="0.25">
      <c r="A435" s="8">
        <v>2</v>
      </c>
      <c r="B435" s="8">
        <v>431</v>
      </c>
      <c r="C435" s="8">
        <v>35.916666666666664</v>
      </c>
      <c r="D435" s="46">
        <v>0</v>
      </c>
      <c r="E435" s="78">
        <v>1.3999999999999999E-4</v>
      </c>
      <c r="F435" s="78">
        <v>3.0000000000000001E-5</v>
      </c>
      <c r="J435" s="47"/>
      <c r="K435" s="47"/>
    </row>
    <row r="436" spans="1:11" x14ac:dyDescent="0.25">
      <c r="A436" s="8">
        <v>2</v>
      </c>
      <c r="B436" s="8">
        <v>432</v>
      </c>
      <c r="C436" s="8">
        <v>36</v>
      </c>
      <c r="D436" s="46">
        <v>0</v>
      </c>
      <c r="E436" s="78">
        <v>1.3999999999999999E-4</v>
      </c>
      <c r="F436" s="78">
        <v>3.0000000000000001E-5</v>
      </c>
      <c r="J436" s="47"/>
      <c r="K436" s="47"/>
    </row>
    <row r="437" spans="1:11" x14ac:dyDescent="0.25">
      <c r="A437" s="8">
        <v>2</v>
      </c>
      <c r="B437" s="8">
        <v>433</v>
      </c>
      <c r="C437" s="8">
        <v>36.083333333333329</v>
      </c>
      <c r="D437" s="46">
        <v>0</v>
      </c>
      <c r="E437" s="78">
        <v>1.3999999999999999E-4</v>
      </c>
      <c r="F437" s="78">
        <v>3.0000000000000001E-5</v>
      </c>
      <c r="J437" s="47"/>
      <c r="K437" s="47"/>
    </row>
    <row r="438" spans="1:11" x14ac:dyDescent="0.25">
      <c r="A438" s="8">
        <v>2</v>
      </c>
      <c r="B438" s="8">
        <v>434</v>
      </c>
      <c r="C438" s="8">
        <v>36.166666666666664</v>
      </c>
      <c r="D438" s="46">
        <v>0</v>
      </c>
      <c r="E438" s="78">
        <v>1.3999999999999999E-4</v>
      </c>
      <c r="F438" s="78">
        <v>3.0000000000000001E-5</v>
      </c>
      <c r="J438" s="47"/>
      <c r="K438" s="47"/>
    </row>
    <row r="439" spans="1:11" x14ac:dyDescent="0.25">
      <c r="A439" s="8">
        <v>2</v>
      </c>
      <c r="B439" s="8">
        <v>435</v>
      </c>
      <c r="C439" s="8">
        <v>36.25</v>
      </c>
      <c r="D439" s="46">
        <v>0</v>
      </c>
      <c r="E439" s="78">
        <v>1.3999999999999999E-4</v>
      </c>
      <c r="F439" s="78">
        <v>3.0000000000000001E-5</v>
      </c>
      <c r="J439" s="47"/>
      <c r="K439" s="47"/>
    </row>
    <row r="440" spans="1:11" x14ac:dyDescent="0.25">
      <c r="A440" s="8">
        <v>2</v>
      </c>
      <c r="B440" s="8">
        <v>436</v>
      </c>
      <c r="C440" s="8">
        <v>36.333333333333329</v>
      </c>
      <c r="D440" s="46">
        <v>0</v>
      </c>
      <c r="E440" s="78">
        <v>1.3999999999999999E-4</v>
      </c>
      <c r="F440" s="78">
        <v>3.0000000000000001E-5</v>
      </c>
      <c r="J440" s="47"/>
      <c r="K440" s="47"/>
    </row>
    <row r="441" spans="1:11" x14ac:dyDescent="0.25">
      <c r="A441" s="8">
        <v>2</v>
      </c>
      <c r="B441" s="8">
        <v>437</v>
      </c>
      <c r="C441" s="8">
        <v>36.416666666666664</v>
      </c>
      <c r="D441" s="46">
        <v>0</v>
      </c>
      <c r="E441" s="78">
        <v>1.3999999999999999E-4</v>
      </c>
      <c r="F441" s="78">
        <v>3.0000000000000001E-5</v>
      </c>
      <c r="J441" s="47"/>
      <c r="K441" s="47"/>
    </row>
    <row r="442" spans="1:11" x14ac:dyDescent="0.25">
      <c r="A442" s="8">
        <v>2</v>
      </c>
      <c r="B442" s="8">
        <v>438</v>
      </c>
      <c r="C442" s="8">
        <v>36.5</v>
      </c>
      <c r="D442" s="46">
        <v>0</v>
      </c>
      <c r="E442" s="78">
        <v>1.3999999999999999E-4</v>
      </c>
      <c r="F442" s="78">
        <v>3.0000000000000001E-5</v>
      </c>
      <c r="J442" s="47"/>
      <c r="K442" s="47"/>
    </row>
    <row r="443" spans="1:11" x14ac:dyDescent="0.25">
      <c r="A443" s="8">
        <v>2</v>
      </c>
      <c r="B443" s="8">
        <v>439</v>
      </c>
      <c r="C443" s="8">
        <v>36.583333333333329</v>
      </c>
      <c r="D443" s="46">
        <v>0</v>
      </c>
      <c r="E443" s="78">
        <v>1.3999999999999999E-4</v>
      </c>
      <c r="F443" s="78">
        <v>3.0000000000000001E-5</v>
      </c>
      <c r="J443" s="47"/>
      <c r="K443" s="47"/>
    </row>
    <row r="444" spans="1:11" x14ac:dyDescent="0.25">
      <c r="A444" s="8">
        <v>2</v>
      </c>
      <c r="B444" s="8">
        <v>440</v>
      </c>
      <c r="C444" s="8">
        <v>36.666666666666664</v>
      </c>
      <c r="D444" s="46">
        <v>0</v>
      </c>
      <c r="E444" s="78">
        <v>1.3999999999999999E-4</v>
      </c>
      <c r="F444" s="78">
        <v>3.0000000000000001E-5</v>
      </c>
      <c r="J444" s="47"/>
      <c r="K444" s="47"/>
    </row>
    <row r="445" spans="1:11" x14ac:dyDescent="0.25">
      <c r="A445" s="8">
        <v>2</v>
      </c>
      <c r="B445" s="8">
        <v>441</v>
      </c>
      <c r="C445" s="8">
        <v>36.75</v>
      </c>
      <c r="D445" s="46">
        <v>0</v>
      </c>
      <c r="E445" s="78">
        <v>1.3999999999999999E-4</v>
      </c>
      <c r="F445" s="78">
        <v>3.0000000000000001E-5</v>
      </c>
      <c r="J445" s="47"/>
      <c r="K445" s="47"/>
    </row>
    <row r="446" spans="1:11" x14ac:dyDescent="0.25">
      <c r="A446" s="8">
        <v>2</v>
      </c>
      <c r="B446" s="8">
        <v>442</v>
      </c>
      <c r="C446" s="8">
        <v>36.833333333333329</v>
      </c>
      <c r="D446" s="46">
        <v>0</v>
      </c>
      <c r="E446" s="78">
        <v>1.3999999999999999E-4</v>
      </c>
      <c r="F446" s="78">
        <v>3.0000000000000001E-5</v>
      </c>
      <c r="J446" s="47"/>
      <c r="K446" s="47"/>
    </row>
    <row r="447" spans="1:11" x14ac:dyDescent="0.25">
      <c r="A447" s="8">
        <v>2</v>
      </c>
      <c r="B447" s="8">
        <v>443</v>
      </c>
      <c r="C447" s="8">
        <v>36.916666666666664</v>
      </c>
      <c r="D447" s="46">
        <v>0</v>
      </c>
      <c r="E447" s="78">
        <v>1.3999999999999999E-4</v>
      </c>
      <c r="F447" s="78">
        <v>3.0000000000000001E-5</v>
      </c>
      <c r="J447" s="47"/>
      <c r="K447" s="47"/>
    </row>
    <row r="448" spans="1:11" x14ac:dyDescent="0.25">
      <c r="A448" s="8">
        <v>2</v>
      </c>
      <c r="B448" s="8">
        <v>444</v>
      </c>
      <c r="C448" s="8">
        <v>37</v>
      </c>
      <c r="D448" s="46">
        <v>0</v>
      </c>
      <c r="E448" s="78">
        <v>1.3999999999999999E-4</v>
      </c>
      <c r="F448" s="78">
        <v>3.0000000000000001E-5</v>
      </c>
      <c r="J448" s="47"/>
      <c r="K448" s="47"/>
    </row>
    <row r="449" spans="1:11" x14ac:dyDescent="0.25">
      <c r="A449" s="8">
        <v>2</v>
      </c>
      <c r="B449" s="8">
        <v>445</v>
      </c>
      <c r="C449" s="8">
        <v>37.083333333333329</v>
      </c>
      <c r="D449" s="46">
        <v>0</v>
      </c>
      <c r="E449" s="78">
        <v>1.3999999999999999E-4</v>
      </c>
      <c r="F449" s="78">
        <v>3.0000000000000001E-5</v>
      </c>
      <c r="J449" s="47"/>
      <c r="K449" s="47"/>
    </row>
    <row r="450" spans="1:11" x14ac:dyDescent="0.25">
      <c r="A450" s="8">
        <v>2</v>
      </c>
      <c r="B450" s="8">
        <v>446</v>
      </c>
      <c r="C450" s="8">
        <v>37.166666666666664</v>
      </c>
      <c r="D450" s="46">
        <v>0</v>
      </c>
      <c r="E450" s="78">
        <v>1.3999999999999999E-4</v>
      </c>
      <c r="F450" s="78">
        <v>3.0000000000000001E-5</v>
      </c>
      <c r="J450" s="47"/>
      <c r="K450" s="47"/>
    </row>
    <row r="451" spans="1:11" x14ac:dyDescent="0.25">
      <c r="A451" s="8">
        <v>2</v>
      </c>
      <c r="B451" s="8">
        <v>447</v>
      </c>
      <c r="C451" s="8">
        <v>37.25</v>
      </c>
      <c r="D451" s="46">
        <v>0</v>
      </c>
      <c r="E451" s="78">
        <v>1.3999999999999999E-4</v>
      </c>
      <c r="F451" s="78">
        <v>3.0000000000000001E-5</v>
      </c>
      <c r="J451" s="47"/>
      <c r="K451" s="47"/>
    </row>
    <row r="452" spans="1:11" x14ac:dyDescent="0.25">
      <c r="A452" s="8">
        <v>2</v>
      </c>
      <c r="B452" s="8">
        <v>448</v>
      </c>
      <c r="C452" s="8">
        <v>37.333333333333329</v>
      </c>
      <c r="D452" s="46">
        <v>0</v>
      </c>
      <c r="E452" s="78">
        <v>1.3999999999999999E-4</v>
      </c>
      <c r="F452" s="78">
        <v>3.0000000000000001E-5</v>
      </c>
      <c r="J452" s="47"/>
      <c r="K452" s="47"/>
    </row>
    <row r="453" spans="1:11" x14ac:dyDescent="0.25">
      <c r="A453" s="8">
        <v>2</v>
      </c>
      <c r="B453" s="8">
        <v>449</v>
      </c>
      <c r="C453" s="8">
        <v>37.416666666666664</v>
      </c>
      <c r="D453" s="46">
        <v>0</v>
      </c>
      <c r="E453" s="78">
        <v>1.3999999999999999E-4</v>
      </c>
      <c r="F453" s="78">
        <v>3.0000000000000001E-5</v>
      </c>
      <c r="J453" s="47"/>
      <c r="K453" s="47"/>
    </row>
    <row r="454" spans="1:11" x14ac:dyDescent="0.25">
      <c r="A454" s="8">
        <v>2</v>
      </c>
      <c r="B454" s="8">
        <v>450</v>
      </c>
      <c r="C454" s="8">
        <v>37.5</v>
      </c>
      <c r="D454" s="46">
        <v>0</v>
      </c>
      <c r="E454" s="78">
        <v>1.3999999999999999E-4</v>
      </c>
      <c r="F454" s="78">
        <v>3.0000000000000001E-5</v>
      </c>
      <c r="J454" s="47"/>
      <c r="K454" s="47"/>
    </row>
    <row r="455" spans="1:11" x14ac:dyDescent="0.25">
      <c r="A455" s="8">
        <v>2</v>
      </c>
      <c r="B455" s="8">
        <v>451</v>
      </c>
      <c r="C455" s="8">
        <v>37.583333333333329</v>
      </c>
      <c r="D455" s="46">
        <v>0</v>
      </c>
      <c r="E455" s="78">
        <v>1.3999999999999999E-4</v>
      </c>
      <c r="F455" s="78">
        <v>3.0000000000000001E-5</v>
      </c>
      <c r="J455" s="47"/>
      <c r="K455" s="47"/>
    </row>
    <row r="456" spans="1:11" x14ac:dyDescent="0.25">
      <c r="A456" s="8">
        <v>2</v>
      </c>
      <c r="B456" s="8">
        <v>452</v>
      </c>
      <c r="C456" s="8">
        <v>37.666666666666664</v>
      </c>
      <c r="D456" s="46">
        <v>0</v>
      </c>
      <c r="E456" s="78">
        <v>1.3999999999999999E-4</v>
      </c>
      <c r="F456" s="78">
        <v>3.0000000000000001E-5</v>
      </c>
      <c r="J456" s="47"/>
      <c r="K456" s="47"/>
    </row>
    <row r="457" spans="1:11" x14ac:dyDescent="0.25">
      <c r="A457" s="8">
        <v>2</v>
      </c>
      <c r="B457" s="8">
        <v>453</v>
      </c>
      <c r="C457" s="8">
        <v>37.75</v>
      </c>
      <c r="D457" s="46">
        <v>0</v>
      </c>
      <c r="E457" s="78">
        <v>1.3999999999999999E-4</v>
      </c>
      <c r="F457" s="78">
        <v>3.0000000000000001E-5</v>
      </c>
      <c r="J457" s="47"/>
      <c r="K457" s="47"/>
    </row>
    <row r="458" spans="1:11" x14ac:dyDescent="0.25">
      <c r="A458" s="8">
        <v>2</v>
      </c>
      <c r="B458" s="8">
        <v>454</v>
      </c>
      <c r="C458" s="8">
        <v>37.833333333333329</v>
      </c>
      <c r="D458" s="46">
        <v>0</v>
      </c>
      <c r="E458" s="78">
        <v>1.3999999999999999E-4</v>
      </c>
      <c r="F458" s="78">
        <v>3.0000000000000001E-5</v>
      </c>
      <c r="J458" s="47"/>
      <c r="K458" s="47"/>
    </row>
    <row r="459" spans="1:11" x14ac:dyDescent="0.25">
      <c r="A459" s="8">
        <v>2</v>
      </c>
      <c r="B459" s="8">
        <v>455</v>
      </c>
      <c r="C459" s="8">
        <v>37.916666666666664</v>
      </c>
      <c r="D459" s="46">
        <v>0</v>
      </c>
      <c r="E459" s="78">
        <v>1.3999999999999999E-4</v>
      </c>
      <c r="F459" s="78">
        <v>3.0000000000000001E-5</v>
      </c>
      <c r="J459" s="47"/>
      <c r="K459" s="47"/>
    </row>
    <row r="460" spans="1:11" x14ac:dyDescent="0.25">
      <c r="A460" s="8">
        <v>2</v>
      </c>
      <c r="B460" s="8">
        <v>456</v>
      </c>
      <c r="C460" s="8">
        <v>38</v>
      </c>
      <c r="D460" s="46">
        <v>0</v>
      </c>
      <c r="E460" s="78">
        <v>1.3999999999999999E-4</v>
      </c>
      <c r="F460" s="78">
        <v>3.0000000000000001E-5</v>
      </c>
      <c r="J460" s="47"/>
      <c r="K460" s="47"/>
    </row>
    <row r="461" spans="1:11" x14ac:dyDescent="0.25">
      <c r="A461" s="8">
        <v>2</v>
      </c>
      <c r="B461" s="8">
        <v>457</v>
      </c>
      <c r="C461" s="8">
        <v>38.083333333333329</v>
      </c>
      <c r="D461" s="46">
        <v>0</v>
      </c>
      <c r="E461" s="78">
        <v>1.3999999999999999E-4</v>
      </c>
      <c r="F461" s="78">
        <v>3.0000000000000001E-5</v>
      </c>
      <c r="J461" s="47"/>
      <c r="K461" s="47"/>
    </row>
    <row r="462" spans="1:11" x14ac:dyDescent="0.25">
      <c r="A462" s="8">
        <v>2</v>
      </c>
      <c r="B462" s="8">
        <v>458</v>
      </c>
      <c r="C462" s="8">
        <v>38.166666666666664</v>
      </c>
      <c r="D462" s="46">
        <v>0</v>
      </c>
      <c r="E462" s="78">
        <v>1.3999999999999999E-4</v>
      </c>
      <c r="F462" s="78">
        <v>3.0000000000000001E-5</v>
      </c>
      <c r="J462" s="47"/>
      <c r="K462" s="47"/>
    </row>
    <row r="463" spans="1:11" x14ac:dyDescent="0.25">
      <c r="A463" s="8">
        <v>2</v>
      </c>
      <c r="B463" s="8">
        <v>459</v>
      </c>
      <c r="C463" s="8">
        <v>38.25</v>
      </c>
      <c r="D463" s="46">
        <v>0</v>
      </c>
      <c r="E463" s="78">
        <v>1.3999999999999999E-4</v>
      </c>
      <c r="F463" s="78">
        <v>3.0000000000000001E-5</v>
      </c>
      <c r="J463" s="47"/>
      <c r="K463" s="47"/>
    </row>
    <row r="464" spans="1:11" x14ac:dyDescent="0.25">
      <c r="A464" s="8">
        <v>2</v>
      </c>
      <c r="B464" s="8">
        <v>460</v>
      </c>
      <c r="C464" s="8">
        <v>38.333333333333329</v>
      </c>
      <c r="D464" s="46">
        <v>0</v>
      </c>
      <c r="E464" s="78">
        <v>1.3999999999999999E-4</v>
      </c>
      <c r="F464" s="78">
        <v>3.0000000000000001E-5</v>
      </c>
      <c r="J464" s="47"/>
      <c r="K464" s="47"/>
    </row>
    <row r="465" spans="1:11" x14ac:dyDescent="0.25">
      <c r="A465" s="8">
        <v>2</v>
      </c>
      <c r="B465" s="8">
        <v>461</v>
      </c>
      <c r="C465" s="8">
        <v>38.416666666666664</v>
      </c>
      <c r="D465" s="46">
        <v>0</v>
      </c>
      <c r="E465" s="78">
        <v>1.3999999999999999E-4</v>
      </c>
      <c r="F465" s="78">
        <v>3.0000000000000001E-5</v>
      </c>
      <c r="J465" s="47"/>
      <c r="K465" s="47"/>
    </row>
    <row r="466" spans="1:11" x14ac:dyDescent="0.25">
      <c r="A466" s="8">
        <v>2</v>
      </c>
      <c r="B466" s="8">
        <v>462</v>
      </c>
      <c r="C466" s="8">
        <v>38.5</v>
      </c>
      <c r="D466" s="46">
        <v>0</v>
      </c>
      <c r="E466" s="78">
        <v>1.3999999999999999E-4</v>
      </c>
      <c r="F466" s="78">
        <v>3.0000000000000001E-5</v>
      </c>
      <c r="J466" s="47"/>
      <c r="K466" s="47"/>
    </row>
    <row r="467" spans="1:11" x14ac:dyDescent="0.25">
      <c r="A467" s="8">
        <v>2</v>
      </c>
      <c r="B467" s="8">
        <v>463</v>
      </c>
      <c r="C467" s="8">
        <v>38.583333333333329</v>
      </c>
      <c r="D467" s="46">
        <v>0</v>
      </c>
      <c r="E467" s="78">
        <v>1.3999999999999999E-4</v>
      </c>
      <c r="F467" s="78">
        <v>3.0000000000000001E-5</v>
      </c>
      <c r="J467" s="47"/>
      <c r="K467" s="47"/>
    </row>
    <row r="468" spans="1:11" x14ac:dyDescent="0.25">
      <c r="A468" s="8">
        <v>2</v>
      </c>
      <c r="B468" s="8">
        <v>464</v>
      </c>
      <c r="C468" s="8">
        <v>38.666666666666664</v>
      </c>
      <c r="D468" s="46">
        <v>0</v>
      </c>
      <c r="E468" s="78">
        <v>1.3999999999999999E-4</v>
      </c>
      <c r="F468" s="78">
        <v>3.0000000000000001E-5</v>
      </c>
      <c r="J468" s="47"/>
      <c r="K468" s="47"/>
    </row>
    <row r="469" spans="1:11" x14ac:dyDescent="0.25">
      <c r="A469" s="8">
        <v>2</v>
      </c>
      <c r="B469" s="8">
        <v>465</v>
      </c>
      <c r="C469" s="8">
        <v>38.75</v>
      </c>
      <c r="D469" s="46">
        <v>0</v>
      </c>
      <c r="E469" s="78">
        <v>1.3999999999999999E-4</v>
      </c>
      <c r="F469" s="78">
        <v>3.0000000000000001E-5</v>
      </c>
      <c r="J469" s="47"/>
      <c r="K469" s="47"/>
    </row>
    <row r="470" spans="1:11" x14ac:dyDescent="0.25">
      <c r="A470" s="8">
        <v>2</v>
      </c>
      <c r="B470" s="8">
        <v>466</v>
      </c>
      <c r="C470" s="8">
        <v>38.833333333333329</v>
      </c>
      <c r="D470" s="46">
        <v>0</v>
      </c>
      <c r="E470" s="78">
        <v>1.3999999999999999E-4</v>
      </c>
      <c r="F470" s="78">
        <v>3.0000000000000001E-5</v>
      </c>
      <c r="J470" s="47"/>
      <c r="K470" s="47"/>
    </row>
    <row r="471" spans="1:11" x14ac:dyDescent="0.25">
      <c r="A471" s="8">
        <v>2</v>
      </c>
      <c r="B471" s="8">
        <v>467</v>
      </c>
      <c r="C471" s="8">
        <v>38.916666666666664</v>
      </c>
      <c r="D471" s="46">
        <v>0</v>
      </c>
      <c r="E471" s="78">
        <v>1.3999999999999999E-4</v>
      </c>
      <c r="F471" s="78">
        <v>3.0000000000000001E-5</v>
      </c>
      <c r="J471" s="47"/>
      <c r="K471" s="47"/>
    </row>
    <row r="472" spans="1:11" x14ac:dyDescent="0.25">
      <c r="A472" s="8">
        <v>2</v>
      </c>
      <c r="B472" s="8">
        <v>468</v>
      </c>
      <c r="C472" s="8">
        <v>39</v>
      </c>
      <c r="D472" s="46">
        <v>0</v>
      </c>
      <c r="E472" s="78">
        <v>1.3999999999999999E-4</v>
      </c>
      <c r="F472" s="78">
        <v>3.0000000000000001E-5</v>
      </c>
      <c r="J472" s="47"/>
      <c r="K472" s="47"/>
    </row>
    <row r="473" spans="1:11" x14ac:dyDescent="0.25">
      <c r="A473" s="8">
        <v>2</v>
      </c>
      <c r="B473" s="8">
        <v>469</v>
      </c>
      <c r="C473" s="8">
        <v>39.083333333333329</v>
      </c>
      <c r="D473" s="46">
        <v>0</v>
      </c>
      <c r="E473" s="78">
        <v>1.3999999999999999E-4</v>
      </c>
      <c r="F473" s="78">
        <v>3.0000000000000001E-5</v>
      </c>
      <c r="J473" s="47"/>
      <c r="K473" s="47"/>
    </row>
    <row r="474" spans="1:11" x14ac:dyDescent="0.25">
      <c r="A474" s="8">
        <v>2</v>
      </c>
      <c r="B474" s="8">
        <v>470</v>
      </c>
      <c r="C474" s="8">
        <v>39.166666666666664</v>
      </c>
      <c r="D474" s="46">
        <v>0</v>
      </c>
      <c r="E474" s="78">
        <v>1.3999999999999999E-4</v>
      </c>
      <c r="F474" s="78">
        <v>3.0000000000000001E-5</v>
      </c>
      <c r="J474" s="47"/>
      <c r="K474" s="47"/>
    </row>
    <row r="475" spans="1:11" x14ac:dyDescent="0.25">
      <c r="A475" s="8">
        <v>2</v>
      </c>
      <c r="B475" s="8">
        <v>471</v>
      </c>
      <c r="C475" s="8">
        <v>39.25</v>
      </c>
      <c r="D475" s="46">
        <v>0</v>
      </c>
      <c r="E475" s="78">
        <v>1.3999999999999999E-4</v>
      </c>
      <c r="F475" s="78">
        <v>3.0000000000000001E-5</v>
      </c>
      <c r="J475" s="47"/>
      <c r="K475" s="47"/>
    </row>
    <row r="476" spans="1:11" x14ac:dyDescent="0.25">
      <c r="A476" s="8">
        <v>2</v>
      </c>
      <c r="B476" s="8">
        <v>472</v>
      </c>
      <c r="C476" s="8">
        <v>39.333333333333329</v>
      </c>
      <c r="D476" s="46">
        <v>0</v>
      </c>
      <c r="E476" s="78">
        <v>1.3999999999999999E-4</v>
      </c>
      <c r="F476" s="78">
        <v>3.0000000000000001E-5</v>
      </c>
      <c r="J476" s="47"/>
      <c r="K476" s="47"/>
    </row>
    <row r="477" spans="1:11" x14ac:dyDescent="0.25">
      <c r="A477" s="8">
        <v>2</v>
      </c>
      <c r="B477" s="8">
        <v>473</v>
      </c>
      <c r="C477" s="8">
        <v>39.416666666666664</v>
      </c>
      <c r="D477" s="46">
        <v>0</v>
      </c>
      <c r="E477" s="78">
        <v>1.3999999999999999E-4</v>
      </c>
      <c r="F477" s="78">
        <v>3.0000000000000001E-5</v>
      </c>
      <c r="J477" s="47"/>
      <c r="K477" s="47"/>
    </row>
    <row r="478" spans="1:11" x14ac:dyDescent="0.25">
      <c r="A478" s="8">
        <v>2</v>
      </c>
      <c r="B478" s="8">
        <v>474</v>
      </c>
      <c r="C478" s="8">
        <v>39.5</v>
      </c>
      <c r="D478" s="46">
        <v>0</v>
      </c>
      <c r="E478" s="78">
        <v>1.3999999999999999E-4</v>
      </c>
      <c r="F478" s="78">
        <v>3.0000000000000001E-5</v>
      </c>
      <c r="J478" s="47"/>
      <c r="K478" s="47"/>
    </row>
    <row r="479" spans="1:11" x14ac:dyDescent="0.25">
      <c r="A479" s="8">
        <v>2</v>
      </c>
      <c r="B479" s="8">
        <v>475</v>
      </c>
      <c r="C479" s="8">
        <v>39.583333333333329</v>
      </c>
      <c r="D479" s="46">
        <v>0</v>
      </c>
      <c r="E479" s="78">
        <v>1.3999999999999999E-4</v>
      </c>
      <c r="F479" s="78">
        <v>3.0000000000000001E-5</v>
      </c>
      <c r="J479" s="47"/>
      <c r="K479" s="47"/>
    </row>
    <row r="480" spans="1:11" x14ac:dyDescent="0.25">
      <c r="A480" s="8">
        <v>2</v>
      </c>
      <c r="B480" s="8">
        <v>476</v>
      </c>
      <c r="C480" s="8">
        <v>39.666666666666664</v>
      </c>
      <c r="D480" s="46">
        <v>0</v>
      </c>
      <c r="E480" s="78">
        <v>1.3999999999999999E-4</v>
      </c>
      <c r="F480" s="78">
        <v>3.0000000000000001E-5</v>
      </c>
      <c r="J480" s="47"/>
      <c r="K480" s="47"/>
    </row>
    <row r="481" spans="1:11" x14ac:dyDescent="0.25">
      <c r="A481" s="8">
        <v>2</v>
      </c>
      <c r="B481" s="8">
        <v>477</v>
      </c>
      <c r="C481" s="8">
        <v>39.75</v>
      </c>
      <c r="D481" s="46">
        <v>0</v>
      </c>
      <c r="E481" s="78">
        <v>1.3999999999999999E-4</v>
      </c>
      <c r="F481" s="78">
        <v>3.0000000000000001E-5</v>
      </c>
      <c r="J481" s="47"/>
      <c r="K481" s="47"/>
    </row>
    <row r="482" spans="1:11" x14ac:dyDescent="0.25">
      <c r="A482" s="8">
        <v>2</v>
      </c>
      <c r="B482" s="8">
        <v>478</v>
      </c>
      <c r="C482" s="8">
        <v>39.833333333333329</v>
      </c>
      <c r="D482" s="46">
        <v>0</v>
      </c>
      <c r="E482" s="78">
        <v>1.3999999999999999E-4</v>
      </c>
      <c r="F482" s="78">
        <v>3.0000000000000001E-5</v>
      </c>
      <c r="J482" s="47"/>
      <c r="K482" s="47"/>
    </row>
    <row r="483" spans="1:11" x14ac:dyDescent="0.25">
      <c r="A483" s="8">
        <v>2</v>
      </c>
      <c r="B483" s="8">
        <v>479</v>
      </c>
      <c r="C483" s="8">
        <v>39.916666666666664</v>
      </c>
      <c r="D483" s="46">
        <v>0</v>
      </c>
      <c r="E483" s="78">
        <v>1.3999999999999999E-4</v>
      </c>
      <c r="F483" s="78">
        <v>3.0000000000000001E-5</v>
      </c>
      <c r="J483" s="47"/>
      <c r="K483" s="47"/>
    </row>
    <row r="484" spans="1:11" x14ac:dyDescent="0.25">
      <c r="A484" s="8">
        <v>2</v>
      </c>
      <c r="B484" s="8">
        <v>480</v>
      </c>
      <c r="C484" s="8">
        <v>40</v>
      </c>
      <c r="D484" s="46">
        <v>0</v>
      </c>
      <c r="E484" s="78">
        <v>1.3999999999999999E-4</v>
      </c>
      <c r="F484" s="78">
        <v>3.0000000000000001E-5</v>
      </c>
      <c r="J484" s="47"/>
      <c r="K484" s="47"/>
    </row>
    <row r="485" spans="1:11" x14ac:dyDescent="0.25">
      <c r="A485" s="8">
        <v>2</v>
      </c>
      <c r="B485" s="8">
        <v>481</v>
      </c>
      <c r="C485" s="8">
        <v>40.083333333333329</v>
      </c>
      <c r="D485" s="46">
        <v>0</v>
      </c>
      <c r="E485" s="78">
        <v>1.3999999999999999E-4</v>
      </c>
      <c r="F485" s="78">
        <v>3.0000000000000001E-5</v>
      </c>
      <c r="J485" s="47"/>
      <c r="K485" s="47"/>
    </row>
    <row r="486" spans="1:11" x14ac:dyDescent="0.25">
      <c r="A486" s="8">
        <v>2</v>
      </c>
      <c r="B486" s="8">
        <v>482</v>
      </c>
      <c r="C486" s="8">
        <v>40.166666666666664</v>
      </c>
      <c r="D486" s="46">
        <v>0</v>
      </c>
      <c r="E486" s="78">
        <v>1.3999999999999999E-4</v>
      </c>
      <c r="F486" s="78">
        <v>3.0000000000000001E-5</v>
      </c>
      <c r="J486" s="47"/>
      <c r="K486" s="47"/>
    </row>
    <row r="487" spans="1:11" x14ac:dyDescent="0.25">
      <c r="A487" s="8">
        <v>2</v>
      </c>
      <c r="B487" s="8">
        <v>483</v>
      </c>
      <c r="C487" s="8">
        <v>40.25</v>
      </c>
      <c r="D487" s="46">
        <v>0</v>
      </c>
      <c r="E487" s="78">
        <v>1.3999999999999999E-4</v>
      </c>
      <c r="F487" s="78">
        <v>3.0000000000000001E-5</v>
      </c>
      <c r="J487" s="47"/>
      <c r="K487" s="47"/>
    </row>
    <row r="488" spans="1:11" x14ac:dyDescent="0.25">
      <c r="A488" s="8">
        <v>2</v>
      </c>
      <c r="B488" s="8">
        <v>484</v>
      </c>
      <c r="C488" s="8">
        <v>40.333333333333329</v>
      </c>
      <c r="D488" s="46">
        <v>0</v>
      </c>
      <c r="E488" s="78">
        <v>1.3999999999999999E-4</v>
      </c>
      <c r="F488" s="78">
        <v>3.0000000000000001E-5</v>
      </c>
      <c r="J488" s="47"/>
      <c r="K488" s="47"/>
    </row>
    <row r="489" spans="1:11" x14ac:dyDescent="0.25">
      <c r="A489" s="8">
        <v>2</v>
      </c>
      <c r="B489" s="8">
        <v>485</v>
      </c>
      <c r="C489" s="8">
        <v>40.416666666666664</v>
      </c>
      <c r="D489" s="46">
        <v>0</v>
      </c>
      <c r="E489" s="78">
        <v>1.3999999999999999E-4</v>
      </c>
      <c r="F489" s="78">
        <v>3.0000000000000001E-5</v>
      </c>
      <c r="J489" s="47"/>
      <c r="K489" s="47"/>
    </row>
    <row r="490" spans="1:11" x14ac:dyDescent="0.25">
      <c r="A490" s="8">
        <v>2</v>
      </c>
      <c r="B490" s="8">
        <v>486</v>
      </c>
      <c r="C490" s="8">
        <v>40.5</v>
      </c>
      <c r="D490" s="46">
        <v>0</v>
      </c>
      <c r="E490" s="78">
        <v>1.3999999999999999E-4</v>
      </c>
      <c r="F490" s="78">
        <v>3.0000000000000001E-5</v>
      </c>
      <c r="J490" s="47"/>
      <c r="K490" s="47"/>
    </row>
    <row r="491" spans="1:11" x14ac:dyDescent="0.25">
      <c r="A491" s="8">
        <v>2</v>
      </c>
      <c r="B491" s="8">
        <v>487</v>
      </c>
      <c r="C491" s="8">
        <v>40.583333333333329</v>
      </c>
      <c r="D491" s="46">
        <v>0</v>
      </c>
      <c r="E491" s="78">
        <v>1.3999999999999999E-4</v>
      </c>
      <c r="F491" s="78">
        <v>3.0000000000000001E-5</v>
      </c>
      <c r="J491" s="47"/>
      <c r="K491" s="47"/>
    </row>
    <row r="492" spans="1:11" x14ac:dyDescent="0.25">
      <c r="A492" s="8">
        <v>2</v>
      </c>
      <c r="B492" s="8">
        <v>488</v>
      </c>
      <c r="C492" s="8">
        <v>40.666666666666664</v>
      </c>
      <c r="D492" s="46">
        <v>0</v>
      </c>
      <c r="E492" s="78">
        <v>1.3999999999999999E-4</v>
      </c>
      <c r="F492" s="78">
        <v>3.0000000000000001E-5</v>
      </c>
      <c r="J492" s="47"/>
      <c r="K492" s="47"/>
    </row>
    <row r="493" spans="1:11" x14ac:dyDescent="0.25">
      <c r="A493" s="8">
        <v>2</v>
      </c>
      <c r="B493" s="8">
        <v>489</v>
      </c>
      <c r="C493" s="8">
        <v>40.75</v>
      </c>
      <c r="D493" s="46">
        <v>0</v>
      </c>
      <c r="E493" s="78">
        <v>1.3999999999999999E-4</v>
      </c>
      <c r="F493" s="78">
        <v>3.0000000000000001E-5</v>
      </c>
      <c r="J493" s="47"/>
      <c r="K493" s="47"/>
    </row>
    <row r="494" spans="1:11" x14ac:dyDescent="0.25">
      <c r="A494" s="8">
        <v>2</v>
      </c>
      <c r="B494" s="8">
        <v>490</v>
      </c>
      <c r="C494" s="8">
        <v>40.833333333333329</v>
      </c>
      <c r="D494" s="46">
        <v>0</v>
      </c>
      <c r="E494" s="78">
        <v>1.3999999999999999E-4</v>
      </c>
      <c r="F494" s="78">
        <v>3.0000000000000001E-5</v>
      </c>
      <c r="J494" s="47"/>
      <c r="K494" s="47"/>
    </row>
    <row r="495" spans="1:11" x14ac:dyDescent="0.25">
      <c r="A495" s="8">
        <v>2</v>
      </c>
      <c r="B495" s="8">
        <v>491</v>
      </c>
      <c r="C495" s="8">
        <v>40.916666666666664</v>
      </c>
      <c r="D495" s="46">
        <v>0</v>
      </c>
      <c r="E495" s="78">
        <v>1.3999999999999999E-4</v>
      </c>
      <c r="F495" s="78">
        <v>3.0000000000000001E-5</v>
      </c>
      <c r="J495" s="47"/>
      <c r="K495" s="47"/>
    </row>
    <row r="496" spans="1:11" x14ac:dyDescent="0.25">
      <c r="A496" s="8">
        <v>2</v>
      </c>
      <c r="B496" s="8">
        <v>492</v>
      </c>
      <c r="C496" s="8">
        <v>41</v>
      </c>
      <c r="D496" s="46">
        <v>0</v>
      </c>
      <c r="E496" s="78">
        <v>1.3999999999999999E-4</v>
      </c>
      <c r="F496" s="78">
        <v>3.0000000000000001E-5</v>
      </c>
      <c r="J496" s="47"/>
      <c r="K496" s="47"/>
    </row>
    <row r="497" spans="1:11" x14ac:dyDescent="0.25">
      <c r="A497" s="8">
        <v>2</v>
      </c>
      <c r="B497" s="8">
        <v>493</v>
      </c>
      <c r="C497" s="8">
        <v>41.083333333333329</v>
      </c>
      <c r="D497" s="46">
        <v>0</v>
      </c>
      <c r="E497" s="78">
        <v>1.3999999999999999E-4</v>
      </c>
      <c r="F497" s="78">
        <v>3.0000000000000001E-5</v>
      </c>
      <c r="J497" s="47"/>
      <c r="K497" s="47"/>
    </row>
    <row r="498" spans="1:11" x14ac:dyDescent="0.25">
      <c r="A498" s="8">
        <v>2</v>
      </c>
      <c r="B498" s="8">
        <v>494</v>
      </c>
      <c r="C498" s="8">
        <v>41.166666666666664</v>
      </c>
      <c r="D498" s="46">
        <v>0</v>
      </c>
      <c r="E498" s="78">
        <v>1.3999999999999999E-4</v>
      </c>
      <c r="F498" s="78">
        <v>3.0000000000000001E-5</v>
      </c>
      <c r="J498" s="47"/>
      <c r="K498" s="47"/>
    </row>
    <row r="499" spans="1:11" x14ac:dyDescent="0.25">
      <c r="A499" s="8">
        <v>2</v>
      </c>
      <c r="B499" s="8">
        <v>495</v>
      </c>
      <c r="C499" s="8">
        <v>41.25</v>
      </c>
      <c r="D499" s="46">
        <v>0</v>
      </c>
      <c r="E499" s="78">
        <v>1.3999999999999999E-4</v>
      </c>
      <c r="F499" s="78">
        <v>3.0000000000000001E-5</v>
      </c>
      <c r="J499" s="47"/>
      <c r="K499" s="47"/>
    </row>
    <row r="500" spans="1:11" x14ac:dyDescent="0.25">
      <c r="A500" s="8">
        <v>2</v>
      </c>
      <c r="B500" s="8">
        <v>496</v>
      </c>
      <c r="C500" s="8">
        <v>41.333333333333329</v>
      </c>
      <c r="D500" s="46">
        <v>0</v>
      </c>
      <c r="E500" s="78">
        <v>1.3999999999999999E-4</v>
      </c>
      <c r="F500" s="78">
        <v>3.0000000000000001E-5</v>
      </c>
      <c r="J500" s="47"/>
      <c r="K500" s="47"/>
    </row>
    <row r="501" spans="1:11" x14ac:dyDescent="0.25">
      <c r="A501" s="8">
        <v>2</v>
      </c>
      <c r="B501" s="8">
        <v>497</v>
      </c>
      <c r="C501" s="8">
        <v>41.416666666666664</v>
      </c>
      <c r="D501" s="46">
        <v>0</v>
      </c>
      <c r="E501" s="78">
        <v>1.3999999999999999E-4</v>
      </c>
      <c r="F501" s="78">
        <v>3.0000000000000001E-5</v>
      </c>
      <c r="J501" s="47"/>
      <c r="K501" s="47"/>
    </row>
    <row r="502" spans="1:11" x14ac:dyDescent="0.25">
      <c r="A502" s="8">
        <v>2</v>
      </c>
      <c r="B502" s="8">
        <v>498</v>
      </c>
      <c r="C502" s="8">
        <v>41.5</v>
      </c>
      <c r="D502" s="46">
        <v>0</v>
      </c>
      <c r="E502" s="78">
        <v>1.3999999999999999E-4</v>
      </c>
      <c r="F502" s="78">
        <v>3.0000000000000001E-5</v>
      </c>
      <c r="J502" s="47"/>
      <c r="K502" s="47"/>
    </row>
    <row r="503" spans="1:11" x14ac:dyDescent="0.25">
      <c r="A503" s="8">
        <v>2</v>
      </c>
      <c r="B503" s="8">
        <v>499</v>
      </c>
      <c r="C503" s="8">
        <v>41.583333333333329</v>
      </c>
      <c r="D503" s="46">
        <v>0</v>
      </c>
      <c r="E503" s="78">
        <v>1.3999999999999999E-4</v>
      </c>
      <c r="F503" s="78">
        <v>3.0000000000000001E-5</v>
      </c>
      <c r="J503" s="47"/>
      <c r="K503" s="47"/>
    </row>
    <row r="504" spans="1:11" x14ac:dyDescent="0.25">
      <c r="A504" s="8">
        <v>2</v>
      </c>
      <c r="B504" s="8">
        <v>500</v>
      </c>
      <c r="C504" s="8">
        <v>41.666666666666664</v>
      </c>
      <c r="D504" s="46">
        <v>0</v>
      </c>
      <c r="E504" s="78">
        <v>1.3999999999999999E-4</v>
      </c>
      <c r="F504" s="78">
        <v>3.0000000000000001E-5</v>
      </c>
      <c r="J504" s="47"/>
      <c r="K504" s="47"/>
    </row>
    <row r="505" spans="1:11" x14ac:dyDescent="0.25">
      <c r="A505" s="8">
        <v>2</v>
      </c>
      <c r="B505" s="8">
        <v>501</v>
      </c>
      <c r="C505" s="8">
        <v>41.75</v>
      </c>
      <c r="D505" s="46">
        <v>0</v>
      </c>
      <c r="E505" s="78">
        <v>1.3999999999999999E-4</v>
      </c>
      <c r="F505" s="78">
        <v>3.0000000000000001E-5</v>
      </c>
      <c r="J505" s="47"/>
      <c r="K505" s="47"/>
    </row>
    <row r="506" spans="1:11" x14ac:dyDescent="0.25">
      <c r="A506" s="8">
        <v>2</v>
      </c>
      <c r="B506" s="8">
        <v>502</v>
      </c>
      <c r="C506" s="8">
        <v>41.833333333333329</v>
      </c>
      <c r="D506" s="46">
        <v>0</v>
      </c>
      <c r="E506" s="78">
        <v>1.3999999999999999E-4</v>
      </c>
      <c r="F506" s="78">
        <v>3.0000000000000001E-5</v>
      </c>
      <c r="J506" s="47"/>
      <c r="K506" s="47"/>
    </row>
    <row r="507" spans="1:11" x14ac:dyDescent="0.25">
      <c r="A507" s="8">
        <v>2</v>
      </c>
      <c r="B507" s="8">
        <v>503</v>
      </c>
      <c r="C507" s="8">
        <v>41.916666666666664</v>
      </c>
      <c r="D507" s="46">
        <v>0</v>
      </c>
      <c r="E507" s="78">
        <v>1.3999999999999999E-4</v>
      </c>
      <c r="F507" s="78">
        <v>3.0000000000000001E-5</v>
      </c>
      <c r="J507" s="47"/>
      <c r="K507" s="47"/>
    </row>
    <row r="508" spans="1:11" x14ac:dyDescent="0.25">
      <c r="A508" s="8">
        <v>2</v>
      </c>
      <c r="B508" s="8">
        <v>504</v>
      </c>
      <c r="C508" s="8">
        <v>42</v>
      </c>
      <c r="D508" s="46">
        <v>0</v>
      </c>
      <c r="E508" s="78">
        <v>1.3999999999999999E-4</v>
      </c>
      <c r="F508" s="78">
        <v>3.0000000000000001E-5</v>
      </c>
      <c r="J508" s="47"/>
      <c r="K508" s="47"/>
    </row>
    <row r="509" spans="1:11" x14ac:dyDescent="0.25">
      <c r="A509" s="8">
        <v>2</v>
      </c>
      <c r="B509" s="8">
        <v>505</v>
      </c>
      <c r="C509" s="8">
        <v>42.083333333333329</v>
      </c>
      <c r="D509" s="46">
        <v>0</v>
      </c>
      <c r="E509" s="78">
        <v>1.3999999999999999E-4</v>
      </c>
      <c r="F509" s="78">
        <v>3.0000000000000001E-5</v>
      </c>
      <c r="J509" s="47"/>
      <c r="K509" s="47"/>
    </row>
    <row r="510" spans="1:11" x14ac:dyDescent="0.25">
      <c r="A510" s="8">
        <v>2</v>
      </c>
      <c r="B510" s="8">
        <v>506</v>
      </c>
      <c r="C510" s="8">
        <v>42.166666666666664</v>
      </c>
      <c r="D510" s="46">
        <v>0</v>
      </c>
      <c r="E510" s="78">
        <v>1.3999999999999999E-4</v>
      </c>
      <c r="F510" s="78">
        <v>3.0000000000000001E-5</v>
      </c>
      <c r="J510" s="47"/>
      <c r="K510" s="47"/>
    </row>
    <row r="511" spans="1:11" x14ac:dyDescent="0.25">
      <c r="A511" s="8">
        <v>2</v>
      </c>
      <c r="B511" s="8">
        <v>507</v>
      </c>
      <c r="C511" s="8">
        <v>42.25</v>
      </c>
      <c r="D511" s="46">
        <v>0</v>
      </c>
      <c r="E511" s="78">
        <v>1.3999999999999999E-4</v>
      </c>
      <c r="F511" s="78">
        <v>3.0000000000000001E-5</v>
      </c>
      <c r="J511" s="47"/>
      <c r="K511" s="47"/>
    </row>
    <row r="512" spans="1:11" x14ac:dyDescent="0.25">
      <c r="A512" s="8">
        <v>2</v>
      </c>
      <c r="B512" s="8">
        <v>508</v>
      </c>
      <c r="C512" s="8">
        <v>42.333333333333329</v>
      </c>
      <c r="D512" s="46">
        <v>0</v>
      </c>
      <c r="E512" s="78">
        <v>1.3999999999999999E-4</v>
      </c>
      <c r="F512" s="78">
        <v>3.0000000000000001E-5</v>
      </c>
      <c r="J512" s="47"/>
      <c r="K512" s="47"/>
    </row>
    <row r="513" spans="1:11" x14ac:dyDescent="0.25">
      <c r="A513" s="8">
        <v>2</v>
      </c>
      <c r="B513" s="8">
        <v>509</v>
      </c>
      <c r="C513" s="8">
        <v>42.416666666666664</v>
      </c>
      <c r="D513" s="46">
        <v>0</v>
      </c>
      <c r="E513" s="78">
        <v>1.3999999999999999E-4</v>
      </c>
      <c r="F513" s="78">
        <v>3.0000000000000001E-5</v>
      </c>
      <c r="J513" s="47"/>
      <c r="K513" s="47"/>
    </row>
    <row r="514" spans="1:11" x14ac:dyDescent="0.25">
      <c r="A514" s="8">
        <v>2</v>
      </c>
      <c r="B514" s="8">
        <v>510</v>
      </c>
      <c r="C514" s="8">
        <v>42.5</v>
      </c>
      <c r="D514" s="46">
        <v>0</v>
      </c>
      <c r="E514" s="78">
        <v>1.3999999999999999E-4</v>
      </c>
      <c r="F514" s="78">
        <v>3.0000000000000001E-5</v>
      </c>
      <c r="J514" s="47"/>
      <c r="K514" s="47"/>
    </row>
    <row r="515" spans="1:11" x14ac:dyDescent="0.25">
      <c r="A515" s="8">
        <v>2</v>
      </c>
      <c r="B515" s="8">
        <v>511</v>
      </c>
      <c r="C515" s="8">
        <v>42.583333333333329</v>
      </c>
      <c r="D515" s="46">
        <v>0</v>
      </c>
      <c r="E515" s="78">
        <v>1.3999999999999999E-4</v>
      </c>
      <c r="F515" s="78">
        <v>3.0000000000000001E-5</v>
      </c>
      <c r="J515" s="47"/>
      <c r="K515" s="47"/>
    </row>
    <row r="516" spans="1:11" x14ac:dyDescent="0.25">
      <c r="A516" s="8">
        <v>2</v>
      </c>
      <c r="B516" s="8">
        <v>512</v>
      </c>
      <c r="C516" s="8">
        <v>42.666666666666664</v>
      </c>
      <c r="D516" s="46">
        <v>0</v>
      </c>
      <c r="E516" s="78">
        <v>1.3999999999999999E-4</v>
      </c>
      <c r="F516" s="78">
        <v>3.0000000000000001E-5</v>
      </c>
      <c r="J516" s="47"/>
      <c r="K516" s="47"/>
    </row>
    <row r="517" spans="1:11" x14ac:dyDescent="0.25">
      <c r="A517" s="8">
        <v>2</v>
      </c>
      <c r="B517" s="8">
        <v>513</v>
      </c>
      <c r="C517" s="8">
        <v>42.75</v>
      </c>
      <c r="D517" s="46">
        <v>0</v>
      </c>
      <c r="E517" s="78">
        <v>1.3999999999999999E-4</v>
      </c>
      <c r="F517" s="78">
        <v>3.0000000000000001E-5</v>
      </c>
      <c r="J517" s="47"/>
      <c r="K517" s="47"/>
    </row>
    <row r="518" spans="1:11" x14ac:dyDescent="0.25">
      <c r="A518" s="8">
        <v>2</v>
      </c>
      <c r="B518" s="8">
        <v>514</v>
      </c>
      <c r="C518" s="8">
        <v>42.833333333333329</v>
      </c>
      <c r="D518" s="46">
        <v>0</v>
      </c>
      <c r="E518" s="78">
        <v>1.3999999999999999E-4</v>
      </c>
      <c r="F518" s="78">
        <v>3.0000000000000001E-5</v>
      </c>
      <c r="J518" s="47"/>
      <c r="K518" s="47"/>
    </row>
    <row r="519" spans="1:11" x14ac:dyDescent="0.25">
      <c r="A519" s="8">
        <v>2</v>
      </c>
      <c r="B519" s="8">
        <v>515</v>
      </c>
      <c r="C519" s="8">
        <v>42.916666666666664</v>
      </c>
      <c r="D519" s="46">
        <v>0</v>
      </c>
      <c r="E519" s="78">
        <v>1.3999999999999999E-4</v>
      </c>
      <c r="F519" s="78">
        <v>3.0000000000000001E-5</v>
      </c>
      <c r="J519" s="47"/>
      <c r="K519" s="47"/>
    </row>
    <row r="520" spans="1:11" x14ac:dyDescent="0.25">
      <c r="A520" s="8">
        <v>2</v>
      </c>
      <c r="B520" s="8">
        <v>516</v>
      </c>
      <c r="C520" s="8">
        <v>43</v>
      </c>
      <c r="D520" s="46">
        <v>0</v>
      </c>
      <c r="E520" s="78">
        <v>1.3999999999999999E-4</v>
      </c>
      <c r="F520" s="78">
        <v>3.0000000000000001E-5</v>
      </c>
      <c r="J520" s="47"/>
      <c r="K520" s="47"/>
    </row>
    <row r="521" spans="1:11" x14ac:dyDescent="0.25">
      <c r="A521" s="8">
        <v>2</v>
      </c>
      <c r="B521" s="8">
        <v>517</v>
      </c>
      <c r="C521" s="8">
        <v>43.083333333333329</v>
      </c>
      <c r="D521" s="46">
        <v>0</v>
      </c>
      <c r="E521" s="78">
        <v>1.3999999999999999E-4</v>
      </c>
      <c r="F521" s="78">
        <v>3.0000000000000001E-5</v>
      </c>
      <c r="J521" s="47"/>
      <c r="K521" s="47"/>
    </row>
    <row r="522" spans="1:11" x14ac:dyDescent="0.25">
      <c r="A522" s="8">
        <v>2</v>
      </c>
      <c r="B522" s="8">
        <v>518</v>
      </c>
      <c r="C522" s="8">
        <v>43.166666666666664</v>
      </c>
      <c r="D522" s="46">
        <v>0</v>
      </c>
      <c r="E522" s="78">
        <v>1.3999999999999999E-4</v>
      </c>
      <c r="F522" s="78">
        <v>3.0000000000000001E-5</v>
      </c>
      <c r="J522" s="47"/>
      <c r="K522" s="47"/>
    </row>
    <row r="523" spans="1:11" x14ac:dyDescent="0.25">
      <c r="A523" s="8">
        <v>2</v>
      </c>
      <c r="B523" s="8">
        <v>519</v>
      </c>
      <c r="C523" s="8">
        <v>43.25</v>
      </c>
      <c r="D523" s="46">
        <v>0</v>
      </c>
      <c r="E523" s="78">
        <v>1.3999999999999999E-4</v>
      </c>
      <c r="F523" s="78">
        <v>3.0000000000000001E-5</v>
      </c>
      <c r="J523" s="47"/>
      <c r="K523" s="47"/>
    </row>
    <row r="524" spans="1:11" x14ac:dyDescent="0.25">
      <c r="A524" s="8">
        <v>2</v>
      </c>
      <c r="B524" s="8">
        <v>520</v>
      </c>
      <c r="C524" s="8">
        <v>43.333333333333329</v>
      </c>
      <c r="D524" s="46">
        <v>0</v>
      </c>
      <c r="E524" s="78">
        <v>1.3999999999999999E-4</v>
      </c>
      <c r="F524" s="78">
        <v>3.0000000000000001E-5</v>
      </c>
      <c r="J524" s="47"/>
      <c r="K524" s="47"/>
    </row>
    <row r="525" spans="1:11" x14ac:dyDescent="0.25">
      <c r="A525" s="8">
        <v>2</v>
      </c>
      <c r="B525" s="8">
        <v>521</v>
      </c>
      <c r="C525" s="8">
        <v>43.416666666666664</v>
      </c>
      <c r="D525" s="46">
        <v>0</v>
      </c>
      <c r="E525" s="78">
        <v>1.3999999999999999E-4</v>
      </c>
      <c r="F525" s="78">
        <v>3.0000000000000001E-5</v>
      </c>
      <c r="J525" s="47"/>
      <c r="K525" s="47"/>
    </row>
    <row r="526" spans="1:11" x14ac:dyDescent="0.25">
      <c r="A526" s="8">
        <v>2</v>
      </c>
      <c r="B526" s="8">
        <v>522</v>
      </c>
      <c r="C526" s="8">
        <v>43.5</v>
      </c>
      <c r="D526" s="46">
        <v>0</v>
      </c>
      <c r="E526" s="78">
        <v>1.3999999999999999E-4</v>
      </c>
      <c r="F526" s="78">
        <v>3.0000000000000001E-5</v>
      </c>
      <c r="J526" s="47"/>
      <c r="K526" s="47"/>
    </row>
    <row r="527" spans="1:11" x14ac:dyDescent="0.25">
      <c r="A527" s="8">
        <v>2</v>
      </c>
      <c r="B527" s="8">
        <v>523</v>
      </c>
      <c r="C527" s="8">
        <v>43.583333333333329</v>
      </c>
      <c r="D527" s="46">
        <v>0</v>
      </c>
      <c r="E527" s="78">
        <v>1.3999999999999999E-4</v>
      </c>
      <c r="F527" s="78">
        <v>3.0000000000000001E-5</v>
      </c>
      <c r="J527" s="47"/>
      <c r="K527" s="47"/>
    </row>
    <row r="528" spans="1:11" x14ac:dyDescent="0.25">
      <c r="A528" s="8">
        <v>2</v>
      </c>
      <c r="B528" s="8">
        <v>524</v>
      </c>
      <c r="C528" s="8">
        <v>43.666666666666664</v>
      </c>
      <c r="D528" s="46">
        <v>0</v>
      </c>
      <c r="E528" s="78">
        <v>1.3999999999999999E-4</v>
      </c>
      <c r="F528" s="78">
        <v>3.0000000000000001E-5</v>
      </c>
      <c r="J528" s="47"/>
      <c r="K528" s="47"/>
    </row>
    <row r="529" spans="1:11" x14ac:dyDescent="0.25">
      <c r="A529" s="8">
        <v>2</v>
      </c>
      <c r="B529" s="8">
        <v>525</v>
      </c>
      <c r="C529" s="8">
        <v>43.75</v>
      </c>
      <c r="D529" s="46">
        <v>0</v>
      </c>
      <c r="E529" s="78">
        <v>1.3999999999999999E-4</v>
      </c>
      <c r="F529" s="78">
        <v>3.0000000000000001E-5</v>
      </c>
      <c r="J529" s="47"/>
      <c r="K529" s="47"/>
    </row>
    <row r="530" spans="1:11" x14ac:dyDescent="0.25">
      <c r="A530" s="8">
        <v>2</v>
      </c>
      <c r="B530" s="8">
        <v>526</v>
      </c>
      <c r="C530" s="8">
        <v>43.833333333333329</v>
      </c>
      <c r="D530" s="46">
        <v>0</v>
      </c>
      <c r="E530" s="78">
        <v>1.3999999999999999E-4</v>
      </c>
      <c r="F530" s="78">
        <v>3.0000000000000001E-5</v>
      </c>
      <c r="J530" s="47"/>
      <c r="K530" s="47"/>
    </row>
    <row r="531" spans="1:11" x14ac:dyDescent="0.25">
      <c r="A531" s="8">
        <v>2</v>
      </c>
      <c r="B531" s="8">
        <v>527</v>
      </c>
      <c r="C531" s="8">
        <v>43.916666666666664</v>
      </c>
      <c r="D531" s="46">
        <v>0</v>
      </c>
      <c r="E531" s="78">
        <v>1.3999999999999999E-4</v>
      </c>
      <c r="F531" s="78">
        <v>3.0000000000000001E-5</v>
      </c>
      <c r="J531" s="47"/>
      <c r="K531" s="47"/>
    </row>
    <row r="532" spans="1:11" x14ac:dyDescent="0.25">
      <c r="A532" s="8">
        <v>2</v>
      </c>
      <c r="B532" s="8">
        <v>528</v>
      </c>
      <c r="C532" s="8">
        <v>44</v>
      </c>
      <c r="D532" s="46">
        <v>0</v>
      </c>
      <c r="E532" s="78">
        <v>1.3999999999999999E-4</v>
      </c>
      <c r="F532" s="78">
        <v>3.0000000000000001E-5</v>
      </c>
      <c r="J532" s="47"/>
      <c r="K532" s="47"/>
    </row>
    <row r="533" spans="1:11" x14ac:dyDescent="0.25">
      <c r="A533" s="8">
        <v>2</v>
      </c>
      <c r="B533" s="8">
        <v>529</v>
      </c>
      <c r="C533" s="8">
        <v>44.083333333333329</v>
      </c>
      <c r="D533" s="46">
        <v>0</v>
      </c>
      <c r="E533" s="78">
        <v>1.3999999999999999E-4</v>
      </c>
      <c r="F533" s="78">
        <v>3.0000000000000001E-5</v>
      </c>
      <c r="J533" s="47"/>
      <c r="K533" s="47"/>
    </row>
    <row r="534" spans="1:11" x14ac:dyDescent="0.25">
      <c r="A534" s="8">
        <v>2</v>
      </c>
      <c r="B534" s="8">
        <v>530</v>
      </c>
      <c r="C534" s="8">
        <v>44.166666666666664</v>
      </c>
      <c r="D534" s="46">
        <v>0</v>
      </c>
      <c r="E534" s="78">
        <v>1.3999999999999999E-4</v>
      </c>
      <c r="F534" s="78">
        <v>3.0000000000000001E-5</v>
      </c>
      <c r="J534" s="47"/>
      <c r="K534" s="47"/>
    </row>
    <row r="535" spans="1:11" x14ac:dyDescent="0.25">
      <c r="A535" s="8">
        <v>2</v>
      </c>
      <c r="B535" s="8">
        <v>531</v>
      </c>
      <c r="C535" s="8">
        <v>44.25</v>
      </c>
      <c r="D535" s="46">
        <v>0</v>
      </c>
      <c r="E535" s="78">
        <v>1.3999999999999999E-4</v>
      </c>
      <c r="F535" s="78">
        <v>3.0000000000000001E-5</v>
      </c>
      <c r="J535" s="47"/>
      <c r="K535" s="47"/>
    </row>
    <row r="536" spans="1:11" x14ac:dyDescent="0.25">
      <c r="A536" s="8">
        <v>2</v>
      </c>
      <c r="B536" s="8">
        <v>532</v>
      </c>
      <c r="C536" s="8">
        <v>44.333333333333329</v>
      </c>
      <c r="D536" s="46">
        <v>0</v>
      </c>
      <c r="E536" s="78">
        <v>1.3999999999999999E-4</v>
      </c>
      <c r="F536" s="78">
        <v>3.0000000000000001E-5</v>
      </c>
      <c r="J536" s="47"/>
      <c r="K536" s="47"/>
    </row>
    <row r="537" spans="1:11" x14ac:dyDescent="0.25">
      <c r="A537" s="8">
        <v>2</v>
      </c>
      <c r="B537" s="8">
        <v>533</v>
      </c>
      <c r="C537" s="8">
        <v>44.416666666666664</v>
      </c>
      <c r="D537" s="46">
        <v>0</v>
      </c>
      <c r="E537" s="78">
        <v>1.3999999999999999E-4</v>
      </c>
      <c r="F537" s="78">
        <v>3.0000000000000001E-5</v>
      </c>
      <c r="J537" s="47"/>
      <c r="K537" s="47"/>
    </row>
    <row r="538" spans="1:11" x14ac:dyDescent="0.25">
      <c r="A538" s="8">
        <v>2</v>
      </c>
      <c r="B538" s="8">
        <v>534</v>
      </c>
      <c r="C538" s="8">
        <v>44.5</v>
      </c>
      <c r="D538" s="46">
        <v>0</v>
      </c>
      <c r="E538" s="78">
        <v>1.3999999999999999E-4</v>
      </c>
      <c r="F538" s="78">
        <v>3.0000000000000001E-5</v>
      </c>
      <c r="J538" s="47"/>
      <c r="K538" s="47"/>
    </row>
    <row r="539" spans="1:11" x14ac:dyDescent="0.25">
      <c r="A539" s="8">
        <v>2</v>
      </c>
      <c r="B539" s="8">
        <v>535</v>
      </c>
      <c r="C539" s="8">
        <v>44.583333333333329</v>
      </c>
      <c r="D539" s="46">
        <v>0</v>
      </c>
      <c r="E539" s="78">
        <v>1.3999999999999999E-4</v>
      </c>
      <c r="F539" s="78">
        <v>3.0000000000000001E-5</v>
      </c>
      <c r="J539" s="47"/>
      <c r="K539" s="47"/>
    </row>
    <row r="540" spans="1:11" x14ac:dyDescent="0.25">
      <c r="A540" s="8">
        <v>2</v>
      </c>
      <c r="B540" s="8">
        <v>536</v>
      </c>
      <c r="C540" s="8">
        <v>44.666666666666664</v>
      </c>
      <c r="D540" s="46">
        <v>0</v>
      </c>
      <c r="E540" s="78">
        <v>1.3999999999999999E-4</v>
      </c>
      <c r="F540" s="78">
        <v>3.0000000000000001E-5</v>
      </c>
      <c r="J540" s="47"/>
      <c r="K540" s="47"/>
    </row>
    <row r="541" spans="1:11" x14ac:dyDescent="0.25">
      <c r="A541" s="8">
        <v>2</v>
      </c>
      <c r="B541" s="8">
        <v>537</v>
      </c>
      <c r="C541" s="8">
        <v>44.75</v>
      </c>
      <c r="D541" s="46">
        <v>0</v>
      </c>
      <c r="E541" s="78">
        <v>1.3999999999999999E-4</v>
      </c>
      <c r="F541" s="78">
        <v>3.0000000000000001E-5</v>
      </c>
      <c r="J541" s="47"/>
      <c r="K541" s="47"/>
    </row>
    <row r="542" spans="1:11" x14ac:dyDescent="0.25">
      <c r="A542" s="8">
        <v>2</v>
      </c>
      <c r="B542" s="8">
        <v>538</v>
      </c>
      <c r="C542" s="8">
        <v>44.833333333333329</v>
      </c>
      <c r="D542" s="46">
        <v>0</v>
      </c>
      <c r="E542" s="78">
        <v>1.3999999999999999E-4</v>
      </c>
      <c r="F542" s="78">
        <v>3.0000000000000001E-5</v>
      </c>
      <c r="J542" s="47"/>
      <c r="K542" s="47"/>
    </row>
    <row r="543" spans="1:11" x14ac:dyDescent="0.25">
      <c r="A543" s="8">
        <v>2</v>
      </c>
      <c r="B543" s="8">
        <v>539</v>
      </c>
      <c r="C543" s="8">
        <v>44.916666666666664</v>
      </c>
      <c r="D543" s="46">
        <v>0</v>
      </c>
      <c r="E543" s="78">
        <v>1.3999999999999999E-4</v>
      </c>
      <c r="F543" s="78">
        <v>3.0000000000000001E-5</v>
      </c>
      <c r="J543" s="47"/>
      <c r="K543" s="47"/>
    </row>
    <row r="544" spans="1:11" x14ac:dyDescent="0.25">
      <c r="A544" s="8">
        <v>2</v>
      </c>
      <c r="B544" s="8">
        <v>540</v>
      </c>
      <c r="C544" s="8">
        <v>45</v>
      </c>
      <c r="D544" s="46">
        <v>0</v>
      </c>
      <c r="E544" s="78">
        <v>1.3999999999999999E-4</v>
      </c>
      <c r="F544" s="78">
        <v>3.0000000000000001E-5</v>
      </c>
      <c r="J544" s="47"/>
      <c r="K544" s="47"/>
    </row>
    <row r="545" spans="1:11" x14ac:dyDescent="0.25">
      <c r="A545" s="8">
        <v>2</v>
      </c>
      <c r="B545" s="8">
        <v>541</v>
      </c>
      <c r="C545" s="8">
        <v>45.083333333333329</v>
      </c>
      <c r="D545" s="46">
        <v>0</v>
      </c>
      <c r="E545" s="78">
        <v>1.3999999999999999E-4</v>
      </c>
      <c r="F545" s="78">
        <v>3.0000000000000001E-5</v>
      </c>
      <c r="J545" s="47"/>
      <c r="K545" s="47"/>
    </row>
    <row r="546" spans="1:11" x14ac:dyDescent="0.25">
      <c r="A546" s="8">
        <v>2</v>
      </c>
      <c r="B546" s="8">
        <v>542</v>
      </c>
      <c r="C546" s="8">
        <v>45.166666666666664</v>
      </c>
      <c r="D546" s="46">
        <v>0</v>
      </c>
      <c r="E546" s="78">
        <v>1.3999999999999999E-4</v>
      </c>
      <c r="F546" s="78">
        <v>3.0000000000000001E-5</v>
      </c>
      <c r="J546" s="47"/>
      <c r="K546" s="47"/>
    </row>
    <row r="547" spans="1:11" x14ac:dyDescent="0.25">
      <c r="A547" s="8">
        <v>2</v>
      </c>
      <c r="B547" s="8">
        <v>543</v>
      </c>
      <c r="C547" s="8">
        <v>45.25</v>
      </c>
      <c r="D547" s="46">
        <v>0</v>
      </c>
      <c r="E547" s="78">
        <v>1.3999999999999999E-4</v>
      </c>
      <c r="F547" s="78">
        <v>3.0000000000000001E-5</v>
      </c>
      <c r="J547" s="47"/>
      <c r="K547" s="47"/>
    </row>
    <row r="548" spans="1:11" x14ac:dyDescent="0.25">
      <c r="A548" s="8">
        <v>2</v>
      </c>
      <c r="B548" s="8">
        <v>544</v>
      </c>
      <c r="C548" s="8">
        <v>45.333333333333329</v>
      </c>
      <c r="D548" s="46">
        <v>0</v>
      </c>
      <c r="E548" s="78">
        <v>1.3999999999999999E-4</v>
      </c>
      <c r="F548" s="78">
        <v>3.0000000000000001E-5</v>
      </c>
      <c r="J548" s="47"/>
      <c r="K548" s="47"/>
    </row>
    <row r="549" spans="1:11" x14ac:dyDescent="0.25">
      <c r="A549" s="8">
        <v>2</v>
      </c>
      <c r="B549" s="8">
        <v>545</v>
      </c>
      <c r="C549" s="8">
        <v>45.416666666666664</v>
      </c>
      <c r="D549" s="46">
        <v>0</v>
      </c>
      <c r="E549" s="78">
        <v>1.3999999999999999E-4</v>
      </c>
      <c r="F549" s="78">
        <v>3.0000000000000001E-5</v>
      </c>
      <c r="J549" s="47"/>
      <c r="K549" s="47"/>
    </row>
    <row r="550" spans="1:11" x14ac:dyDescent="0.25">
      <c r="A550" s="8">
        <v>2</v>
      </c>
      <c r="B550" s="8">
        <v>546</v>
      </c>
      <c r="C550" s="8">
        <v>45.5</v>
      </c>
      <c r="D550" s="46">
        <v>0</v>
      </c>
      <c r="E550" s="78">
        <v>1.3999999999999999E-4</v>
      </c>
      <c r="F550" s="78">
        <v>3.0000000000000001E-5</v>
      </c>
      <c r="J550" s="47"/>
      <c r="K550" s="47"/>
    </row>
    <row r="551" spans="1:11" x14ac:dyDescent="0.25">
      <c r="A551" s="8">
        <v>2</v>
      </c>
      <c r="B551" s="8">
        <v>547</v>
      </c>
      <c r="C551" s="8">
        <v>45.583333333333329</v>
      </c>
      <c r="D551" s="46">
        <v>0</v>
      </c>
      <c r="E551" s="78">
        <v>1.3999999999999999E-4</v>
      </c>
      <c r="F551" s="78">
        <v>3.0000000000000001E-5</v>
      </c>
      <c r="J551" s="47"/>
      <c r="K551" s="47"/>
    </row>
    <row r="552" spans="1:11" x14ac:dyDescent="0.25">
      <c r="A552" s="8">
        <v>2</v>
      </c>
      <c r="B552" s="8">
        <v>548</v>
      </c>
      <c r="C552" s="8">
        <v>45.666666666666664</v>
      </c>
      <c r="D552" s="46">
        <v>0</v>
      </c>
      <c r="E552" s="78">
        <v>1.3999999999999999E-4</v>
      </c>
      <c r="F552" s="78">
        <v>3.0000000000000001E-5</v>
      </c>
      <c r="J552" s="47"/>
      <c r="K552" s="47"/>
    </row>
    <row r="553" spans="1:11" x14ac:dyDescent="0.25">
      <c r="A553" s="8">
        <v>2</v>
      </c>
      <c r="B553" s="8">
        <v>549</v>
      </c>
      <c r="C553" s="8">
        <v>45.75</v>
      </c>
      <c r="D553" s="46">
        <v>0</v>
      </c>
      <c r="E553" s="78">
        <v>1.3999999999999999E-4</v>
      </c>
      <c r="F553" s="78">
        <v>3.0000000000000001E-5</v>
      </c>
      <c r="J553" s="47"/>
      <c r="K553" s="47"/>
    </row>
    <row r="554" spans="1:11" x14ac:dyDescent="0.25">
      <c r="A554" s="8">
        <v>2</v>
      </c>
      <c r="B554" s="8">
        <v>550</v>
      </c>
      <c r="C554" s="8">
        <v>45.833333333333329</v>
      </c>
      <c r="D554" s="46">
        <v>0</v>
      </c>
      <c r="E554" s="78">
        <v>1.3999999999999999E-4</v>
      </c>
      <c r="F554" s="78">
        <v>3.0000000000000001E-5</v>
      </c>
      <c r="J554" s="47"/>
      <c r="K554" s="47"/>
    </row>
    <row r="555" spans="1:11" x14ac:dyDescent="0.25">
      <c r="A555" s="8">
        <v>2</v>
      </c>
      <c r="B555" s="8">
        <v>551</v>
      </c>
      <c r="C555" s="8">
        <v>45.916666666666664</v>
      </c>
      <c r="D555" s="46">
        <v>0</v>
      </c>
      <c r="E555" s="78">
        <v>1.3999999999999999E-4</v>
      </c>
      <c r="F555" s="78">
        <v>3.0000000000000001E-5</v>
      </c>
      <c r="J555" s="47"/>
      <c r="K555" s="47"/>
    </row>
    <row r="556" spans="1:11" x14ac:dyDescent="0.25">
      <c r="A556" s="8">
        <v>2</v>
      </c>
      <c r="B556" s="8">
        <v>552</v>
      </c>
      <c r="C556" s="8">
        <v>46</v>
      </c>
      <c r="D556" s="46">
        <v>0</v>
      </c>
      <c r="E556" s="78">
        <v>1.3999999999999999E-4</v>
      </c>
      <c r="F556" s="78">
        <v>3.0000000000000001E-5</v>
      </c>
      <c r="J556" s="47"/>
      <c r="K556" s="47"/>
    </row>
    <row r="557" spans="1:11" x14ac:dyDescent="0.25">
      <c r="A557" s="8">
        <v>2</v>
      </c>
      <c r="B557" s="8">
        <v>553</v>
      </c>
      <c r="C557" s="8">
        <v>46.083333333333329</v>
      </c>
      <c r="D557" s="46">
        <v>0</v>
      </c>
      <c r="E557" s="78">
        <v>1.3999999999999999E-4</v>
      </c>
      <c r="F557" s="78">
        <v>3.0000000000000001E-5</v>
      </c>
      <c r="J557" s="47"/>
      <c r="K557" s="47"/>
    </row>
    <row r="558" spans="1:11" x14ac:dyDescent="0.25">
      <c r="A558" s="8">
        <v>2</v>
      </c>
      <c r="B558" s="8">
        <v>554</v>
      </c>
      <c r="C558" s="8">
        <v>46.166666666666664</v>
      </c>
      <c r="D558" s="46">
        <v>0</v>
      </c>
      <c r="E558" s="78">
        <v>1.3999999999999999E-4</v>
      </c>
      <c r="F558" s="78">
        <v>3.0000000000000001E-5</v>
      </c>
      <c r="J558" s="47"/>
      <c r="K558" s="47"/>
    </row>
    <row r="559" spans="1:11" x14ac:dyDescent="0.25">
      <c r="A559" s="8">
        <v>2</v>
      </c>
      <c r="B559" s="8">
        <v>555</v>
      </c>
      <c r="C559" s="8">
        <v>46.25</v>
      </c>
      <c r="D559" s="46">
        <v>0</v>
      </c>
      <c r="E559" s="78">
        <v>1.3999999999999999E-4</v>
      </c>
      <c r="F559" s="78">
        <v>3.0000000000000001E-5</v>
      </c>
      <c r="J559" s="47"/>
      <c r="K559" s="47"/>
    </row>
    <row r="560" spans="1:11" x14ac:dyDescent="0.25">
      <c r="A560" s="8">
        <v>2</v>
      </c>
      <c r="B560" s="8">
        <v>556</v>
      </c>
      <c r="C560" s="8">
        <v>46.333333333333329</v>
      </c>
      <c r="D560" s="46">
        <v>0</v>
      </c>
      <c r="E560" s="78">
        <v>1.3999999999999999E-4</v>
      </c>
      <c r="F560" s="78">
        <v>3.0000000000000001E-5</v>
      </c>
      <c r="J560" s="47"/>
      <c r="K560" s="47"/>
    </row>
    <row r="561" spans="1:11" x14ac:dyDescent="0.25">
      <c r="A561" s="8">
        <v>2</v>
      </c>
      <c r="B561" s="8">
        <v>557</v>
      </c>
      <c r="C561" s="8">
        <v>46.416666666666664</v>
      </c>
      <c r="D561" s="46">
        <v>0</v>
      </c>
      <c r="E561" s="78">
        <v>1.3999999999999999E-4</v>
      </c>
      <c r="F561" s="78">
        <v>3.0000000000000001E-5</v>
      </c>
      <c r="J561" s="47"/>
      <c r="K561" s="47"/>
    </row>
    <row r="562" spans="1:11" x14ac:dyDescent="0.25">
      <c r="A562" s="8">
        <v>2</v>
      </c>
      <c r="B562" s="8">
        <v>558</v>
      </c>
      <c r="C562" s="8">
        <v>46.5</v>
      </c>
      <c r="D562" s="46">
        <v>0</v>
      </c>
      <c r="E562" s="78">
        <v>1.3999999999999999E-4</v>
      </c>
      <c r="F562" s="78">
        <v>3.0000000000000001E-5</v>
      </c>
      <c r="J562" s="47"/>
      <c r="K562" s="47"/>
    </row>
    <row r="563" spans="1:11" x14ac:dyDescent="0.25">
      <c r="A563" s="8">
        <v>2</v>
      </c>
      <c r="B563" s="8">
        <v>559</v>
      </c>
      <c r="C563" s="8">
        <v>46.583333333333329</v>
      </c>
      <c r="D563" s="46">
        <v>0</v>
      </c>
      <c r="E563" s="78">
        <v>1.3999999999999999E-4</v>
      </c>
      <c r="F563" s="78">
        <v>3.0000000000000001E-5</v>
      </c>
      <c r="J563" s="47"/>
      <c r="K563" s="47"/>
    </row>
    <row r="564" spans="1:11" x14ac:dyDescent="0.25">
      <c r="A564" s="8">
        <v>2</v>
      </c>
      <c r="B564" s="8">
        <v>560</v>
      </c>
      <c r="C564" s="8">
        <v>46.666666666666664</v>
      </c>
      <c r="D564" s="46">
        <v>0</v>
      </c>
      <c r="E564" s="78">
        <v>1.3999999999999999E-4</v>
      </c>
      <c r="F564" s="78">
        <v>3.0000000000000001E-5</v>
      </c>
      <c r="J564" s="47"/>
      <c r="K564" s="47"/>
    </row>
    <row r="565" spans="1:11" x14ac:dyDescent="0.25">
      <c r="A565" s="8">
        <v>2</v>
      </c>
      <c r="B565" s="8">
        <v>561</v>
      </c>
      <c r="C565" s="8">
        <v>46.75</v>
      </c>
      <c r="D565" s="46">
        <v>0</v>
      </c>
      <c r="E565" s="78">
        <v>1.3999999999999999E-4</v>
      </c>
      <c r="F565" s="78">
        <v>3.0000000000000001E-5</v>
      </c>
      <c r="J565" s="47"/>
      <c r="K565" s="47"/>
    </row>
    <row r="566" spans="1:11" x14ac:dyDescent="0.25">
      <c r="A566" s="8">
        <v>2</v>
      </c>
      <c r="B566" s="8">
        <v>562</v>
      </c>
      <c r="C566" s="8">
        <v>46.833333333333329</v>
      </c>
      <c r="D566" s="46">
        <v>0</v>
      </c>
      <c r="E566" s="78">
        <v>1.3999999999999999E-4</v>
      </c>
      <c r="F566" s="78">
        <v>3.0000000000000001E-5</v>
      </c>
      <c r="J566" s="47"/>
      <c r="K566" s="47"/>
    </row>
    <row r="567" spans="1:11" x14ac:dyDescent="0.25">
      <c r="A567" s="8">
        <v>2</v>
      </c>
      <c r="B567" s="8">
        <v>563</v>
      </c>
      <c r="C567" s="8">
        <v>46.916666666666664</v>
      </c>
      <c r="D567" s="46">
        <v>0</v>
      </c>
      <c r="E567" s="78">
        <v>1.3999999999999999E-4</v>
      </c>
      <c r="F567" s="78">
        <v>3.0000000000000001E-5</v>
      </c>
      <c r="J567" s="47"/>
      <c r="K567" s="47"/>
    </row>
    <row r="568" spans="1:11" x14ac:dyDescent="0.25">
      <c r="A568" s="8">
        <v>2</v>
      </c>
      <c r="B568" s="8">
        <v>564</v>
      </c>
      <c r="C568" s="8">
        <v>47</v>
      </c>
      <c r="D568" s="46">
        <v>0</v>
      </c>
      <c r="E568" s="78">
        <v>1.3999999999999999E-4</v>
      </c>
      <c r="F568" s="78">
        <v>3.0000000000000001E-5</v>
      </c>
      <c r="J568" s="47"/>
      <c r="K568" s="47"/>
    </row>
    <row r="569" spans="1:11" x14ac:dyDescent="0.25">
      <c r="A569" s="8">
        <v>2</v>
      </c>
      <c r="B569" s="8">
        <v>565</v>
      </c>
      <c r="C569" s="8">
        <v>47.083333333333329</v>
      </c>
      <c r="D569" s="46">
        <v>0</v>
      </c>
      <c r="E569" s="78">
        <v>1.3999999999999999E-4</v>
      </c>
      <c r="F569" s="78">
        <v>3.0000000000000001E-5</v>
      </c>
      <c r="J569" s="47"/>
      <c r="K569" s="47"/>
    </row>
    <row r="570" spans="1:11" x14ac:dyDescent="0.25">
      <c r="A570" s="8">
        <v>2</v>
      </c>
      <c r="B570" s="8">
        <v>566</v>
      </c>
      <c r="C570" s="8">
        <v>47.166666666666664</v>
      </c>
      <c r="D570" s="46">
        <v>0</v>
      </c>
      <c r="E570" s="78">
        <v>1.3999999999999999E-4</v>
      </c>
      <c r="F570" s="78">
        <v>3.0000000000000001E-5</v>
      </c>
      <c r="J570" s="47"/>
      <c r="K570" s="47"/>
    </row>
    <row r="571" spans="1:11" x14ac:dyDescent="0.25">
      <c r="A571" s="8">
        <v>2</v>
      </c>
      <c r="B571" s="8">
        <v>567</v>
      </c>
      <c r="C571" s="8">
        <v>47.25</v>
      </c>
      <c r="D571" s="46">
        <v>0</v>
      </c>
      <c r="E571" s="78">
        <v>1.3999999999999999E-4</v>
      </c>
      <c r="F571" s="78">
        <v>3.0000000000000001E-5</v>
      </c>
      <c r="J571" s="47"/>
      <c r="K571" s="47"/>
    </row>
    <row r="572" spans="1:11" x14ac:dyDescent="0.25">
      <c r="A572" s="8">
        <v>2</v>
      </c>
      <c r="B572" s="8">
        <v>568</v>
      </c>
      <c r="C572" s="8">
        <v>47.333333333333329</v>
      </c>
      <c r="D572" s="46">
        <v>0</v>
      </c>
      <c r="E572" s="78">
        <v>1.3999999999999999E-4</v>
      </c>
      <c r="F572" s="78">
        <v>3.0000000000000001E-5</v>
      </c>
      <c r="J572" s="47"/>
      <c r="K572" s="47"/>
    </row>
    <row r="573" spans="1:11" x14ac:dyDescent="0.25">
      <c r="A573" s="8">
        <v>2</v>
      </c>
      <c r="B573" s="8">
        <v>569</v>
      </c>
      <c r="C573" s="8">
        <v>47.416666666666664</v>
      </c>
      <c r="D573" s="46">
        <v>0</v>
      </c>
      <c r="E573" s="78">
        <v>1.3999999999999999E-4</v>
      </c>
      <c r="F573" s="78">
        <v>3.0000000000000001E-5</v>
      </c>
      <c r="J573" s="47"/>
      <c r="K573" s="47"/>
    </row>
    <row r="574" spans="1:11" x14ac:dyDescent="0.25">
      <c r="A574" s="8">
        <v>2</v>
      </c>
      <c r="B574" s="8">
        <v>570</v>
      </c>
      <c r="C574" s="8">
        <v>47.5</v>
      </c>
      <c r="D574" s="46">
        <v>0</v>
      </c>
      <c r="E574" s="78">
        <v>1.3999999999999999E-4</v>
      </c>
      <c r="F574" s="78">
        <v>3.0000000000000001E-5</v>
      </c>
      <c r="J574" s="47"/>
      <c r="K574" s="47"/>
    </row>
    <row r="575" spans="1:11" x14ac:dyDescent="0.25">
      <c r="A575" s="8">
        <v>2</v>
      </c>
      <c r="B575" s="8">
        <v>571</v>
      </c>
      <c r="C575" s="8">
        <v>47.583333333333329</v>
      </c>
      <c r="D575" s="46">
        <v>0</v>
      </c>
      <c r="E575" s="78">
        <v>1.3999999999999999E-4</v>
      </c>
      <c r="F575" s="78">
        <v>3.0000000000000001E-5</v>
      </c>
      <c r="J575" s="47"/>
      <c r="K575" s="47"/>
    </row>
    <row r="576" spans="1:11" x14ac:dyDescent="0.25">
      <c r="A576" s="8">
        <v>2</v>
      </c>
      <c r="B576" s="8">
        <v>572</v>
      </c>
      <c r="C576" s="8">
        <v>47.666666666666664</v>
      </c>
      <c r="D576" s="46">
        <v>0</v>
      </c>
      <c r="E576" s="78">
        <v>1.3999999999999999E-4</v>
      </c>
      <c r="F576" s="78">
        <v>3.0000000000000001E-5</v>
      </c>
      <c r="J576" s="47"/>
      <c r="K576" s="47"/>
    </row>
    <row r="577" spans="1:11" x14ac:dyDescent="0.25">
      <c r="A577" s="8">
        <v>2</v>
      </c>
      <c r="B577" s="8">
        <v>573</v>
      </c>
      <c r="C577" s="8">
        <v>47.75</v>
      </c>
      <c r="D577" s="46">
        <v>0</v>
      </c>
      <c r="E577" s="78">
        <v>1.3999999999999999E-4</v>
      </c>
      <c r="F577" s="78">
        <v>3.0000000000000001E-5</v>
      </c>
      <c r="J577" s="47"/>
      <c r="K577" s="47"/>
    </row>
    <row r="578" spans="1:11" x14ac:dyDescent="0.25">
      <c r="A578" s="8">
        <v>2</v>
      </c>
      <c r="B578" s="8">
        <v>574</v>
      </c>
      <c r="C578" s="8">
        <v>47.833333333333329</v>
      </c>
      <c r="D578" s="46">
        <v>0</v>
      </c>
      <c r="E578" s="78">
        <v>1.3999999999999999E-4</v>
      </c>
      <c r="F578" s="78">
        <v>3.0000000000000001E-5</v>
      </c>
      <c r="J578" s="47"/>
      <c r="K578" s="47"/>
    </row>
    <row r="579" spans="1:11" x14ac:dyDescent="0.25">
      <c r="A579" s="8">
        <v>2</v>
      </c>
      <c r="B579" s="8">
        <v>575</v>
      </c>
      <c r="C579" s="8">
        <v>47.916666666666664</v>
      </c>
      <c r="D579" s="46">
        <v>0</v>
      </c>
      <c r="E579" s="78">
        <v>1.3999999999999999E-4</v>
      </c>
      <c r="F579" s="78">
        <v>3.0000000000000001E-5</v>
      </c>
      <c r="J579" s="47"/>
      <c r="K579" s="47"/>
    </row>
    <row r="580" spans="1:11" x14ac:dyDescent="0.25">
      <c r="A580" s="8">
        <v>2</v>
      </c>
      <c r="B580" s="8">
        <v>576</v>
      </c>
      <c r="C580" s="8">
        <v>48</v>
      </c>
      <c r="D580" s="46">
        <v>0</v>
      </c>
      <c r="E580" s="78">
        <v>1.3999999999999999E-4</v>
      </c>
      <c r="F580" s="78">
        <v>3.0000000000000001E-5</v>
      </c>
      <c r="J580" s="47"/>
      <c r="K580" s="47"/>
    </row>
    <row r="581" spans="1:11" x14ac:dyDescent="0.25">
      <c r="A581" s="8">
        <v>3</v>
      </c>
      <c r="B581" s="8">
        <v>577</v>
      </c>
      <c r="C581" s="8">
        <v>48.083333333333329</v>
      </c>
      <c r="D581" s="46">
        <v>0</v>
      </c>
      <c r="E581" s="78">
        <v>1.3999999999999999E-4</v>
      </c>
      <c r="F581" s="78">
        <v>3.0000000000000001E-5</v>
      </c>
      <c r="J581" s="47"/>
      <c r="K581" s="47"/>
    </row>
    <row r="582" spans="1:11" x14ac:dyDescent="0.25">
      <c r="A582" s="8">
        <v>3</v>
      </c>
      <c r="B582" s="8">
        <v>578</v>
      </c>
      <c r="C582" s="8">
        <v>48.166666666666664</v>
      </c>
      <c r="D582" s="46">
        <v>0</v>
      </c>
      <c r="E582" s="78">
        <v>1.3999999999999999E-4</v>
      </c>
      <c r="F582" s="78">
        <v>3.0000000000000001E-5</v>
      </c>
      <c r="J582" s="47"/>
      <c r="K582" s="47"/>
    </row>
    <row r="583" spans="1:11" x14ac:dyDescent="0.25">
      <c r="A583" s="8">
        <v>3</v>
      </c>
      <c r="B583" s="8">
        <v>579</v>
      </c>
      <c r="C583" s="8">
        <v>48.25</v>
      </c>
      <c r="D583" s="46">
        <v>0</v>
      </c>
      <c r="E583" s="78">
        <v>1.3999999999999999E-4</v>
      </c>
      <c r="F583" s="78">
        <v>3.0000000000000001E-5</v>
      </c>
      <c r="J583" s="47"/>
      <c r="K583" s="47"/>
    </row>
    <row r="584" spans="1:11" x14ac:dyDescent="0.25">
      <c r="A584" s="8">
        <v>3</v>
      </c>
      <c r="B584" s="8">
        <v>580</v>
      </c>
      <c r="C584" s="8">
        <v>48.333333333333329</v>
      </c>
      <c r="D584" s="46">
        <v>0</v>
      </c>
      <c r="E584" s="78">
        <v>1.3999999999999999E-4</v>
      </c>
      <c r="F584" s="78">
        <v>3.0000000000000001E-5</v>
      </c>
      <c r="J584" s="47"/>
      <c r="K584" s="47"/>
    </row>
    <row r="585" spans="1:11" x14ac:dyDescent="0.25">
      <c r="A585" s="8">
        <v>3</v>
      </c>
      <c r="B585" s="8">
        <v>581</v>
      </c>
      <c r="C585" s="8">
        <v>48.416666666666664</v>
      </c>
      <c r="D585" s="46">
        <v>0</v>
      </c>
      <c r="E585" s="78">
        <v>1.3999999999999999E-4</v>
      </c>
      <c r="F585" s="78">
        <v>3.0000000000000001E-5</v>
      </c>
      <c r="J585" s="47"/>
      <c r="K585" s="47"/>
    </row>
    <row r="586" spans="1:11" x14ac:dyDescent="0.25">
      <c r="A586" s="8">
        <v>3</v>
      </c>
      <c r="B586" s="8">
        <v>582</v>
      </c>
      <c r="C586" s="8">
        <v>48.5</v>
      </c>
      <c r="D586" s="46">
        <v>0</v>
      </c>
      <c r="E586" s="78">
        <v>1.3999999999999999E-4</v>
      </c>
      <c r="F586" s="78">
        <v>3.0000000000000001E-5</v>
      </c>
      <c r="J586" s="47"/>
      <c r="K586" s="47"/>
    </row>
    <row r="587" spans="1:11" x14ac:dyDescent="0.25">
      <c r="A587" s="8">
        <v>3</v>
      </c>
      <c r="B587" s="8">
        <v>583</v>
      </c>
      <c r="C587" s="8">
        <v>48.583333333333329</v>
      </c>
      <c r="D587" s="46">
        <v>0</v>
      </c>
      <c r="E587" s="78">
        <v>1.3999999999999999E-4</v>
      </c>
      <c r="F587" s="78">
        <v>3.0000000000000001E-5</v>
      </c>
      <c r="J587" s="47"/>
      <c r="K587" s="47"/>
    </row>
    <row r="588" spans="1:11" x14ac:dyDescent="0.25">
      <c r="A588" s="8">
        <v>3</v>
      </c>
      <c r="B588" s="8">
        <v>584</v>
      </c>
      <c r="C588" s="8">
        <v>48.666666666666664</v>
      </c>
      <c r="D588" s="46">
        <v>0</v>
      </c>
      <c r="E588" s="78">
        <v>1.3999999999999999E-4</v>
      </c>
      <c r="F588" s="78">
        <v>3.0000000000000001E-5</v>
      </c>
      <c r="J588" s="47"/>
      <c r="K588" s="47"/>
    </row>
    <row r="589" spans="1:11" x14ac:dyDescent="0.25">
      <c r="A589" s="8">
        <v>3</v>
      </c>
      <c r="B589" s="8">
        <v>585</v>
      </c>
      <c r="C589" s="8">
        <v>48.75</v>
      </c>
      <c r="D589" s="46">
        <v>0</v>
      </c>
      <c r="E589" s="78">
        <v>1.3999999999999999E-4</v>
      </c>
      <c r="F589" s="78">
        <v>3.0000000000000001E-5</v>
      </c>
      <c r="J589" s="47"/>
      <c r="K589" s="47"/>
    </row>
    <row r="590" spans="1:11" x14ac:dyDescent="0.25">
      <c r="A590" s="8">
        <v>3</v>
      </c>
      <c r="B590" s="8">
        <v>586</v>
      </c>
      <c r="C590" s="8">
        <v>48.833333333333329</v>
      </c>
      <c r="D590" s="46">
        <v>0</v>
      </c>
      <c r="E590" s="78">
        <v>1.3999999999999999E-4</v>
      </c>
      <c r="F590" s="78">
        <v>3.0000000000000001E-5</v>
      </c>
      <c r="J590" s="47"/>
      <c r="K590" s="47"/>
    </row>
    <row r="591" spans="1:11" x14ac:dyDescent="0.25">
      <c r="A591" s="8">
        <v>3</v>
      </c>
      <c r="B591" s="8">
        <v>587</v>
      </c>
      <c r="C591" s="8">
        <v>48.916666666666664</v>
      </c>
      <c r="D591" s="46">
        <v>0</v>
      </c>
      <c r="E591" s="78">
        <v>1.3999999999999999E-4</v>
      </c>
      <c r="F591" s="78">
        <v>3.0000000000000001E-5</v>
      </c>
      <c r="J591" s="47"/>
      <c r="K591" s="47"/>
    </row>
    <row r="592" spans="1:11" x14ac:dyDescent="0.25">
      <c r="A592" s="8">
        <v>3</v>
      </c>
      <c r="B592" s="8">
        <v>588</v>
      </c>
      <c r="C592" s="8">
        <v>49</v>
      </c>
      <c r="D592" s="46">
        <v>0</v>
      </c>
      <c r="E592" s="78">
        <v>1.3999999999999999E-4</v>
      </c>
      <c r="F592" s="78">
        <v>3.0000000000000001E-5</v>
      </c>
      <c r="J592" s="47"/>
      <c r="K592" s="47"/>
    </row>
    <row r="593" spans="1:11" x14ac:dyDescent="0.25">
      <c r="A593" s="8">
        <v>3</v>
      </c>
      <c r="B593" s="8">
        <v>589</v>
      </c>
      <c r="C593" s="8">
        <v>49.083333333333329</v>
      </c>
      <c r="D593" s="46">
        <v>0</v>
      </c>
      <c r="E593" s="78">
        <v>1.3999999999999999E-4</v>
      </c>
      <c r="F593" s="78">
        <v>3.0000000000000001E-5</v>
      </c>
      <c r="J593" s="47"/>
      <c r="K593" s="47"/>
    </row>
    <row r="594" spans="1:11" x14ac:dyDescent="0.25">
      <c r="A594" s="8">
        <v>3</v>
      </c>
      <c r="B594" s="8">
        <v>590</v>
      </c>
      <c r="C594" s="8">
        <v>49.166666666666664</v>
      </c>
      <c r="D594" s="46">
        <v>0</v>
      </c>
      <c r="E594" s="78">
        <v>1.3999999999999999E-4</v>
      </c>
      <c r="F594" s="78">
        <v>3.0000000000000001E-5</v>
      </c>
      <c r="J594" s="47"/>
      <c r="K594" s="47"/>
    </row>
    <row r="595" spans="1:11" x14ac:dyDescent="0.25">
      <c r="A595" s="8">
        <v>3</v>
      </c>
      <c r="B595" s="8">
        <v>591</v>
      </c>
      <c r="C595" s="8">
        <v>49.25</v>
      </c>
      <c r="D595" s="46">
        <v>0</v>
      </c>
      <c r="E595" s="78">
        <v>1.3999999999999999E-4</v>
      </c>
      <c r="F595" s="78">
        <v>3.0000000000000001E-5</v>
      </c>
      <c r="J595" s="47"/>
      <c r="K595" s="47"/>
    </row>
    <row r="596" spans="1:11" x14ac:dyDescent="0.25">
      <c r="A596" s="8">
        <v>3</v>
      </c>
      <c r="B596" s="8">
        <v>592</v>
      </c>
      <c r="C596" s="8">
        <v>49.333333333333329</v>
      </c>
      <c r="D596" s="46">
        <v>0</v>
      </c>
      <c r="E596" s="78">
        <v>1.3999999999999999E-4</v>
      </c>
      <c r="F596" s="78">
        <v>3.0000000000000001E-5</v>
      </c>
      <c r="J596" s="47"/>
      <c r="K596" s="47"/>
    </row>
    <row r="597" spans="1:11" x14ac:dyDescent="0.25">
      <c r="A597" s="8">
        <v>3</v>
      </c>
      <c r="B597" s="8">
        <v>593</v>
      </c>
      <c r="C597" s="8">
        <v>49.416666666666664</v>
      </c>
      <c r="D597" s="46">
        <v>0</v>
      </c>
      <c r="E597" s="78">
        <v>1.3999999999999999E-4</v>
      </c>
      <c r="F597" s="78">
        <v>3.0000000000000001E-5</v>
      </c>
      <c r="J597" s="47"/>
      <c r="K597" s="47"/>
    </row>
    <row r="598" spans="1:11" x14ac:dyDescent="0.25">
      <c r="A598" s="8">
        <v>3</v>
      </c>
      <c r="B598" s="8">
        <v>594</v>
      </c>
      <c r="C598" s="8">
        <v>49.5</v>
      </c>
      <c r="D598" s="46">
        <v>0</v>
      </c>
      <c r="E598" s="78">
        <v>1.3999999999999999E-4</v>
      </c>
      <c r="F598" s="78">
        <v>3.0000000000000001E-5</v>
      </c>
      <c r="J598" s="47"/>
      <c r="K598" s="47"/>
    </row>
    <row r="599" spans="1:11" x14ac:dyDescent="0.25">
      <c r="A599" s="8">
        <v>3</v>
      </c>
      <c r="B599" s="8">
        <v>595</v>
      </c>
      <c r="C599" s="8">
        <v>49.583333333333329</v>
      </c>
      <c r="D599" s="46">
        <v>0</v>
      </c>
      <c r="E599" s="78">
        <v>1.3999999999999999E-4</v>
      </c>
      <c r="F599" s="78">
        <v>3.0000000000000001E-5</v>
      </c>
      <c r="J599" s="47"/>
      <c r="K599" s="47"/>
    </row>
    <row r="600" spans="1:11" x14ac:dyDescent="0.25">
      <c r="A600" s="8">
        <v>3</v>
      </c>
      <c r="B600" s="8">
        <v>596</v>
      </c>
      <c r="C600" s="8">
        <v>49.666666666666664</v>
      </c>
      <c r="D600" s="46">
        <v>0</v>
      </c>
      <c r="E600" s="78">
        <v>1.3999999999999999E-4</v>
      </c>
      <c r="F600" s="78">
        <v>3.0000000000000001E-5</v>
      </c>
      <c r="J600" s="47"/>
      <c r="K600" s="47"/>
    </row>
    <row r="601" spans="1:11" x14ac:dyDescent="0.25">
      <c r="A601" s="8">
        <v>3</v>
      </c>
      <c r="B601" s="8">
        <v>597</v>
      </c>
      <c r="C601" s="8">
        <v>49.75</v>
      </c>
      <c r="D601" s="46">
        <v>0</v>
      </c>
      <c r="E601" s="78">
        <v>1.3999999999999999E-4</v>
      </c>
      <c r="F601" s="78">
        <v>3.0000000000000001E-5</v>
      </c>
      <c r="J601" s="47"/>
      <c r="K601" s="47"/>
    </row>
    <row r="602" spans="1:11" x14ac:dyDescent="0.25">
      <c r="A602" s="8">
        <v>3</v>
      </c>
      <c r="B602" s="8">
        <v>598</v>
      </c>
      <c r="C602" s="8">
        <v>49.833333333333329</v>
      </c>
      <c r="D602" s="46">
        <v>0</v>
      </c>
      <c r="E602" s="78">
        <v>1.3999999999999999E-4</v>
      </c>
      <c r="F602" s="78">
        <v>3.0000000000000001E-5</v>
      </c>
      <c r="J602" s="47"/>
      <c r="K602" s="47"/>
    </row>
    <row r="603" spans="1:11" x14ac:dyDescent="0.25">
      <c r="A603" s="8">
        <v>3</v>
      </c>
      <c r="B603" s="8">
        <v>599</v>
      </c>
      <c r="C603" s="8">
        <v>49.916666666666664</v>
      </c>
      <c r="D603" s="46">
        <v>0</v>
      </c>
      <c r="E603" s="78">
        <v>1.3999999999999999E-4</v>
      </c>
      <c r="F603" s="78">
        <v>3.0000000000000001E-5</v>
      </c>
      <c r="J603" s="47"/>
      <c r="K603" s="47"/>
    </row>
    <row r="604" spans="1:11" x14ac:dyDescent="0.25">
      <c r="A604" s="8">
        <v>3</v>
      </c>
      <c r="B604" s="8">
        <v>600</v>
      </c>
      <c r="C604" s="8">
        <v>50</v>
      </c>
      <c r="D604" s="46">
        <v>0</v>
      </c>
      <c r="E604" s="78">
        <v>1.3999999999999999E-4</v>
      </c>
      <c r="F604" s="78">
        <v>3.0000000000000001E-5</v>
      </c>
      <c r="J604" s="47"/>
      <c r="K604" s="47"/>
    </row>
    <row r="605" spans="1:11" x14ac:dyDescent="0.25">
      <c r="A605" s="8">
        <v>3</v>
      </c>
      <c r="B605" s="8">
        <v>601</v>
      </c>
      <c r="C605" s="8">
        <v>50.083333333333329</v>
      </c>
      <c r="D605" s="46">
        <v>0</v>
      </c>
      <c r="E605" s="78">
        <v>1.3999999999999999E-4</v>
      </c>
      <c r="F605" s="78">
        <v>3.0000000000000001E-5</v>
      </c>
      <c r="J605" s="47"/>
      <c r="K605" s="47"/>
    </row>
    <row r="606" spans="1:11" x14ac:dyDescent="0.25">
      <c r="A606" s="8">
        <v>3</v>
      </c>
      <c r="B606" s="8">
        <v>602</v>
      </c>
      <c r="C606" s="8">
        <v>50.166666666666664</v>
      </c>
      <c r="D606" s="46">
        <v>0</v>
      </c>
      <c r="E606" s="78">
        <v>1.3999999999999999E-4</v>
      </c>
      <c r="F606" s="78">
        <v>3.0000000000000001E-5</v>
      </c>
      <c r="J606" s="47"/>
      <c r="K606" s="47"/>
    </row>
    <row r="607" spans="1:11" x14ac:dyDescent="0.25">
      <c r="A607" s="8">
        <v>3</v>
      </c>
      <c r="B607" s="8">
        <v>603</v>
      </c>
      <c r="C607" s="8">
        <v>50.25</v>
      </c>
      <c r="D607" s="46">
        <v>0</v>
      </c>
      <c r="E607" s="78">
        <v>1.3999999999999999E-4</v>
      </c>
      <c r="F607" s="78">
        <v>3.0000000000000001E-5</v>
      </c>
      <c r="J607" s="47"/>
      <c r="K607" s="47"/>
    </row>
    <row r="608" spans="1:11" x14ac:dyDescent="0.25">
      <c r="A608" s="8">
        <v>3</v>
      </c>
      <c r="B608" s="8">
        <v>604</v>
      </c>
      <c r="C608" s="8">
        <v>50.333333333333329</v>
      </c>
      <c r="D608" s="46">
        <v>0</v>
      </c>
      <c r="E608" s="78">
        <v>1.3999999999999999E-4</v>
      </c>
      <c r="F608" s="78">
        <v>3.0000000000000001E-5</v>
      </c>
      <c r="J608" s="47"/>
      <c r="K608" s="47"/>
    </row>
    <row r="609" spans="1:11" x14ac:dyDescent="0.25">
      <c r="A609" s="8">
        <v>3</v>
      </c>
      <c r="B609" s="8">
        <v>605</v>
      </c>
      <c r="C609" s="8">
        <v>50.416666666666664</v>
      </c>
      <c r="D609" s="46">
        <v>0</v>
      </c>
      <c r="E609" s="78">
        <v>1.3999999999999999E-4</v>
      </c>
      <c r="F609" s="78">
        <v>3.0000000000000001E-5</v>
      </c>
      <c r="J609" s="47"/>
      <c r="K609" s="47"/>
    </row>
    <row r="610" spans="1:11" x14ac:dyDescent="0.25">
      <c r="A610" s="8">
        <v>3</v>
      </c>
      <c r="B610" s="8">
        <v>606</v>
      </c>
      <c r="C610" s="8">
        <v>50.5</v>
      </c>
      <c r="D610" s="46">
        <v>0</v>
      </c>
      <c r="E610" s="78">
        <v>1.3999999999999999E-4</v>
      </c>
      <c r="F610" s="78">
        <v>3.0000000000000001E-5</v>
      </c>
      <c r="J610" s="47"/>
      <c r="K610" s="47"/>
    </row>
    <row r="611" spans="1:11" x14ac:dyDescent="0.25">
      <c r="A611" s="8">
        <v>3</v>
      </c>
      <c r="B611" s="8">
        <v>607</v>
      </c>
      <c r="C611" s="8">
        <v>50.583333333333329</v>
      </c>
      <c r="D611" s="46">
        <v>0</v>
      </c>
      <c r="E611" s="78">
        <v>1.3999999999999999E-4</v>
      </c>
      <c r="F611" s="78">
        <v>3.0000000000000001E-5</v>
      </c>
      <c r="J611" s="47"/>
      <c r="K611" s="47"/>
    </row>
    <row r="612" spans="1:11" x14ac:dyDescent="0.25">
      <c r="A612" s="8">
        <v>3</v>
      </c>
      <c r="B612" s="8">
        <v>608</v>
      </c>
      <c r="C612" s="8">
        <v>50.666666666666664</v>
      </c>
      <c r="D612" s="46">
        <v>0</v>
      </c>
      <c r="E612" s="78">
        <v>1.3999999999999999E-4</v>
      </c>
      <c r="F612" s="78">
        <v>3.0000000000000001E-5</v>
      </c>
      <c r="J612" s="47"/>
      <c r="K612" s="47"/>
    </row>
    <row r="613" spans="1:11" x14ac:dyDescent="0.25">
      <c r="A613" s="8">
        <v>3</v>
      </c>
      <c r="B613" s="8">
        <v>609</v>
      </c>
      <c r="C613" s="8">
        <v>50.75</v>
      </c>
      <c r="D613" s="46">
        <v>0</v>
      </c>
      <c r="E613" s="78">
        <v>1.3999999999999999E-4</v>
      </c>
      <c r="F613" s="78">
        <v>3.0000000000000001E-5</v>
      </c>
      <c r="J613" s="47"/>
      <c r="K613" s="47"/>
    </row>
    <row r="614" spans="1:11" x14ac:dyDescent="0.25">
      <c r="A614" s="8">
        <v>3</v>
      </c>
      <c r="B614" s="8">
        <v>610</v>
      </c>
      <c r="C614" s="8">
        <v>50.833333333333329</v>
      </c>
      <c r="D614" s="46">
        <v>0</v>
      </c>
      <c r="E614" s="78">
        <v>1.3999999999999999E-4</v>
      </c>
      <c r="F614" s="78">
        <v>3.0000000000000001E-5</v>
      </c>
      <c r="J614" s="47"/>
      <c r="K614" s="47"/>
    </row>
    <row r="615" spans="1:11" x14ac:dyDescent="0.25">
      <c r="A615" s="8">
        <v>3</v>
      </c>
      <c r="B615" s="8">
        <v>611</v>
      </c>
      <c r="C615" s="8">
        <v>50.916666666666664</v>
      </c>
      <c r="D615" s="46">
        <v>0</v>
      </c>
      <c r="E615" s="78">
        <v>1.3999999999999999E-4</v>
      </c>
      <c r="F615" s="78">
        <v>3.0000000000000001E-5</v>
      </c>
      <c r="J615" s="47"/>
      <c r="K615" s="47"/>
    </row>
    <row r="616" spans="1:11" x14ac:dyDescent="0.25">
      <c r="A616" s="8">
        <v>3</v>
      </c>
      <c r="B616" s="8">
        <v>612</v>
      </c>
      <c r="C616" s="8">
        <v>51</v>
      </c>
      <c r="D616" s="46">
        <v>0</v>
      </c>
      <c r="E616" s="78">
        <v>1.3999999999999999E-4</v>
      </c>
      <c r="F616" s="78">
        <v>3.0000000000000001E-5</v>
      </c>
      <c r="J616" s="47"/>
      <c r="K616" s="47"/>
    </row>
    <row r="617" spans="1:11" x14ac:dyDescent="0.25">
      <c r="A617" s="8">
        <v>3</v>
      </c>
      <c r="B617" s="8">
        <v>613</v>
      </c>
      <c r="C617" s="8">
        <v>51.083333333333329</v>
      </c>
      <c r="D617" s="46">
        <v>0</v>
      </c>
      <c r="E617" s="78">
        <v>1.3999999999999999E-4</v>
      </c>
      <c r="F617" s="78">
        <v>3.0000000000000001E-5</v>
      </c>
      <c r="J617" s="47"/>
      <c r="K617" s="47"/>
    </row>
    <row r="618" spans="1:11" x14ac:dyDescent="0.25">
      <c r="A618" s="8">
        <v>3</v>
      </c>
      <c r="B618" s="8">
        <v>614</v>
      </c>
      <c r="C618" s="8">
        <v>51.166666666666664</v>
      </c>
      <c r="D618" s="46">
        <v>0</v>
      </c>
      <c r="E618" s="78">
        <v>1.3999999999999999E-4</v>
      </c>
      <c r="F618" s="78">
        <v>3.0000000000000001E-5</v>
      </c>
      <c r="J618" s="47"/>
      <c r="K618" s="47"/>
    </row>
    <row r="619" spans="1:11" x14ac:dyDescent="0.25">
      <c r="A619" s="8">
        <v>3</v>
      </c>
      <c r="B619" s="8">
        <v>615</v>
      </c>
      <c r="C619" s="8">
        <v>51.25</v>
      </c>
      <c r="D619" s="46">
        <v>0</v>
      </c>
      <c r="E619" s="78">
        <v>1.3999999999999999E-4</v>
      </c>
      <c r="F619" s="78">
        <v>3.0000000000000001E-5</v>
      </c>
      <c r="J619" s="47"/>
      <c r="K619" s="47"/>
    </row>
    <row r="620" spans="1:11" x14ac:dyDescent="0.25">
      <c r="A620" s="8">
        <v>3</v>
      </c>
      <c r="B620" s="8">
        <v>616</v>
      </c>
      <c r="C620" s="8">
        <v>51.333333333333329</v>
      </c>
      <c r="D620" s="46">
        <v>0</v>
      </c>
      <c r="E620" s="78">
        <v>1.3999999999999999E-4</v>
      </c>
      <c r="F620" s="78">
        <v>3.0000000000000001E-5</v>
      </c>
      <c r="J620" s="47"/>
      <c r="K620" s="47"/>
    </row>
    <row r="621" spans="1:11" x14ac:dyDescent="0.25">
      <c r="A621" s="8">
        <v>3</v>
      </c>
      <c r="B621" s="8">
        <v>617</v>
      </c>
      <c r="C621" s="8">
        <v>51.416666666666664</v>
      </c>
      <c r="D621" s="46">
        <v>0</v>
      </c>
      <c r="E621" s="78">
        <v>1.3999999999999999E-4</v>
      </c>
      <c r="F621" s="78">
        <v>3.0000000000000001E-5</v>
      </c>
      <c r="J621" s="47"/>
      <c r="K621" s="47"/>
    </row>
    <row r="622" spans="1:11" x14ac:dyDescent="0.25">
      <c r="A622" s="8">
        <v>3</v>
      </c>
      <c r="B622" s="8">
        <v>618</v>
      </c>
      <c r="C622" s="8">
        <v>51.5</v>
      </c>
      <c r="D622" s="46">
        <v>0</v>
      </c>
      <c r="E622" s="78">
        <v>1.3999999999999999E-4</v>
      </c>
      <c r="F622" s="78">
        <v>3.0000000000000001E-5</v>
      </c>
      <c r="J622" s="47"/>
      <c r="K622" s="47"/>
    </row>
    <row r="623" spans="1:11" x14ac:dyDescent="0.25">
      <c r="A623" s="8">
        <v>3</v>
      </c>
      <c r="B623" s="8">
        <v>619</v>
      </c>
      <c r="C623" s="8">
        <v>51.583333333333329</v>
      </c>
      <c r="D623" s="46">
        <v>0</v>
      </c>
      <c r="E623" s="78">
        <v>1.3999999999999999E-4</v>
      </c>
      <c r="F623" s="78">
        <v>3.0000000000000001E-5</v>
      </c>
      <c r="J623" s="47"/>
      <c r="K623" s="47"/>
    </row>
    <row r="624" spans="1:11" x14ac:dyDescent="0.25">
      <c r="A624" s="8">
        <v>3</v>
      </c>
      <c r="B624" s="8">
        <v>620</v>
      </c>
      <c r="C624" s="8">
        <v>51.666666666666664</v>
      </c>
      <c r="D624" s="46">
        <v>0</v>
      </c>
      <c r="E624" s="78">
        <v>1.3999999999999999E-4</v>
      </c>
      <c r="F624" s="78">
        <v>3.0000000000000001E-5</v>
      </c>
      <c r="J624" s="47"/>
      <c r="K624" s="47"/>
    </row>
    <row r="625" spans="1:11" x14ac:dyDescent="0.25">
      <c r="A625" s="8">
        <v>3</v>
      </c>
      <c r="B625" s="8">
        <v>621</v>
      </c>
      <c r="C625" s="8">
        <v>51.75</v>
      </c>
      <c r="D625" s="46">
        <v>0</v>
      </c>
      <c r="E625" s="78">
        <v>1.3999999999999999E-4</v>
      </c>
      <c r="F625" s="78">
        <v>3.0000000000000001E-5</v>
      </c>
      <c r="J625" s="47"/>
      <c r="K625" s="47"/>
    </row>
    <row r="626" spans="1:11" x14ac:dyDescent="0.25">
      <c r="A626" s="8">
        <v>3</v>
      </c>
      <c r="B626" s="8">
        <v>622</v>
      </c>
      <c r="C626" s="8">
        <v>51.833333333333329</v>
      </c>
      <c r="D626" s="46">
        <v>0</v>
      </c>
      <c r="E626" s="78">
        <v>1.3999999999999999E-4</v>
      </c>
      <c r="F626" s="78">
        <v>3.0000000000000001E-5</v>
      </c>
      <c r="J626" s="47"/>
      <c r="K626" s="47"/>
    </row>
    <row r="627" spans="1:11" x14ac:dyDescent="0.25">
      <c r="A627" s="8">
        <v>3</v>
      </c>
      <c r="B627" s="8">
        <v>623</v>
      </c>
      <c r="C627" s="8">
        <v>51.916666666666664</v>
      </c>
      <c r="D627" s="46">
        <v>0</v>
      </c>
      <c r="E627" s="78">
        <v>1.3999999999999999E-4</v>
      </c>
      <c r="F627" s="78">
        <v>3.0000000000000001E-5</v>
      </c>
      <c r="J627" s="47"/>
      <c r="K627" s="47"/>
    </row>
    <row r="628" spans="1:11" x14ac:dyDescent="0.25">
      <c r="A628" s="8">
        <v>3</v>
      </c>
      <c r="B628" s="8">
        <v>624</v>
      </c>
      <c r="C628" s="8">
        <v>52</v>
      </c>
      <c r="D628" s="46">
        <v>0</v>
      </c>
      <c r="E628" s="78">
        <v>1.3999999999999999E-4</v>
      </c>
      <c r="F628" s="78">
        <v>3.0000000000000001E-5</v>
      </c>
      <c r="J628" s="47"/>
      <c r="K628" s="47"/>
    </row>
    <row r="629" spans="1:11" x14ac:dyDescent="0.25">
      <c r="A629" s="8">
        <v>3</v>
      </c>
      <c r="B629" s="8">
        <v>625</v>
      </c>
      <c r="C629" s="8">
        <v>52.083333333333329</v>
      </c>
      <c r="D629" s="46">
        <v>0</v>
      </c>
      <c r="E629" s="78">
        <v>1.3999999999999999E-4</v>
      </c>
      <c r="F629" s="78">
        <v>3.0000000000000001E-5</v>
      </c>
      <c r="J629" s="47"/>
      <c r="K629" s="47"/>
    </row>
    <row r="630" spans="1:11" x14ac:dyDescent="0.25">
      <c r="A630" s="8">
        <v>3</v>
      </c>
      <c r="B630" s="8">
        <v>626</v>
      </c>
      <c r="C630" s="8">
        <v>52.166666666666664</v>
      </c>
      <c r="D630" s="46">
        <v>0</v>
      </c>
      <c r="E630" s="78">
        <v>1.3999999999999999E-4</v>
      </c>
      <c r="F630" s="78">
        <v>3.0000000000000001E-5</v>
      </c>
      <c r="J630" s="47"/>
      <c r="K630" s="47"/>
    </row>
    <row r="631" spans="1:11" x14ac:dyDescent="0.25">
      <c r="A631" s="8">
        <v>3</v>
      </c>
      <c r="B631" s="8">
        <v>627</v>
      </c>
      <c r="C631" s="8">
        <v>52.25</v>
      </c>
      <c r="D631" s="46">
        <v>0</v>
      </c>
      <c r="E631" s="78">
        <v>1.3999999999999999E-4</v>
      </c>
      <c r="F631" s="78">
        <v>3.0000000000000001E-5</v>
      </c>
      <c r="J631" s="47"/>
      <c r="K631" s="47"/>
    </row>
    <row r="632" spans="1:11" x14ac:dyDescent="0.25">
      <c r="A632" s="8">
        <v>3</v>
      </c>
      <c r="B632" s="8">
        <v>628</v>
      </c>
      <c r="C632" s="8">
        <v>52.333333333333329</v>
      </c>
      <c r="D632" s="46">
        <v>0</v>
      </c>
      <c r="E632" s="78">
        <v>1.3999999999999999E-4</v>
      </c>
      <c r="F632" s="78">
        <v>3.0000000000000001E-5</v>
      </c>
      <c r="J632" s="47"/>
      <c r="K632" s="47"/>
    </row>
    <row r="633" spans="1:11" x14ac:dyDescent="0.25">
      <c r="A633" s="8">
        <v>3</v>
      </c>
      <c r="B633" s="8">
        <v>629</v>
      </c>
      <c r="C633" s="8">
        <v>52.416666666666664</v>
      </c>
      <c r="D633" s="46">
        <v>0</v>
      </c>
      <c r="E633" s="78">
        <v>1.3999999999999999E-4</v>
      </c>
      <c r="F633" s="78">
        <v>3.0000000000000001E-5</v>
      </c>
      <c r="J633" s="47"/>
      <c r="K633" s="47"/>
    </row>
    <row r="634" spans="1:11" x14ac:dyDescent="0.25">
      <c r="A634" s="8">
        <v>3</v>
      </c>
      <c r="B634" s="8">
        <v>630</v>
      </c>
      <c r="C634" s="8">
        <v>52.5</v>
      </c>
      <c r="D634" s="46">
        <v>0</v>
      </c>
      <c r="E634" s="78">
        <v>1.3999999999999999E-4</v>
      </c>
      <c r="F634" s="78">
        <v>3.0000000000000001E-5</v>
      </c>
      <c r="J634" s="47"/>
      <c r="K634" s="47"/>
    </row>
    <row r="635" spans="1:11" x14ac:dyDescent="0.25">
      <c r="A635" s="8">
        <v>3</v>
      </c>
      <c r="B635" s="8">
        <v>631</v>
      </c>
      <c r="C635" s="8">
        <v>52.583333333333329</v>
      </c>
      <c r="D635" s="46">
        <v>0</v>
      </c>
      <c r="E635" s="78">
        <v>1.3999999999999999E-4</v>
      </c>
      <c r="F635" s="78">
        <v>3.0000000000000001E-5</v>
      </c>
      <c r="J635" s="47"/>
      <c r="K635" s="47"/>
    </row>
    <row r="636" spans="1:11" x14ac:dyDescent="0.25">
      <c r="A636" s="8">
        <v>3</v>
      </c>
      <c r="B636" s="8">
        <v>632</v>
      </c>
      <c r="C636" s="8">
        <v>52.666666666666664</v>
      </c>
      <c r="D636" s="46">
        <v>0</v>
      </c>
      <c r="E636" s="78">
        <v>1.3999999999999999E-4</v>
      </c>
      <c r="F636" s="78">
        <v>3.0000000000000001E-5</v>
      </c>
      <c r="J636" s="47"/>
      <c r="K636" s="47"/>
    </row>
    <row r="637" spans="1:11" x14ac:dyDescent="0.25">
      <c r="A637" s="8">
        <v>3</v>
      </c>
      <c r="B637" s="8">
        <v>633</v>
      </c>
      <c r="C637" s="8">
        <v>52.75</v>
      </c>
      <c r="D637" s="46">
        <v>0</v>
      </c>
      <c r="E637" s="78">
        <v>1.3999999999999999E-4</v>
      </c>
      <c r="F637" s="78">
        <v>3.0000000000000001E-5</v>
      </c>
      <c r="J637" s="47"/>
      <c r="K637" s="47"/>
    </row>
    <row r="638" spans="1:11" x14ac:dyDescent="0.25">
      <c r="A638" s="8">
        <v>3</v>
      </c>
      <c r="B638" s="8">
        <v>634</v>
      </c>
      <c r="C638" s="8">
        <v>52.833333333333329</v>
      </c>
      <c r="D638" s="46">
        <v>0</v>
      </c>
      <c r="E638" s="78">
        <v>1.3999999999999999E-4</v>
      </c>
      <c r="F638" s="78">
        <v>3.0000000000000001E-5</v>
      </c>
      <c r="J638" s="47"/>
      <c r="K638" s="47"/>
    </row>
    <row r="639" spans="1:11" x14ac:dyDescent="0.25">
      <c r="A639" s="8">
        <v>3</v>
      </c>
      <c r="B639" s="8">
        <v>635</v>
      </c>
      <c r="C639" s="8">
        <v>52.916666666666664</v>
      </c>
      <c r="D639" s="46">
        <v>0</v>
      </c>
      <c r="E639" s="78">
        <v>1.3999999999999999E-4</v>
      </c>
      <c r="F639" s="78">
        <v>3.0000000000000001E-5</v>
      </c>
      <c r="J639" s="47"/>
      <c r="K639" s="47"/>
    </row>
    <row r="640" spans="1:11" x14ac:dyDescent="0.25">
      <c r="A640" s="8">
        <v>3</v>
      </c>
      <c r="B640" s="8">
        <v>636</v>
      </c>
      <c r="C640" s="8">
        <v>53</v>
      </c>
      <c r="D640" s="46">
        <v>0</v>
      </c>
      <c r="E640" s="78">
        <v>1.3999999999999999E-4</v>
      </c>
      <c r="F640" s="78">
        <v>3.0000000000000001E-5</v>
      </c>
      <c r="J640" s="47"/>
      <c r="K640" s="47"/>
    </row>
    <row r="641" spans="1:11" x14ac:dyDescent="0.25">
      <c r="A641" s="8">
        <v>3</v>
      </c>
      <c r="B641" s="8">
        <v>637</v>
      </c>
      <c r="C641" s="8">
        <v>53.083333333333329</v>
      </c>
      <c r="D641" s="46">
        <v>0</v>
      </c>
      <c r="E641" s="78">
        <v>1.3999999999999999E-4</v>
      </c>
      <c r="F641" s="78">
        <v>3.0000000000000001E-5</v>
      </c>
      <c r="J641" s="47"/>
      <c r="K641" s="47"/>
    </row>
    <row r="642" spans="1:11" x14ac:dyDescent="0.25">
      <c r="A642" s="8">
        <v>3</v>
      </c>
      <c r="B642" s="8">
        <v>638</v>
      </c>
      <c r="C642" s="8">
        <v>53.166666666666664</v>
      </c>
      <c r="D642" s="46">
        <v>0</v>
      </c>
      <c r="E642" s="78">
        <v>1.3999999999999999E-4</v>
      </c>
      <c r="F642" s="78">
        <v>3.0000000000000001E-5</v>
      </c>
      <c r="J642" s="47"/>
      <c r="K642" s="47"/>
    </row>
    <row r="643" spans="1:11" x14ac:dyDescent="0.25">
      <c r="A643" s="8">
        <v>3</v>
      </c>
      <c r="B643" s="8">
        <v>639</v>
      </c>
      <c r="C643" s="8">
        <v>53.25</v>
      </c>
      <c r="D643" s="46">
        <v>0</v>
      </c>
      <c r="E643" s="78">
        <v>1.3999999999999999E-4</v>
      </c>
      <c r="F643" s="78">
        <v>3.0000000000000001E-5</v>
      </c>
      <c r="J643" s="47"/>
      <c r="K643" s="47"/>
    </row>
    <row r="644" spans="1:11" x14ac:dyDescent="0.25">
      <c r="A644" s="8">
        <v>3</v>
      </c>
      <c r="B644" s="8">
        <v>640</v>
      </c>
      <c r="C644" s="8">
        <v>53.333333333333329</v>
      </c>
      <c r="D644" s="46">
        <v>0</v>
      </c>
      <c r="E644" s="78">
        <v>1.3999999999999999E-4</v>
      </c>
      <c r="F644" s="78">
        <v>3.0000000000000001E-5</v>
      </c>
      <c r="J644" s="47"/>
      <c r="K644" s="47"/>
    </row>
    <row r="645" spans="1:11" x14ac:dyDescent="0.25">
      <c r="A645" s="8">
        <v>3</v>
      </c>
      <c r="B645" s="8">
        <v>641</v>
      </c>
      <c r="C645" s="8">
        <v>53.416666666666664</v>
      </c>
      <c r="D645" s="46">
        <v>0</v>
      </c>
      <c r="E645" s="78">
        <v>1.3999999999999999E-4</v>
      </c>
      <c r="F645" s="78">
        <v>3.0000000000000001E-5</v>
      </c>
      <c r="J645" s="47"/>
      <c r="K645" s="47"/>
    </row>
    <row r="646" spans="1:11" x14ac:dyDescent="0.25">
      <c r="A646" s="8">
        <v>3</v>
      </c>
      <c r="B646" s="8">
        <v>642</v>
      </c>
      <c r="C646" s="8">
        <v>53.5</v>
      </c>
      <c r="D646" s="46">
        <v>0</v>
      </c>
      <c r="E646" s="78">
        <v>1.3999999999999999E-4</v>
      </c>
      <c r="F646" s="78">
        <v>3.0000000000000001E-5</v>
      </c>
      <c r="J646" s="47"/>
      <c r="K646" s="47"/>
    </row>
    <row r="647" spans="1:11" x14ac:dyDescent="0.25">
      <c r="A647" s="8">
        <v>3</v>
      </c>
      <c r="B647" s="8">
        <v>643</v>
      </c>
      <c r="C647" s="8">
        <v>53.583333333333329</v>
      </c>
      <c r="D647" s="46">
        <v>0</v>
      </c>
      <c r="E647" s="78">
        <v>1.3999999999999999E-4</v>
      </c>
      <c r="F647" s="78">
        <v>3.0000000000000001E-5</v>
      </c>
      <c r="J647" s="47"/>
      <c r="K647" s="47"/>
    </row>
    <row r="648" spans="1:11" x14ac:dyDescent="0.25">
      <c r="A648" s="8">
        <v>3</v>
      </c>
      <c r="B648" s="8">
        <v>644</v>
      </c>
      <c r="C648" s="8">
        <v>53.666666666666664</v>
      </c>
      <c r="D648" s="46">
        <v>0</v>
      </c>
      <c r="E648" s="78">
        <v>1.3999999999999999E-4</v>
      </c>
      <c r="F648" s="78">
        <v>3.0000000000000001E-5</v>
      </c>
      <c r="J648" s="47"/>
      <c r="K648" s="47"/>
    </row>
    <row r="649" spans="1:11" x14ac:dyDescent="0.25">
      <c r="A649" s="8">
        <v>3</v>
      </c>
      <c r="B649" s="8">
        <v>645</v>
      </c>
      <c r="C649" s="8">
        <v>53.75</v>
      </c>
      <c r="D649" s="46">
        <v>0</v>
      </c>
      <c r="E649" s="78">
        <v>1.3999999999999999E-4</v>
      </c>
      <c r="F649" s="78">
        <v>3.0000000000000001E-5</v>
      </c>
      <c r="J649" s="47"/>
      <c r="K649" s="47"/>
    </row>
    <row r="650" spans="1:11" x14ac:dyDescent="0.25">
      <c r="A650" s="8">
        <v>3</v>
      </c>
      <c r="B650" s="8">
        <v>646</v>
      </c>
      <c r="C650" s="8">
        <v>53.833333333333329</v>
      </c>
      <c r="D650" s="46">
        <v>0</v>
      </c>
      <c r="E650" s="78">
        <v>1.3999999999999999E-4</v>
      </c>
      <c r="F650" s="78">
        <v>3.0000000000000001E-5</v>
      </c>
      <c r="J650" s="47"/>
      <c r="K650" s="47"/>
    </row>
    <row r="651" spans="1:11" x14ac:dyDescent="0.25">
      <c r="A651" s="8">
        <v>3</v>
      </c>
      <c r="B651" s="8">
        <v>647</v>
      </c>
      <c r="C651" s="8">
        <v>53.916666666666664</v>
      </c>
      <c r="D651" s="46">
        <v>0</v>
      </c>
      <c r="E651" s="78">
        <v>1.3999999999999999E-4</v>
      </c>
      <c r="F651" s="78">
        <v>3.0000000000000001E-5</v>
      </c>
      <c r="J651" s="47"/>
      <c r="K651" s="47"/>
    </row>
    <row r="652" spans="1:11" x14ac:dyDescent="0.25">
      <c r="A652" s="8">
        <v>3</v>
      </c>
      <c r="B652" s="8">
        <v>648</v>
      </c>
      <c r="C652" s="8">
        <v>54</v>
      </c>
      <c r="D652" s="46">
        <v>0</v>
      </c>
      <c r="E652" s="78">
        <v>1.3999999999999999E-4</v>
      </c>
      <c r="F652" s="78">
        <v>3.0000000000000001E-5</v>
      </c>
      <c r="J652" s="47"/>
      <c r="K652" s="47"/>
    </row>
    <row r="653" spans="1:11" x14ac:dyDescent="0.25">
      <c r="A653" s="8">
        <v>3</v>
      </c>
      <c r="B653" s="8">
        <v>649</v>
      </c>
      <c r="C653" s="8">
        <v>54.083333333333329</v>
      </c>
      <c r="D653" s="46">
        <v>0</v>
      </c>
      <c r="E653" s="78">
        <v>1.3999999999999999E-4</v>
      </c>
      <c r="F653" s="78">
        <v>3.0000000000000001E-5</v>
      </c>
      <c r="J653" s="47"/>
      <c r="K653" s="47"/>
    </row>
    <row r="654" spans="1:11" x14ac:dyDescent="0.25">
      <c r="A654" s="8">
        <v>3</v>
      </c>
      <c r="B654" s="8">
        <v>650</v>
      </c>
      <c r="C654" s="8">
        <v>54.166666666666664</v>
      </c>
      <c r="D654" s="46">
        <v>0</v>
      </c>
      <c r="E654" s="78">
        <v>1.3999999999999999E-4</v>
      </c>
      <c r="F654" s="78">
        <v>3.0000000000000001E-5</v>
      </c>
      <c r="J654" s="47"/>
      <c r="K654" s="47"/>
    </row>
    <row r="655" spans="1:11" x14ac:dyDescent="0.25">
      <c r="A655" s="8">
        <v>3</v>
      </c>
      <c r="B655" s="8">
        <v>651</v>
      </c>
      <c r="C655" s="8">
        <v>54.25</v>
      </c>
      <c r="D655" s="46">
        <v>0</v>
      </c>
      <c r="E655" s="78">
        <v>1.3999999999999999E-4</v>
      </c>
      <c r="F655" s="78">
        <v>3.0000000000000001E-5</v>
      </c>
      <c r="J655" s="47"/>
      <c r="K655" s="47"/>
    </row>
    <row r="656" spans="1:11" x14ac:dyDescent="0.25">
      <c r="A656" s="8">
        <v>3</v>
      </c>
      <c r="B656" s="8">
        <v>652</v>
      </c>
      <c r="C656" s="8">
        <v>54.333333333333329</v>
      </c>
      <c r="D656" s="46">
        <v>0</v>
      </c>
      <c r="E656" s="78">
        <v>1.3999999999999999E-4</v>
      </c>
      <c r="F656" s="78">
        <v>3.0000000000000001E-5</v>
      </c>
      <c r="J656" s="47"/>
      <c r="K656" s="47"/>
    </row>
    <row r="657" spans="1:11" x14ac:dyDescent="0.25">
      <c r="A657" s="8">
        <v>3</v>
      </c>
      <c r="B657" s="8">
        <v>653</v>
      </c>
      <c r="C657" s="8">
        <v>54.416666666666664</v>
      </c>
      <c r="D657" s="46">
        <v>0</v>
      </c>
      <c r="E657" s="78">
        <v>1.3999999999999999E-4</v>
      </c>
      <c r="F657" s="78">
        <v>3.0000000000000001E-5</v>
      </c>
      <c r="J657" s="47"/>
      <c r="K657" s="47"/>
    </row>
    <row r="658" spans="1:11" x14ac:dyDescent="0.25">
      <c r="A658" s="8">
        <v>3</v>
      </c>
      <c r="B658" s="8">
        <v>654</v>
      </c>
      <c r="C658" s="8">
        <v>54.5</v>
      </c>
      <c r="D658" s="46">
        <v>0</v>
      </c>
      <c r="E658" s="78">
        <v>1.3999999999999999E-4</v>
      </c>
      <c r="F658" s="78">
        <v>3.0000000000000001E-5</v>
      </c>
      <c r="J658" s="47"/>
      <c r="K658" s="47"/>
    </row>
    <row r="659" spans="1:11" x14ac:dyDescent="0.25">
      <c r="A659" s="8">
        <v>3</v>
      </c>
      <c r="B659" s="8">
        <v>655</v>
      </c>
      <c r="C659" s="8">
        <v>54.583333333333329</v>
      </c>
      <c r="D659" s="46">
        <v>0</v>
      </c>
      <c r="E659" s="78">
        <v>1.3999999999999999E-4</v>
      </c>
      <c r="F659" s="78">
        <v>3.0000000000000001E-5</v>
      </c>
      <c r="J659" s="47"/>
      <c r="K659" s="47"/>
    </row>
    <row r="660" spans="1:11" x14ac:dyDescent="0.25">
      <c r="A660" s="8">
        <v>3</v>
      </c>
      <c r="B660" s="8">
        <v>656</v>
      </c>
      <c r="C660" s="8">
        <v>54.666666666666664</v>
      </c>
      <c r="D660" s="46">
        <v>0</v>
      </c>
      <c r="E660" s="78">
        <v>1.3999999999999999E-4</v>
      </c>
      <c r="F660" s="78">
        <v>3.0000000000000001E-5</v>
      </c>
      <c r="J660" s="47"/>
      <c r="K660" s="47"/>
    </row>
    <row r="661" spans="1:11" x14ac:dyDescent="0.25">
      <c r="A661" s="8">
        <v>3</v>
      </c>
      <c r="B661" s="8">
        <v>657</v>
      </c>
      <c r="C661" s="8">
        <v>54.75</v>
      </c>
      <c r="D661" s="46">
        <v>0</v>
      </c>
      <c r="E661" s="78">
        <v>1.3999999999999999E-4</v>
      </c>
      <c r="F661" s="78">
        <v>3.0000000000000001E-5</v>
      </c>
      <c r="J661" s="47"/>
      <c r="K661" s="47"/>
    </row>
    <row r="662" spans="1:11" x14ac:dyDescent="0.25">
      <c r="A662" s="8">
        <v>3</v>
      </c>
      <c r="B662" s="8">
        <v>658</v>
      </c>
      <c r="C662" s="8">
        <v>54.833333333333329</v>
      </c>
      <c r="D662" s="46">
        <v>0</v>
      </c>
      <c r="E662" s="78">
        <v>1.3999999999999999E-4</v>
      </c>
      <c r="F662" s="78">
        <v>3.0000000000000001E-5</v>
      </c>
      <c r="J662" s="47"/>
      <c r="K662" s="47"/>
    </row>
    <row r="663" spans="1:11" x14ac:dyDescent="0.25">
      <c r="A663" s="8">
        <v>3</v>
      </c>
      <c r="B663" s="8">
        <v>659</v>
      </c>
      <c r="C663" s="8">
        <v>54.916666666666664</v>
      </c>
      <c r="D663" s="46">
        <v>0</v>
      </c>
      <c r="E663" s="78">
        <v>1.3999999999999999E-4</v>
      </c>
      <c r="F663" s="78">
        <v>3.0000000000000001E-5</v>
      </c>
      <c r="J663" s="47"/>
      <c r="K663" s="47"/>
    </row>
    <row r="664" spans="1:11" x14ac:dyDescent="0.25">
      <c r="A664" s="8">
        <v>3</v>
      </c>
      <c r="B664" s="8">
        <v>660</v>
      </c>
      <c r="C664" s="8">
        <v>55</v>
      </c>
      <c r="D664" s="46">
        <v>0</v>
      </c>
      <c r="E664" s="78">
        <v>1.3999999999999999E-4</v>
      </c>
      <c r="F664" s="78">
        <v>3.0000000000000001E-5</v>
      </c>
      <c r="J664" s="47"/>
      <c r="K664" s="47"/>
    </row>
    <row r="665" spans="1:11" x14ac:dyDescent="0.25">
      <c r="A665" s="8">
        <v>3</v>
      </c>
      <c r="B665" s="8">
        <v>661</v>
      </c>
      <c r="C665" s="8">
        <v>55.083333333333329</v>
      </c>
      <c r="D665" s="46">
        <v>0</v>
      </c>
      <c r="E665" s="78">
        <v>1.3999999999999999E-4</v>
      </c>
      <c r="F665" s="78">
        <v>3.0000000000000001E-5</v>
      </c>
      <c r="J665" s="47"/>
      <c r="K665" s="47"/>
    </row>
    <row r="666" spans="1:11" x14ac:dyDescent="0.25">
      <c r="A666" s="8">
        <v>3</v>
      </c>
      <c r="B666" s="8">
        <v>662</v>
      </c>
      <c r="C666" s="8">
        <v>55.166666666666664</v>
      </c>
      <c r="D666" s="46">
        <v>0</v>
      </c>
      <c r="E666" s="78">
        <v>1.3999999999999999E-4</v>
      </c>
      <c r="F666" s="78">
        <v>3.0000000000000001E-5</v>
      </c>
      <c r="J666" s="47"/>
      <c r="K666" s="47"/>
    </row>
    <row r="667" spans="1:11" x14ac:dyDescent="0.25">
      <c r="A667" s="8">
        <v>3</v>
      </c>
      <c r="B667" s="8">
        <v>663</v>
      </c>
      <c r="C667" s="8">
        <v>55.25</v>
      </c>
      <c r="D667" s="46">
        <v>0</v>
      </c>
      <c r="E667" s="78">
        <v>1.3999999999999999E-4</v>
      </c>
      <c r="F667" s="78">
        <v>3.0000000000000001E-5</v>
      </c>
      <c r="J667" s="47"/>
      <c r="K667" s="47"/>
    </row>
    <row r="668" spans="1:11" x14ac:dyDescent="0.25">
      <c r="A668" s="8">
        <v>3</v>
      </c>
      <c r="B668" s="8">
        <v>664</v>
      </c>
      <c r="C668" s="8">
        <v>55.333333333333329</v>
      </c>
      <c r="D668" s="46">
        <v>0</v>
      </c>
      <c r="E668" s="78">
        <v>1.3999999999999999E-4</v>
      </c>
      <c r="F668" s="78">
        <v>3.0000000000000001E-5</v>
      </c>
      <c r="J668" s="47"/>
      <c r="K668" s="47"/>
    </row>
    <row r="669" spans="1:11" x14ac:dyDescent="0.25">
      <c r="A669" s="8">
        <v>3</v>
      </c>
      <c r="B669" s="8">
        <v>665</v>
      </c>
      <c r="C669" s="8">
        <v>55.416666666666664</v>
      </c>
      <c r="D669" s="46">
        <v>0</v>
      </c>
      <c r="E669" s="78">
        <v>1.3999999999999999E-4</v>
      </c>
      <c r="F669" s="78">
        <v>3.0000000000000001E-5</v>
      </c>
      <c r="J669" s="47"/>
      <c r="K669" s="47"/>
    </row>
    <row r="670" spans="1:11" x14ac:dyDescent="0.25">
      <c r="A670" s="8">
        <v>3</v>
      </c>
      <c r="B670" s="8">
        <v>666</v>
      </c>
      <c r="C670" s="8">
        <v>55.5</v>
      </c>
      <c r="D670" s="46">
        <v>0</v>
      </c>
      <c r="E670" s="78">
        <v>1.3999999999999999E-4</v>
      </c>
      <c r="F670" s="78">
        <v>3.0000000000000001E-5</v>
      </c>
      <c r="J670" s="47"/>
      <c r="K670" s="47"/>
    </row>
    <row r="671" spans="1:11" x14ac:dyDescent="0.25">
      <c r="A671" s="8">
        <v>3</v>
      </c>
      <c r="B671" s="8">
        <v>667</v>
      </c>
      <c r="C671" s="8">
        <v>55.583333333333329</v>
      </c>
      <c r="D671" s="46">
        <v>0</v>
      </c>
      <c r="E671" s="78">
        <v>1.3999999999999999E-4</v>
      </c>
      <c r="F671" s="78">
        <v>3.0000000000000001E-5</v>
      </c>
      <c r="J671" s="47"/>
      <c r="K671" s="47"/>
    </row>
    <row r="672" spans="1:11" x14ac:dyDescent="0.25">
      <c r="A672" s="8">
        <v>3</v>
      </c>
      <c r="B672" s="8">
        <v>668</v>
      </c>
      <c r="C672" s="8">
        <v>55.666666666666664</v>
      </c>
      <c r="D672" s="46">
        <v>0</v>
      </c>
      <c r="E672" s="78">
        <v>1.3999999999999999E-4</v>
      </c>
      <c r="F672" s="78">
        <v>3.0000000000000001E-5</v>
      </c>
      <c r="J672" s="47"/>
      <c r="K672" s="47"/>
    </row>
    <row r="673" spans="1:11" x14ac:dyDescent="0.25">
      <c r="A673" s="8">
        <v>3</v>
      </c>
      <c r="B673" s="8">
        <v>669</v>
      </c>
      <c r="C673" s="8">
        <v>55.75</v>
      </c>
      <c r="D673" s="46">
        <v>0</v>
      </c>
      <c r="E673" s="78">
        <v>1.3999999999999999E-4</v>
      </c>
      <c r="F673" s="78">
        <v>3.0000000000000001E-5</v>
      </c>
      <c r="J673" s="47"/>
      <c r="K673" s="47"/>
    </row>
    <row r="674" spans="1:11" x14ac:dyDescent="0.25">
      <c r="A674" s="8">
        <v>3</v>
      </c>
      <c r="B674" s="8">
        <v>670</v>
      </c>
      <c r="C674" s="8">
        <v>55.833333333333329</v>
      </c>
      <c r="D674" s="46">
        <v>0</v>
      </c>
      <c r="E674" s="78">
        <v>1.3999999999999999E-4</v>
      </c>
      <c r="F674" s="78">
        <v>3.0000000000000001E-5</v>
      </c>
      <c r="J674" s="47"/>
      <c r="K674" s="47"/>
    </row>
    <row r="675" spans="1:11" x14ac:dyDescent="0.25">
      <c r="A675" s="8">
        <v>3</v>
      </c>
      <c r="B675" s="8">
        <v>671</v>
      </c>
      <c r="C675" s="8">
        <v>55.916666666666664</v>
      </c>
      <c r="D675" s="46">
        <v>0</v>
      </c>
      <c r="E675" s="78">
        <v>1.3999999999999999E-4</v>
      </c>
      <c r="F675" s="78">
        <v>3.0000000000000001E-5</v>
      </c>
      <c r="J675" s="47"/>
      <c r="K675" s="47"/>
    </row>
    <row r="676" spans="1:11" x14ac:dyDescent="0.25">
      <c r="A676" s="8">
        <v>3</v>
      </c>
      <c r="B676" s="8">
        <v>672</v>
      </c>
      <c r="C676" s="8">
        <v>56</v>
      </c>
      <c r="D676" s="46">
        <v>0</v>
      </c>
      <c r="E676" s="78">
        <v>1.3999999999999999E-4</v>
      </c>
      <c r="F676" s="78">
        <v>3.0000000000000001E-5</v>
      </c>
      <c r="J676" s="47"/>
      <c r="K676" s="47"/>
    </row>
    <row r="677" spans="1:11" x14ac:dyDescent="0.25">
      <c r="A677" s="8">
        <v>3</v>
      </c>
      <c r="B677" s="8">
        <v>673</v>
      </c>
      <c r="C677" s="8">
        <v>56.083333333333329</v>
      </c>
      <c r="D677" s="46">
        <v>0</v>
      </c>
      <c r="E677" s="78">
        <v>1.3999999999999999E-4</v>
      </c>
      <c r="F677" s="78">
        <v>3.0000000000000001E-5</v>
      </c>
      <c r="J677" s="47"/>
      <c r="K677" s="47"/>
    </row>
    <row r="678" spans="1:11" x14ac:dyDescent="0.25">
      <c r="A678" s="8">
        <v>3</v>
      </c>
      <c r="B678" s="8">
        <v>674</v>
      </c>
      <c r="C678" s="8">
        <v>56.166666666666664</v>
      </c>
      <c r="D678" s="46">
        <v>0</v>
      </c>
      <c r="E678" s="78">
        <v>1.3999999999999999E-4</v>
      </c>
      <c r="F678" s="78">
        <v>3.0000000000000001E-5</v>
      </c>
      <c r="J678" s="47"/>
      <c r="K678" s="47"/>
    </row>
    <row r="679" spans="1:11" x14ac:dyDescent="0.25">
      <c r="A679" s="8">
        <v>3</v>
      </c>
      <c r="B679" s="8">
        <v>675</v>
      </c>
      <c r="C679" s="8">
        <v>56.25</v>
      </c>
      <c r="D679" s="46">
        <v>0</v>
      </c>
      <c r="E679" s="78">
        <v>1.3999999999999999E-4</v>
      </c>
      <c r="F679" s="78">
        <v>3.0000000000000001E-5</v>
      </c>
      <c r="J679" s="47"/>
      <c r="K679" s="47"/>
    </row>
    <row r="680" spans="1:11" x14ac:dyDescent="0.25">
      <c r="A680" s="8">
        <v>3</v>
      </c>
      <c r="B680" s="8">
        <v>676</v>
      </c>
      <c r="C680" s="8">
        <v>56.333333333333329</v>
      </c>
      <c r="D680" s="46">
        <v>0</v>
      </c>
      <c r="E680" s="78">
        <v>1.3999999999999999E-4</v>
      </c>
      <c r="F680" s="78">
        <v>3.0000000000000001E-5</v>
      </c>
      <c r="J680" s="47"/>
      <c r="K680" s="47"/>
    </row>
    <row r="681" spans="1:11" x14ac:dyDescent="0.25">
      <c r="A681" s="8">
        <v>3</v>
      </c>
      <c r="B681" s="8">
        <v>677</v>
      </c>
      <c r="C681" s="8">
        <v>56.416666666666664</v>
      </c>
      <c r="D681" s="46">
        <v>0</v>
      </c>
      <c r="E681" s="78">
        <v>1.3999999999999999E-4</v>
      </c>
      <c r="F681" s="78">
        <v>3.0000000000000001E-5</v>
      </c>
      <c r="J681" s="47"/>
      <c r="K681" s="47"/>
    </row>
    <row r="682" spans="1:11" x14ac:dyDescent="0.25">
      <c r="A682" s="8">
        <v>3</v>
      </c>
      <c r="B682" s="8">
        <v>678</v>
      </c>
      <c r="C682" s="8">
        <v>56.5</v>
      </c>
      <c r="D682" s="46">
        <v>0</v>
      </c>
      <c r="E682" s="78">
        <v>1.3999999999999999E-4</v>
      </c>
      <c r="F682" s="78">
        <v>3.0000000000000001E-5</v>
      </c>
      <c r="J682" s="47"/>
      <c r="K682" s="47"/>
    </row>
    <row r="683" spans="1:11" x14ac:dyDescent="0.25">
      <c r="A683" s="8">
        <v>3</v>
      </c>
      <c r="B683" s="8">
        <v>679</v>
      </c>
      <c r="C683" s="8">
        <v>56.583333333333329</v>
      </c>
      <c r="D683" s="46">
        <v>0</v>
      </c>
      <c r="E683" s="78">
        <v>1.3999999999999999E-4</v>
      </c>
      <c r="F683" s="78">
        <v>3.0000000000000001E-5</v>
      </c>
      <c r="J683" s="47"/>
      <c r="K683" s="47"/>
    </row>
    <row r="684" spans="1:11" x14ac:dyDescent="0.25">
      <c r="A684" s="8">
        <v>3</v>
      </c>
      <c r="B684" s="8">
        <v>680</v>
      </c>
      <c r="C684" s="8">
        <v>56.666666666666664</v>
      </c>
      <c r="D684" s="46">
        <v>0</v>
      </c>
      <c r="E684" s="78">
        <v>1.3999999999999999E-4</v>
      </c>
      <c r="F684" s="78">
        <v>3.0000000000000001E-5</v>
      </c>
      <c r="J684" s="47"/>
      <c r="K684" s="47"/>
    </row>
    <row r="685" spans="1:11" x14ac:dyDescent="0.25">
      <c r="A685" s="8">
        <v>3</v>
      </c>
      <c r="B685" s="8">
        <v>681</v>
      </c>
      <c r="C685" s="8">
        <v>56.75</v>
      </c>
      <c r="D685" s="46">
        <v>0</v>
      </c>
      <c r="E685" s="78">
        <v>1.3999999999999999E-4</v>
      </c>
      <c r="F685" s="78">
        <v>3.0000000000000001E-5</v>
      </c>
      <c r="J685" s="47"/>
      <c r="K685" s="47"/>
    </row>
    <row r="686" spans="1:11" x14ac:dyDescent="0.25">
      <c r="A686" s="8">
        <v>3</v>
      </c>
      <c r="B686" s="8">
        <v>682</v>
      </c>
      <c r="C686" s="8">
        <v>56.833333333333329</v>
      </c>
      <c r="D686" s="46">
        <v>0</v>
      </c>
      <c r="E686" s="78">
        <v>1.3999999999999999E-4</v>
      </c>
      <c r="F686" s="78">
        <v>3.0000000000000001E-5</v>
      </c>
      <c r="J686" s="47"/>
      <c r="K686" s="47"/>
    </row>
    <row r="687" spans="1:11" x14ac:dyDescent="0.25">
      <c r="A687" s="8">
        <v>3</v>
      </c>
      <c r="B687" s="8">
        <v>683</v>
      </c>
      <c r="C687" s="8">
        <v>56.916666666666664</v>
      </c>
      <c r="D687" s="46">
        <v>0</v>
      </c>
      <c r="E687" s="78">
        <v>1.3999999999999999E-4</v>
      </c>
      <c r="F687" s="78">
        <v>3.0000000000000001E-5</v>
      </c>
      <c r="J687" s="47"/>
      <c r="K687" s="47"/>
    </row>
    <row r="688" spans="1:11" x14ac:dyDescent="0.25">
      <c r="A688" s="8">
        <v>3</v>
      </c>
      <c r="B688" s="8">
        <v>684</v>
      </c>
      <c r="C688" s="8">
        <v>57</v>
      </c>
      <c r="D688" s="46">
        <v>0</v>
      </c>
      <c r="E688" s="78">
        <v>1.3999999999999999E-4</v>
      </c>
      <c r="F688" s="78">
        <v>3.0000000000000001E-5</v>
      </c>
      <c r="J688" s="47"/>
      <c r="K688" s="47"/>
    </row>
    <row r="689" spans="1:11" x14ac:dyDescent="0.25">
      <c r="A689" s="8">
        <v>3</v>
      </c>
      <c r="B689" s="8">
        <v>685</v>
      </c>
      <c r="C689" s="8">
        <v>57.083333333333329</v>
      </c>
      <c r="D689" s="46">
        <v>0</v>
      </c>
      <c r="E689" s="78">
        <v>1.3999999999999999E-4</v>
      </c>
      <c r="F689" s="78">
        <v>3.0000000000000001E-5</v>
      </c>
      <c r="J689" s="47"/>
      <c r="K689" s="47"/>
    </row>
    <row r="690" spans="1:11" x14ac:dyDescent="0.25">
      <c r="A690" s="8">
        <v>3</v>
      </c>
      <c r="B690" s="8">
        <v>686</v>
      </c>
      <c r="C690" s="8">
        <v>57.166666666666664</v>
      </c>
      <c r="D690" s="46">
        <v>0</v>
      </c>
      <c r="E690" s="78">
        <v>1.3999999999999999E-4</v>
      </c>
      <c r="F690" s="78">
        <v>3.0000000000000001E-5</v>
      </c>
      <c r="J690" s="47"/>
      <c r="K690" s="47"/>
    </row>
    <row r="691" spans="1:11" x14ac:dyDescent="0.25">
      <c r="A691" s="8">
        <v>3</v>
      </c>
      <c r="B691" s="8">
        <v>687</v>
      </c>
      <c r="C691" s="8">
        <v>57.25</v>
      </c>
      <c r="D691" s="46">
        <v>0</v>
      </c>
      <c r="E691" s="78">
        <v>1.3999999999999999E-4</v>
      </c>
      <c r="F691" s="78">
        <v>3.0000000000000001E-5</v>
      </c>
      <c r="J691" s="47"/>
      <c r="K691" s="47"/>
    </row>
    <row r="692" spans="1:11" x14ac:dyDescent="0.25">
      <c r="A692" s="8">
        <v>3</v>
      </c>
      <c r="B692" s="8">
        <v>688</v>
      </c>
      <c r="C692" s="8">
        <v>57.333333333333329</v>
      </c>
      <c r="D692" s="46">
        <v>0</v>
      </c>
      <c r="E692" s="78">
        <v>1.3999999999999999E-4</v>
      </c>
      <c r="F692" s="78">
        <v>3.0000000000000001E-5</v>
      </c>
      <c r="J692" s="47"/>
      <c r="K692" s="47"/>
    </row>
    <row r="693" spans="1:11" x14ac:dyDescent="0.25">
      <c r="A693" s="8">
        <v>3</v>
      </c>
      <c r="B693" s="8">
        <v>689</v>
      </c>
      <c r="C693" s="8">
        <v>57.416666666666664</v>
      </c>
      <c r="D693" s="46">
        <v>0</v>
      </c>
      <c r="E693" s="78">
        <v>1.3999999999999999E-4</v>
      </c>
      <c r="F693" s="78">
        <v>3.0000000000000001E-5</v>
      </c>
      <c r="J693" s="47"/>
      <c r="K693" s="47"/>
    </row>
    <row r="694" spans="1:11" x14ac:dyDescent="0.25">
      <c r="A694" s="8">
        <v>3</v>
      </c>
      <c r="B694" s="8">
        <v>690</v>
      </c>
      <c r="C694" s="8">
        <v>57.5</v>
      </c>
      <c r="D694" s="46">
        <v>0</v>
      </c>
      <c r="E694" s="78">
        <v>1.3999999999999999E-4</v>
      </c>
      <c r="F694" s="78">
        <v>3.0000000000000001E-5</v>
      </c>
      <c r="J694" s="47"/>
      <c r="K694" s="47"/>
    </row>
    <row r="695" spans="1:11" x14ac:dyDescent="0.25">
      <c r="A695" s="8">
        <v>3</v>
      </c>
      <c r="B695" s="8">
        <v>691</v>
      </c>
      <c r="C695" s="8">
        <v>57.583333333333329</v>
      </c>
      <c r="D695" s="46">
        <v>0</v>
      </c>
      <c r="E695" s="78">
        <v>1.3999999999999999E-4</v>
      </c>
      <c r="F695" s="78">
        <v>3.0000000000000001E-5</v>
      </c>
      <c r="J695" s="47"/>
      <c r="K695" s="47"/>
    </row>
    <row r="696" spans="1:11" x14ac:dyDescent="0.25">
      <c r="A696" s="8">
        <v>3</v>
      </c>
      <c r="B696" s="8">
        <v>692</v>
      </c>
      <c r="C696" s="8">
        <v>57.666666666666664</v>
      </c>
      <c r="D696" s="46">
        <v>0</v>
      </c>
      <c r="E696" s="78">
        <v>1.3999999999999999E-4</v>
      </c>
      <c r="F696" s="78">
        <v>3.0000000000000001E-5</v>
      </c>
      <c r="J696" s="47"/>
      <c r="K696" s="47"/>
    </row>
    <row r="697" spans="1:11" x14ac:dyDescent="0.25">
      <c r="A697" s="8">
        <v>3</v>
      </c>
      <c r="B697" s="8">
        <v>693</v>
      </c>
      <c r="C697" s="8">
        <v>57.75</v>
      </c>
      <c r="D697" s="46">
        <v>0</v>
      </c>
      <c r="E697" s="78">
        <v>1.3999999999999999E-4</v>
      </c>
      <c r="F697" s="78">
        <v>3.0000000000000001E-5</v>
      </c>
      <c r="J697" s="47"/>
      <c r="K697" s="47"/>
    </row>
    <row r="698" spans="1:11" x14ac:dyDescent="0.25">
      <c r="A698" s="8">
        <v>3</v>
      </c>
      <c r="B698" s="8">
        <v>694</v>
      </c>
      <c r="C698" s="8">
        <v>57.833333333333329</v>
      </c>
      <c r="D698" s="46">
        <v>0</v>
      </c>
      <c r="E698" s="78">
        <v>1.3999999999999999E-4</v>
      </c>
      <c r="F698" s="78">
        <v>3.0000000000000001E-5</v>
      </c>
      <c r="J698" s="47"/>
      <c r="K698" s="47"/>
    </row>
    <row r="699" spans="1:11" x14ac:dyDescent="0.25">
      <c r="A699" s="8">
        <v>3</v>
      </c>
      <c r="B699" s="8">
        <v>695</v>
      </c>
      <c r="C699" s="8">
        <v>57.916666666666664</v>
      </c>
      <c r="D699" s="46">
        <v>0</v>
      </c>
      <c r="E699" s="78">
        <v>1.3999999999999999E-4</v>
      </c>
      <c r="F699" s="78">
        <v>3.0000000000000001E-5</v>
      </c>
      <c r="J699" s="47"/>
      <c r="K699" s="47"/>
    </row>
    <row r="700" spans="1:11" x14ac:dyDescent="0.25">
      <c r="A700" s="8">
        <v>3</v>
      </c>
      <c r="B700" s="8">
        <v>696</v>
      </c>
      <c r="C700" s="8">
        <v>58</v>
      </c>
      <c r="D700" s="46">
        <v>0</v>
      </c>
      <c r="E700" s="78">
        <v>1.3999999999999999E-4</v>
      </c>
      <c r="F700" s="78">
        <v>3.0000000000000001E-5</v>
      </c>
      <c r="J700" s="47"/>
      <c r="K700" s="47"/>
    </row>
    <row r="701" spans="1:11" x14ac:dyDescent="0.25">
      <c r="A701" s="8">
        <v>3</v>
      </c>
      <c r="B701" s="8">
        <v>697</v>
      </c>
      <c r="C701" s="8">
        <v>58.083333333333329</v>
      </c>
      <c r="D701" s="46">
        <v>0</v>
      </c>
      <c r="E701" s="78">
        <v>1.3999999999999999E-4</v>
      </c>
      <c r="F701" s="78">
        <v>3.0000000000000001E-5</v>
      </c>
      <c r="J701" s="47"/>
      <c r="K701" s="47"/>
    </row>
    <row r="702" spans="1:11" x14ac:dyDescent="0.25">
      <c r="A702" s="8">
        <v>3</v>
      </c>
      <c r="B702" s="8">
        <v>698</v>
      </c>
      <c r="C702" s="8">
        <v>58.166666666666664</v>
      </c>
      <c r="D702" s="46">
        <v>0</v>
      </c>
      <c r="E702" s="78">
        <v>1.3999999999999999E-4</v>
      </c>
      <c r="F702" s="78">
        <v>3.0000000000000001E-5</v>
      </c>
      <c r="J702" s="47"/>
      <c r="K702" s="47"/>
    </row>
    <row r="703" spans="1:11" x14ac:dyDescent="0.25">
      <c r="A703" s="8">
        <v>3</v>
      </c>
      <c r="B703" s="8">
        <v>699</v>
      </c>
      <c r="C703" s="8">
        <v>58.25</v>
      </c>
      <c r="D703" s="46">
        <v>0</v>
      </c>
      <c r="E703" s="78">
        <v>1.3999999999999999E-4</v>
      </c>
      <c r="F703" s="78">
        <v>3.0000000000000001E-5</v>
      </c>
      <c r="J703" s="47"/>
      <c r="K703" s="47"/>
    </row>
    <row r="704" spans="1:11" x14ac:dyDescent="0.25">
      <c r="A704" s="8">
        <v>3</v>
      </c>
      <c r="B704" s="8">
        <v>700</v>
      </c>
      <c r="C704" s="8">
        <v>58.333333333333329</v>
      </c>
      <c r="D704" s="46">
        <v>0</v>
      </c>
      <c r="E704" s="78">
        <v>1.3999999999999999E-4</v>
      </c>
      <c r="F704" s="78">
        <v>3.0000000000000001E-5</v>
      </c>
      <c r="J704" s="47"/>
      <c r="K704" s="47"/>
    </row>
    <row r="705" spans="1:11" x14ac:dyDescent="0.25">
      <c r="A705" s="8">
        <v>3</v>
      </c>
      <c r="B705" s="8">
        <v>701</v>
      </c>
      <c r="C705" s="8">
        <v>58.416666666666664</v>
      </c>
      <c r="D705" s="46">
        <v>0</v>
      </c>
      <c r="E705" s="78">
        <v>1.3999999999999999E-4</v>
      </c>
      <c r="F705" s="78">
        <v>3.0000000000000001E-5</v>
      </c>
      <c r="J705" s="47"/>
      <c r="K705" s="47"/>
    </row>
    <row r="706" spans="1:11" x14ac:dyDescent="0.25">
      <c r="A706" s="8">
        <v>3</v>
      </c>
      <c r="B706" s="8">
        <v>702</v>
      </c>
      <c r="C706" s="8">
        <v>58.5</v>
      </c>
      <c r="D706" s="46">
        <v>0</v>
      </c>
      <c r="E706" s="78">
        <v>1.3999999999999999E-4</v>
      </c>
      <c r="F706" s="78">
        <v>3.0000000000000001E-5</v>
      </c>
      <c r="J706" s="47"/>
      <c r="K706" s="47"/>
    </row>
    <row r="707" spans="1:11" x14ac:dyDescent="0.25">
      <c r="A707" s="8">
        <v>3</v>
      </c>
      <c r="B707" s="8">
        <v>703</v>
      </c>
      <c r="C707" s="8">
        <v>58.583333333333329</v>
      </c>
      <c r="D707" s="46">
        <v>0</v>
      </c>
      <c r="E707" s="78">
        <v>1.3999999999999999E-4</v>
      </c>
      <c r="F707" s="78">
        <v>3.0000000000000001E-5</v>
      </c>
      <c r="J707" s="47"/>
      <c r="K707" s="47"/>
    </row>
    <row r="708" spans="1:11" x14ac:dyDescent="0.25">
      <c r="A708" s="8">
        <v>3</v>
      </c>
      <c r="B708" s="8">
        <v>704</v>
      </c>
      <c r="C708" s="8">
        <v>58.666666666666664</v>
      </c>
      <c r="D708" s="46">
        <v>0</v>
      </c>
      <c r="E708" s="78">
        <v>1.3999999999999999E-4</v>
      </c>
      <c r="F708" s="78">
        <v>3.0000000000000001E-5</v>
      </c>
      <c r="J708" s="47"/>
      <c r="K708" s="47"/>
    </row>
    <row r="709" spans="1:11" x14ac:dyDescent="0.25">
      <c r="A709" s="8">
        <v>3</v>
      </c>
      <c r="B709" s="8">
        <v>705</v>
      </c>
      <c r="C709" s="8">
        <v>58.75</v>
      </c>
      <c r="D709" s="46">
        <v>0</v>
      </c>
      <c r="E709" s="78">
        <v>1.3999999999999999E-4</v>
      </c>
      <c r="F709" s="78">
        <v>3.0000000000000001E-5</v>
      </c>
      <c r="J709" s="47"/>
      <c r="K709" s="47"/>
    </row>
    <row r="710" spans="1:11" x14ac:dyDescent="0.25">
      <c r="A710" s="8">
        <v>3</v>
      </c>
      <c r="B710" s="8">
        <v>706</v>
      </c>
      <c r="C710" s="8">
        <v>58.833333333333329</v>
      </c>
      <c r="D710" s="46">
        <v>0</v>
      </c>
      <c r="E710" s="78">
        <v>1.3999999999999999E-4</v>
      </c>
      <c r="F710" s="78">
        <v>3.0000000000000001E-5</v>
      </c>
      <c r="J710" s="47"/>
      <c r="K710" s="47"/>
    </row>
    <row r="711" spans="1:11" x14ac:dyDescent="0.25">
      <c r="A711" s="8">
        <v>3</v>
      </c>
      <c r="B711" s="8">
        <v>707</v>
      </c>
      <c r="C711" s="8">
        <v>58.916666666666664</v>
      </c>
      <c r="D711" s="46">
        <v>0</v>
      </c>
      <c r="E711" s="78">
        <v>1.3999999999999999E-4</v>
      </c>
      <c r="F711" s="78">
        <v>3.0000000000000001E-5</v>
      </c>
      <c r="J711" s="47"/>
      <c r="K711" s="47"/>
    </row>
    <row r="712" spans="1:11" x14ac:dyDescent="0.25">
      <c r="A712" s="8">
        <v>3</v>
      </c>
      <c r="B712" s="8">
        <v>708</v>
      </c>
      <c r="C712" s="8">
        <v>59</v>
      </c>
      <c r="D712" s="46">
        <v>0</v>
      </c>
      <c r="E712" s="78">
        <v>1.3999999999999999E-4</v>
      </c>
      <c r="F712" s="78">
        <v>3.0000000000000001E-5</v>
      </c>
      <c r="J712" s="47"/>
      <c r="K712" s="47"/>
    </row>
    <row r="713" spans="1:11" x14ac:dyDescent="0.25">
      <c r="A713" s="8">
        <v>3</v>
      </c>
      <c r="B713" s="8">
        <v>709</v>
      </c>
      <c r="C713" s="8">
        <v>59.083333333333329</v>
      </c>
      <c r="D713" s="46">
        <v>0</v>
      </c>
      <c r="E713" s="78">
        <v>1.3999999999999999E-4</v>
      </c>
      <c r="F713" s="78">
        <v>3.0000000000000001E-5</v>
      </c>
      <c r="J713" s="47"/>
      <c r="K713" s="47"/>
    </row>
    <row r="714" spans="1:11" x14ac:dyDescent="0.25">
      <c r="A714" s="8">
        <v>3</v>
      </c>
      <c r="B714" s="8">
        <v>710</v>
      </c>
      <c r="C714" s="8">
        <v>59.166666666666664</v>
      </c>
      <c r="D714" s="46">
        <v>0</v>
      </c>
      <c r="E714" s="78">
        <v>1.3999999999999999E-4</v>
      </c>
      <c r="F714" s="78">
        <v>3.0000000000000001E-5</v>
      </c>
      <c r="J714" s="47"/>
      <c r="K714" s="47"/>
    </row>
    <row r="715" spans="1:11" x14ac:dyDescent="0.25">
      <c r="A715" s="8">
        <v>3</v>
      </c>
      <c r="B715" s="8">
        <v>711</v>
      </c>
      <c r="C715" s="8">
        <v>59.25</v>
      </c>
      <c r="D715" s="46">
        <v>0</v>
      </c>
      <c r="E715" s="78">
        <v>1.3999999999999999E-4</v>
      </c>
      <c r="F715" s="78">
        <v>3.0000000000000001E-5</v>
      </c>
      <c r="J715" s="47"/>
      <c r="K715" s="47"/>
    </row>
    <row r="716" spans="1:11" x14ac:dyDescent="0.25">
      <c r="A716" s="8">
        <v>3</v>
      </c>
      <c r="B716" s="8">
        <v>712</v>
      </c>
      <c r="C716" s="8">
        <v>59.333333333333329</v>
      </c>
      <c r="D716" s="46">
        <v>0</v>
      </c>
      <c r="E716" s="78">
        <v>1.3999999999999999E-4</v>
      </c>
      <c r="F716" s="78">
        <v>3.0000000000000001E-5</v>
      </c>
      <c r="J716" s="47"/>
      <c r="K716" s="47"/>
    </row>
    <row r="717" spans="1:11" x14ac:dyDescent="0.25">
      <c r="A717" s="8">
        <v>3</v>
      </c>
      <c r="B717" s="8">
        <v>713</v>
      </c>
      <c r="C717" s="8">
        <v>59.416666666666664</v>
      </c>
      <c r="D717" s="46">
        <v>0</v>
      </c>
      <c r="E717" s="78">
        <v>1.3999999999999999E-4</v>
      </c>
      <c r="F717" s="78">
        <v>3.0000000000000001E-5</v>
      </c>
      <c r="J717" s="47"/>
      <c r="K717" s="47"/>
    </row>
    <row r="718" spans="1:11" x14ac:dyDescent="0.25">
      <c r="A718" s="8">
        <v>3</v>
      </c>
      <c r="B718" s="8">
        <v>714</v>
      </c>
      <c r="C718" s="8">
        <v>59.5</v>
      </c>
      <c r="D718" s="46">
        <v>0</v>
      </c>
      <c r="E718" s="78">
        <v>1.3999999999999999E-4</v>
      </c>
      <c r="F718" s="78">
        <v>3.0000000000000001E-5</v>
      </c>
      <c r="J718" s="47"/>
      <c r="K718" s="47"/>
    </row>
    <row r="719" spans="1:11" x14ac:dyDescent="0.25">
      <c r="A719" s="8">
        <v>3</v>
      </c>
      <c r="B719" s="8">
        <v>715</v>
      </c>
      <c r="C719" s="8">
        <v>59.583333333333329</v>
      </c>
      <c r="D719" s="46">
        <v>0</v>
      </c>
      <c r="E719" s="78">
        <v>1.3999999999999999E-4</v>
      </c>
      <c r="F719" s="78">
        <v>3.0000000000000001E-5</v>
      </c>
      <c r="J719" s="47"/>
      <c r="K719" s="47"/>
    </row>
    <row r="720" spans="1:11" x14ac:dyDescent="0.25">
      <c r="A720" s="8">
        <v>3</v>
      </c>
      <c r="B720" s="8">
        <v>716</v>
      </c>
      <c r="C720" s="8">
        <v>59.666666666666664</v>
      </c>
      <c r="D720" s="46">
        <v>0</v>
      </c>
      <c r="E720" s="78">
        <v>1.3999999999999999E-4</v>
      </c>
      <c r="F720" s="78">
        <v>3.0000000000000001E-5</v>
      </c>
      <c r="J720" s="47"/>
      <c r="K720" s="47"/>
    </row>
    <row r="721" spans="1:11" x14ac:dyDescent="0.25">
      <c r="A721" s="8">
        <v>3</v>
      </c>
      <c r="B721" s="8">
        <v>717</v>
      </c>
      <c r="C721" s="8">
        <v>59.75</v>
      </c>
      <c r="D721" s="46">
        <v>0</v>
      </c>
      <c r="E721" s="78">
        <v>1.3999999999999999E-4</v>
      </c>
      <c r="F721" s="78">
        <v>3.0000000000000001E-5</v>
      </c>
      <c r="J721" s="47"/>
      <c r="K721" s="47"/>
    </row>
    <row r="722" spans="1:11" x14ac:dyDescent="0.25">
      <c r="A722" s="8">
        <v>3</v>
      </c>
      <c r="B722" s="8">
        <v>718</v>
      </c>
      <c r="C722" s="8">
        <v>59.833333333333329</v>
      </c>
      <c r="D722" s="46">
        <v>0</v>
      </c>
      <c r="E722" s="78">
        <v>1.3999999999999999E-4</v>
      </c>
      <c r="F722" s="78">
        <v>3.0000000000000001E-5</v>
      </c>
      <c r="J722" s="47"/>
      <c r="K722" s="47"/>
    </row>
    <row r="723" spans="1:11" x14ac:dyDescent="0.25">
      <c r="A723" s="8">
        <v>3</v>
      </c>
      <c r="B723" s="8">
        <v>719</v>
      </c>
      <c r="C723" s="8">
        <v>59.916666666666664</v>
      </c>
      <c r="D723" s="46">
        <v>0</v>
      </c>
      <c r="E723" s="78">
        <v>1.3999999999999999E-4</v>
      </c>
      <c r="F723" s="78">
        <v>3.0000000000000001E-5</v>
      </c>
      <c r="J723" s="47"/>
      <c r="K723" s="47"/>
    </row>
    <row r="724" spans="1:11" x14ac:dyDescent="0.25">
      <c r="A724" s="8">
        <v>3</v>
      </c>
      <c r="B724" s="8">
        <v>720</v>
      </c>
      <c r="C724" s="8">
        <v>60</v>
      </c>
      <c r="D724" s="46">
        <v>0</v>
      </c>
      <c r="E724" s="78">
        <v>1.3999999999999999E-4</v>
      </c>
      <c r="F724" s="78">
        <v>3.0000000000000001E-5</v>
      </c>
      <c r="J724" s="47"/>
      <c r="K724" s="47"/>
    </row>
    <row r="725" spans="1:11" x14ac:dyDescent="0.25">
      <c r="A725" s="8">
        <v>3</v>
      </c>
      <c r="B725" s="8">
        <v>721</v>
      </c>
      <c r="C725" s="8">
        <v>60.083333333333329</v>
      </c>
      <c r="D725" s="46">
        <v>0</v>
      </c>
      <c r="E725" s="78">
        <v>1.3999999999999999E-4</v>
      </c>
      <c r="F725" s="78">
        <v>3.0000000000000001E-5</v>
      </c>
      <c r="J725" s="47"/>
      <c r="K725" s="47"/>
    </row>
    <row r="726" spans="1:11" x14ac:dyDescent="0.25">
      <c r="A726" s="8">
        <v>3</v>
      </c>
      <c r="B726" s="8">
        <v>722</v>
      </c>
      <c r="C726" s="8">
        <v>60.166666666666664</v>
      </c>
      <c r="D726" s="46">
        <v>0</v>
      </c>
      <c r="E726" s="78">
        <v>1.3999999999999999E-4</v>
      </c>
      <c r="F726" s="78">
        <v>3.0000000000000001E-5</v>
      </c>
      <c r="J726" s="47"/>
      <c r="K726" s="47"/>
    </row>
    <row r="727" spans="1:11" x14ac:dyDescent="0.25">
      <c r="A727" s="8">
        <v>3</v>
      </c>
      <c r="B727" s="8">
        <v>723</v>
      </c>
      <c r="C727" s="8">
        <v>60.25</v>
      </c>
      <c r="D727" s="46">
        <v>0</v>
      </c>
      <c r="E727" s="78">
        <v>1.3999999999999999E-4</v>
      </c>
      <c r="F727" s="78">
        <v>3.0000000000000001E-5</v>
      </c>
      <c r="J727" s="47"/>
      <c r="K727" s="47"/>
    </row>
    <row r="728" spans="1:11" x14ac:dyDescent="0.25">
      <c r="A728" s="8">
        <v>3</v>
      </c>
      <c r="B728" s="8">
        <v>724</v>
      </c>
      <c r="C728" s="8">
        <v>60.333333333333329</v>
      </c>
      <c r="D728" s="46">
        <v>0</v>
      </c>
      <c r="E728" s="78">
        <v>1.3999999999999999E-4</v>
      </c>
      <c r="F728" s="78">
        <v>3.0000000000000001E-5</v>
      </c>
      <c r="J728" s="47"/>
      <c r="K728" s="47"/>
    </row>
    <row r="729" spans="1:11" x14ac:dyDescent="0.25">
      <c r="A729" s="8">
        <v>3</v>
      </c>
      <c r="B729" s="8">
        <v>725</v>
      </c>
      <c r="C729" s="8">
        <v>60.416666666666664</v>
      </c>
      <c r="D729" s="46">
        <v>0</v>
      </c>
      <c r="E729" s="78">
        <v>1.3999999999999999E-4</v>
      </c>
      <c r="F729" s="78">
        <v>3.0000000000000001E-5</v>
      </c>
      <c r="J729" s="47"/>
      <c r="K729" s="47"/>
    </row>
    <row r="730" spans="1:11" x14ac:dyDescent="0.25">
      <c r="A730" s="8">
        <v>3</v>
      </c>
      <c r="B730" s="8">
        <v>726</v>
      </c>
      <c r="C730" s="8">
        <v>60.5</v>
      </c>
      <c r="D730" s="46">
        <v>0</v>
      </c>
      <c r="E730" s="78">
        <v>1.3999999999999999E-4</v>
      </c>
      <c r="F730" s="78">
        <v>3.0000000000000001E-5</v>
      </c>
      <c r="J730" s="47"/>
      <c r="K730" s="47"/>
    </row>
    <row r="731" spans="1:11" x14ac:dyDescent="0.25">
      <c r="A731" s="8">
        <v>3</v>
      </c>
      <c r="B731" s="8">
        <v>727</v>
      </c>
      <c r="C731" s="8">
        <v>60.583333333333329</v>
      </c>
      <c r="D731" s="46">
        <v>0</v>
      </c>
      <c r="E731" s="78">
        <v>1.3999999999999999E-4</v>
      </c>
      <c r="F731" s="78">
        <v>3.0000000000000001E-5</v>
      </c>
      <c r="J731" s="47"/>
      <c r="K731" s="47"/>
    </row>
    <row r="732" spans="1:11" x14ac:dyDescent="0.25">
      <c r="A732" s="8">
        <v>3</v>
      </c>
      <c r="B732" s="8">
        <v>728</v>
      </c>
      <c r="C732" s="8">
        <v>60.666666666666664</v>
      </c>
      <c r="D732" s="46">
        <v>0</v>
      </c>
      <c r="E732" s="78">
        <v>1.3999999999999999E-4</v>
      </c>
      <c r="F732" s="78">
        <v>3.0000000000000001E-5</v>
      </c>
      <c r="J732" s="47"/>
      <c r="K732" s="47"/>
    </row>
    <row r="733" spans="1:11" x14ac:dyDescent="0.25">
      <c r="A733" s="8">
        <v>3</v>
      </c>
      <c r="B733" s="8">
        <v>729</v>
      </c>
      <c r="C733" s="8">
        <v>60.75</v>
      </c>
      <c r="D733" s="46">
        <v>0</v>
      </c>
      <c r="E733" s="78">
        <v>1.3999999999999999E-4</v>
      </c>
      <c r="F733" s="78">
        <v>3.0000000000000001E-5</v>
      </c>
      <c r="J733" s="47"/>
      <c r="K733" s="47"/>
    </row>
    <row r="734" spans="1:11" x14ac:dyDescent="0.25">
      <c r="A734" s="8">
        <v>3</v>
      </c>
      <c r="B734" s="8">
        <v>730</v>
      </c>
      <c r="C734" s="8">
        <v>60.833333333333329</v>
      </c>
      <c r="D734" s="46">
        <v>0</v>
      </c>
      <c r="E734" s="78">
        <v>1.3999999999999999E-4</v>
      </c>
      <c r="F734" s="78">
        <v>3.0000000000000001E-5</v>
      </c>
      <c r="J734" s="47"/>
      <c r="K734" s="47"/>
    </row>
    <row r="735" spans="1:11" x14ac:dyDescent="0.25">
      <c r="A735" s="8">
        <v>3</v>
      </c>
      <c r="B735" s="8">
        <v>731</v>
      </c>
      <c r="C735" s="8">
        <v>60.916666666666664</v>
      </c>
      <c r="D735" s="46">
        <v>0</v>
      </c>
      <c r="E735" s="78">
        <v>1.3999999999999999E-4</v>
      </c>
      <c r="F735" s="78">
        <v>3.0000000000000001E-5</v>
      </c>
      <c r="J735" s="47"/>
      <c r="K735" s="47"/>
    </row>
    <row r="736" spans="1:11" x14ac:dyDescent="0.25">
      <c r="A736" s="8">
        <v>3</v>
      </c>
      <c r="B736" s="8">
        <v>732</v>
      </c>
      <c r="C736" s="8">
        <v>61</v>
      </c>
      <c r="D736" s="46">
        <v>0</v>
      </c>
      <c r="E736" s="78">
        <v>1.3999999999999999E-4</v>
      </c>
      <c r="F736" s="78">
        <v>3.0000000000000001E-5</v>
      </c>
      <c r="J736" s="47"/>
      <c r="K736" s="47"/>
    </row>
    <row r="737" spans="1:11" x14ac:dyDescent="0.25">
      <c r="A737" s="8">
        <v>3</v>
      </c>
      <c r="B737" s="8">
        <v>733</v>
      </c>
      <c r="C737" s="8">
        <v>61.083333333333329</v>
      </c>
      <c r="D737" s="46">
        <v>0</v>
      </c>
      <c r="E737" s="78">
        <v>1.3999999999999999E-4</v>
      </c>
      <c r="F737" s="78">
        <v>3.0000000000000001E-5</v>
      </c>
      <c r="J737" s="47"/>
      <c r="K737" s="47"/>
    </row>
    <row r="738" spans="1:11" x14ac:dyDescent="0.25">
      <c r="A738" s="8">
        <v>3</v>
      </c>
      <c r="B738" s="8">
        <v>734</v>
      </c>
      <c r="C738" s="8">
        <v>61.166666666666664</v>
      </c>
      <c r="D738" s="46">
        <v>0</v>
      </c>
      <c r="E738" s="78">
        <v>1.3999999999999999E-4</v>
      </c>
      <c r="F738" s="78">
        <v>3.0000000000000001E-5</v>
      </c>
      <c r="J738" s="47"/>
      <c r="K738" s="47"/>
    </row>
    <row r="739" spans="1:11" x14ac:dyDescent="0.25">
      <c r="A739" s="8">
        <v>3</v>
      </c>
      <c r="B739" s="8">
        <v>735</v>
      </c>
      <c r="C739" s="8">
        <v>61.25</v>
      </c>
      <c r="D739" s="46">
        <v>0</v>
      </c>
      <c r="E739" s="78">
        <v>1.3999999999999999E-4</v>
      </c>
      <c r="F739" s="78">
        <v>3.0000000000000001E-5</v>
      </c>
      <c r="J739" s="47"/>
      <c r="K739" s="47"/>
    </row>
    <row r="740" spans="1:11" x14ac:dyDescent="0.25">
      <c r="A740" s="8">
        <v>3</v>
      </c>
      <c r="B740" s="8">
        <v>736</v>
      </c>
      <c r="C740" s="8">
        <v>61.333333333333329</v>
      </c>
      <c r="D740" s="46">
        <v>0</v>
      </c>
      <c r="E740" s="78">
        <v>1.3999999999999999E-4</v>
      </c>
      <c r="F740" s="78">
        <v>3.0000000000000001E-5</v>
      </c>
      <c r="J740" s="47"/>
      <c r="K740" s="47"/>
    </row>
    <row r="741" spans="1:11" x14ac:dyDescent="0.25">
      <c r="A741" s="8">
        <v>3</v>
      </c>
      <c r="B741" s="8">
        <v>737</v>
      </c>
      <c r="C741" s="8">
        <v>61.416666666666664</v>
      </c>
      <c r="D741" s="46">
        <v>0</v>
      </c>
      <c r="E741" s="78">
        <v>1.3999999999999999E-4</v>
      </c>
      <c r="F741" s="78">
        <v>3.0000000000000001E-5</v>
      </c>
      <c r="J741" s="47"/>
      <c r="K741" s="47"/>
    </row>
    <row r="742" spans="1:11" x14ac:dyDescent="0.25">
      <c r="A742" s="8">
        <v>3</v>
      </c>
      <c r="B742" s="8">
        <v>738</v>
      </c>
      <c r="C742" s="8">
        <v>61.5</v>
      </c>
      <c r="D742" s="46">
        <v>0</v>
      </c>
      <c r="E742" s="78">
        <v>1.3999999999999999E-4</v>
      </c>
      <c r="F742" s="78">
        <v>3.0000000000000001E-5</v>
      </c>
      <c r="J742" s="47"/>
      <c r="K742" s="47"/>
    </row>
    <row r="743" spans="1:11" x14ac:dyDescent="0.25">
      <c r="A743" s="8">
        <v>3</v>
      </c>
      <c r="B743" s="8">
        <v>739</v>
      </c>
      <c r="C743" s="8">
        <v>61.583333333333329</v>
      </c>
      <c r="D743" s="46">
        <v>0</v>
      </c>
      <c r="E743" s="78">
        <v>1.3999999999999999E-4</v>
      </c>
      <c r="F743" s="78">
        <v>3.0000000000000001E-5</v>
      </c>
      <c r="J743" s="47"/>
      <c r="K743" s="47"/>
    </row>
    <row r="744" spans="1:11" x14ac:dyDescent="0.25">
      <c r="A744" s="8">
        <v>3</v>
      </c>
      <c r="B744" s="8">
        <v>740</v>
      </c>
      <c r="C744" s="8">
        <v>61.666666666666664</v>
      </c>
      <c r="D744" s="46">
        <v>0</v>
      </c>
      <c r="E744" s="78">
        <v>1.3999999999999999E-4</v>
      </c>
      <c r="F744" s="78">
        <v>3.0000000000000001E-5</v>
      </c>
      <c r="J744" s="47"/>
      <c r="K744" s="47"/>
    </row>
    <row r="745" spans="1:11" x14ac:dyDescent="0.25">
      <c r="A745" s="8">
        <v>3</v>
      </c>
      <c r="B745" s="8">
        <v>741</v>
      </c>
      <c r="C745" s="8">
        <v>61.75</v>
      </c>
      <c r="D745" s="46">
        <v>0</v>
      </c>
      <c r="E745" s="78">
        <v>1.3999999999999999E-4</v>
      </c>
      <c r="F745" s="78">
        <v>3.0000000000000001E-5</v>
      </c>
      <c r="J745" s="47"/>
      <c r="K745" s="47"/>
    </row>
    <row r="746" spans="1:11" x14ac:dyDescent="0.25">
      <c r="A746" s="8">
        <v>3</v>
      </c>
      <c r="B746" s="8">
        <v>742</v>
      </c>
      <c r="C746" s="8">
        <v>61.833333333333329</v>
      </c>
      <c r="D746" s="46">
        <v>0</v>
      </c>
      <c r="E746" s="78">
        <v>1.3999999999999999E-4</v>
      </c>
      <c r="F746" s="78">
        <v>3.0000000000000001E-5</v>
      </c>
      <c r="J746" s="47"/>
      <c r="K746" s="47"/>
    </row>
    <row r="747" spans="1:11" x14ac:dyDescent="0.25">
      <c r="A747" s="8">
        <v>3</v>
      </c>
      <c r="B747" s="8">
        <v>743</v>
      </c>
      <c r="C747" s="8">
        <v>61.916666666666664</v>
      </c>
      <c r="D747" s="46">
        <v>0</v>
      </c>
      <c r="E747" s="78">
        <v>1.3999999999999999E-4</v>
      </c>
      <c r="F747" s="78">
        <v>3.0000000000000001E-5</v>
      </c>
      <c r="J747" s="47"/>
      <c r="K747" s="47"/>
    </row>
    <row r="748" spans="1:11" x14ac:dyDescent="0.25">
      <c r="A748" s="8">
        <v>3</v>
      </c>
      <c r="B748" s="8">
        <v>744</v>
      </c>
      <c r="C748" s="8">
        <v>62</v>
      </c>
      <c r="D748" s="46">
        <v>0</v>
      </c>
      <c r="E748" s="78">
        <v>1.3999999999999999E-4</v>
      </c>
      <c r="F748" s="78">
        <v>3.0000000000000001E-5</v>
      </c>
      <c r="J748" s="47"/>
      <c r="K748" s="47"/>
    </row>
    <row r="749" spans="1:11" x14ac:dyDescent="0.25">
      <c r="A749" s="8">
        <v>3</v>
      </c>
      <c r="B749" s="8">
        <v>745</v>
      </c>
      <c r="C749" s="8">
        <v>62.083333333333329</v>
      </c>
      <c r="D749" s="46">
        <v>0</v>
      </c>
      <c r="E749" s="78">
        <v>1.3999999999999999E-4</v>
      </c>
      <c r="F749" s="78">
        <v>3.0000000000000001E-5</v>
      </c>
      <c r="J749" s="47"/>
      <c r="K749" s="47"/>
    </row>
    <row r="750" spans="1:11" x14ac:dyDescent="0.25">
      <c r="A750" s="8">
        <v>3</v>
      </c>
      <c r="B750" s="8">
        <v>746</v>
      </c>
      <c r="C750" s="8">
        <v>62.166666666666664</v>
      </c>
      <c r="D750" s="46">
        <v>0</v>
      </c>
      <c r="E750" s="78">
        <v>1.3999999999999999E-4</v>
      </c>
      <c r="F750" s="78">
        <v>3.0000000000000001E-5</v>
      </c>
      <c r="J750" s="47"/>
      <c r="K750" s="47"/>
    </row>
    <row r="751" spans="1:11" x14ac:dyDescent="0.25">
      <c r="A751" s="8">
        <v>3</v>
      </c>
      <c r="B751" s="8">
        <v>747</v>
      </c>
      <c r="C751" s="8">
        <v>62.25</v>
      </c>
      <c r="D751" s="46">
        <v>0</v>
      </c>
      <c r="E751" s="78">
        <v>1.3999999999999999E-4</v>
      </c>
      <c r="F751" s="78">
        <v>3.0000000000000001E-5</v>
      </c>
      <c r="J751" s="47"/>
      <c r="K751" s="47"/>
    </row>
    <row r="752" spans="1:11" x14ac:dyDescent="0.25">
      <c r="A752" s="8">
        <v>3</v>
      </c>
      <c r="B752" s="8">
        <v>748</v>
      </c>
      <c r="C752" s="8">
        <v>62.333333333333329</v>
      </c>
      <c r="D752" s="46">
        <v>0</v>
      </c>
      <c r="E752" s="78">
        <v>1.3999999999999999E-4</v>
      </c>
      <c r="F752" s="78">
        <v>3.0000000000000001E-5</v>
      </c>
      <c r="J752" s="47"/>
      <c r="K752" s="47"/>
    </row>
    <row r="753" spans="1:11" x14ac:dyDescent="0.25">
      <c r="A753" s="8">
        <v>3</v>
      </c>
      <c r="B753" s="8">
        <v>749</v>
      </c>
      <c r="C753" s="8">
        <v>62.416666666666664</v>
      </c>
      <c r="D753" s="46">
        <v>0</v>
      </c>
      <c r="E753" s="78">
        <v>1.3999999999999999E-4</v>
      </c>
      <c r="F753" s="78">
        <v>3.0000000000000001E-5</v>
      </c>
      <c r="J753" s="47"/>
      <c r="K753" s="47"/>
    </row>
    <row r="754" spans="1:11" x14ac:dyDescent="0.25">
      <c r="A754" s="8">
        <v>3</v>
      </c>
      <c r="B754" s="8">
        <v>750</v>
      </c>
      <c r="C754" s="8">
        <v>62.5</v>
      </c>
      <c r="D754" s="46">
        <v>0</v>
      </c>
      <c r="E754" s="78">
        <v>1.3999999999999999E-4</v>
      </c>
      <c r="F754" s="78">
        <v>3.0000000000000001E-5</v>
      </c>
      <c r="J754" s="47"/>
      <c r="K754" s="47"/>
    </row>
    <row r="755" spans="1:11" x14ac:dyDescent="0.25">
      <c r="A755" s="8">
        <v>3</v>
      </c>
      <c r="B755" s="8">
        <v>751</v>
      </c>
      <c r="C755" s="8">
        <v>62.583333333333329</v>
      </c>
      <c r="D755" s="46">
        <v>0</v>
      </c>
      <c r="E755" s="78">
        <v>1.3999999999999999E-4</v>
      </c>
      <c r="F755" s="78">
        <v>3.0000000000000001E-5</v>
      </c>
      <c r="J755" s="47"/>
      <c r="K755" s="47"/>
    </row>
    <row r="756" spans="1:11" x14ac:dyDescent="0.25">
      <c r="A756" s="8">
        <v>3</v>
      </c>
      <c r="B756" s="8">
        <v>752</v>
      </c>
      <c r="C756" s="8">
        <v>62.666666666666664</v>
      </c>
      <c r="D756" s="46">
        <v>0</v>
      </c>
      <c r="E756" s="78">
        <v>1.3999999999999999E-4</v>
      </c>
      <c r="F756" s="78">
        <v>3.0000000000000001E-5</v>
      </c>
      <c r="J756" s="47"/>
      <c r="K756" s="47"/>
    </row>
    <row r="757" spans="1:11" x14ac:dyDescent="0.25">
      <c r="A757" s="8">
        <v>3</v>
      </c>
      <c r="B757" s="8">
        <v>753</v>
      </c>
      <c r="C757" s="8">
        <v>62.75</v>
      </c>
      <c r="D757" s="46">
        <v>0</v>
      </c>
      <c r="E757" s="78">
        <v>1.3999999999999999E-4</v>
      </c>
      <c r="F757" s="78">
        <v>3.0000000000000001E-5</v>
      </c>
      <c r="J757" s="47"/>
      <c r="K757" s="47"/>
    </row>
    <row r="758" spans="1:11" x14ac:dyDescent="0.25">
      <c r="A758" s="8">
        <v>3</v>
      </c>
      <c r="B758" s="8">
        <v>754</v>
      </c>
      <c r="C758" s="8">
        <v>62.833333333333329</v>
      </c>
      <c r="D758" s="46">
        <v>0</v>
      </c>
      <c r="E758" s="78">
        <v>1.3999999999999999E-4</v>
      </c>
      <c r="F758" s="78">
        <v>3.0000000000000001E-5</v>
      </c>
      <c r="J758" s="47"/>
      <c r="K758" s="47"/>
    </row>
    <row r="759" spans="1:11" x14ac:dyDescent="0.25">
      <c r="A759" s="8">
        <v>3</v>
      </c>
      <c r="B759" s="8">
        <v>755</v>
      </c>
      <c r="C759" s="8">
        <v>62.916666666666664</v>
      </c>
      <c r="D759" s="46">
        <v>0</v>
      </c>
      <c r="E759" s="78">
        <v>1.3999999999999999E-4</v>
      </c>
      <c r="F759" s="78">
        <v>3.0000000000000001E-5</v>
      </c>
      <c r="J759" s="47"/>
      <c r="K759" s="47"/>
    </row>
    <row r="760" spans="1:11" x14ac:dyDescent="0.25">
      <c r="A760" s="8">
        <v>3</v>
      </c>
      <c r="B760" s="8">
        <v>756</v>
      </c>
      <c r="C760" s="8">
        <v>63</v>
      </c>
      <c r="D760" s="46">
        <v>0</v>
      </c>
      <c r="E760" s="78">
        <v>1.3999999999999999E-4</v>
      </c>
      <c r="F760" s="78">
        <v>3.0000000000000001E-5</v>
      </c>
      <c r="J760" s="47"/>
      <c r="K760" s="47"/>
    </row>
    <row r="761" spans="1:11" x14ac:dyDescent="0.25">
      <c r="A761" s="8">
        <v>3</v>
      </c>
      <c r="B761" s="8">
        <v>757</v>
      </c>
      <c r="C761" s="8">
        <v>63.083333333333329</v>
      </c>
      <c r="D761" s="46">
        <v>0</v>
      </c>
      <c r="E761" s="78">
        <v>1.3999999999999999E-4</v>
      </c>
      <c r="F761" s="78">
        <v>3.0000000000000001E-5</v>
      </c>
      <c r="J761" s="47"/>
      <c r="K761" s="47"/>
    </row>
    <row r="762" spans="1:11" x14ac:dyDescent="0.25">
      <c r="A762" s="8">
        <v>3</v>
      </c>
      <c r="B762" s="8">
        <v>758</v>
      </c>
      <c r="C762" s="8">
        <v>63.166666666666664</v>
      </c>
      <c r="D762" s="46">
        <v>0</v>
      </c>
      <c r="E762" s="78">
        <v>1.3999999999999999E-4</v>
      </c>
      <c r="F762" s="78">
        <v>3.0000000000000001E-5</v>
      </c>
      <c r="J762" s="47"/>
      <c r="K762" s="47"/>
    </row>
    <row r="763" spans="1:11" x14ac:dyDescent="0.25">
      <c r="A763" s="8">
        <v>3</v>
      </c>
      <c r="B763" s="8">
        <v>759</v>
      </c>
      <c r="C763" s="8">
        <v>63.25</v>
      </c>
      <c r="D763" s="46">
        <v>0</v>
      </c>
      <c r="E763" s="78">
        <v>1.3999999999999999E-4</v>
      </c>
      <c r="F763" s="78">
        <v>3.0000000000000001E-5</v>
      </c>
      <c r="J763" s="47"/>
      <c r="K763" s="47"/>
    </row>
    <row r="764" spans="1:11" x14ac:dyDescent="0.25">
      <c r="A764" s="8">
        <v>3</v>
      </c>
      <c r="B764" s="8">
        <v>760</v>
      </c>
      <c r="C764" s="8">
        <v>63.333333333333329</v>
      </c>
      <c r="D764" s="46">
        <v>0</v>
      </c>
      <c r="E764" s="78">
        <v>1.3999999999999999E-4</v>
      </c>
      <c r="F764" s="78">
        <v>3.0000000000000001E-5</v>
      </c>
      <c r="J764" s="47"/>
      <c r="K764" s="47"/>
    </row>
    <row r="765" spans="1:11" x14ac:dyDescent="0.25">
      <c r="A765" s="8">
        <v>3</v>
      </c>
      <c r="B765" s="8">
        <v>761</v>
      </c>
      <c r="C765" s="8">
        <v>63.416666666666664</v>
      </c>
      <c r="D765" s="46">
        <v>0</v>
      </c>
      <c r="E765" s="78">
        <v>1.3999999999999999E-4</v>
      </c>
      <c r="F765" s="78">
        <v>3.0000000000000001E-5</v>
      </c>
      <c r="J765" s="47"/>
      <c r="K765" s="47"/>
    </row>
    <row r="766" spans="1:11" x14ac:dyDescent="0.25">
      <c r="A766" s="8">
        <v>3</v>
      </c>
      <c r="B766" s="8">
        <v>762</v>
      </c>
      <c r="C766" s="8">
        <v>63.5</v>
      </c>
      <c r="D766" s="46">
        <v>0</v>
      </c>
      <c r="E766" s="78">
        <v>1.3999999999999999E-4</v>
      </c>
      <c r="F766" s="78">
        <v>3.0000000000000001E-5</v>
      </c>
      <c r="J766" s="47"/>
      <c r="K766" s="47"/>
    </row>
    <row r="767" spans="1:11" x14ac:dyDescent="0.25">
      <c r="A767" s="8">
        <v>3</v>
      </c>
      <c r="B767" s="8">
        <v>763</v>
      </c>
      <c r="C767" s="8">
        <v>63.583333333333329</v>
      </c>
      <c r="D767" s="46">
        <v>0</v>
      </c>
      <c r="E767" s="78">
        <v>1.3999999999999999E-4</v>
      </c>
      <c r="F767" s="78">
        <v>3.0000000000000001E-5</v>
      </c>
      <c r="J767" s="47"/>
      <c r="K767" s="47"/>
    </row>
    <row r="768" spans="1:11" x14ac:dyDescent="0.25">
      <c r="A768" s="8">
        <v>3</v>
      </c>
      <c r="B768" s="8">
        <v>764</v>
      </c>
      <c r="C768" s="8">
        <v>63.666666666666664</v>
      </c>
      <c r="D768" s="46">
        <v>0</v>
      </c>
      <c r="E768" s="78">
        <v>1.3999999999999999E-4</v>
      </c>
      <c r="F768" s="78">
        <v>3.0000000000000001E-5</v>
      </c>
      <c r="J768" s="47"/>
      <c r="K768" s="47"/>
    </row>
    <row r="769" spans="1:11" x14ac:dyDescent="0.25">
      <c r="A769" s="8">
        <v>3</v>
      </c>
      <c r="B769" s="8">
        <v>765</v>
      </c>
      <c r="C769" s="8">
        <v>63.75</v>
      </c>
      <c r="D769" s="46">
        <v>0</v>
      </c>
      <c r="E769" s="78">
        <v>1.3999999999999999E-4</v>
      </c>
      <c r="F769" s="78">
        <v>3.0000000000000001E-5</v>
      </c>
      <c r="J769" s="47"/>
      <c r="K769" s="47"/>
    </row>
    <row r="770" spans="1:11" x14ac:dyDescent="0.25">
      <c r="A770" s="8">
        <v>3</v>
      </c>
      <c r="B770" s="8">
        <v>766</v>
      </c>
      <c r="C770" s="8">
        <v>63.833333333333329</v>
      </c>
      <c r="D770" s="46">
        <v>0</v>
      </c>
      <c r="E770" s="78">
        <v>1.3999999999999999E-4</v>
      </c>
      <c r="F770" s="78">
        <v>3.0000000000000001E-5</v>
      </c>
      <c r="J770" s="47"/>
      <c r="K770" s="47"/>
    </row>
    <row r="771" spans="1:11" x14ac:dyDescent="0.25">
      <c r="A771" s="8">
        <v>3</v>
      </c>
      <c r="B771" s="8">
        <v>767</v>
      </c>
      <c r="C771" s="8">
        <v>63.916666666666664</v>
      </c>
      <c r="D771" s="46">
        <v>0</v>
      </c>
      <c r="E771" s="78">
        <v>1.3999999999999999E-4</v>
      </c>
      <c r="F771" s="78">
        <v>3.0000000000000001E-5</v>
      </c>
      <c r="J771" s="47"/>
      <c r="K771" s="47"/>
    </row>
    <row r="772" spans="1:11" x14ac:dyDescent="0.25">
      <c r="A772" s="8">
        <v>3</v>
      </c>
      <c r="B772" s="8">
        <v>768</v>
      </c>
      <c r="C772" s="8">
        <v>64</v>
      </c>
      <c r="D772" s="46">
        <v>0</v>
      </c>
      <c r="E772" s="78">
        <v>1.3999999999999999E-4</v>
      </c>
      <c r="F772" s="78">
        <v>3.0000000000000001E-5</v>
      </c>
      <c r="J772" s="47"/>
      <c r="K772" s="47"/>
    </row>
    <row r="773" spans="1:11" x14ac:dyDescent="0.25">
      <c r="A773" s="8">
        <v>3</v>
      </c>
      <c r="B773" s="8">
        <v>769</v>
      </c>
      <c r="C773" s="8">
        <v>64.083333333333329</v>
      </c>
      <c r="D773" s="46">
        <v>0</v>
      </c>
      <c r="E773" s="78">
        <v>1.3999999999999999E-4</v>
      </c>
      <c r="F773" s="78">
        <v>3.0000000000000001E-5</v>
      </c>
      <c r="J773" s="47"/>
      <c r="K773" s="47"/>
    </row>
    <row r="774" spans="1:11" x14ac:dyDescent="0.25">
      <c r="A774" s="8">
        <v>3</v>
      </c>
      <c r="B774" s="8">
        <v>770</v>
      </c>
      <c r="C774" s="8">
        <v>64.166666666666657</v>
      </c>
      <c r="D774" s="46">
        <v>0</v>
      </c>
      <c r="E774" s="78">
        <v>1.3999999999999999E-4</v>
      </c>
      <c r="F774" s="78">
        <v>3.0000000000000001E-5</v>
      </c>
      <c r="J774" s="47"/>
      <c r="K774" s="47"/>
    </row>
    <row r="775" spans="1:11" x14ac:dyDescent="0.25">
      <c r="A775" s="8">
        <v>3</v>
      </c>
      <c r="B775" s="8">
        <v>771</v>
      </c>
      <c r="C775" s="8">
        <v>64.25</v>
      </c>
      <c r="D775" s="46">
        <v>0</v>
      </c>
      <c r="E775" s="78">
        <v>1.3999999999999999E-4</v>
      </c>
      <c r="F775" s="78">
        <v>3.0000000000000001E-5</v>
      </c>
      <c r="J775" s="47"/>
      <c r="K775" s="47"/>
    </row>
    <row r="776" spans="1:11" x14ac:dyDescent="0.25">
      <c r="A776" s="8">
        <v>3</v>
      </c>
      <c r="B776" s="8">
        <v>772</v>
      </c>
      <c r="C776" s="8">
        <v>64.333333333333329</v>
      </c>
      <c r="D776" s="46">
        <v>0</v>
      </c>
      <c r="E776" s="78">
        <v>1.3999999999999999E-4</v>
      </c>
      <c r="F776" s="78">
        <v>3.0000000000000001E-5</v>
      </c>
      <c r="J776" s="47"/>
      <c r="K776" s="47"/>
    </row>
    <row r="777" spans="1:11" x14ac:dyDescent="0.25">
      <c r="A777" s="8">
        <v>3</v>
      </c>
      <c r="B777" s="8">
        <v>773</v>
      </c>
      <c r="C777" s="8">
        <v>64.416666666666657</v>
      </c>
      <c r="D777" s="46">
        <v>0</v>
      </c>
      <c r="E777" s="78">
        <v>1.3999999999999999E-4</v>
      </c>
      <c r="F777" s="78">
        <v>3.0000000000000001E-5</v>
      </c>
      <c r="J777" s="47"/>
      <c r="K777" s="47"/>
    </row>
    <row r="778" spans="1:11" x14ac:dyDescent="0.25">
      <c r="A778" s="8">
        <v>3</v>
      </c>
      <c r="B778" s="8">
        <v>774</v>
      </c>
      <c r="C778" s="8">
        <v>64.5</v>
      </c>
      <c r="D778" s="46">
        <v>0</v>
      </c>
      <c r="E778" s="78">
        <v>1.3999999999999999E-4</v>
      </c>
      <c r="F778" s="78">
        <v>3.0000000000000001E-5</v>
      </c>
      <c r="J778" s="47"/>
      <c r="K778" s="47"/>
    </row>
    <row r="779" spans="1:11" x14ac:dyDescent="0.25">
      <c r="A779" s="8">
        <v>3</v>
      </c>
      <c r="B779" s="8">
        <v>775</v>
      </c>
      <c r="C779" s="8">
        <v>64.583333333333329</v>
      </c>
      <c r="D779" s="46">
        <v>0</v>
      </c>
      <c r="E779" s="78">
        <v>1.3999999999999999E-4</v>
      </c>
      <c r="F779" s="78">
        <v>3.0000000000000001E-5</v>
      </c>
      <c r="J779" s="47"/>
      <c r="K779" s="47"/>
    </row>
    <row r="780" spans="1:11" x14ac:dyDescent="0.25">
      <c r="A780" s="8">
        <v>3</v>
      </c>
      <c r="B780" s="8">
        <v>776</v>
      </c>
      <c r="C780" s="8">
        <v>64.666666666666657</v>
      </c>
      <c r="D780" s="46">
        <v>0</v>
      </c>
      <c r="E780" s="78">
        <v>1.3999999999999999E-4</v>
      </c>
      <c r="F780" s="78">
        <v>3.0000000000000001E-5</v>
      </c>
      <c r="J780" s="47"/>
      <c r="K780" s="47"/>
    </row>
    <row r="781" spans="1:11" x14ac:dyDescent="0.25">
      <c r="A781" s="8">
        <v>3</v>
      </c>
      <c r="B781" s="8">
        <v>777</v>
      </c>
      <c r="C781" s="8">
        <v>64.75</v>
      </c>
      <c r="D781" s="46">
        <v>0</v>
      </c>
      <c r="E781" s="78">
        <v>1.3999999999999999E-4</v>
      </c>
      <c r="F781" s="78">
        <v>3.0000000000000001E-5</v>
      </c>
      <c r="J781" s="47"/>
      <c r="K781" s="47"/>
    </row>
    <row r="782" spans="1:11" x14ac:dyDescent="0.25">
      <c r="A782" s="8">
        <v>3</v>
      </c>
      <c r="B782" s="8">
        <v>778</v>
      </c>
      <c r="C782" s="8">
        <v>64.833333333333329</v>
      </c>
      <c r="D782" s="46">
        <v>0</v>
      </c>
      <c r="E782" s="78">
        <v>1.3999999999999999E-4</v>
      </c>
      <c r="F782" s="78">
        <v>3.0000000000000001E-5</v>
      </c>
      <c r="J782" s="47"/>
      <c r="K782" s="47"/>
    </row>
    <row r="783" spans="1:11" x14ac:dyDescent="0.25">
      <c r="A783" s="8">
        <v>3</v>
      </c>
      <c r="B783" s="8">
        <v>779</v>
      </c>
      <c r="C783" s="8">
        <v>64.916666666666657</v>
      </c>
      <c r="D783" s="46">
        <v>0</v>
      </c>
      <c r="E783" s="78">
        <v>1.3999999999999999E-4</v>
      </c>
      <c r="F783" s="78">
        <v>3.0000000000000001E-5</v>
      </c>
      <c r="J783" s="47"/>
      <c r="K783" s="47"/>
    </row>
    <row r="784" spans="1:11" x14ac:dyDescent="0.25">
      <c r="A784" s="8">
        <v>3</v>
      </c>
      <c r="B784" s="8">
        <v>780</v>
      </c>
      <c r="C784" s="8">
        <v>65</v>
      </c>
      <c r="D784" s="46">
        <v>0</v>
      </c>
      <c r="E784" s="78">
        <v>1.3999999999999999E-4</v>
      </c>
      <c r="F784" s="78">
        <v>3.0000000000000001E-5</v>
      </c>
      <c r="J784" s="47"/>
      <c r="K784" s="47"/>
    </row>
    <row r="785" spans="1:11" x14ac:dyDescent="0.25">
      <c r="A785" s="8">
        <v>3</v>
      </c>
      <c r="B785" s="8">
        <v>781</v>
      </c>
      <c r="C785" s="8">
        <v>65.083333333333329</v>
      </c>
      <c r="D785" s="46">
        <v>0</v>
      </c>
      <c r="E785" s="78">
        <v>1.3999999999999999E-4</v>
      </c>
      <c r="F785" s="78">
        <v>3.0000000000000001E-5</v>
      </c>
      <c r="J785" s="47"/>
      <c r="K785" s="47"/>
    </row>
    <row r="786" spans="1:11" x14ac:dyDescent="0.25">
      <c r="A786" s="8">
        <v>3</v>
      </c>
      <c r="B786" s="8">
        <v>782</v>
      </c>
      <c r="C786" s="8">
        <v>65.166666666666657</v>
      </c>
      <c r="D786" s="46">
        <v>0</v>
      </c>
      <c r="E786" s="78">
        <v>1.3999999999999999E-4</v>
      </c>
      <c r="F786" s="78">
        <v>3.0000000000000001E-5</v>
      </c>
      <c r="J786" s="47"/>
      <c r="K786" s="47"/>
    </row>
    <row r="787" spans="1:11" x14ac:dyDescent="0.25">
      <c r="A787" s="8">
        <v>3</v>
      </c>
      <c r="B787" s="8">
        <v>783</v>
      </c>
      <c r="C787" s="8">
        <v>65.25</v>
      </c>
      <c r="D787" s="46">
        <v>0</v>
      </c>
      <c r="E787" s="78">
        <v>1.3999999999999999E-4</v>
      </c>
      <c r="F787" s="78">
        <v>3.0000000000000001E-5</v>
      </c>
      <c r="J787" s="47"/>
      <c r="K787" s="47"/>
    </row>
    <row r="788" spans="1:11" x14ac:dyDescent="0.25">
      <c r="A788" s="8">
        <v>3</v>
      </c>
      <c r="B788" s="8">
        <v>784</v>
      </c>
      <c r="C788" s="8">
        <v>65.333333333333329</v>
      </c>
      <c r="D788" s="46">
        <v>0</v>
      </c>
      <c r="E788" s="78">
        <v>1.3999999999999999E-4</v>
      </c>
      <c r="F788" s="78">
        <v>3.0000000000000001E-5</v>
      </c>
      <c r="J788" s="47"/>
      <c r="K788" s="47"/>
    </row>
    <row r="789" spans="1:11" x14ac:dyDescent="0.25">
      <c r="A789" s="8">
        <v>3</v>
      </c>
      <c r="B789" s="8">
        <v>785</v>
      </c>
      <c r="C789" s="8">
        <v>65.416666666666657</v>
      </c>
      <c r="D789" s="46">
        <v>0</v>
      </c>
      <c r="E789" s="78">
        <v>1.3999999999999999E-4</v>
      </c>
      <c r="F789" s="78">
        <v>3.0000000000000001E-5</v>
      </c>
      <c r="J789" s="47"/>
      <c r="K789" s="47"/>
    </row>
    <row r="790" spans="1:11" x14ac:dyDescent="0.25">
      <c r="A790" s="8">
        <v>3</v>
      </c>
      <c r="B790" s="8">
        <v>786</v>
      </c>
      <c r="C790" s="8">
        <v>65.5</v>
      </c>
      <c r="D790" s="46">
        <v>0</v>
      </c>
      <c r="E790" s="78">
        <v>1.3999999999999999E-4</v>
      </c>
      <c r="F790" s="78">
        <v>3.0000000000000001E-5</v>
      </c>
      <c r="J790" s="47"/>
      <c r="K790" s="47"/>
    </row>
    <row r="791" spans="1:11" x14ac:dyDescent="0.25">
      <c r="A791" s="8">
        <v>3</v>
      </c>
      <c r="B791" s="8">
        <v>787</v>
      </c>
      <c r="C791" s="8">
        <v>65.583333333333329</v>
      </c>
      <c r="D791" s="46">
        <v>0</v>
      </c>
      <c r="E791" s="78">
        <v>1.3999999999999999E-4</v>
      </c>
      <c r="F791" s="78">
        <v>3.0000000000000001E-5</v>
      </c>
      <c r="J791" s="47"/>
      <c r="K791" s="47"/>
    </row>
    <row r="792" spans="1:11" x14ac:dyDescent="0.25">
      <c r="A792" s="8">
        <v>3</v>
      </c>
      <c r="B792" s="8">
        <v>788</v>
      </c>
      <c r="C792" s="8">
        <v>65.666666666666657</v>
      </c>
      <c r="D792" s="46">
        <v>0</v>
      </c>
      <c r="E792" s="78">
        <v>1.3999999999999999E-4</v>
      </c>
      <c r="F792" s="78">
        <v>3.0000000000000001E-5</v>
      </c>
      <c r="J792" s="47"/>
      <c r="K792" s="47"/>
    </row>
    <row r="793" spans="1:11" x14ac:dyDescent="0.25">
      <c r="A793" s="8">
        <v>3</v>
      </c>
      <c r="B793" s="8">
        <v>789</v>
      </c>
      <c r="C793" s="8">
        <v>65.75</v>
      </c>
      <c r="D793" s="46">
        <v>0</v>
      </c>
      <c r="E793" s="78">
        <v>1.3999999999999999E-4</v>
      </c>
      <c r="F793" s="78">
        <v>3.0000000000000001E-5</v>
      </c>
      <c r="J793" s="47"/>
      <c r="K793" s="47"/>
    </row>
    <row r="794" spans="1:11" x14ac:dyDescent="0.25">
      <c r="A794" s="8">
        <v>3</v>
      </c>
      <c r="B794" s="8">
        <v>790</v>
      </c>
      <c r="C794" s="8">
        <v>65.833333333333329</v>
      </c>
      <c r="D794" s="46">
        <v>0</v>
      </c>
      <c r="E794" s="78">
        <v>1.3999999999999999E-4</v>
      </c>
      <c r="F794" s="78">
        <v>3.0000000000000001E-5</v>
      </c>
      <c r="J794" s="47"/>
      <c r="K794" s="47"/>
    </row>
    <row r="795" spans="1:11" x14ac:dyDescent="0.25">
      <c r="A795" s="8">
        <v>3</v>
      </c>
      <c r="B795" s="8">
        <v>791</v>
      </c>
      <c r="C795" s="8">
        <v>65.916666666666657</v>
      </c>
      <c r="D795" s="46">
        <v>0</v>
      </c>
      <c r="E795" s="78">
        <v>1.3999999999999999E-4</v>
      </c>
      <c r="F795" s="78">
        <v>3.0000000000000001E-5</v>
      </c>
      <c r="J795" s="47"/>
      <c r="K795" s="47"/>
    </row>
    <row r="796" spans="1:11" x14ac:dyDescent="0.25">
      <c r="A796" s="8">
        <v>3</v>
      </c>
      <c r="B796" s="8">
        <v>792</v>
      </c>
      <c r="C796" s="8">
        <v>66</v>
      </c>
      <c r="D796" s="46">
        <v>0</v>
      </c>
      <c r="E796" s="78">
        <v>1.3999999999999999E-4</v>
      </c>
      <c r="F796" s="78">
        <v>3.0000000000000001E-5</v>
      </c>
      <c r="J796" s="47"/>
      <c r="K796" s="47"/>
    </row>
    <row r="797" spans="1:11" x14ac:dyDescent="0.25">
      <c r="A797" s="8">
        <v>3</v>
      </c>
      <c r="B797" s="8">
        <v>793</v>
      </c>
      <c r="C797" s="8">
        <v>66.083333333333329</v>
      </c>
      <c r="D797" s="46">
        <v>0</v>
      </c>
      <c r="E797" s="78">
        <v>1.3999999999999999E-4</v>
      </c>
      <c r="F797" s="78">
        <v>3.0000000000000001E-5</v>
      </c>
      <c r="J797" s="47"/>
      <c r="K797" s="47"/>
    </row>
    <row r="798" spans="1:11" x14ac:dyDescent="0.25">
      <c r="A798" s="8">
        <v>3</v>
      </c>
      <c r="B798" s="8">
        <v>794</v>
      </c>
      <c r="C798" s="8">
        <v>66.166666666666657</v>
      </c>
      <c r="D798" s="46">
        <v>0</v>
      </c>
      <c r="E798" s="78">
        <v>1.3999999999999999E-4</v>
      </c>
      <c r="F798" s="78">
        <v>3.0000000000000001E-5</v>
      </c>
      <c r="J798" s="47"/>
      <c r="K798" s="47"/>
    </row>
    <row r="799" spans="1:11" x14ac:dyDescent="0.25">
      <c r="A799" s="8">
        <v>3</v>
      </c>
      <c r="B799" s="8">
        <v>795</v>
      </c>
      <c r="C799" s="8">
        <v>66.25</v>
      </c>
      <c r="D799" s="46">
        <v>0</v>
      </c>
      <c r="E799" s="78">
        <v>1.3999999999999999E-4</v>
      </c>
      <c r="F799" s="78">
        <v>3.0000000000000001E-5</v>
      </c>
      <c r="J799" s="47"/>
      <c r="K799" s="47"/>
    </row>
    <row r="800" spans="1:11" x14ac:dyDescent="0.25">
      <c r="A800" s="8">
        <v>3</v>
      </c>
      <c r="B800" s="8">
        <v>796</v>
      </c>
      <c r="C800" s="8">
        <v>66.333333333333329</v>
      </c>
      <c r="D800" s="46">
        <v>0</v>
      </c>
      <c r="E800" s="78">
        <v>1.3999999999999999E-4</v>
      </c>
      <c r="F800" s="78">
        <v>3.0000000000000001E-5</v>
      </c>
      <c r="J800" s="47"/>
      <c r="K800" s="47"/>
    </row>
    <row r="801" spans="1:11" x14ac:dyDescent="0.25">
      <c r="A801" s="8">
        <v>3</v>
      </c>
      <c r="B801" s="8">
        <v>797</v>
      </c>
      <c r="C801" s="8">
        <v>66.416666666666657</v>
      </c>
      <c r="D801" s="46">
        <v>0</v>
      </c>
      <c r="E801" s="78">
        <v>1.3999999999999999E-4</v>
      </c>
      <c r="F801" s="78">
        <v>3.0000000000000001E-5</v>
      </c>
      <c r="J801" s="47"/>
      <c r="K801" s="47"/>
    </row>
    <row r="802" spans="1:11" x14ac:dyDescent="0.25">
      <c r="A802" s="8">
        <v>3</v>
      </c>
      <c r="B802" s="8">
        <v>798</v>
      </c>
      <c r="C802" s="8">
        <v>66.5</v>
      </c>
      <c r="D802" s="46">
        <v>0</v>
      </c>
      <c r="E802" s="78">
        <v>1.3999999999999999E-4</v>
      </c>
      <c r="F802" s="78">
        <v>3.0000000000000001E-5</v>
      </c>
      <c r="J802" s="47"/>
      <c r="K802" s="47"/>
    </row>
    <row r="803" spans="1:11" x14ac:dyDescent="0.25">
      <c r="A803" s="8">
        <v>3</v>
      </c>
      <c r="B803" s="8">
        <v>799</v>
      </c>
      <c r="C803" s="8">
        <v>66.583333333333329</v>
      </c>
      <c r="D803" s="46">
        <v>0</v>
      </c>
      <c r="E803" s="78">
        <v>1.3999999999999999E-4</v>
      </c>
      <c r="F803" s="78">
        <v>3.0000000000000001E-5</v>
      </c>
      <c r="J803" s="47"/>
      <c r="K803" s="47"/>
    </row>
    <row r="804" spans="1:11" x14ac:dyDescent="0.25">
      <c r="A804" s="8">
        <v>3</v>
      </c>
      <c r="B804" s="8">
        <v>800</v>
      </c>
      <c r="C804" s="8">
        <v>66.666666666666657</v>
      </c>
      <c r="D804" s="46">
        <v>0</v>
      </c>
      <c r="E804" s="78">
        <v>1.3999999999999999E-4</v>
      </c>
      <c r="F804" s="78">
        <v>3.0000000000000001E-5</v>
      </c>
      <c r="J804" s="47"/>
      <c r="K804" s="47"/>
    </row>
    <row r="805" spans="1:11" x14ac:dyDescent="0.25">
      <c r="A805" s="8">
        <v>3</v>
      </c>
      <c r="B805" s="8">
        <v>801</v>
      </c>
      <c r="C805" s="8">
        <v>66.75</v>
      </c>
      <c r="D805" s="46">
        <v>0</v>
      </c>
      <c r="E805" s="78">
        <v>1.3999999999999999E-4</v>
      </c>
      <c r="F805" s="78">
        <v>3.0000000000000001E-5</v>
      </c>
      <c r="J805" s="47"/>
      <c r="K805" s="47"/>
    </row>
    <row r="806" spans="1:11" x14ac:dyDescent="0.25">
      <c r="A806" s="8">
        <v>3</v>
      </c>
      <c r="B806" s="8">
        <v>802</v>
      </c>
      <c r="C806" s="8">
        <v>66.833333333333329</v>
      </c>
      <c r="D806" s="46">
        <v>0</v>
      </c>
      <c r="E806" s="78">
        <v>1.3999999999999999E-4</v>
      </c>
      <c r="F806" s="78">
        <v>3.0000000000000001E-5</v>
      </c>
      <c r="J806" s="47"/>
      <c r="K806" s="47"/>
    </row>
    <row r="807" spans="1:11" x14ac:dyDescent="0.25">
      <c r="A807" s="8">
        <v>3</v>
      </c>
      <c r="B807" s="8">
        <v>803</v>
      </c>
      <c r="C807" s="8">
        <v>66.916666666666657</v>
      </c>
      <c r="D807" s="46">
        <v>0</v>
      </c>
      <c r="E807" s="78">
        <v>1.3999999999999999E-4</v>
      </c>
      <c r="F807" s="78">
        <v>3.0000000000000001E-5</v>
      </c>
      <c r="J807" s="47"/>
      <c r="K807" s="47"/>
    </row>
    <row r="808" spans="1:11" x14ac:dyDescent="0.25">
      <c r="A808" s="8">
        <v>3</v>
      </c>
      <c r="B808" s="8">
        <v>804</v>
      </c>
      <c r="C808" s="8">
        <v>67</v>
      </c>
      <c r="D808" s="46">
        <v>0</v>
      </c>
      <c r="E808" s="78">
        <v>1.3999999999999999E-4</v>
      </c>
      <c r="F808" s="78">
        <v>3.0000000000000001E-5</v>
      </c>
      <c r="J808" s="47"/>
      <c r="K808" s="47"/>
    </row>
    <row r="809" spans="1:11" x14ac:dyDescent="0.25">
      <c r="A809" s="8">
        <v>3</v>
      </c>
      <c r="B809" s="8">
        <v>805</v>
      </c>
      <c r="C809" s="8">
        <v>67.083333333333329</v>
      </c>
      <c r="D809" s="46">
        <v>0</v>
      </c>
      <c r="E809" s="78">
        <v>1.3999999999999999E-4</v>
      </c>
      <c r="F809" s="78">
        <v>3.0000000000000001E-5</v>
      </c>
      <c r="J809" s="47"/>
      <c r="K809" s="47"/>
    </row>
    <row r="810" spans="1:11" x14ac:dyDescent="0.25">
      <c r="A810" s="8">
        <v>3</v>
      </c>
      <c r="B810" s="8">
        <v>806</v>
      </c>
      <c r="C810" s="8">
        <v>67.166666666666657</v>
      </c>
      <c r="D810" s="46">
        <v>0</v>
      </c>
      <c r="E810" s="78">
        <v>1.3999999999999999E-4</v>
      </c>
      <c r="F810" s="78">
        <v>3.0000000000000001E-5</v>
      </c>
      <c r="J810" s="47"/>
      <c r="K810" s="47"/>
    </row>
    <row r="811" spans="1:11" x14ac:dyDescent="0.25">
      <c r="A811" s="8">
        <v>3</v>
      </c>
      <c r="B811" s="8">
        <v>807</v>
      </c>
      <c r="C811" s="8">
        <v>67.25</v>
      </c>
      <c r="D811" s="46">
        <v>0</v>
      </c>
      <c r="E811" s="78">
        <v>1.3999999999999999E-4</v>
      </c>
      <c r="F811" s="78">
        <v>3.0000000000000001E-5</v>
      </c>
      <c r="J811" s="47"/>
      <c r="K811" s="47"/>
    </row>
    <row r="812" spans="1:11" x14ac:dyDescent="0.25">
      <c r="A812" s="8">
        <v>3</v>
      </c>
      <c r="B812" s="8">
        <v>808</v>
      </c>
      <c r="C812" s="8">
        <v>67.333333333333329</v>
      </c>
      <c r="D812" s="46">
        <v>0</v>
      </c>
      <c r="E812" s="78">
        <v>1.3999999999999999E-4</v>
      </c>
      <c r="F812" s="78">
        <v>3.0000000000000001E-5</v>
      </c>
      <c r="J812" s="47"/>
      <c r="K812" s="47"/>
    </row>
    <row r="813" spans="1:11" x14ac:dyDescent="0.25">
      <c r="A813" s="8">
        <v>3</v>
      </c>
      <c r="B813" s="8">
        <v>809</v>
      </c>
      <c r="C813" s="8">
        <v>67.416666666666657</v>
      </c>
      <c r="D813" s="46">
        <v>0</v>
      </c>
      <c r="E813" s="78">
        <v>1.3999999999999999E-4</v>
      </c>
      <c r="F813" s="78">
        <v>3.0000000000000001E-5</v>
      </c>
      <c r="J813" s="47"/>
      <c r="K813" s="47"/>
    </row>
    <row r="814" spans="1:11" x14ac:dyDescent="0.25">
      <c r="A814" s="8">
        <v>3</v>
      </c>
      <c r="B814" s="8">
        <v>810</v>
      </c>
      <c r="C814" s="8">
        <v>67.5</v>
      </c>
      <c r="D814" s="46">
        <v>0</v>
      </c>
      <c r="E814" s="78">
        <v>1.3999999999999999E-4</v>
      </c>
      <c r="F814" s="78">
        <v>3.0000000000000001E-5</v>
      </c>
      <c r="J814" s="47"/>
      <c r="K814" s="47"/>
    </row>
    <row r="815" spans="1:11" x14ac:dyDescent="0.25">
      <c r="A815" s="8">
        <v>3</v>
      </c>
      <c r="B815" s="8">
        <v>811</v>
      </c>
      <c r="C815" s="8">
        <v>67.583333333333329</v>
      </c>
      <c r="D815" s="46">
        <v>0</v>
      </c>
      <c r="E815" s="78">
        <v>1.3999999999999999E-4</v>
      </c>
      <c r="F815" s="78">
        <v>3.0000000000000001E-5</v>
      </c>
      <c r="J815" s="47"/>
      <c r="K815" s="47"/>
    </row>
    <row r="816" spans="1:11" x14ac:dyDescent="0.25">
      <c r="A816" s="8">
        <v>3</v>
      </c>
      <c r="B816" s="8">
        <v>812</v>
      </c>
      <c r="C816" s="8">
        <v>67.666666666666657</v>
      </c>
      <c r="D816" s="46">
        <v>0</v>
      </c>
      <c r="E816" s="78">
        <v>1.3999999999999999E-4</v>
      </c>
      <c r="F816" s="78">
        <v>3.0000000000000001E-5</v>
      </c>
      <c r="J816" s="47"/>
      <c r="K816" s="47"/>
    </row>
    <row r="817" spans="1:11" x14ac:dyDescent="0.25">
      <c r="A817" s="8">
        <v>3</v>
      </c>
      <c r="B817" s="8">
        <v>813</v>
      </c>
      <c r="C817" s="8">
        <v>67.75</v>
      </c>
      <c r="D817" s="46">
        <v>0</v>
      </c>
      <c r="E817" s="78">
        <v>1.3999999999999999E-4</v>
      </c>
      <c r="F817" s="78">
        <v>3.0000000000000001E-5</v>
      </c>
      <c r="J817" s="47"/>
      <c r="K817" s="47"/>
    </row>
    <row r="818" spans="1:11" x14ac:dyDescent="0.25">
      <c r="A818" s="8">
        <v>3</v>
      </c>
      <c r="B818" s="8">
        <v>814</v>
      </c>
      <c r="C818" s="8">
        <v>67.833333333333329</v>
      </c>
      <c r="D818" s="46">
        <v>0</v>
      </c>
      <c r="E818" s="78">
        <v>1.3999999999999999E-4</v>
      </c>
      <c r="F818" s="78">
        <v>3.0000000000000001E-5</v>
      </c>
      <c r="J818" s="47"/>
      <c r="K818" s="47"/>
    </row>
    <row r="819" spans="1:11" x14ac:dyDescent="0.25">
      <c r="A819" s="8">
        <v>3</v>
      </c>
      <c r="B819" s="8">
        <v>815</v>
      </c>
      <c r="C819" s="8">
        <v>67.916666666666657</v>
      </c>
      <c r="D819" s="46">
        <v>0</v>
      </c>
      <c r="E819" s="78">
        <v>1.3999999999999999E-4</v>
      </c>
      <c r="F819" s="78">
        <v>3.0000000000000001E-5</v>
      </c>
      <c r="J819" s="47"/>
      <c r="K819" s="47"/>
    </row>
    <row r="820" spans="1:11" x14ac:dyDescent="0.25">
      <c r="A820" s="8">
        <v>3</v>
      </c>
      <c r="B820" s="8">
        <v>816</v>
      </c>
      <c r="C820" s="8">
        <v>68</v>
      </c>
      <c r="D820" s="46">
        <v>0</v>
      </c>
      <c r="E820" s="78">
        <v>1.3999999999999999E-4</v>
      </c>
      <c r="F820" s="78">
        <v>3.0000000000000001E-5</v>
      </c>
      <c r="J820" s="47"/>
      <c r="K820" s="47"/>
    </row>
    <row r="821" spans="1:11" x14ac:dyDescent="0.25">
      <c r="A821" s="8">
        <v>3</v>
      </c>
      <c r="B821" s="8">
        <v>817</v>
      </c>
      <c r="C821" s="8">
        <v>68.083333333333329</v>
      </c>
      <c r="D821" s="46">
        <v>0</v>
      </c>
      <c r="E821" s="78">
        <v>1.3999999999999999E-4</v>
      </c>
      <c r="F821" s="78">
        <v>3.0000000000000001E-5</v>
      </c>
      <c r="J821" s="47"/>
      <c r="K821" s="47"/>
    </row>
    <row r="822" spans="1:11" x14ac:dyDescent="0.25">
      <c r="A822" s="8">
        <v>3</v>
      </c>
      <c r="B822" s="8">
        <v>818</v>
      </c>
      <c r="C822" s="8">
        <v>68.166666666666657</v>
      </c>
      <c r="D822" s="46">
        <v>0</v>
      </c>
      <c r="E822" s="78">
        <v>1.3999999999999999E-4</v>
      </c>
      <c r="F822" s="78">
        <v>3.0000000000000001E-5</v>
      </c>
      <c r="J822" s="47"/>
      <c r="K822" s="47"/>
    </row>
    <row r="823" spans="1:11" x14ac:dyDescent="0.25">
      <c r="A823" s="8">
        <v>3</v>
      </c>
      <c r="B823" s="8">
        <v>819</v>
      </c>
      <c r="C823" s="8">
        <v>68.25</v>
      </c>
      <c r="D823" s="46">
        <v>0</v>
      </c>
      <c r="E823" s="78">
        <v>1.3999999999999999E-4</v>
      </c>
      <c r="F823" s="78">
        <v>3.0000000000000001E-5</v>
      </c>
      <c r="J823" s="47"/>
      <c r="K823" s="47"/>
    </row>
    <row r="824" spans="1:11" x14ac:dyDescent="0.25">
      <c r="A824" s="8">
        <v>3</v>
      </c>
      <c r="B824" s="8">
        <v>820</v>
      </c>
      <c r="C824" s="8">
        <v>68.333333333333329</v>
      </c>
      <c r="D824" s="46">
        <v>0</v>
      </c>
      <c r="E824" s="78">
        <v>1.3999999999999999E-4</v>
      </c>
      <c r="F824" s="78">
        <v>3.0000000000000001E-5</v>
      </c>
      <c r="J824" s="47"/>
      <c r="K824" s="47"/>
    </row>
    <row r="825" spans="1:11" x14ac:dyDescent="0.25">
      <c r="A825" s="8">
        <v>3</v>
      </c>
      <c r="B825" s="8">
        <v>821</v>
      </c>
      <c r="C825" s="8">
        <v>68.416666666666657</v>
      </c>
      <c r="D825" s="46">
        <v>0</v>
      </c>
      <c r="E825" s="78">
        <v>1.3999999999999999E-4</v>
      </c>
      <c r="F825" s="78">
        <v>3.0000000000000001E-5</v>
      </c>
      <c r="J825" s="47"/>
      <c r="K825" s="47"/>
    </row>
    <row r="826" spans="1:11" x14ac:dyDescent="0.25">
      <c r="A826" s="8">
        <v>3</v>
      </c>
      <c r="B826" s="8">
        <v>822</v>
      </c>
      <c r="C826" s="8">
        <v>68.5</v>
      </c>
      <c r="D826" s="46">
        <v>0</v>
      </c>
      <c r="E826" s="78">
        <v>1.3999999999999999E-4</v>
      </c>
      <c r="F826" s="78">
        <v>3.0000000000000001E-5</v>
      </c>
      <c r="J826" s="47"/>
      <c r="K826" s="47"/>
    </row>
    <row r="827" spans="1:11" x14ac:dyDescent="0.25">
      <c r="A827" s="8">
        <v>3</v>
      </c>
      <c r="B827" s="8">
        <v>823</v>
      </c>
      <c r="C827" s="8">
        <v>68.583333333333329</v>
      </c>
      <c r="D827" s="46">
        <v>0</v>
      </c>
      <c r="E827" s="78">
        <v>1.3999999999999999E-4</v>
      </c>
      <c r="F827" s="78">
        <v>3.0000000000000001E-5</v>
      </c>
      <c r="J827" s="47"/>
      <c r="K827" s="47"/>
    </row>
    <row r="828" spans="1:11" x14ac:dyDescent="0.25">
      <c r="A828" s="8">
        <v>3</v>
      </c>
      <c r="B828" s="8">
        <v>824</v>
      </c>
      <c r="C828" s="8">
        <v>68.666666666666657</v>
      </c>
      <c r="D828" s="46">
        <v>0</v>
      </c>
      <c r="E828" s="78">
        <v>1.3999999999999999E-4</v>
      </c>
      <c r="F828" s="78">
        <v>3.0000000000000001E-5</v>
      </c>
      <c r="J828" s="47"/>
      <c r="K828" s="47"/>
    </row>
    <row r="829" spans="1:11" x14ac:dyDescent="0.25">
      <c r="A829" s="8">
        <v>3</v>
      </c>
      <c r="B829" s="8">
        <v>825</v>
      </c>
      <c r="C829" s="8">
        <v>68.75</v>
      </c>
      <c r="D829" s="46">
        <v>0</v>
      </c>
      <c r="E829" s="78">
        <v>1.3999999999999999E-4</v>
      </c>
      <c r="F829" s="78">
        <v>3.0000000000000001E-5</v>
      </c>
      <c r="J829" s="47"/>
      <c r="K829" s="47"/>
    </row>
    <row r="830" spans="1:11" x14ac:dyDescent="0.25">
      <c r="A830" s="8">
        <v>3</v>
      </c>
      <c r="B830" s="8">
        <v>826</v>
      </c>
      <c r="C830" s="8">
        <v>68.833333333333329</v>
      </c>
      <c r="D830" s="46">
        <v>0</v>
      </c>
      <c r="E830" s="78">
        <v>1.3999999999999999E-4</v>
      </c>
      <c r="F830" s="78">
        <v>3.0000000000000001E-5</v>
      </c>
      <c r="J830" s="47"/>
      <c r="K830" s="47"/>
    </row>
    <row r="831" spans="1:11" x14ac:dyDescent="0.25">
      <c r="A831" s="8">
        <v>3</v>
      </c>
      <c r="B831" s="8">
        <v>827</v>
      </c>
      <c r="C831" s="8">
        <v>68.916666666666657</v>
      </c>
      <c r="D831" s="46">
        <v>0</v>
      </c>
      <c r="E831" s="78">
        <v>1.3999999999999999E-4</v>
      </c>
      <c r="F831" s="78">
        <v>3.0000000000000001E-5</v>
      </c>
      <c r="J831" s="47"/>
      <c r="K831" s="47"/>
    </row>
    <row r="832" spans="1:11" x14ac:dyDescent="0.25">
      <c r="A832" s="8">
        <v>3</v>
      </c>
      <c r="B832" s="8">
        <v>828</v>
      </c>
      <c r="C832" s="8">
        <v>69</v>
      </c>
      <c r="D832" s="46">
        <v>0</v>
      </c>
      <c r="E832" s="78">
        <v>1.3999999999999999E-4</v>
      </c>
      <c r="F832" s="78">
        <v>3.0000000000000001E-5</v>
      </c>
      <c r="J832" s="47"/>
      <c r="K832" s="47"/>
    </row>
    <row r="833" spans="1:11" x14ac:dyDescent="0.25">
      <c r="A833" s="8">
        <v>3</v>
      </c>
      <c r="B833" s="8">
        <v>829</v>
      </c>
      <c r="C833" s="8">
        <v>69.083333333333329</v>
      </c>
      <c r="D833" s="46">
        <v>0</v>
      </c>
      <c r="E833" s="78">
        <v>1.3999999999999999E-4</v>
      </c>
      <c r="F833" s="78">
        <v>3.0000000000000001E-5</v>
      </c>
      <c r="J833" s="47"/>
      <c r="K833" s="47"/>
    </row>
    <row r="834" spans="1:11" x14ac:dyDescent="0.25">
      <c r="A834" s="8">
        <v>3</v>
      </c>
      <c r="B834" s="8">
        <v>830</v>
      </c>
      <c r="C834" s="8">
        <v>69.166666666666657</v>
      </c>
      <c r="D834" s="46">
        <v>0</v>
      </c>
      <c r="E834" s="78">
        <v>1.3999999999999999E-4</v>
      </c>
      <c r="F834" s="78">
        <v>3.0000000000000001E-5</v>
      </c>
      <c r="J834" s="47"/>
      <c r="K834" s="47"/>
    </row>
    <row r="835" spans="1:11" x14ac:dyDescent="0.25">
      <c r="A835" s="8">
        <v>3</v>
      </c>
      <c r="B835" s="8">
        <v>831</v>
      </c>
      <c r="C835" s="8">
        <v>69.25</v>
      </c>
      <c r="D835" s="46">
        <v>0</v>
      </c>
      <c r="E835" s="78">
        <v>1.3999999999999999E-4</v>
      </c>
      <c r="F835" s="78">
        <v>3.0000000000000001E-5</v>
      </c>
      <c r="J835" s="47"/>
      <c r="K835" s="47"/>
    </row>
    <row r="836" spans="1:11" x14ac:dyDescent="0.25">
      <c r="A836" s="8">
        <v>3</v>
      </c>
      <c r="B836" s="8">
        <v>832</v>
      </c>
      <c r="C836" s="8">
        <v>69.333333333333329</v>
      </c>
      <c r="D836" s="46">
        <v>0</v>
      </c>
      <c r="E836" s="78">
        <v>1.3999999999999999E-4</v>
      </c>
      <c r="F836" s="78">
        <v>3.0000000000000001E-5</v>
      </c>
      <c r="J836" s="47"/>
      <c r="K836" s="47"/>
    </row>
    <row r="837" spans="1:11" x14ac:dyDescent="0.25">
      <c r="A837" s="8">
        <v>3</v>
      </c>
      <c r="B837" s="8">
        <v>833</v>
      </c>
      <c r="C837" s="8">
        <v>69.416666666666657</v>
      </c>
      <c r="D837" s="46">
        <v>0</v>
      </c>
      <c r="E837" s="78">
        <v>1.3999999999999999E-4</v>
      </c>
      <c r="F837" s="78">
        <v>3.0000000000000001E-5</v>
      </c>
      <c r="J837" s="47"/>
      <c r="K837" s="47"/>
    </row>
    <row r="838" spans="1:11" x14ac:dyDescent="0.25">
      <c r="A838" s="8">
        <v>3</v>
      </c>
      <c r="B838" s="8">
        <v>834</v>
      </c>
      <c r="C838" s="8">
        <v>69.5</v>
      </c>
      <c r="D838" s="46">
        <v>0</v>
      </c>
      <c r="E838" s="78">
        <v>1.3999999999999999E-4</v>
      </c>
      <c r="F838" s="78">
        <v>3.0000000000000001E-5</v>
      </c>
      <c r="J838" s="47"/>
      <c r="K838" s="47"/>
    </row>
    <row r="839" spans="1:11" x14ac:dyDescent="0.25">
      <c r="A839" s="8">
        <v>3</v>
      </c>
      <c r="B839" s="8">
        <v>835</v>
      </c>
      <c r="C839" s="8">
        <v>69.583333333333329</v>
      </c>
      <c r="D839" s="46">
        <v>0</v>
      </c>
      <c r="E839" s="78">
        <v>1.3999999999999999E-4</v>
      </c>
      <c r="F839" s="78">
        <v>3.0000000000000001E-5</v>
      </c>
      <c r="J839" s="47"/>
      <c r="K839" s="47"/>
    </row>
    <row r="840" spans="1:11" x14ac:dyDescent="0.25">
      <c r="A840" s="8">
        <v>3</v>
      </c>
      <c r="B840" s="8">
        <v>836</v>
      </c>
      <c r="C840" s="8">
        <v>69.666666666666657</v>
      </c>
      <c r="D840" s="46">
        <v>0</v>
      </c>
      <c r="E840" s="78">
        <v>1.3999999999999999E-4</v>
      </c>
      <c r="F840" s="78">
        <v>3.0000000000000001E-5</v>
      </c>
      <c r="J840" s="47"/>
      <c r="K840" s="47"/>
    </row>
    <row r="841" spans="1:11" x14ac:dyDescent="0.25">
      <c r="A841" s="8">
        <v>3</v>
      </c>
      <c r="B841" s="8">
        <v>837</v>
      </c>
      <c r="C841" s="8">
        <v>69.75</v>
      </c>
      <c r="D841" s="46">
        <v>0</v>
      </c>
      <c r="E841" s="78">
        <v>1.3999999999999999E-4</v>
      </c>
      <c r="F841" s="78">
        <v>3.0000000000000001E-5</v>
      </c>
      <c r="J841" s="47"/>
      <c r="K841" s="47"/>
    </row>
    <row r="842" spans="1:11" x14ac:dyDescent="0.25">
      <c r="A842" s="8">
        <v>3</v>
      </c>
      <c r="B842" s="8">
        <v>838</v>
      </c>
      <c r="C842" s="8">
        <v>69.833333333333329</v>
      </c>
      <c r="D842" s="46">
        <v>0</v>
      </c>
      <c r="E842" s="78">
        <v>1.3999999999999999E-4</v>
      </c>
      <c r="F842" s="78">
        <v>3.0000000000000001E-5</v>
      </c>
      <c r="J842" s="47"/>
      <c r="K842" s="47"/>
    </row>
    <row r="843" spans="1:11" x14ac:dyDescent="0.25">
      <c r="A843" s="8">
        <v>3</v>
      </c>
      <c r="B843" s="8">
        <v>839</v>
      </c>
      <c r="C843" s="8">
        <v>69.916666666666657</v>
      </c>
      <c r="D843" s="46">
        <v>0</v>
      </c>
      <c r="E843" s="78">
        <v>1.3999999999999999E-4</v>
      </c>
      <c r="F843" s="78">
        <v>3.0000000000000001E-5</v>
      </c>
      <c r="J843" s="47"/>
      <c r="K843" s="47"/>
    </row>
    <row r="844" spans="1:11" x14ac:dyDescent="0.25">
      <c r="A844" s="8">
        <v>3</v>
      </c>
      <c r="B844" s="8">
        <v>840</v>
      </c>
      <c r="C844" s="8">
        <v>70</v>
      </c>
      <c r="D844" s="46">
        <v>0</v>
      </c>
      <c r="E844" s="78">
        <v>1.3999999999999999E-4</v>
      </c>
      <c r="F844" s="78">
        <v>3.0000000000000001E-5</v>
      </c>
      <c r="J844" s="47"/>
      <c r="K844" s="47"/>
    </row>
    <row r="845" spans="1:11" x14ac:dyDescent="0.25">
      <c r="A845" s="8">
        <v>3</v>
      </c>
      <c r="B845" s="8">
        <v>841</v>
      </c>
      <c r="C845" s="8">
        <v>70.083333333333329</v>
      </c>
      <c r="D845" s="46">
        <v>0</v>
      </c>
      <c r="E845" s="78">
        <v>1.3999999999999999E-4</v>
      </c>
      <c r="F845" s="78">
        <v>3.0000000000000001E-5</v>
      </c>
      <c r="J845" s="47"/>
      <c r="K845" s="47"/>
    </row>
    <row r="846" spans="1:11" x14ac:dyDescent="0.25">
      <c r="A846" s="8">
        <v>3</v>
      </c>
      <c r="B846" s="8">
        <v>842</v>
      </c>
      <c r="C846" s="8">
        <v>70.166666666666657</v>
      </c>
      <c r="D846" s="46">
        <v>0</v>
      </c>
      <c r="E846" s="78">
        <v>1.3999999999999999E-4</v>
      </c>
      <c r="F846" s="78">
        <v>3.0000000000000001E-5</v>
      </c>
      <c r="J846" s="47"/>
      <c r="K846" s="47"/>
    </row>
    <row r="847" spans="1:11" x14ac:dyDescent="0.25">
      <c r="A847" s="8">
        <v>3</v>
      </c>
      <c r="B847" s="8">
        <v>843</v>
      </c>
      <c r="C847" s="8">
        <v>70.25</v>
      </c>
      <c r="D847" s="46">
        <v>0</v>
      </c>
      <c r="E847" s="78">
        <v>1.3999999999999999E-4</v>
      </c>
      <c r="F847" s="78">
        <v>3.0000000000000001E-5</v>
      </c>
      <c r="J847" s="47"/>
      <c r="K847" s="47"/>
    </row>
    <row r="848" spans="1:11" x14ac:dyDescent="0.25">
      <c r="A848" s="8">
        <v>3</v>
      </c>
      <c r="B848" s="8">
        <v>844</v>
      </c>
      <c r="C848" s="8">
        <v>70.333333333333329</v>
      </c>
      <c r="D848" s="46">
        <v>0</v>
      </c>
      <c r="E848" s="78">
        <v>1.3999999999999999E-4</v>
      </c>
      <c r="F848" s="78">
        <v>3.0000000000000001E-5</v>
      </c>
      <c r="J848" s="47"/>
      <c r="K848" s="47"/>
    </row>
    <row r="849" spans="1:11" x14ac:dyDescent="0.25">
      <c r="A849" s="8">
        <v>3</v>
      </c>
      <c r="B849" s="8">
        <v>845</v>
      </c>
      <c r="C849" s="8">
        <v>70.416666666666657</v>
      </c>
      <c r="D849" s="46">
        <v>0</v>
      </c>
      <c r="E849" s="78">
        <v>1.3999999999999999E-4</v>
      </c>
      <c r="F849" s="78">
        <v>3.0000000000000001E-5</v>
      </c>
      <c r="J849" s="47"/>
      <c r="K849" s="47"/>
    </row>
    <row r="850" spans="1:11" x14ac:dyDescent="0.25">
      <c r="A850" s="8">
        <v>3</v>
      </c>
      <c r="B850" s="8">
        <v>846</v>
      </c>
      <c r="C850" s="8">
        <v>70.5</v>
      </c>
      <c r="D850" s="46">
        <v>0</v>
      </c>
      <c r="E850" s="78">
        <v>1.3999999999999999E-4</v>
      </c>
      <c r="F850" s="78">
        <v>3.0000000000000001E-5</v>
      </c>
      <c r="J850" s="47"/>
      <c r="K850" s="47"/>
    </row>
    <row r="851" spans="1:11" x14ac:dyDescent="0.25">
      <c r="A851" s="8">
        <v>3</v>
      </c>
      <c r="B851" s="8">
        <v>847</v>
      </c>
      <c r="C851" s="8">
        <v>70.583333333333329</v>
      </c>
      <c r="D851" s="46">
        <v>0</v>
      </c>
      <c r="E851" s="78">
        <v>1.3999999999999999E-4</v>
      </c>
      <c r="F851" s="78">
        <v>3.0000000000000001E-5</v>
      </c>
      <c r="J851" s="47"/>
      <c r="K851" s="47"/>
    </row>
    <row r="852" spans="1:11" x14ac:dyDescent="0.25">
      <c r="A852" s="8">
        <v>3</v>
      </c>
      <c r="B852" s="8">
        <v>848</v>
      </c>
      <c r="C852" s="8">
        <v>70.666666666666657</v>
      </c>
      <c r="D852" s="46">
        <v>0</v>
      </c>
      <c r="E852" s="78">
        <v>1.3999999999999999E-4</v>
      </c>
      <c r="F852" s="78">
        <v>3.0000000000000001E-5</v>
      </c>
      <c r="J852" s="47"/>
      <c r="K852" s="47"/>
    </row>
    <row r="853" spans="1:11" x14ac:dyDescent="0.25">
      <c r="A853" s="8">
        <v>3</v>
      </c>
      <c r="B853" s="8">
        <v>849</v>
      </c>
      <c r="C853" s="8">
        <v>70.75</v>
      </c>
      <c r="D853" s="46">
        <v>0</v>
      </c>
      <c r="E853" s="78">
        <v>1.3999999999999999E-4</v>
      </c>
      <c r="F853" s="78">
        <v>3.0000000000000001E-5</v>
      </c>
      <c r="J853" s="47"/>
      <c r="K853" s="47"/>
    </row>
    <row r="854" spans="1:11" x14ac:dyDescent="0.25">
      <c r="A854" s="8">
        <v>3</v>
      </c>
      <c r="B854" s="8">
        <v>850</v>
      </c>
      <c r="C854" s="8">
        <v>70.833333333333329</v>
      </c>
      <c r="D854" s="46">
        <v>0</v>
      </c>
      <c r="E854" s="78">
        <v>1.3999999999999999E-4</v>
      </c>
      <c r="F854" s="78">
        <v>3.0000000000000001E-5</v>
      </c>
      <c r="J854" s="47"/>
      <c r="K854" s="47"/>
    </row>
    <row r="855" spans="1:11" x14ac:dyDescent="0.25">
      <c r="A855" s="8">
        <v>3</v>
      </c>
      <c r="B855" s="8">
        <v>851</v>
      </c>
      <c r="C855" s="8">
        <v>70.916666666666657</v>
      </c>
      <c r="D855" s="46">
        <v>0</v>
      </c>
      <c r="E855" s="78">
        <v>1.3999999999999999E-4</v>
      </c>
      <c r="F855" s="78">
        <v>3.0000000000000001E-5</v>
      </c>
      <c r="J855" s="47"/>
      <c r="K855" s="47"/>
    </row>
    <row r="856" spans="1:11" x14ac:dyDescent="0.25">
      <c r="A856" s="8">
        <v>3</v>
      </c>
      <c r="B856" s="8">
        <v>852</v>
      </c>
      <c r="C856" s="8">
        <v>71</v>
      </c>
      <c r="D856" s="46">
        <v>0</v>
      </c>
      <c r="E856" s="78">
        <v>1.3999999999999999E-4</v>
      </c>
      <c r="F856" s="78">
        <v>3.0000000000000001E-5</v>
      </c>
      <c r="J856" s="47"/>
      <c r="K856" s="47"/>
    </row>
    <row r="857" spans="1:11" x14ac:dyDescent="0.25">
      <c r="A857" s="8">
        <v>3</v>
      </c>
      <c r="B857" s="8">
        <v>853</v>
      </c>
      <c r="C857" s="8">
        <v>71.083333333333329</v>
      </c>
      <c r="D857" s="46">
        <v>0</v>
      </c>
      <c r="E857" s="78">
        <v>1.3999999999999999E-4</v>
      </c>
      <c r="F857" s="78">
        <v>3.0000000000000001E-5</v>
      </c>
      <c r="J857" s="47"/>
      <c r="K857" s="47"/>
    </row>
    <row r="858" spans="1:11" x14ac:dyDescent="0.25">
      <c r="A858" s="8">
        <v>3</v>
      </c>
      <c r="B858" s="8">
        <v>854</v>
      </c>
      <c r="C858" s="8">
        <v>71.166666666666657</v>
      </c>
      <c r="D858" s="46">
        <v>0</v>
      </c>
      <c r="E858" s="78">
        <v>1.3999999999999999E-4</v>
      </c>
      <c r="F858" s="78">
        <v>3.0000000000000001E-5</v>
      </c>
      <c r="J858" s="47"/>
      <c r="K858" s="47"/>
    </row>
    <row r="859" spans="1:11" x14ac:dyDescent="0.25">
      <c r="A859" s="8">
        <v>3</v>
      </c>
      <c r="B859" s="8">
        <v>855</v>
      </c>
      <c r="C859" s="8">
        <v>71.25</v>
      </c>
      <c r="D859" s="46">
        <v>0</v>
      </c>
      <c r="E859" s="78">
        <v>1.3999999999999999E-4</v>
      </c>
      <c r="F859" s="78">
        <v>3.0000000000000001E-5</v>
      </c>
      <c r="J859" s="47"/>
      <c r="K859" s="47"/>
    </row>
    <row r="860" spans="1:11" x14ac:dyDescent="0.25">
      <c r="A860" s="8">
        <v>3</v>
      </c>
      <c r="B860" s="8">
        <v>856</v>
      </c>
      <c r="C860" s="8">
        <v>71.333333333333329</v>
      </c>
      <c r="D860" s="46">
        <v>0</v>
      </c>
      <c r="E860" s="78">
        <v>1.3999999999999999E-4</v>
      </c>
      <c r="F860" s="78">
        <v>3.0000000000000001E-5</v>
      </c>
      <c r="J860" s="47"/>
      <c r="K860" s="47"/>
    </row>
    <row r="861" spans="1:11" x14ac:dyDescent="0.25">
      <c r="A861" s="8">
        <v>3</v>
      </c>
      <c r="B861" s="8">
        <v>857</v>
      </c>
      <c r="C861" s="8">
        <v>71.416666666666657</v>
      </c>
      <c r="D861" s="46">
        <v>0</v>
      </c>
      <c r="E861" s="78">
        <v>1.3999999999999999E-4</v>
      </c>
      <c r="F861" s="78">
        <v>3.0000000000000001E-5</v>
      </c>
      <c r="J861" s="47"/>
      <c r="K861" s="47"/>
    </row>
    <row r="862" spans="1:11" x14ac:dyDescent="0.25">
      <c r="A862" s="8">
        <v>3</v>
      </c>
      <c r="B862" s="8">
        <v>858</v>
      </c>
      <c r="C862" s="8">
        <v>71.5</v>
      </c>
      <c r="D862" s="46">
        <v>0</v>
      </c>
      <c r="E862" s="78">
        <v>1.3999999999999999E-4</v>
      </c>
      <c r="F862" s="78">
        <v>3.0000000000000001E-5</v>
      </c>
      <c r="J862" s="47"/>
      <c r="K862" s="47"/>
    </row>
    <row r="863" spans="1:11" x14ac:dyDescent="0.25">
      <c r="A863" s="8">
        <v>3</v>
      </c>
      <c r="B863" s="8">
        <v>859</v>
      </c>
      <c r="C863" s="8">
        <v>71.583333333333329</v>
      </c>
      <c r="D863" s="46">
        <v>0</v>
      </c>
      <c r="E863" s="78">
        <v>1.3999999999999999E-4</v>
      </c>
      <c r="F863" s="78">
        <v>3.0000000000000001E-5</v>
      </c>
      <c r="J863" s="47"/>
      <c r="K863" s="47"/>
    </row>
    <row r="864" spans="1:11" x14ac:dyDescent="0.25">
      <c r="A864" s="8">
        <v>3</v>
      </c>
      <c r="B864" s="8">
        <v>860</v>
      </c>
      <c r="C864" s="8">
        <v>71.666666666666657</v>
      </c>
      <c r="D864" s="46">
        <v>0</v>
      </c>
      <c r="E864" s="78">
        <v>1.3999999999999999E-4</v>
      </c>
      <c r="F864" s="78">
        <v>3.0000000000000001E-5</v>
      </c>
      <c r="J864" s="47"/>
      <c r="K864" s="47"/>
    </row>
    <row r="865" spans="1:11" x14ac:dyDescent="0.25">
      <c r="A865" s="8">
        <v>3</v>
      </c>
      <c r="B865" s="8">
        <v>861</v>
      </c>
      <c r="C865" s="8">
        <v>71.75</v>
      </c>
      <c r="D865" s="46">
        <v>0</v>
      </c>
      <c r="E865" s="78">
        <v>1.3999999999999999E-4</v>
      </c>
      <c r="F865" s="78">
        <v>3.0000000000000001E-5</v>
      </c>
      <c r="J865" s="47"/>
      <c r="K865" s="47"/>
    </row>
    <row r="866" spans="1:11" x14ac:dyDescent="0.25">
      <c r="A866" s="8">
        <v>3</v>
      </c>
      <c r="B866" s="8">
        <v>862</v>
      </c>
      <c r="C866" s="8">
        <v>71.833333333333329</v>
      </c>
      <c r="D866" s="46">
        <v>0</v>
      </c>
      <c r="E866" s="78">
        <v>1.3999999999999999E-4</v>
      </c>
      <c r="F866" s="78">
        <v>3.0000000000000001E-5</v>
      </c>
      <c r="J866" s="47"/>
      <c r="K866" s="47"/>
    </row>
    <row r="867" spans="1:11" x14ac:dyDescent="0.25">
      <c r="A867" s="8">
        <v>3</v>
      </c>
      <c r="B867" s="8">
        <v>863</v>
      </c>
      <c r="C867" s="8">
        <v>71.916666666666657</v>
      </c>
      <c r="D867" s="46">
        <v>0</v>
      </c>
      <c r="E867" s="78">
        <v>1.3999999999999999E-4</v>
      </c>
      <c r="F867" s="78">
        <v>3.0000000000000001E-5</v>
      </c>
      <c r="J867" s="47"/>
      <c r="K867" s="47"/>
    </row>
    <row r="868" spans="1:11" x14ac:dyDescent="0.25">
      <c r="A868" s="8">
        <v>3</v>
      </c>
      <c r="B868" s="8">
        <v>864</v>
      </c>
      <c r="C868" s="8">
        <v>72</v>
      </c>
      <c r="D868" s="46">
        <v>0</v>
      </c>
      <c r="E868" s="78">
        <v>1.3999999999999999E-4</v>
      </c>
      <c r="F868" s="78">
        <v>3.0000000000000001E-5</v>
      </c>
      <c r="J868" s="47"/>
      <c r="K868" s="47"/>
    </row>
    <row r="869" spans="1:11" x14ac:dyDescent="0.25">
      <c r="A869" s="8">
        <v>4</v>
      </c>
      <c r="B869" s="8">
        <v>865</v>
      </c>
      <c r="C869" s="8">
        <v>72.083333333333329</v>
      </c>
      <c r="D869" s="46">
        <v>0</v>
      </c>
      <c r="E869" s="78">
        <v>1.3999999999999999E-4</v>
      </c>
      <c r="F869" s="78">
        <v>3.0000000000000001E-5</v>
      </c>
      <c r="J869" s="47"/>
      <c r="K869" s="47"/>
    </row>
    <row r="870" spans="1:11" x14ac:dyDescent="0.25">
      <c r="A870" s="8">
        <v>4</v>
      </c>
      <c r="B870" s="8">
        <v>866</v>
      </c>
      <c r="C870" s="8">
        <v>72.166666666666657</v>
      </c>
      <c r="D870" s="46">
        <v>0</v>
      </c>
      <c r="E870" s="78">
        <v>1.3999999999999999E-4</v>
      </c>
      <c r="F870" s="78">
        <v>3.0000000000000001E-5</v>
      </c>
      <c r="J870" s="47"/>
      <c r="K870" s="47"/>
    </row>
    <row r="871" spans="1:11" x14ac:dyDescent="0.25">
      <c r="A871" s="8">
        <v>4</v>
      </c>
      <c r="B871" s="8">
        <v>867</v>
      </c>
      <c r="C871" s="8">
        <v>72.25</v>
      </c>
      <c r="D871" s="46">
        <v>0</v>
      </c>
      <c r="E871" s="78">
        <v>1.3999999999999999E-4</v>
      </c>
      <c r="F871" s="78">
        <v>3.0000000000000001E-5</v>
      </c>
      <c r="J871" s="47"/>
      <c r="K871" s="47"/>
    </row>
    <row r="872" spans="1:11" x14ac:dyDescent="0.25">
      <c r="A872" s="8">
        <v>4</v>
      </c>
      <c r="B872" s="8">
        <v>868</v>
      </c>
      <c r="C872" s="8">
        <v>72.333333333333329</v>
      </c>
      <c r="D872" s="46">
        <v>0</v>
      </c>
      <c r="E872" s="78">
        <v>1.3999999999999999E-4</v>
      </c>
      <c r="F872" s="78">
        <v>3.0000000000000001E-5</v>
      </c>
      <c r="J872" s="47"/>
      <c r="K872" s="47"/>
    </row>
    <row r="873" spans="1:11" x14ac:dyDescent="0.25">
      <c r="A873" s="8">
        <v>4</v>
      </c>
      <c r="B873" s="8">
        <v>869</v>
      </c>
      <c r="C873" s="8">
        <v>72.416666666666657</v>
      </c>
      <c r="D873" s="46">
        <v>0</v>
      </c>
      <c r="E873" s="78">
        <v>1.3999999999999999E-4</v>
      </c>
      <c r="F873" s="78">
        <v>3.0000000000000001E-5</v>
      </c>
      <c r="J873" s="47"/>
      <c r="K873" s="47"/>
    </row>
    <row r="874" spans="1:11" x14ac:dyDescent="0.25">
      <c r="A874" s="8">
        <v>4</v>
      </c>
      <c r="B874" s="8">
        <v>870</v>
      </c>
      <c r="C874" s="8">
        <v>72.5</v>
      </c>
      <c r="D874" s="46">
        <v>0</v>
      </c>
      <c r="E874" s="78">
        <v>1.3999999999999999E-4</v>
      </c>
      <c r="F874" s="78">
        <v>3.0000000000000001E-5</v>
      </c>
      <c r="J874" s="47"/>
      <c r="K874" s="47"/>
    </row>
    <row r="875" spans="1:11" x14ac:dyDescent="0.25">
      <c r="A875" s="8">
        <v>4</v>
      </c>
      <c r="B875" s="8">
        <v>871</v>
      </c>
      <c r="C875" s="8">
        <v>72.583333333333329</v>
      </c>
      <c r="D875" s="46">
        <v>0</v>
      </c>
      <c r="E875" s="78">
        <v>1.3999999999999999E-4</v>
      </c>
      <c r="F875" s="78">
        <v>3.0000000000000001E-5</v>
      </c>
      <c r="J875" s="47"/>
      <c r="K875" s="47"/>
    </row>
    <row r="876" spans="1:11" x14ac:dyDescent="0.25">
      <c r="A876" s="8">
        <v>4</v>
      </c>
      <c r="B876" s="8">
        <v>872</v>
      </c>
      <c r="C876" s="8">
        <v>72.666666666666657</v>
      </c>
      <c r="D876" s="46">
        <v>0</v>
      </c>
      <c r="E876" s="78">
        <v>1.3999999999999999E-4</v>
      </c>
      <c r="F876" s="78">
        <v>3.0000000000000001E-5</v>
      </c>
      <c r="J876" s="47"/>
      <c r="K876" s="47"/>
    </row>
    <row r="877" spans="1:11" x14ac:dyDescent="0.25">
      <c r="A877" s="8">
        <v>4</v>
      </c>
      <c r="B877" s="8">
        <v>873</v>
      </c>
      <c r="C877" s="8">
        <v>72.75</v>
      </c>
      <c r="D877" s="46">
        <v>0</v>
      </c>
      <c r="E877" s="78">
        <v>1.3999999999999999E-4</v>
      </c>
      <c r="F877" s="78">
        <v>3.0000000000000001E-5</v>
      </c>
      <c r="J877" s="47"/>
      <c r="K877" s="47"/>
    </row>
    <row r="878" spans="1:11" x14ac:dyDescent="0.25">
      <c r="A878" s="8">
        <v>4</v>
      </c>
      <c r="B878" s="8">
        <v>874</v>
      </c>
      <c r="C878" s="8">
        <v>72.833333333333329</v>
      </c>
      <c r="D878" s="46">
        <v>0</v>
      </c>
      <c r="E878" s="78">
        <v>1.3999999999999999E-4</v>
      </c>
      <c r="F878" s="78">
        <v>3.0000000000000001E-5</v>
      </c>
      <c r="J878" s="47"/>
      <c r="K878" s="47"/>
    </row>
    <row r="879" spans="1:11" x14ac:dyDescent="0.25">
      <c r="A879" s="8">
        <v>4</v>
      </c>
      <c r="B879" s="8">
        <v>875</v>
      </c>
      <c r="C879" s="8">
        <v>72.916666666666657</v>
      </c>
      <c r="D879" s="46">
        <v>0</v>
      </c>
      <c r="E879" s="78">
        <v>1.3999999999999999E-4</v>
      </c>
      <c r="F879" s="78">
        <v>3.0000000000000001E-5</v>
      </c>
      <c r="J879" s="47"/>
      <c r="K879" s="47"/>
    </row>
    <row r="880" spans="1:11" x14ac:dyDescent="0.25">
      <c r="A880" s="8">
        <v>4</v>
      </c>
      <c r="B880" s="8">
        <v>876</v>
      </c>
      <c r="C880" s="8">
        <v>73</v>
      </c>
      <c r="D880" s="46">
        <v>0</v>
      </c>
      <c r="E880" s="78">
        <v>1.3999999999999999E-4</v>
      </c>
      <c r="F880" s="78">
        <v>3.0000000000000001E-5</v>
      </c>
      <c r="J880" s="47"/>
      <c r="K880" s="47"/>
    </row>
    <row r="881" spans="1:11" x14ac:dyDescent="0.25">
      <c r="A881" s="8">
        <v>4</v>
      </c>
      <c r="B881" s="8">
        <v>877</v>
      </c>
      <c r="C881" s="8">
        <v>73.083333333333329</v>
      </c>
      <c r="D881" s="46">
        <v>0</v>
      </c>
      <c r="E881" s="78">
        <v>1.3999999999999999E-4</v>
      </c>
      <c r="F881" s="78">
        <v>3.0000000000000001E-5</v>
      </c>
      <c r="J881" s="47"/>
      <c r="K881" s="47"/>
    </row>
    <row r="882" spans="1:11" x14ac:dyDescent="0.25">
      <c r="A882" s="8">
        <v>4</v>
      </c>
      <c r="B882" s="8">
        <v>878</v>
      </c>
      <c r="C882" s="8">
        <v>73.166666666666657</v>
      </c>
      <c r="D882" s="46">
        <v>0</v>
      </c>
      <c r="E882" s="78">
        <v>1.3999999999999999E-4</v>
      </c>
      <c r="F882" s="78">
        <v>3.0000000000000001E-5</v>
      </c>
      <c r="J882" s="47"/>
      <c r="K882" s="47"/>
    </row>
    <row r="883" spans="1:11" x14ac:dyDescent="0.25">
      <c r="A883" s="8">
        <v>4</v>
      </c>
      <c r="B883" s="8">
        <v>879</v>
      </c>
      <c r="C883" s="8">
        <v>73.25</v>
      </c>
      <c r="D883" s="46">
        <v>0</v>
      </c>
      <c r="E883" s="78">
        <v>1.3999999999999999E-4</v>
      </c>
      <c r="F883" s="78">
        <v>3.0000000000000001E-5</v>
      </c>
      <c r="J883" s="47"/>
      <c r="K883" s="47"/>
    </row>
    <row r="884" spans="1:11" x14ac:dyDescent="0.25">
      <c r="A884" s="8">
        <v>4</v>
      </c>
      <c r="B884" s="8">
        <v>880</v>
      </c>
      <c r="C884" s="8">
        <v>73.333333333333329</v>
      </c>
      <c r="D884" s="46">
        <v>0</v>
      </c>
      <c r="E884" s="78">
        <v>1.3999999999999999E-4</v>
      </c>
      <c r="F884" s="78">
        <v>3.0000000000000001E-5</v>
      </c>
      <c r="J884" s="47"/>
      <c r="K884" s="47"/>
    </row>
    <row r="885" spans="1:11" x14ac:dyDescent="0.25">
      <c r="A885" s="8">
        <v>4</v>
      </c>
      <c r="B885" s="8">
        <v>881</v>
      </c>
      <c r="C885" s="8">
        <v>73.416666666666657</v>
      </c>
      <c r="D885" s="46">
        <v>0</v>
      </c>
      <c r="E885" s="78">
        <v>1.3999999999999999E-4</v>
      </c>
      <c r="F885" s="78">
        <v>3.0000000000000001E-5</v>
      </c>
      <c r="J885" s="47"/>
      <c r="K885" s="47"/>
    </row>
    <row r="886" spans="1:11" x14ac:dyDescent="0.25">
      <c r="A886" s="8">
        <v>4</v>
      </c>
      <c r="B886" s="8">
        <v>882</v>
      </c>
      <c r="C886" s="8">
        <v>73.5</v>
      </c>
      <c r="D886" s="46">
        <v>0</v>
      </c>
      <c r="E886" s="78">
        <v>1.3999999999999999E-4</v>
      </c>
      <c r="F886" s="78">
        <v>3.0000000000000001E-5</v>
      </c>
      <c r="J886" s="47"/>
      <c r="K886" s="47"/>
    </row>
    <row r="887" spans="1:11" x14ac:dyDescent="0.25">
      <c r="A887" s="8">
        <v>4</v>
      </c>
      <c r="B887" s="8">
        <v>883</v>
      </c>
      <c r="C887" s="8">
        <v>73.583333333333329</v>
      </c>
      <c r="D887" s="46">
        <v>0</v>
      </c>
      <c r="E887" s="78">
        <v>1.3999999999999999E-4</v>
      </c>
      <c r="F887" s="78">
        <v>3.0000000000000001E-5</v>
      </c>
      <c r="J887" s="47"/>
      <c r="K887" s="47"/>
    </row>
    <row r="888" spans="1:11" x14ac:dyDescent="0.25">
      <c r="A888" s="8">
        <v>4</v>
      </c>
      <c r="B888" s="8">
        <v>884</v>
      </c>
      <c r="C888" s="8">
        <v>73.666666666666657</v>
      </c>
      <c r="D888" s="46">
        <v>0</v>
      </c>
      <c r="E888" s="78">
        <v>1.3999999999999999E-4</v>
      </c>
      <c r="F888" s="78">
        <v>3.0000000000000001E-5</v>
      </c>
      <c r="J888" s="47"/>
      <c r="K888" s="47"/>
    </row>
    <row r="889" spans="1:11" x14ac:dyDescent="0.25">
      <c r="A889" s="8">
        <v>4</v>
      </c>
      <c r="B889" s="8">
        <v>885</v>
      </c>
      <c r="C889" s="8">
        <v>73.75</v>
      </c>
      <c r="D889" s="46">
        <v>0</v>
      </c>
      <c r="E889" s="78">
        <v>1.3999999999999999E-4</v>
      </c>
      <c r="F889" s="78">
        <v>3.0000000000000001E-5</v>
      </c>
      <c r="J889" s="47"/>
      <c r="K889" s="47"/>
    </row>
    <row r="890" spans="1:11" x14ac:dyDescent="0.25">
      <c r="A890" s="8">
        <v>4</v>
      </c>
      <c r="B890" s="8">
        <v>886</v>
      </c>
      <c r="C890" s="8">
        <v>73.833333333333329</v>
      </c>
      <c r="D890" s="46">
        <v>0</v>
      </c>
      <c r="E890" s="78">
        <v>1.3999999999999999E-4</v>
      </c>
      <c r="F890" s="78">
        <v>3.0000000000000001E-5</v>
      </c>
      <c r="J890" s="47"/>
      <c r="K890" s="47"/>
    </row>
    <row r="891" spans="1:11" x14ac:dyDescent="0.25">
      <c r="A891" s="8">
        <v>4</v>
      </c>
      <c r="B891" s="8">
        <v>887</v>
      </c>
      <c r="C891" s="8">
        <v>73.916666666666657</v>
      </c>
      <c r="D891" s="46">
        <v>0</v>
      </c>
      <c r="E891" s="78">
        <v>1.3999999999999999E-4</v>
      </c>
      <c r="F891" s="78">
        <v>3.0000000000000001E-5</v>
      </c>
      <c r="J891" s="47"/>
      <c r="K891" s="47"/>
    </row>
    <row r="892" spans="1:11" x14ac:dyDescent="0.25">
      <c r="A892" s="8">
        <v>4</v>
      </c>
      <c r="B892" s="8">
        <v>888</v>
      </c>
      <c r="C892" s="8">
        <v>74</v>
      </c>
      <c r="D892" s="46">
        <v>0</v>
      </c>
      <c r="E892" s="78">
        <v>1.3999999999999999E-4</v>
      </c>
      <c r="F892" s="78">
        <v>3.0000000000000001E-5</v>
      </c>
      <c r="J892" s="47"/>
      <c r="K892" s="47"/>
    </row>
    <row r="893" spans="1:11" x14ac:dyDescent="0.25">
      <c r="A893" s="8">
        <v>4</v>
      </c>
      <c r="B893" s="8">
        <v>889</v>
      </c>
      <c r="C893" s="8">
        <v>74.083333333333329</v>
      </c>
      <c r="D893" s="46">
        <v>0</v>
      </c>
      <c r="E893" s="78">
        <v>1.3999999999999999E-4</v>
      </c>
      <c r="F893" s="78">
        <v>3.0000000000000001E-5</v>
      </c>
      <c r="J893" s="47"/>
      <c r="K893" s="47"/>
    </row>
    <row r="894" spans="1:11" x14ac:dyDescent="0.25">
      <c r="A894" s="8">
        <v>4</v>
      </c>
      <c r="B894" s="8">
        <v>890</v>
      </c>
      <c r="C894" s="8">
        <v>74.166666666666657</v>
      </c>
      <c r="D894" s="46">
        <v>0</v>
      </c>
      <c r="E894" s="78">
        <v>1.3999999999999999E-4</v>
      </c>
      <c r="F894" s="78">
        <v>3.0000000000000001E-5</v>
      </c>
      <c r="J894" s="47"/>
      <c r="K894" s="47"/>
    </row>
    <row r="895" spans="1:11" x14ac:dyDescent="0.25">
      <c r="A895" s="8">
        <v>4</v>
      </c>
      <c r="B895" s="8">
        <v>891</v>
      </c>
      <c r="C895" s="8">
        <v>74.25</v>
      </c>
      <c r="D895" s="46">
        <v>0</v>
      </c>
      <c r="E895" s="78">
        <v>1.3999999999999999E-4</v>
      </c>
      <c r="F895" s="78">
        <v>3.0000000000000001E-5</v>
      </c>
      <c r="J895" s="47"/>
      <c r="K895" s="47"/>
    </row>
    <row r="896" spans="1:11" x14ac:dyDescent="0.25">
      <c r="A896" s="8">
        <v>4</v>
      </c>
      <c r="B896" s="8">
        <v>892</v>
      </c>
      <c r="C896" s="8">
        <v>74.333333333333329</v>
      </c>
      <c r="D896" s="46">
        <v>0</v>
      </c>
      <c r="E896" s="78">
        <v>1.3999999999999999E-4</v>
      </c>
      <c r="F896" s="78">
        <v>3.0000000000000001E-5</v>
      </c>
      <c r="J896" s="47"/>
      <c r="K896" s="47"/>
    </row>
    <row r="897" spans="1:11" x14ac:dyDescent="0.25">
      <c r="A897" s="8">
        <v>4</v>
      </c>
      <c r="B897" s="8">
        <v>893</v>
      </c>
      <c r="C897" s="8">
        <v>74.416666666666657</v>
      </c>
      <c r="D897" s="46">
        <v>0</v>
      </c>
      <c r="E897" s="78">
        <v>1.3999999999999999E-4</v>
      </c>
      <c r="F897" s="78">
        <v>3.0000000000000001E-5</v>
      </c>
      <c r="J897" s="47"/>
      <c r="K897" s="47"/>
    </row>
    <row r="898" spans="1:11" x14ac:dyDescent="0.25">
      <c r="A898" s="8">
        <v>4</v>
      </c>
      <c r="B898" s="8">
        <v>894</v>
      </c>
      <c r="C898" s="8">
        <v>74.5</v>
      </c>
      <c r="D898" s="46">
        <v>0</v>
      </c>
      <c r="E898" s="78">
        <v>1.3999999999999999E-4</v>
      </c>
      <c r="F898" s="78">
        <v>3.0000000000000001E-5</v>
      </c>
      <c r="J898" s="47"/>
      <c r="K898" s="47"/>
    </row>
    <row r="899" spans="1:11" x14ac:dyDescent="0.25">
      <c r="A899" s="8">
        <v>4</v>
      </c>
      <c r="B899" s="8">
        <v>895</v>
      </c>
      <c r="C899" s="8">
        <v>74.583333333333329</v>
      </c>
      <c r="D899" s="46">
        <v>0</v>
      </c>
      <c r="E899" s="78">
        <v>1.3999999999999999E-4</v>
      </c>
      <c r="F899" s="78">
        <v>3.0000000000000001E-5</v>
      </c>
      <c r="J899" s="47"/>
      <c r="K899" s="47"/>
    </row>
    <row r="900" spans="1:11" x14ac:dyDescent="0.25">
      <c r="A900" s="8">
        <v>4</v>
      </c>
      <c r="B900" s="8">
        <v>896</v>
      </c>
      <c r="C900" s="8">
        <v>74.666666666666657</v>
      </c>
      <c r="D900" s="46">
        <v>0</v>
      </c>
      <c r="E900" s="78">
        <v>1.3999999999999999E-4</v>
      </c>
      <c r="F900" s="78">
        <v>3.0000000000000001E-5</v>
      </c>
      <c r="J900" s="47"/>
      <c r="K900" s="47"/>
    </row>
    <row r="901" spans="1:11" x14ac:dyDescent="0.25">
      <c r="A901" s="8">
        <v>4</v>
      </c>
      <c r="B901" s="8">
        <v>897</v>
      </c>
      <c r="C901" s="8">
        <v>74.75</v>
      </c>
      <c r="D901" s="46">
        <v>0</v>
      </c>
      <c r="E901" s="78">
        <v>1.3999999999999999E-4</v>
      </c>
      <c r="F901" s="78">
        <v>3.0000000000000001E-5</v>
      </c>
      <c r="J901" s="47"/>
      <c r="K901" s="47"/>
    </row>
    <row r="902" spans="1:11" x14ac:dyDescent="0.25">
      <c r="A902" s="8">
        <v>4</v>
      </c>
      <c r="B902" s="8">
        <v>898</v>
      </c>
      <c r="C902" s="8">
        <v>74.833333333333329</v>
      </c>
      <c r="D902" s="46">
        <v>0</v>
      </c>
      <c r="E902" s="78">
        <v>1.3999999999999999E-4</v>
      </c>
      <c r="F902" s="78">
        <v>3.0000000000000001E-5</v>
      </c>
      <c r="J902" s="47"/>
      <c r="K902" s="47"/>
    </row>
    <row r="903" spans="1:11" x14ac:dyDescent="0.25">
      <c r="A903" s="8">
        <v>4</v>
      </c>
      <c r="B903" s="8">
        <v>899</v>
      </c>
      <c r="C903" s="8">
        <v>74.916666666666657</v>
      </c>
      <c r="D903" s="46">
        <v>0</v>
      </c>
      <c r="E903" s="78">
        <v>1.3999999999999999E-4</v>
      </c>
      <c r="F903" s="78">
        <v>3.0000000000000001E-5</v>
      </c>
      <c r="J903" s="47"/>
      <c r="K903" s="47"/>
    </row>
    <row r="904" spans="1:11" x14ac:dyDescent="0.25">
      <c r="A904" s="8">
        <v>4</v>
      </c>
      <c r="B904" s="8">
        <v>900</v>
      </c>
      <c r="C904" s="8">
        <v>75</v>
      </c>
      <c r="D904" s="46">
        <v>0</v>
      </c>
      <c r="E904" s="78">
        <v>1.3999999999999999E-4</v>
      </c>
      <c r="F904" s="78">
        <v>3.0000000000000001E-5</v>
      </c>
      <c r="J904" s="47"/>
      <c r="K904" s="47"/>
    </row>
    <row r="905" spans="1:11" x14ac:dyDescent="0.25">
      <c r="A905" s="8">
        <v>4</v>
      </c>
      <c r="B905" s="8">
        <v>901</v>
      </c>
      <c r="C905" s="8">
        <v>75.083333333333329</v>
      </c>
      <c r="D905" s="46">
        <v>0</v>
      </c>
      <c r="E905" s="78">
        <v>1.3999999999999999E-4</v>
      </c>
      <c r="F905" s="78">
        <v>3.0000000000000001E-5</v>
      </c>
      <c r="J905" s="47"/>
      <c r="K905" s="47"/>
    </row>
    <row r="906" spans="1:11" x14ac:dyDescent="0.25">
      <c r="A906" s="8">
        <v>4</v>
      </c>
      <c r="B906" s="8">
        <v>902</v>
      </c>
      <c r="C906" s="8">
        <v>75.166666666666657</v>
      </c>
      <c r="D906" s="46">
        <v>0</v>
      </c>
      <c r="E906" s="78">
        <v>1.3999999999999999E-4</v>
      </c>
      <c r="F906" s="78">
        <v>3.0000000000000001E-5</v>
      </c>
      <c r="J906" s="47"/>
      <c r="K906" s="47"/>
    </row>
    <row r="907" spans="1:11" x14ac:dyDescent="0.25">
      <c r="A907" s="8">
        <v>4</v>
      </c>
      <c r="B907" s="8">
        <v>903</v>
      </c>
      <c r="C907" s="8">
        <v>75.25</v>
      </c>
      <c r="D907" s="46">
        <v>0</v>
      </c>
      <c r="E907" s="78">
        <v>1.3999999999999999E-4</v>
      </c>
      <c r="F907" s="78">
        <v>3.0000000000000001E-5</v>
      </c>
      <c r="J907" s="47"/>
      <c r="K907" s="47"/>
    </row>
    <row r="908" spans="1:11" x14ac:dyDescent="0.25">
      <c r="A908" s="8">
        <v>4</v>
      </c>
      <c r="B908" s="8">
        <v>904</v>
      </c>
      <c r="C908" s="8">
        <v>75.333333333333329</v>
      </c>
      <c r="D908" s="46">
        <v>0</v>
      </c>
      <c r="E908" s="78">
        <v>1.3999999999999999E-4</v>
      </c>
      <c r="F908" s="78">
        <v>3.0000000000000001E-5</v>
      </c>
      <c r="J908" s="47"/>
      <c r="K908" s="47"/>
    </row>
    <row r="909" spans="1:11" x14ac:dyDescent="0.25">
      <c r="A909" s="8">
        <v>4</v>
      </c>
      <c r="B909" s="8">
        <v>905</v>
      </c>
      <c r="C909" s="8">
        <v>75.416666666666657</v>
      </c>
      <c r="D909" s="46">
        <v>0</v>
      </c>
      <c r="E909" s="78">
        <v>1.3999999999999999E-4</v>
      </c>
      <c r="F909" s="78">
        <v>3.0000000000000001E-5</v>
      </c>
      <c r="J909" s="47"/>
      <c r="K909" s="47"/>
    </row>
    <row r="910" spans="1:11" x14ac:dyDescent="0.25">
      <c r="A910" s="8">
        <v>4</v>
      </c>
      <c r="B910" s="8">
        <v>906</v>
      </c>
      <c r="C910" s="8">
        <v>75.5</v>
      </c>
      <c r="D910" s="46">
        <v>0</v>
      </c>
      <c r="E910" s="78">
        <v>1.3999999999999999E-4</v>
      </c>
      <c r="F910" s="78">
        <v>3.0000000000000001E-5</v>
      </c>
      <c r="J910" s="47"/>
      <c r="K910" s="47"/>
    </row>
    <row r="911" spans="1:11" x14ac:dyDescent="0.25">
      <c r="A911" s="8">
        <v>4</v>
      </c>
      <c r="B911" s="8">
        <v>907</v>
      </c>
      <c r="C911" s="8">
        <v>75.583333333333329</v>
      </c>
      <c r="D911" s="46">
        <v>0</v>
      </c>
      <c r="E911" s="78">
        <v>1.3999999999999999E-4</v>
      </c>
      <c r="F911" s="78">
        <v>3.0000000000000001E-5</v>
      </c>
      <c r="J911" s="47"/>
      <c r="K911" s="47"/>
    </row>
    <row r="912" spans="1:11" x14ac:dyDescent="0.25">
      <c r="A912" s="8">
        <v>4</v>
      </c>
      <c r="B912" s="8">
        <v>908</v>
      </c>
      <c r="C912" s="8">
        <v>75.666666666666657</v>
      </c>
      <c r="D912" s="46">
        <v>0</v>
      </c>
      <c r="E912" s="78">
        <v>1.3999999999999999E-4</v>
      </c>
      <c r="F912" s="78">
        <v>3.0000000000000001E-5</v>
      </c>
      <c r="J912" s="47"/>
      <c r="K912" s="47"/>
    </row>
    <row r="913" spans="1:11" x14ac:dyDescent="0.25">
      <c r="A913" s="8">
        <v>4</v>
      </c>
      <c r="B913" s="8">
        <v>909</v>
      </c>
      <c r="C913" s="8">
        <v>75.75</v>
      </c>
      <c r="D913" s="46">
        <v>0</v>
      </c>
      <c r="E913" s="78">
        <v>1.3999999999999999E-4</v>
      </c>
      <c r="F913" s="78">
        <v>3.0000000000000001E-5</v>
      </c>
      <c r="J913" s="47"/>
      <c r="K913" s="47"/>
    </row>
    <row r="914" spans="1:11" x14ac:dyDescent="0.25">
      <c r="A914" s="8">
        <v>4</v>
      </c>
      <c r="B914" s="8">
        <v>910</v>
      </c>
      <c r="C914" s="8">
        <v>75.833333333333329</v>
      </c>
      <c r="D914" s="46">
        <v>0</v>
      </c>
      <c r="E914" s="78">
        <v>1.3999999999999999E-4</v>
      </c>
      <c r="F914" s="78">
        <v>3.0000000000000001E-5</v>
      </c>
      <c r="J914" s="47"/>
      <c r="K914" s="47"/>
    </row>
    <row r="915" spans="1:11" x14ac:dyDescent="0.25">
      <c r="A915" s="8">
        <v>4</v>
      </c>
      <c r="B915" s="8">
        <v>911</v>
      </c>
      <c r="C915" s="8">
        <v>75.916666666666657</v>
      </c>
      <c r="D915" s="46">
        <v>0</v>
      </c>
      <c r="E915" s="78">
        <v>1.3999999999999999E-4</v>
      </c>
      <c r="F915" s="78">
        <v>3.0000000000000001E-5</v>
      </c>
      <c r="J915" s="47"/>
      <c r="K915" s="47"/>
    </row>
    <row r="916" spans="1:11" x14ac:dyDescent="0.25">
      <c r="A916" s="8">
        <v>4</v>
      </c>
      <c r="B916" s="8">
        <v>912</v>
      </c>
      <c r="C916" s="8">
        <v>76</v>
      </c>
      <c r="D916" s="46">
        <v>0</v>
      </c>
      <c r="E916" s="78">
        <v>1.3999999999999999E-4</v>
      </c>
      <c r="F916" s="78">
        <v>3.0000000000000001E-5</v>
      </c>
      <c r="J916" s="47"/>
      <c r="K916" s="47"/>
    </row>
    <row r="917" spans="1:11" x14ac:dyDescent="0.25">
      <c r="A917" s="8">
        <v>4</v>
      </c>
      <c r="B917" s="8">
        <v>913</v>
      </c>
      <c r="C917" s="8">
        <v>76.083333333333329</v>
      </c>
      <c r="D917" s="46">
        <v>0</v>
      </c>
      <c r="E917" s="78">
        <v>1.3999999999999999E-4</v>
      </c>
      <c r="F917" s="78">
        <v>3.0000000000000001E-5</v>
      </c>
      <c r="J917" s="47"/>
      <c r="K917" s="47"/>
    </row>
    <row r="918" spans="1:11" x14ac:dyDescent="0.25">
      <c r="A918" s="8">
        <v>4</v>
      </c>
      <c r="B918" s="8">
        <v>914</v>
      </c>
      <c r="C918" s="8">
        <v>76.166666666666657</v>
      </c>
      <c r="D918" s="46">
        <v>0</v>
      </c>
      <c r="E918" s="78">
        <v>1.3999999999999999E-4</v>
      </c>
      <c r="F918" s="78">
        <v>3.0000000000000001E-5</v>
      </c>
      <c r="J918" s="47"/>
      <c r="K918" s="47"/>
    </row>
    <row r="919" spans="1:11" x14ac:dyDescent="0.25">
      <c r="A919" s="8">
        <v>4</v>
      </c>
      <c r="B919" s="8">
        <v>915</v>
      </c>
      <c r="C919" s="8">
        <v>76.25</v>
      </c>
      <c r="D919" s="46">
        <v>0</v>
      </c>
      <c r="E919" s="78">
        <v>1.3999999999999999E-4</v>
      </c>
      <c r="F919" s="78">
        <v>3.0000000000000001E-5</v>
      </c>
      <c r="J919" s="47"/>
      <c r="K919" s="47"/>
    </row>
    <row r="920" spans="1:11" x14ac:dyDescent="0.25">
      <c r="A920" s="8">
        <v>4</v>
      </c>
      <c r="B920" s="8">
        <v>916</v>
      </c>
      <c r="C920" s="8">
        <v>76.333333333333329</v>
      </c>
      <c r="D920" s="46">
        <v>0</v>
      </c>
      <c r="E920" s="78">
        <v>1.3999999999999999E-4</v>
      </c>
      <c r="F920" s="78">
        <v>3.0000000000000001E-5</v>
      </c>
      <c r="J920" s="47"/>
      <c r="K920" s="47"/>
    </row>
    <row r="921" spans="1:11" x14ac:dyDescent="0.25">
      <c r="A921" s="8">
        <v>4</v>
      </c>
      <c r="B921" s="8">
        <v>917</v>
      </c>
      <c r="C921" s="8">
        <v>76.416666666666657</v>
      </c>
      <c r="D921" s="46">
        <v>0</v>
      </c>
      <c r="E921" s="78">
        <v>1.3999999999999999E-4</v>
      </c>
      <c r="F921" s="78">
        <v>3.0000000000000001E-5</v>
      </c>
      <c r="J921" s="47"/>
      <c r="K921" s="47"/>
    </row>
    <row r="922" spans="1:11" x14ac:dyDescent="0.25">
      <c r="A922" s="8">
        <v>4</v>
      </c>
      <c r="B922" s="8">
        <v>918</v>
      </c>
      <c r="C922" s="8">
        <v>76.5</v>
      </c>
      <c r="D922" s="46">
        <v>0</v>
      </c>
      <c r="E922" s="78">
        <v>1.3999999999999999E-4</v>
      </c>
      <c r="F922" s="78">
        <v>3.0000000000000001E-5</v>
      </c>
      <c r="J922" s="47"/>
      <c r="K922" s="47"/>
    </row>
    <row r="923" spans="1:11" x14ac:dyDescent="0.25">
      <c r="A923" s="8">
        <v>4</v>
      </c>
      <c r="B923" s="8">
        <v>919</v>
      </c>
      <c r="C923" s="8">
        <v>76.583333333333329</v>
      </c>
      <c r="D923" s="46">
        <v>0</v>
      </c>
      <c r="E923" s="78">
        <v>1.3999999999999999E-4</v>
      </c>
      <c r="F923" s="78">
        <v>3.0000000000000001E-5</v>
      </c>
      <c r="J923" s="47"/>
      <c r="K923" s="47"/>
    </row>
    <row r="924" spans="1:11" x14ac:dyDescent="0.25">
      <c r="A924" s="8">
        <v>4</v>
      </c>
      <c r="B924" s="8">
        <v>920</v>
      </c>
      <c r="C924" s="8">
        <v>76.666666666666657</v>
      </c>
      <c r="D924" s="46">
        <v>0</v>
      </c>
      <c r="E924" s="78">
        <v>1.3999999999999999E-4</v>
      </c>
      <c r="F924" s="78">
        <v>3.0000000000000001E-5</v>
      </c>
      <c r="J924" s="47"/>
      <c r="K924" s="47"/>
    </row>
    <row r="925" spans="1:11" x14ac:dyDescent="0.25">
      <c r="A925" s="8">
        <v>4</v>
      </c>
      <c r="B925" s="8">
        <v>921</v>
      </c>
      <c r="C925" s="8">
        <v>76.75</v>
      </c>
      <c r="D925" s="46">
        <v>0</v>
      </c>
      <c r="E925" s="78">
        <v>1.3999999999999999E-4</v>
      </c>
      <c r="F925" s="78">
        <v>3.0000000000000001E-5</v>
      </c>
      <c r="J925" s="47"/>
      <c r="K925" s="47"/>
    </row>
    <row r="926" spans="1:11" x14ac:dyDescent="0.25">
      <c r="A926" s="8">
        <v>4</v>
      </c>
      <c r="B926" s="8">
        <v>922</v>
      </c>
      <c r="C926" s="8">
        <v>76.833333333333329</v>
      </c>
      <c r="D926" s="46">
        <v>0</v>
      </c>
      <c r="E926" s="78">
        <v>1.3999999999999999E-4</v>
      </c>
      <c r="F926" s="78">
        <v>3.0000000000000001E-5</v>
      </c>
      <c r="J926" s="47"/>
      <c r="K926" s="47"/>
    </row>
    <row r="927" spans="1:11" x14ac:dyDescent="0.25">
      <c r="A927" s="8">
        <v>4</v>
      </c>
      <c r="B927" s="8">
        <v>923</v>
      </c>
      <c r="C927" s="8">
        <v>76.916666666666657</v>
      </c>
      <c r="D927" s="46">
        <v>0</v>
      </c>
      <c r="E927" s="78">
        <v>1.3999999999999999E-4</v>
      </c>
      <c r="F927" s="78">
        <v>3.0000000000000001E-5</v>
      </c>
      <c r="J927" s="47"/>
      <c r="K927" s="47"/>
    </row>
    <row r="928" spans="1:11" x14ac:dyDescent="0.25">
      <c r="A928" s="8">
        <v>4</v>
      </c>
      <c r="B928" s="8">
        <v>924</v>
      </c>
      <c r="C928" s="8">
        <v>77</v>
      </c>
      <c r="D928" s="46">
        <v>0</v>
      </c>
      <c r="E928" s="78">
        <v>1.3999999999999999E-4</v>
      </c>
      <c r="F928" s="78">
        <v>3.0000000000000001E-5</v>
      </c>
      <c r="J928" s="47"/>
      <c r="K928" s="47"/>
    </row>
    <row r="929" spans="1:11" x14ac:dyDescent="0.25">
      <c r="A929" s="8">
        <v>4</v>
      </c>
      <c r="B929" s="8">
        <v>925</v>
      </c>
      <c r="C929" s="8">
        <v>77.083333333333329</v>
      </c>
      <c r="D929" s="46">
        <v>0</v>
      </c>
      <c r="E929" s="78">
        <v>1.3999999999999999E-4</v>
      </c>
      <c r="F929" s="78">
        <v>3.0000000000000001E-5</v>
      </c>
      <c r="J929" s="47"/>
      <c r="K929" s="47"/>
    </row>
    <row r="930" spans="1:11" x14ac:dyDescent="0.25">
      <c r="A930" s="8">
        <v>4</v>
      </c>
      <c r="B930" s="8">
        <v>926</v>
      </c>
      <c r="C930" s="8">
        <v>77.166666666666657</v>
      </c>
      <c r="D930" s="46">
        <v>0</v>
      </c>
      <c r="E930" s="78">
        <v>1.3999999999999999E-4</v>
      </c>
      <c r="F930" s="78">
        <v>3.0000000000000001E-5</v>
      </c>
      <c r="J930" s="47"/>
      <c r="K930" s="47"/>
    </row>
    <row r="931" spans="1:11" x14ac:dyDescent="0.25">
      <c r="A931" s="8">
        <v>4</v>
      </c>
      <c r="B931" s="8">
        <v>927</v>
      </c>
      <c r="C931" s="8">
        <v>77.25</v>
      </c>
      <c r="D931" s="46">
        <v>0</v>
      </c>
      <c r="E931" s="78">
        <v>1.3999999999999999E-4</v>
      </c>
      <c r="F931" s="78">
        <v>3.0000000000000001E-5</v>
      </c>
      <c r="J931" s="47"/>
      <c r="K931" s="47"/>
    </row>
    <row r="932" spans="1:11" x14ac:dyDescent="0.25">
      <c r="A932" s="8">
        <v>4</v>
      </c>
      <c r="B932" s="8">
        <v>928</v>
      </c>
      <c r="C932" s="8">
        <v>77.333333333333329</v>
      </c>
      <c r="D932" s="46">
        <v>0</v>
      </c>
      <c r="E932" s="78">
        <v>1.3999999999999999E-4</v>
      </c>
      <c r="F932" s="78">
        <v>3.0000000000000001E-5</v>
      </c>
      <c r="J932" s="47"/>
      <c r="K932" s="47"/>
    </row>
    <row r="933" spans="1:11" x14ac:dyDescent="0.25">
      <c r="A933" s="8">
        <v>4</v>
      </c>
      <c r="B933" s="8">
        <v>929</v>
      </c>
      <c r="C933" s="8">
        <v>77.416666666666657</v>
      </c>
      <c r="D933" s="46">
        <v>0</v>
      </c>
      <c r="E933" s="78">
        <v>1.3999999999999999E-4</v>
      </c>
      <c r="F933" s="78">
        <v>3.0000000000000001E-5</v>
      </c>
      <c r="J933" s="47"/>
      <c r="K933" s="47"/>
    </row>
    <row r="934" spans="1:11" x14ac:dyDescent="0.25">
      <c r="A934" s="8">
        <v>4</v>
      </c>
      <c r="B934" s="8">
        <v>930</v>
      </c>
      <c r="C934" s="8">
        <v>77.5</v>
      </c>
      <c r="D934" s="46">
        <v>0</v>
      </c>
      <c r="E934" s="78">
        <v>1.3999999999999999E-4</v>
      </c>
      <c r="F934" s="78">
        <v>3.0000000000000001E-5</v>
      </c>
      <c r="J934" s="47"/>
      <c r="K934" s="47"/>
    </row>
    <row r="935" spans="1:11" x14ac:dyDescent="0.25">
      <c r="A935" s="8">
        <v>4</v>
      </c>
      <c r="B935" s="8">
        <v>931</v>
      </c>
      <c r="C935" s="8">
        <v>77.583333333333329</v>
      </c>
      <c r="D935" s="46">
        <v>0</v>
      </c>
      <c r="E935" s="78">
        <v>1.3999999999999999E-4</v>
      </c>
      <c r="F935" s="78">
        <v>3.0000000000000001E-5</v>
      </c>
      <c r="J935" s="47"/>
      <c r="K935" s="47"/>
    </row>
    <row r="936" spans="1:11" x14ac:dyDescent="0.25">
      <c r="A936" s="8">
        <v>4</v>
      </c>
      <c r="B936" s="8">
        <v>932</v>
      </c>
      <c r="C936" s="8">
        <v>77.666666666666657</v>
      </c>
      <c r="D936" s="46">
        <v>0</v>
      </c>
      <c r="E936" s="78">
        <v>1.3999999999999999E-4</v>
      </c>
      <c r="F936" s="78">
        <v>3.0000000000000001E-5</v>
      </c>
      <c r="J936" s="47"/>
      <c r="K936" s="47"/>
    </row>
    <row r="937" spans="1:11" x14ac:dyDescent="0.25">
      <c r="A937" s="8">
        <v>4</v>
      </c>
      <c r="B937" s="8">
        <v>933</v>
      </c>
      <c r="C937" s="8">
        <v>77.75</v>
      </c>
      <c r="D937" s="46">
        <v>0</v>
      </c>
      <c r="E937" s="78">
        <v>1.3999999999999999E-4</v>
      </c>
      <c r="F937" s="78">
        <v>3.0000000000000001E-5</v>
      </c>
      <c r="J937" s="47"/>
      <c r="K937" s="47"/>
    </row>
    <row r="938" spans="1:11" x14ac:dyDescent="0.25">
      <c r="A938" s="8">
        <v>4</v>
      </c>
      <c r="B938" s="8">
        <v>934</v>
      </c>
      <c r="C938" s="8">
        <v>77.833333333333329</v>
      </c>
      <c r="D938" s="46">
        <v>0</v>
      </c>
      <c r="E938" s="78">
        <v>1.3999999999999999E-4</v>
      </c>
      <c r="F938" s="78">
        <v>3.0000000000000001E-5</v>
      </c>
      <c r="J938" s="47"/>
      <c r="K938" s="47"/>
    </row>
    <row r="939" spans="1:11" x14ac:dyDescent="0.25">
      <c r="A939" s="8">
        <v>4</v>
      </c>
      <c r="B939" s="8">
        <v>935</v>
      </c>
      <c r="C939" s="8">
        <v>77.916666666666657</v>
      </c>
      <c r="D939" s="46">
        <v>0</v>
      </c>
      <c r="E939" s="78">
        <v>1.3999999999999999E-4</v>
      </c>
      <c r="F939" s="78">
        <v>3.0000000000000001E-5</v>
      </c>
      <c r="J939" s="47"/>
      <c r="K939" s="47"/>
    </row>
    <row r="940" spans="1:11" x14ac:dyDescent="0.25">
      <c r="A940" s="8">
        <v>4</v>
      </c>
      <c r="B940" s="8">
        <v>936</v>
      </c>
      <c r="C940" s="8">
        <v>78</v>
      </c>
      <c r="D940" s="46">
        <v>0</v>
      </c>
      <c r="E940" s="78">
        <v>1.3999999999999999E-4</v>
      </c>
      <c r="F940" s="78">
        <v>3.0000000000000001E-5</v>
      </c>
      <c r="J940" s="47"/>
      <c r="K940" s="47"/>
    </row>
    <row r="941" spans="1:11" x14ac:dyDescent="0.25">
      <c r="A941" s="8">
        <v>4</v>
      </c>
      <c r="B941" s="8">
        <v>937</v>
      </c>
      <c r="C941" s="8">
        <v>78.083333333333329</v>
      </c>
      <c r="D941" s="46">
        <v>0</v>
      </c>
      <c r="E941" s="78">
        <v>1.3999999999999999E-4</v>
      </c>
      <c r="F941" s="78">
        <v>3.0000000000000001E-5</v>
      </c>
      <c r="J941" s="47"/>
      <c r="K941" s="47"/>
    </row>
    <row r="942" spans="1:11" x14ac:dyDescent="0.25">
      <c r="A942" s="8">
        <v>4</v>
      </c>
      <c r="B942" s="8">
        <v>938</v>
      </c>
      <c r="C942" s="8">
        <v>78.166666666666657</v>
      </c>
      <c r="D942" s="46">
        <v>0</v>
      </c>
      <c r="E942" s="78">
        <v>1.3999999999999999E-4</v>
      </c>
      <c r="F942" s="78">
        <v>3.0000000000000001E-5</v>
      </c>
      <c r="J942" s="47"/>
      <c r="K942" s="47"/>
    </row>
    <row r="943" spans="1:11" x14ac:dyDescent="0.25">
      <c r="A943" s="8">
        <v>4</v>
      </c>
      <c r="B943" s="8">
        <v>939</v>
      </c>
      <c r="C943" s="8">
        <v>78.25</v>
      </c>
      <c r="D943" s="46">
        <v>0</v>
      </c>
      <c r="E943" s="78">
        <v>1.3999999999999999E-4</v>
      </c>
      <c r="F943" s="78">
        <v>3.0000000000000001E-5</v>
      </c>
      <c r="J943" s="47"/>
      <c r="K943" s="47"/>
    </row>
    <row r="944" spans="1:11" x14ac:dyDescent="0.25">
      <c r="A944" s="8">
        <v>4</v>
      </c>
      <c r="B944" s="8">
        <v>940</v>
      </c>
      <c r="C944" s="8">
        <v>78.333333333333329</v>
      </c>
      <c r="D944" s="46">
        <v>0</v>
      </c>
      <c r="E944" s="78">
        <v>1.3999999999999999E-4</v>
      </c>
      <c r="F944" s="78">
        <v>3.0000000000000001E-5</v>
      </c>
      <c r="J944" s="47"/>
      <c r="K944" s="47"/>
    </row>
    <row r="945" spans="1:11" x14ac:dyDescent="0.25">
      <c r="A945" s="8">
        <v>4</v>
      </c>
      <c r="B945" s="8">
        <v>941</v>
      </c>
      <c r="C945" s="8">
        <v>78.416666666666657</v>
      </c>
      <c r="D945" s="46">
        <v>0</v>
      </c>
      <c r="E945" s="78">
        <v>1.3999999999999999E-4</v>
      </c>
      <c r="F945" s="78">
        <v>3.0000000000000001E-5</v>
      </c>
      <c r="J945" s="47"/>
      <c r="K945" s="47"/>
    </row>
    <row r="946" spans="1:11" x14ac:dyDescent="0.25">
      <c r="A946" s="8">
        <v>4</v>
      </c>
      <c r="B946" s="8">
        <v>942</v>
      </c>
      <c r="C946" s="8">
        <v>78.5</v>
      </c>
      <c r="D946" s="46">
        <v>0</v>
      </c>
      <c r="E946" s="78">
        <v>1.3999999999999999E-4</v>
      </c>
      <c r="F946" s="78">
        <v>3.0000000000000001E-5</v>
      </c>
      <c r="J946" s="47"/>
      <c r="K946" s="47"/>
    </row>
    <row r="947" spans="1:11" x14ac:dyDescent="0.25">
      <c r="A947" s="8">
        <v>4</v>
      </c>
      <c r="B947" s="8">
        <v>943</v>
      </c>
      <c r="C947" s="8">
        <v>78.583333333333329</v>
      </c>
      <c r="D947" s="46">
        <v>0</v>
      </c>
      <c r="E947" s="78">
        <v>1.3999999999999999E-4</v>
      </c>
      <c r="F947" s="78">
        <v>3.0000000000000001E-5</v>
      </c>
      <c r="J947" s="47"/>
      <c r="K947" s="47"/>
    </row>
    <row r="948" spans="1:11" x14ac:dyDescent="0.25">
      <c r="A948" s="8">
        <v>4</v>
      </c>
      <c r="B948" s="8">
        <v>944</v>
      </c>
      <c r="C948" s="8">
        <v>78.666666666666657</v>
      </c>
      <c r="D948" s="46">
        <v>0</v>
      </c>
      <c r="E948" s="78">
        <v>1.3999999999999999E-4</v>
      </c>
      <c r="F948" s="78">
        <v>3.0000000000000001E-5</v>
      </c>
      <c r="J948" s="47"/>
      <c r="K948" s="47"/>
    </row>
    <row r="949" spans="1:11" x14ac:dyDescent="0.25">
      <c r="A949" s="8">
        <v>4</v>
      </c>
      <c r="B949" s="8">
        <v>945</v>
      </c>
      <c r="C949" s="8">
        <v>78.75</v>
      </c>
      <c r="D949" s="46">
        <v>0</v>
      </c>
      <c r="E949" s="78">
        <v>1.3999999999999999E-4</v>
      </c>
      <c r="F949" s="78">
        <v>3.0000000000000001E-5</v>
      </c>
      <c r="J949" s="47"/>
      <c r="K949" s="47"/>
    </row>
    <row r="950" spans="1:11" x14ac:dyDescent="0.25">
      <c r="A950" s="8">
        <v>4</v>
      </c>
      <c r="B950" s="8">
        <v>946</v>
      </c>
      <c r="C950" s="8">
        <v>78.833333333333329</v>
      </c>
      <c r="D950" s="46">
        <v>0</v>
      </c>
      <c r="E950" s="78">
        <v>1.3999999999999999E-4</v>
      </c>
      <c r="F950" s="78">
        <v>3.0000000000000001E-5</v>
      </c>
      <c r="J950" s="47"/>
      <c r="K950" s="47"/>
    </row>
    <row r="951" spans="1:11" x14ac:dyDescent="0.25">
      <c r="A951" s="8">
        <v>4</v>
      </c>
      <c r="B951" s="8">
        <v>947</v>
      </c>
      <c r="C951" s="8">
        <v>78.916666666666657</v>
      </c>
      <c r="D951" s="46">
        <v>0</v>
      </c>
      <c r="E951" s="78">
        <v>1.3999999999999999E-4</v>
      </c>
      <c r="F951" s="78">
        <v>3.0000000000000001E-5</v>
      </c>
      <c r="J951" s="47"/>
      <c r="K951" s="47"/>
    </row>
    <row r="952" spans="1:11" x14ac:dyDescent="0.25">
      <c r="A952" s="8">
        <v>4</v>
      </c>
      <c r="B952" s="8">
        <v>948</v>
      </c>
      <c r="C952" s="8">
        <v>79</v>
      </c>
      <c r="D952" s="46">
        <v>0</v>
      </c>
      <c r="E952" s="78">
        <v>1.3999999999999999E-4</v>
      </c>
      <c r="F952" s="78">
        <v>3.0000000000000001E-5</v>
      </c>
      <c r="J952" s="47"/>
      <c r="K952" s="47"/>
    </row>
    <row r="953" spans="1:11" x14ac:dyDescent="0.25">
      <c r="A953" s="8">
        <v>4</v>
      </c>
      <c r="B953" s="8">
        <v>949</v>
      </c>
      <c r="C953" s="8">
        <v>79.083333333333329</v>
      </c>
      <c r="D953" s="46">
        <v>0</v>
      </c>
      <c r="E953" s="78">
        <v>1.3999999999999999E-4</v>
      </c>
      <c r="F953" s="78">
        <v>3.0000000000000001E-5</v>
      </c>
      <c r="J953" s="47"/>
      <c r="K953" s="47"/>
    </row>
    <row r="954" spans="1:11" x14ac:dyDescent="0.25">
      <c r="A954" s="8">
        <v>4</v>
      </c>
      <c r="B954" s="8">
        <v>950</v>
      </c>
      <c r="C954" s="8">
        <v>79.166666666666657</v>
      </c>
      <c r="D954" s="46">
        <v>0</v>
      </c>
      <c r="E954" s="78">
        <v>1.3999999999999999E-4</v>
      </c>
      <c r="F954" s="78">
        <v>3.0000000000000001E-5</v>
      </c>
      <c r="J954" s="47"/>
      <c r="K954" s="47"/>
    </row>
    <row r="955" spans="1:11" x14ac:dyDescent="0.25">
      <c r="A955" s="8">
        <v>4</v>
      </c>
      <c r="B955" s="8">
        <v>951</v>
      </c>
      <c r="C955" s="8">
        <v>79.25</v>
      </c>
      <c r="D955" s="46">
        <v>0</v>
      </c>
      <c r="E955" s="78">
        <v>1.3999999999999999E-4</v>
      </c>
      <c r="F955" s="78">
        <v>3.0000000000000001E-5</v>
      </c>
      <c r="J955" s="47"/>
      <c r="K955" s="47"/>
    </row>
    <row r="956" spans="1:11" x14ac:dyDescent="0.25">
      <c r="A956" s="8">
        <v>4</v>
      </c>
      <c r="B956" s="8">
        <v>952</v>
      </c>
      <c r="C956" s="8">
        <v>79.333333333333329</v>
      </c>
      <c r="D956" s="46">
        <v>0</v>
      </c>
      <c r="E956" s="78">
        <v>1.3999999999999999E-4</v>
      </c>
      <c r="F956" s="78">
        <v>3.0000000000000001E-5</v>
      </c>
      <c r="J956" s="47"/>
      <c r="K956" s="47"/>
    </row>
    <row r="957" spans="1:11" x14ac:dyDescent="0.25">
      <c r="A957" s="8">
        <v>4</v>
      </c>
      <c r="B957" s="8">
        <v>953</v>
      </c>
      <c r="C957" s="8">
        <v>79.416666666666657</v>
      </c>
      <c r="D957" s="46">
        <v>0</v>
      </c>
      <c r="E957" s="78">
        <v>1.3999999999999999E-4</v>
      </c>
      <c r="F957" s="78">
        <v>3.0000000000000001E-5</v>
      </c>
      <c r="J957" s="47"/>
      <c r="K957" s="47"/>
    </row>
    <row r="958" spans="1:11" x14ac:dyDescent="0.25">
      <c r="A958" s="8">
        <v>4</v>
      </c>
      <c r="B958" s="8">
        <v>954</v>
      </c>
      <c r="C958" s="8">
        <v>79.5</v>
      </c>
      <c r="D958" s="46">
        <v>0</v>
      </c>
      <c r="E958" s="78">
        <v>1.3999999999999999E-4</v>
      </c>
      <c r="F958" s="78">
        <v>3.0000000000000001E-5</v>
      </c>
      <c r="J958" s="47"/>
      <c r="K958" s="47"/>
    </row>
    <row r="959" spans="1:11" x14ac:dyDescent="0.25">
      <c r="A959" s="8">
        <v>4</v>
      </c>
      <c r="B959" s="8">
        <v>955</v>
      </c>
      <c r="C959" s="8">
        <v>79.583333333333329</v>
      </c>
      <c r="D959" s="46">
        <v>0</v>
      </c>
      <c r="E959" s="78">
        <v>1.3999999999999999E-4</v>
      </c>
      <c r="F959" s="78">
        <v>3.0000000000000001E-5</v>
      </c>
      <c r="J959" s="47"/>
      <c r="K959" s="47"/>
    </row>
    <row r="960" spans="1:11" x14ac:dyDescent="0.25">
      <c r="A960" s="8">
        <v>4</v>
      </c>
      <c r="B960" s="8">
        <v>956</v>
      </c>
      <c r="C960" s="8">
        <v>79.666666666666657</v>
      </c>
      <c r="D960" s="46">
        <v>0</v>
      </c>
      <c r="E960" s="78">
        <v>1.3999999999999999E-4</v>
      </c>
      <c r="F960" s="78">
        <v>3.0000000000000001E-5</v>
      </c>
      <c r="J960" s="47"/>
      <c r="K960" s="47"/>
    </row>
    <row r="961" spans="1:11" x14ac:dyDescent="0.25">
      <c r="A961" s="8">
        <v>4</v>
      </c>
      <c r="B961" s="8">
        <v>957</v>
      </c>
      <c r="C961" s="8">
        <v>79.75</v>
      </c>
      <c r="D961" s="46">
        <v>0</v>
      </c>
      <c r="E961" s="78">
        <v>1.3999999999999999E-4</v>
      </c>
      <c r="F961" s="78">
        <v>3.0000000000000001E-5</v>
      </c>
      <c r="J961" s="47"/>
      <c r="K961" s="47"/>
    </row>
    <row r="962" spans="1:11" x14ac:dyDescent="0.25">
      <c r="A962" s="8">
        <v>4</v>
      </c>
      <c r="B962" s="8">
        <v>958</v>
      </c>
      <c r="C962" s="8">
        <v>79.833333333333329</v>
      </c>
      <c r="D962" s="46">
        <v>0</v>
      </c>
      <c r="E962" s="78">
        <v>1.3999999999999999E-4</v>
      </c>
      <c r="F962" s="78">
        <v>3.0000000000000001E-5</v>
      </c>
      <c r="J962" s="47"/>
      <c r="K962" s="47"/>
    </row>
    <row r="963" spans="1:11" x14ac:dyDescent="0.25">
      <c r="A963" s="8">
        <v>4</v>
      </c>
      <c r="B963" s="8">
        <v>959</v>
      </c>
      <c r="C963" s="8">
        <v>79.916666666666657</v>
      </c>
      <c r="D963" s="46">
        <v>0</v>
      </c>
      <c r="E963" s="78">
        <v>1.3999999999999999E-4</v>
      </c>
      <c r="F963" s="78">
        <v>3.0000000000000001E-5</v>
      </c>
      <c r="J963" s="47"/>
      <c r="K963" s="47"/>
    </row>
    <row r="964" spans="1:11" x14ac:dyDescent="0.25">
      <c r="A964" s="8">
        <v>4</v>
      </c>
      <c r="B964" s="8">
        <v>960</v>
      </c>
      <c r="C964" s="8">
        <v>80</v>
      </c>
      <c r="D964" s="46">
        <v>0</v>
      </c>
      <c r="E964" s="78">
        <v>1.3999999999999999E-4</v>
      </c>
      <c r="F964" s="78">
        <v>3.0000000000000001E-5</v>
      </c>
      <c r="J964" s="47"/>
      <c r="K964" s="47"/>
    </row>
    <row r="965" spans="1:11" x14ac:dyDescent="0.25">
      <c r="A965" s="8">
        <v>4</v>
      </c>
      <c r="B965" s="8">
        <v>961</v>
      </c>
      <c r="C965" s="8">
        <v>80.083333333333329</v>
      </c>
      <c r="D965" s="46">
        <v>0</v>
      </c>
      <c r="E965" s="78">
        <v>1.3999999999999999E-4</v>
      </c>
      <c r="F965" s="78">
        <v>3.0000000000000001E-5</v>
      </c>
      <c r="J965" s="47"/>
      <c r="K965" s="47"/>
    </row>
    <row r="966" spans="1:11" x14ac:dyDescent="0.25">
      <c r="A966" s="8">
        <v>4</v>
      </c>
      <c r="B966" s="8">
        <v>962</v>
      </c>
      <c r="C966" s="8">
        <v>80.166666666666657</v>
      </c>
      <c r="D966" s="46">
        <v>0</v>
      </c>
      <c r="E966" s="78">
        <v>1.3999999999999999E-4</v>
      </c>
      <c r="F966" s="78">
        <v>3.0000000000000001E-5</v>
      </c>
      <c r="J966" s="47"/>
      <c r="K966" s="47"/>
    </row>
    <row r="967" spans="1:11" x14ac:dyDescent="0.25">
      <c r="A967" s="8">
        <v>4</v>
      </c>
      <c r="B967" s="8">
        <v>963</v>
      </c>
      <c r="C967" s="8">
        <v>80.25</v>
      </c>
      <c r="D967" s="46">
        <v>0</v>
      </c>
      <c r="E967" s="78">
        <v>1.3999999999999999E-4</v>
      </c>
      <c r="F967" s="78">
        <v>3.0000000000000001E-5</v>
      </c>
      <c r="J967" s="47"/>
      <c r="K967" s="47"/>
    </row>
    <row r="968" spans="1:11" x14ac:dyDescent="0.25">
      <c r="A968" s="8">
        <v>4</v>
      </c>
      <c r="B968" s="8">
        <v>964</v>
      </c>
      <c r="C968" s="8">
        <v>80.333333333333329</v>
      </c>
      <c r="D968" s="46">
        <v>0</v>
      </c>
      <c r="E968" s="78">
        <v>1.3999999999999999E-4</v>
      </c>
      <c r="F968" s="78">
        <v>3.0000000000000001E-5</v>
      </c>
      <c r="J968" s="47"/>
      <c r="K968" s="47"/>
    </row>
    <row r="969" spans="1:11" x14ac:dyDescent="0.25">
      <c r="A969" s="8">
        <v>4</v>
      </c>
      <c r="B969" s="8">
        <v>965</v>
      </c>
      <c r="C969" s="8">
        <v>80.416666666666657</v>
      </c>
      <c r="D969" s="46">
        <v>0</v>
      </c>
      <c r="E969" s="78">
        <v>1.3999999999999999E-4</v>
      </c>
      <c r="F969" s="78">
        <v>3.0000000000000001E-5</v>
      </c>
      <c r="J969" s="47"/>
      <c r="K969" s="47"/>
    </row>
    <row r="970" spans="1:11" x14ac:dyDescent="0.25">
      <c r="A970" s="8">
        <v>4</v>
      </c>
      <c r="B970" s="8">
        <v>966</v>
      </c>
      <c r="C970" s="8">
        <v>80.5</v>
      </c>
      <c r="D970" s="46">
        <v>0</v>
      </c>
      <c r="E970" s="78">
        <v>1.3999999999999999E-4</v>
      </c>
      <c r="F970" s="78">
        <v>3.0000000000000001E-5</v>
      </c>
      <c r="J970" s="47"/>
      <c r="K970" s="47"/>
    </row>
    <row r="971" spans="1:11" x14ac:dyDescent="0.25">
      <c r="A971" s="8">
        <v>4</v>
      </c>
      <c r="B971" s="8">
        <v>967</v>
      </c>
      <c r="C971" s="8">
        <v>80.583333333333329</v>
      </c>
      <c r="D971" s="46">
        <v>0</v>
      </c>
      <c r="E971" s="78">
        <v>1.3999999999999999E-4</v>
      </c>
      <c r="F971" s="78">
        <v>3.0000000000000001E-5</v>
      </c>
      <c r="J971" s="47"/>
      <c r="K971" s="47"/>
    </row>
    <row r="972" spans="1:11" x14ac:dyDescent="0.25">
      <c r="A972" s="8">
        <v>4</v>
      </c>
      <c r="B972" s="8">
        <v>968</v>
      </c>
      <c r="C972" s="8">
        <v>80.666666666666657</v>
      </c>
      <c r="D972" s="46">
        <v>0</v>
      </c>
      <c r="E972" s="78">
        <v>1.3999999999999999E-4</v>
      </c>
      <c r="F972" s="78">
        <v>3.0000000000000001E-5</v>
      </c>
      <c r="J972" s="47"/>
      <c r="K972" s="47"/>
    </row>
    <row r="973" spans="1:11" x14ac:dyDescent="0.25">
      <c r="A973" s="8">
        <v>4</v>
      </c>
      <c r="B973" s="8">
        <v>969</v>
      </c>
      <c r="C973" s="8">
        <v>80.75</v>
      </c>
      <c r="D973" s="46">
        <v>0</v>
      </c>
      <c r="E973" s="78">
        <v>1.3999999999999999E-4</v>
      </c>
      <c r="F973" s="78">
        <v>3.0000000000000001E-5</v>
      </c>
      <c r="J973" s="47"/>
      <c r="K973" s="47"/>
    </row>
    <row r="974" spans="1:11" x14ac:dyDescent="0.25">
      <c r="A974" s="8">
        <v>4</v>
      </c>
      <c r="B974" s="8">
        <v>970</v>
      </c>
      <c r="C974" s="8">
        <v>80.833333333333329</v>
      </c>
      <c r="D974" s="46">
        <v>0</v>
      </c>
      <c r="E974" s="78">
        <v>1.3999999999999999E-4</v>
      </c>
      <c r="F974" s="78">
        <v>3.0000000000000001E-5</v>
      </c>
      <c r="J974" s="47"/>
      <c r="K974" s="47"/>
    </row>
    <row r="975" spans="1:11" x14ac:dyDescent="0.25">
      <c r="A975" s="8">
        <v>4</v>
      </c>
      <c r="B975" s="8">
        <v>971</v>
      </c>
      <c r="C975" s="8">
        <v>80.916666666666657</v>
      </c>
      <c r="D975" s="46">
        <v>0</v>
      </c>
      <c r="E975" s="78">
        <v>1.3999999999999999E-4</v>
      </c>
      <c r="F975" s="78">
        <v>3.0000000000000001E-5</v>
      </c>
      <c r="J975" s="47"/>
      <c r="K975" s="47"/>
    </row>
    <row r="976" spans="1:11" x14ac:dyDescent="0.25">
      <c r="A976" s="8">
        <v>4</v>
      </c>
      <c r="B976" s="8">
        <v>972</v>
      </c>
      <c r="C976" s="8">
        <v>81</v>
      </c>
      <c r="D976" s="46">
        <v>0</v>
      </c>
      <c r="E976" s="78">
        <v>1.3999999999999999E-4</v>
      </c>
      <c r="F976" s="78">
        <v>3.0000000000000001E-5</v>
      </c>
      <c r="J976" s="47"/>
      <c r="K976" s="47"/>
    </row>
    <row r="977" spans="1:11" x14ac:dyDescent="0.25">
      <c r="A977" s="8">
        <v>4</v>
      </c>
      <c r="B977" s="8">
        <v>973</v>
      </c>
      <c r="C977" s="8">
        <v>81.083333333333329</v>
      </c>
      <c r="D977" s="46">
        <v>0</v>
      </c>
      <c r="E977" s="78">
        <v>1.3999999999999999E-4</v>
      </c>
      <c r="F977" s="78">
        <v>3.0000000000000001E-5</v>
      </c>
      <c r="J977" s="47"/>
      <c r="K977" s="47"/>
    </row>
    <row r="978" spans="1:11" x14ac:dyDescent="0.25">
      <c r="A978" s="8">
        <v>4</v>
      </c>
      <c r="B978" s="8">
        <v>974</v>
      </c>
      <c r="C978" s="8">
        <v>81.166666666666657</v>
      </c>
      <c r="D978" s="46">
        <v>0</v>
      </c>
      <c r="E978" s="78">
        <v>1.3999999999999999E-4</v>
      </c>
      <c r="F978" s="78">
        <v>3.0000000000000001E-5</v>
      </c>
      <c r="J978" s="47"/>
      <c r="K978" s="47"/>
    </row>
    <row r="979" spans="1:11" x14ac:dyDescent="0.25">
      <c r="A979" s="8">
        <v>4</v>
      </c>
      <c r="B979" s="8">
        <v>975</v>
      </c>
      <c r="C979" s="8">
        <v>81.25</v>
      </c>
      <c r="D979" s="46">
        <v>0</v>
      </c>
      <c r="E979" s="78">
        <v>1.3999999999999999E-4</v>
      </c>
      <c r="F979" s="78">
        <v>3.0000000000000001E-5</v>
      </c>
      <c r="J979" s="47"/>
      <c r="K979" s="47"/>
    </row>
    <row r="980" spans="1:11" x14ac:dyDescent="0.25">
      <c r="A980" s="8">
        <v>4</v>
      </c>
      <c r="B980" s="8">
        <v>976</v>
      </c>
      <c r="C980" s="8">
        <v>81.333333333333329</v>
      </c>
      <c r="D980" s="46">
        <v>0</v>
      </c>
      <c r="E980" s="78">
        <v>1.3999999999999999E-4</v>
      </c>
      <c r="F980" s="78">
        <v>3.0000000000000001E-5</v>
      </c>
      <c r="J980" s="47"/>
      <c r="K980" s="47"/>
    </row>
    <row r="981" spans="1:11" x14ac:dyDescent="0.25">
      <c r="A981" s="8">
        <v>4</v>
      </c>
      <c r="B981" s="8">
        <v>977</v>
      </c>
      <c r="C981" s="8">
        <v>81.416666666666657</v>
      </c>
      <c r="D981" s="46">
        <v>0</v>
      </c>
      <c r="E981" s="78">
        <v>1.3999999999999999E-4</v>
      </c>
      <c r="F981" s="78">
        <v>3.0000000000000001E-5</v>
      </c>
      <c r="J981" s="47"/>
      <c r="K981" s="47"/>
    </row>
    <row r="982" spans="1:11" x14ac:dyDescent="0.25">
      <c r="A982" s="8">
        <v>4</v>
      </c>
      <c r="B982" s="8">
        <v>978</v>
      </c>
      <c r="C982" s="8">
        <v>81.5</v>
      </c>
      <c r="D982" s="46">
        <v>0</v>
      </c>
      <c r="E982" s="78">
        <v>1.3999999999999999E-4</v>
      </c>
      <c r="F982" s="78">
        <v>3.0000000000000001E-5</v>
      </c>
      <c r="J982" s="47"/>
      <c r="K982" s="47"/>
    </row>
    <row r="983" spans="1:11" x14ac:dyDescent="0.25">
      <c r="A983" s="8">
        <v>4</v>
      </c>
      <c r="B983" s="8">
        <v>979</v>
      </c>
      <c r="C983" s="8">
        <v>81.583333333333329</v>
      </c>
      <c r="D983" s="46">
        <v>0</v>
      </c>
      <c r="E983" s="78">
        <v>1.3999999999999999E-4</v>
      </c>
      <c r="F983" s="78">
        <v>3.0000000000000001E-5</v>
      </c>
      <c r="J983" s="47"/>
      <c r="K983" s="47"/>
    </row>
    <row r="984" spans="1:11" x14ac:dyDescent="0.25">
      <c r="A984" s="8">
        <v>4</v>
      </c>
      <c r="B984" s="8">
        <v>980</v>
      </c>
      <c r="C984" s="8">
        <v>81.666666666666657</v>
      </c>
      <c r="D984" s="46">
        <v>0</v>
      </c>
      <c r="E984" s="78">
        <v>1.3999999999999999E-4</v>
      </c>
      <c r="F984" s="78">
        <v>3.0000000000000001E-5</v>
      </c>
      <c r="J984" s="47"/>
      <c r="K984" s="47"/>
    </row>
    <row r="985" spans="1:11" x14ac:dyDescent="0.25">
      <c r="A985" s="8">
        <v>4</v>
      </c>
      <c r="B985" s="8">
        <v>981</v>
      </c>
      <c r="C985" s="8">
        <v>81.75</v>
      </c>
      <c r="D985" s="46">
        <v>0</v>
      </c>
      <c r="E985" s="78">
        <v>1.3999999999999999E-4</v>
      </c>
      <c r="F985" s="78">
        <v>3.0000000000000001E-5</v>
      </c>
      <c r="J985" s="47"/>
      <c r="K985" s="47"/>
    </row>
    <row r="986" spans="1:11" x14ac:dyDescent="0.25">
      <c r="A986" s="8">
        <v>4</v>
      </c>
      <c r="B986" s="8">
        <v>982</v>
      </c>
      <c r="C986" s="8">
        <v>81.833333333333329</v>
      </c>
      <c r="D986" s="46">
        <v>0</v>
      </c>
      <c r="E986" s="78">
        <v>1.3999999999999999E-4</v>
      </c>
      <c r="F986" s="78">
        <v>3.0000000000000001E-5</v>
      </c>
      <c r="J986" s="47"/>
      <c r="K986" s="47"/>
    </row>
    <row r="987" spans="1:11" x14ac:dyDescent="0.25">
      <c r="A987" s="8">
        <v>4</v>
      </c>
      <c r="B987" s="8">
        <v>983</v>
      </c>
      <c r="C987" s="8">
        <v>81.916666666666657</v>
      </c>
      <c r="D987" s="46">
        <v>0</v>
      </c>
      <c r="E987" s="78">
        <v>1.3999999999999999E-4</v>
      </c>
      <c r="F987" s="78">
        <v>3.0000000000000001E-5</v>
      </c>
      <c r="J987" s="47"/>
      <c r="K987" s="47"/>
    </row>
    <row r="988" spans="1:11" x14ac:dyDescent="0.25">
      <c r="A988" s="8">
        <v>4</v>
      </c>
      <c r="B988" s="8">
        <v>984</v>
      </c>
      <c r="C988" s="8">
        <v>82</v>
      </c>
      <c r="D988" s="46">
        <v>0</v>
      </c>
      <c r="E988" s="78">
        <v>1.3999999999999999E-4</v>
      </c>
      <c r="F988" s="78">
        <v>3.0000000000000001E-5</v>
      </c>
      <c r="J988" s="47"/>
      <c r="K988" s="47"/>
    </row>
    <row r="989" spans="1:11" x14ac:dyDescent="0.25">
      <c r="A989" s="8">
        <v>4</v>
      </c>
      <c r="B989" s="8">
        <v>985</v>
      </c>
      <c r="C989" s="8">
        <v>82.083333333333329</v>
      </c>
      <c r="D989" s="46">
        <v>0</v>
      </c>
      <c r="E989" s="78">
        <v>1.3999999999999999E-4</v>
      </c>
      <c r="F989" s="78">
        <v>3.0000000000000001E-5</v>
      </c>
      <c r="J989" s="47"/>
      <c r="K989" s="47"/>
    </row>
    <row r="990" spans="1:11" x14ac:dyDescent="0.25">
      <c r="A990" s="8">
        <v>4</v>
      </c>
      <c r="B990" s="8">
        <v>986</v>
      </c>
      <c r="C990" s="8">
        <v>82.166666666666657</v>
      </c>
      <c r="D990" s="46">
        <v>0</v>
      </c>
      <c r="E990" s="78">
        <v>1.3999999999999999E-4</v>
      </c>
      <c r="F990" s="78">
        <v>3.0000000000000001E-5</v>
      </c>
      <c r="J990" s="47"/>
      <c r="K990" s="47"/>
    </row>
    <row r="991" spans="1:11" x14ac:dyDescent="0.25">
      <c r="A991" s="8">
        <v>4</v>
      </c>
      <c r="B991" s="8">
        <v>987</v>
      </c>
      <c r="C991" s="8">
        <v>82.25</v>
      </c>
      <c r="D991" s="46">
        <v>0</v>
      </c>
      <c r="E991" s="78">
        <v>1.3999999999999999E-4</v>
      </c>
      <c r="F991" s="78">
        <v>3.0000000000000001E-5</v>
      </c>
      <c r="J991" s="47"/>
      <c r="K991" s="47"/>
    </row>
    <row r="992" spans="1:11" x14ac:dyDescent="0.25">
      <c r="A992" s="8">
        <v>4</v>
      </c>
      <c r="B992" s="8">
        <v>988</v>
      </c>
      <c r="C992" s="8">
        <v>82.333333333333329</v>
      </c>
      <c r="D992" s="46">
        <v>0</v>
      </c>
      <c r="E992" s="78">
        <v>1.3999999999999999E-4</v>
      </c>
      <c r="F992" s="78">
        <v>3.0000000000000001E-5</v>
      </c>
      <c r="J992" s="47"/>
      <c r="K992" s="47"/>
    </row>
    <row r="993" spans="1:11" x14ac:dyDescent="0.25">
      <c r="A993" s="8">
        <v>4</v>
      </c>
      <c r="B993" s="8">
        <v>989</v>
      </c>
      <c r="C993" s="8">
        <v>82.416666666666657</v>
      </c>
      <c r="D993" s="46">
        <v>0</v>
      </c>
      <c r="E993" s="78">
        <v>1.3999999999999999E-4</v>
      </c>
      <c r="F993" s="78">
        <v>3.0000000000000001E-5</v>
      </c>
      <c r="J993" s="47"/>
      <c r="K993" s="47"/>
    </row>
    <row r="994" spans="1:11" x14ac:dyDescent="0.25">
      <c r="A994" s="8">
        <v>4</v>
      </c>
      <c r="B994" s="8">
        <v>990</v>
      </c>
      <c r="C994" s="8">
        <v>82.5</v>
      </c>
      <c r="D994" s="46">
        <v>0</v>
      </c>
      <c r="E994" s="78">
        <v>1.3999999999999999E-4</v>
      </c>
      <c r="F994" s="78">
        <v>3.0000000000000001E-5</v>
      </c>
      <c r="J994" s="47"/>
      <c r="K994" s="47"/>
    </row>
    <row r="995" spans="1:11" x14ac:dyDescent="0.25">
      <c r="A995" s="8">
        <v>4</v>
      </c>
      <c r="B995" s="8">
        <v>991</v>
      </c>
      <c r="C995" s="8">
        <v>82.583333333333329</v>
      </c>
      <c r="D995" s="46">
        <v>0</v>
      </c>
      <c r="E995" s="78">
        <v>1.3999999999999999E-4</v>
      </c>
      <c r="F995" s="78">
        <v>3.0000000000000001E-5</v>
      </c>
      <c r="J995" s="47"/>
      <c r="K995" s="47"/>
    </row>
    <row r="996" spans="1:11" x14ac:dyDescent="0.25">
      <c r="A996" s="8">
        <v>4</v>
      </c>
      <c r="B996" s="8">
        <v>992</v>
      </c>
      <c r="C996" s="8">
        <v>82.666666666666657</v>
      </c>
      <c r="D996" s="46">
        <v>0</v>
      </c>
      <c r="E996" s="78">
        <v>1.3999999999999999E-4</v>
      </c>
      <c r="F996" s="78">
        <v>3.0000000000000001E-5</v>
      </c>
      <c r="J996" s="47"/>
      <c r="K996" s="47"/>
    </row>
    <row r="997" spans="1:11" x14ac:dyDescent="0.25">
      <c r="A997" s="8">
        <v>4</v>
      </c>
      <c r="B997" s="8">
        <v>993</v>
      </c>
      <c r="C997" s="8">
        <v>82.75</v>
      </c>
      <c r="D997" s="46">
        <v>0</v>
      </c>
      <c r="E997" s="78">
        <v>1.3999999999999999E-4</v>
      </c>
      <c r="F997" s="78">
        <v>3.0000000000000001E-5</v>
      </c>
      <c r="J997" s="47"/>
      <c r="K997" s="47"/>
    </row>
    <row r="998" spans="1:11" x14ac:dyDescent="0.25">
      <c r="A998" s="8">
        <v>4</v>
      </c>
      <c r="B998" s="8">
        <v>994</v>
      </c>
      <c r="C998" s="8">
        <v>82.833333333333329</v>
      </c>
      <c r="D998" s="46">
        <v>0</v>
      </c>
      <c r="E998" s="78">
        <v>1.3999999999999999E-4</v>
      </c>
      <c r="F998" s="78">
        <v>3.0000000000000001E-5</v>
      </c>
      <c r="J998" s="47"/>
      <c r="K998" s="47"/>
    </row>
    <row r="999" spans="1:11" x14ac:dyDescent="0.25">
      <c r="A999" s="8">
        <v>4</v>
      </c>
      <c r="B999" s="8">
        <v>995</v>
      </c>
      <c r="C999" s="8">
        <v>82.916666666666657</v>
      </c>
      <c r="D999" s="46">
        <v>0</v>
      </c>
      <c r="E999" s="78">
        <v>1.3999999999999999E-4</v>
      </c>
      <c r="F999" s="78">
        <v>3.0000000000000001E-5</v>
      </c>
      <c r="J999" s="47"/>
      <c r="K999" s="47"/>
    </row>
    <row r="1000" spans="1:11" x14ac:dyDescent="0.25">
      <c r="A1000" s="8">
        <v>4</v>
      </c>
      <c r="B1000" s="8">
        <v>996</v>
      </c>
      <c r="C1000" s="8">
        <v>83</v>
      </c>
      <c r="D1000" s="46">
        <v>0</v>
      </c>
      <c r="E1000" s="78">
        <v>1.3999999999999999E-4</v>
      </c>
      <c r="F1000" s="78">
        <v>3.0000000000000001E-5</v>
      </c>
      <c r="J1000" s="47"/>
      <c r="K1000" s="47"/>
    </row>
    <row r="1001" spans="1:11" x14ac:dyDescent="0.25">
      <c r="A1001" s="8">
        <v>4</v>
      </c>
      <c r="B1001" s="8">
        <v>997</v>
      </c>
      <c r="C1001" s="8">
        <v>83.083333333333329</v>
      </c>
      <c r="D1001" s="46">
        <v>0</v>
      </c>
      <c r="E1001" s="78">
        <v>1.3999999999999999E-4</v>
      </c>
      <c r="F1001" s="78">
        <v>3.0000000000000001E-5</v>
      </c>
      <c r="J1001" s="47"/>
      <c r="K1001" s="47"/>
    </row>
    <row r="1002" spans="1:11" x14ac:dyDescent="0.25">
      <c r="A1002" s="8">
        <v>4</v>
      </c>
      <c r="B1002" s="8">
        <v>998</v>
      </c>
      <c r="C1002" s="8">
        <v>83.166666666666657</v>
      </c>
      <c r="D1002" s="46">
        <v>0</v>
      </c>
      <c r="E1002" s="78">
        <v>1.3999999999999999E-4</v>
      </c>
      <c r="F1002" s="78">
        <v>3.0000000000000001E-5</v>
      </c>
      <c r="J1002" s="47"/>
      <c r="K1002" s="47"/>
    </row>
    <row r="1003" spans="1:11" x14ac:dyDescent="0.25">
      <c r="A1003" s="8">
        <v>4</v>
      </c>
      <c r="B1003" s="8">
        <v>999</v>
      </c>
      <c r="C1003" s="8">
        <v>83.25</v>
      </c>
      <c r="D1003" s="46">
        <v>0</v>
      </c>
      <c r="E1003" s="78">
        <v>1.3999999999999999E-4</v>
      </c>
      <c r="F1003" s="78">
        <v>3.0000000000000001E-5</v>
      </c>
      <c r="J1003" s="47"/>
      <c r="K1003" s="47"/>
    </row>
    <row r="1004" spans="1:11" x14ac:dyDescent="0.25">
      <c r="A1004" s="8">
        <v>4</v>
      </c>
      <c r="B1004" s="8">
        <v>1000</v>
      </c>
      <c r="C1004" s="8">
        <v>83.333333333333329</v>
      </c>
      <c r="D1004" s="46">
        <v>0</v>
      </c>
      <c r="E1004" s="78">
        <v>1.3999999999999999E-4</v>
      </c>
      <c r="F1004" s="78">
        <v>3.0000000000000001E-5</v>
      </c>
      <c r="J1004" s="47"/>
      <c r="K1004" s="47"/>
    </row>
    <row r="1005" spans="1:11" x14ac:dyDescent="0.25">
      <c r="A1005" s="8">
        <v>4</v>
      </c>
      <c r="B1005" s="8">
        <v>1001</v>
      </c>
      <c r="C1005" s="8">
        <v>83.416666666666657</v>
      </c>
      <c r="D1005" s="46">
        <v>0</v>
      </c>
      <c r="E1005" s="78">
        <v>1.3999999999999999E-4</v>
      </c>
      <c r="F1005" s="78">
        <v>3.0000000000000001E-5</v>
      </c>
      <c r="J1005" s="47"/>
      <c r="K1005" s="47"/>
    </row>
    <row r="1006" spans="1:11" x14ac:dyDescent="0.25">
      <c r="A1006" s="8">
        <v>4</v>
      </c>
      <c r="B1006" s="8">
        <v>1002</v>
      </c>
      <c r="C1006" s="8">
        <v>83.5</v>
      </c>
      <c r="D1006" s="46">
        <v>0</v>
      </c>
      <c r="E1006" s="78">
        <v>1.3999999999999999E-4</v>
      </c>
      <c r="F1006" s="78">
        <v>3.0000000000000001E-5</v>
      </c>
      <c r="J1006" s="47"/>
      <c r="K1006" s="47"/>
    </row>
    <row r="1007" spans="1:11" x14ac:dyDescent="0.25">
      <c r="A1007" s="8">
        <v>4</v>
      </c>
      <c r="B1007" s="8">
        <v>1003</v>
      </c>
      <c r="C1007" s="8">
        <v>83.583333333333329</v>
      </c>
      <c r="D1007" s="46">
        <v>0</v>
      </c>
      <c r="E1007" s="78">
        <v>1.3999999999999999E-4</v>
      </c>
      <c r="F1007" s="78">
        <v>3.0000000000000001E-5</v>
      </c>
      <c r="J1007" s="47"/>
      <c r="K1007" s="47"/>
    </row>
    <row r="1008" spans="1:11" x14ac:dyDescent="0.25">
      <c r="A1008" s="8">
        <v>4</v>
      </c>
      <c r="B1008" s="8">
        <v>1004</v>
      </c>
      <c r="C1008" s="8">
        <v>83.666666666666657</v>
      </c>
      <c r="D1008" s="46">
        <v>0</v>
      </c>
      <c r="E1008" s="78">
        <v>1.3999999999999999E-4</v>
      </c>
      <c r="F1008" s="78">
        <v>3.0000000000000001E-5</v>
      </c>
      <c r="J1008" s="47"/>
      <c r="K1008" s="47"/>
    </row>
    <row r="1009" spans="1:11" x14ac:dyDescent="0.25">
      <c r="A1009" s="8">
        <v>4</v>
      </c>
      <c r="B1009" s="8">
        <v>1005</v>
      </c>
      <c r="C1009" s="8">
        <v>83.75</v>
      </c>
      <c r="D1009" s="46">
        <v>0</v>
      </c>
      <c r="E1009" s="78">
        <v>1.3999999999999999E-4</v>
      </c>
      <c r="F1009" s="78">
        <v>3.0000000000000001E-5</v>
      </c>
      <c r="J1009" s="47"/>
      <c r="K1009" s="47"/>
    </row>
    <row r="1010" spans="1:11" x14ac:dyDescent="0.25">
      <c r="A1010" s="8">
        <v>4</v>
      </c>
      <c r="B1010" s="8">
        <v>1006</v>
      </c>
      <c r="C1010" s="8">
        <v>83.833333333333329</v>
      </c>
      <c r="D1010" s="46">
        <v>0</v>
      </c>
      <c r="E1010" s="78">
        <v>1.3999999999999999E-4</v>
      </c>
      <c r="F1010" s="78">
        <v>3.0000000000000001E-5</v>
      </c>
      <c r="J1010" s="47"/>
      <c r="K1010" s="47"/>
    </row>
    <row r="1011" spans="1:11" x14ac:dyDescent="0.25">
      <c r="A1011" s="8">
        <v>4</v>
      </c>
      <c r="B1011" s="8">
        <v>1007</v>
      </c>
      <c r="C1011" s="8">
        <v>83.916666666666657</v>
      </c>
      <c r="D1011" s="46">
        <v>0</v>
      </c>
      <c r="E1011" s="78">
        <v>1.3999999999999999E-4</v>
      </c>
      <c r="F1011" s="78">
        <v>3.0000000000000001E-5</v>
      </c>
      <c r="J1011" s="47"/>
      <c r="K1011" s="47"/>
    </row>
    <row r="1012" spans="1:11" x14ac:dyDescent="0.25">
      <c r="A1012" s="8">
        <v>4</v>
      </c>
      <c r="B1012" s="8">
        <v>1008</v>
      </c>
      <c r="C1012" s="8">
        <v>84</v>
      </c>
      <c r="D1012" s="46">
        <v>0</v>
      </c>
      <c r="E1012" s="78">
        <v>1.3999999999999999E-4</v>
      </c>
      <c r="F1012" s="78">
        <v>3.0000000000000001E-5</v>
      </c>
      <c r="J1012" s="47"/>
      <c r="K1012" s="47"/>
    </row>
    <row r="1013" spans="1:11" x14ac:dyDescent="0.25">
      <c r="A1013" s="8">
        <v>4</v>
      </c>
      <c r="B1013" s="8">
        <v>1009</v>
      </c>
      <c r="C1013" s="8">
        <v>84.083333333333329</v>
      </c>
      <c r="D1013" s="46">
        <v>0</v>
      </c>
      <c r="E1013" s="78">
        <v>1.3999999999999999E-4</v>
      </c>
      <c r="F1013" s="78">
        <v>3.0000000000000001E-5</v>
      </c>
      <c r="J1013" s="47"/>
      <c r="K1013" s="47"/>
    </row>
    <row r="1014" spans="1:11" x14ac:dyDescent="0.25">
      <c r="A1014" s="8">
        <v>4</v>
      </c>
      <c r="B1014" s="8">
        <v>1010</v>
      </c>
      <c r="C1014" s="8">
        <v>84.166666666666657</v>
      </c>
      <c r="D1014" s="46">
        <v>0</v>
      </c>
      <c r="E1014" s="78">
        <v>1.3999999999999999E-4</v>
      </c>
      <c r="F1014" s="78">
        <v>3.0000000000000001E-5</v>
      </c>
      <c r="J1014" s="47"/>
      <c r="K1014" s="47"/>
    </row>
    <row r="1015" spans="1:11" x14ac:dyDescent="0.25">
      <c r="A1015" s="8">
        <v>4</v>
      </c>
      <c r="B1015" s="8">
        <v>1011</v>
      </c>
      <c r="C1015" s="8">
        <v>84.25</v>
      </c>
      <c r="D1015" s="46">
        <v>0</v>
      </c>
      <c r="E1015" s="78">
        <v>1.3999999999999999E-4</v>
      </c>
      <c r="F1015" s="78">
        <v>3.0000000000000001E-5</v>
      </c>
      <c r="J1015" s="47"/>
      <c r="K1015" s="47"/>
    </row>
    <row r="1016" spans="1:11" x14ac:dyDescent="0.25">
      <c r="A1016" s="8">
        <v>4</v>
      </c>
      <c r="B1016" s="8">
        <v>1012</v>
      </c>
      <c r="C1016" s="8">
        <v>84.333333333333329</v>
      </c>
      <c r="D1016" s="46">
        <v>0</v>
      </c>
      <c r="E1016" s="78">
        <v>1.3999999999999999E-4</v>
      </c>
      <c r="F1016" s="78">
        <v>3.0000000000000001E-5</v>
      </c>
      <c r="J1016" s="47"/>
      <c r="K1016" s="47"/>
    </row>
    <row r="1017" spans="1:11" x14ac:dyDescent="0.25">
      <c r="A1017" s="8">
        <v>4</v>
      </c>
      <c r="B1017" s="8">
        <v>1013</v>
      </c>
      <c r="C1017" s="8">
        <v>84.416666666666657</v>
      </c>
      <c r="D1017" s="46">
        <v>0</v>
      </c>
      <c r="E1017" s="78">
        <v>1.3999999999999999E-4</v>
      </c>
      <c r="F1017" s="78">
        <v>3.0000000000000001E-5</v>
      </c>
      <c r="J1017" s="47"/>
      <c r="K1017" s="47"/>
    </row>
    <row r="1018" spans="1:11" x14ac:dyDescent="0.25">
      <c r="A1018" s="8">
        <v>4</v>
      </c>
      <c r="B1018" s="8">
        <v>1014</v>
      </c>
      <c r="C1018" s="8">
        <v>84.5</v>
      </c>
      <c r="D1018" s="46">
        <v>0</v>
      </c>
      <c r="E1018" s="78">
        <v>1.3999999999999999E-4</v>
      </c>
      <c r="F1018" s="78">
        <v>3.0000000000000001E-5</v>
      </c>
      <c r="J1018" s="47"/>
      <c r="K1018" s="47"/>
    </row>
    <row r="1019" spans="1:11" x14ac:dyDescent="0.25">
      <c r="A1019" s="8">
        <v>4</v>
      </c>
      <c r="B1019" s="8">
        <v>1015</v>
      </c>
      <c r="C1019" s="8">
        <v>84.583333333333329</v>
      </c>
      <c r="D1019" s="46">
        <v>0</v>
      </c>
      <c r="E1019" s="78">
        <v>1.3999999999999999E-4</v>
      </c>
      <c r="F1019" s="78">
        <v>3.0000000000000001E-5</v>
      </c>
      <c r="J1019" s="47"/>
      <c r="K1019" s="47"/>
    </row>
    <row r="1020" spans="1:11" x14ac:dyDescent="0.25">
      <c r="A1020" s="8">
        <v>4</v>
      </c>
      <c r="B1020" s="8">
        <v>1016</v>
      </c>
      <c r="C1020" s="8">
        <v>84.666666666666657</v>
      </c>
      <c r="D1020" s="46">
        <v>0</v>
      </c>
      <c r="E1020" s="78">
        <v>1.3999999999999999E-4</v>
      </c>
      <c r="F1020" s="78">
        <v>3.0000000000000001E-5</v>
      </c>
      <c r="J1020" s="47"/>
      <c r="K1020" s="47"/>
    </row>
    <row r="1021" spans="1:11" x14ac:dyDescent="0.25">
      <c r="A1021" s="8">
        <v>4</v>
      </c>
      <c r="B1021" s="8">
        <v>1017</v>
      </c>
      <c r="C1021" s="8">
        <v>84.75</v>
      </c>
      <c r="D1021" s="46">
        <v>0</v>
      </c>
      <c r="E1021" s="78">
        <v>1.3999999999999999E-4</v>
      </c>
      <c r="F1021" s="78">
        <v>3.0000000000000001E-5</v>
      </c>
      <c r="J1021" s="47"/>
      <c r="K1021" s="47"/>
    </row>
    <row r="1022" spans="1:11" x14ac:dyDescent="0.25">
      <c r="A1022" s="8">
        <v>4</v>
      </c>
      <c r="B1022" s="8">
        <v>1018</v>
      </c>
      <c r="C1022" s="8">
        <v>84.833333333333329</v>
      </c>
      <c r="D1022" s="46">
        <v>0</v>
      </c>
      <c r="E1022" s="78">
        <v>1.3999999999999999E-4</v>
      </c>
      <c r="F1022" s="78">
        <v>3.0000000000000001E-5</v>
      </c>
      <c r="J1022" s="47"/>
      <c r="K1022" s="47"/>
    </row>
    <row r="1023" spans="1:11" x14ac:dyDescent="0.25">
      <c r="A1023" s="8">
        <v>4</v>
      </c>
      <c r="B1023" s="8">
        <v>1019</v>
      </c>
      <c r="C1023" s="8">
        <v>84.916666666666657</v>
      </c>
      <c r="D1023" s="46">
        <v>0</v>
      </c>
      <c r="E1023" s="78">
        <v>1.3999999999999999E-4</v>
      </c>
      <c r="F1023" s="78">
        <v>3.0000000000000001E-5</v>
      </c>
      <c r="J1023" s="47"/>
      <c r="K1023" s="47"/>
    </row>
    <row r="1024" spans="1:11" x14ac:dyDescent="0.25">
      <c r="A1024" s="8">
        <v>4</v>
      </c>
      <c r="B1024" s="8">
        <v>1020</v>
      </c>
      <c r="C1024" s="8">
        <v>85</v>
      </c>
      <c r="D1024" s="46">
        <v>0</v>
      </c>
      <c r="E1024" s="78">
        <v>1.3999999999999999E-4</v>
      </c>
      <c r="F1024" s="78">
        <v>3.0000000000000001E-5</v>
      </c>
      <c r="J1024" s="47"/>
      <c r="K1024" s="47"/>
    </row>
    <row r="1025" spans="1:11" x14ac:dyDescent="0.25">
      <c r="A1025" s="8">
        <v>4</v>
      </c>
      <c r="B1025" s="8">
        <v>1021</v>
      </c>
      <c r="C1025" s="8">
        <v>85.083333333333329</v>
      </c>
      <c r="D1025" s="46">
        <v>0</v>
      </c>
      <c r="E1025" s="78">
        <v>1.3999999999999999E-4</v>
      </c>
      <c r="F1025" s="78">
        <v>3.0000000000000001E-5</v>
      </c>
      <c r="J1025" s="47"/>
      <c r="K1025" s="47"/>
    </row>
    <row r="1026" spans="1:11" x14ac:dyDescent="0.25">
      <c r="A1026" s="8">
        <v>4</v>
      </c>
      <c r="B1026" s="8">
        <v>1022</v>
      </c>
      <c r="C1026" s="8">
        <v>85.166666666666657</v>
      </c>
      <c r="D1026" s="46">
        <v>0</v>
      </c>
      <c r="E1026" s="78">
        <v>1.3999999999999999E-4</v>
      </c>
      <c r="F1026" s="78">
        <v>3.0000000000000001E-5</v>
      </c>
      <c r="J1026" s="47"/>
      <c r="K1026" s="47"/>
    </row>
    <row r="1027" spans="1:11" x14ac:dyDescent="0.25">
      <c r="A1027" s="8">
        <v>4</v>
      </c>
      <c r="B1027" s="8">
        <v>1023</v>
      </c>
      <c r="C1027" s="8">
        <v>85.25</v>
      </c>
      <c r="D1027" s="46">
        <v>0</v>
      </c>
      <c r="E1027" s="78">
        <v>1.3999999999999999E-4</v>
      </c>
      <c r="F1027" s="78">
        <v>3.0000000000000001E-5</v>
      </c>
      <c r="J1027" s="47"/>
      <c r="K1027" s="47"/>
    </row>
    <row r="1028" spans="1:11" x14ac:dyDescent="0.25">
      <c r="A1028" s="8">
        <v>4</v>
      </c>
      <c r="B1028" s="8">
        <v>1024</v>
      </c>
      <c r="C1028" s="8">
        <v>85.333333333333329</v>
      </c>
      <c r="D1028" s="46">
        <v>0</v>
      </c>
      <c r="E1028" s="78">
        <v>1.3999999999999999E-4</v>
      </c>
      <c r="F1028" s="78">
        <v>3.0000000000000001E-5</v>
      </c>
      <c r="J1028" s="47"/>
      <c r="K1028" s="47"/>
    </row>
    <row r="1029" spans="1:11" x14ac:dyDescent="0.25">
      <c r="A1029" s="8">
        <v>4</v>
      </c>
      <c r="B1029" s="8">
        <v>1025</v>
      </c>
      <c r="C1029" s="8">
        <v>85.416666666666657</v>
      </c>
      <c r="D1029" s="46">
        <v>0</v>
      </c>
      <c r="E1029" s="78">
        <v>1.3999999999999999E-4</v>
      </c>
      <c r="F1029" s="78">
        <v>3.0000000000000001E-5</v>
      </c>
      <c r="J1029" s="47"/>
      <c r="K1029" s="47"/>
    </row>
    <row r="1030" spans="1:11" x14ac:dyDescent="0.25">
      <c r="A1030" s="8">
        <v>4</v>
      </c>
      <c r="B1030" s="8">
        <v>1026</v>
      </c>
      <c r="C1030" s="8">
        <v>85.5</v>
      </c>
      <c r="D1030" s="46">
        <v>0</v>
      </c>
      <c r="E1030" s="78">
        <v>1.3999999999999999E-4</v>
      </c>
      <c r="F1030" s="78">
        <v>3.0000000000000001E-5</v>
      </c>
      <c r="J1030" s="47"/>
      <c r="K1030" s="47"/>
    </row>
    <row r="1031" spans="1:11" x14ac:dyDescent="0.25">
      <c r="A1031" s="8">
        <v>4</v>
      </c>
      <c r="B1031" s="8">
        <v>1027</v>
      </c>
      <c r="C1031" s="8">
        <v>85.583333333333329</v>
      </c>
      <c r="D1031" s="46">
        <v>0</v>
      </c>
      <c r="E1031" s="78">
        <v>1.3999999999999999E-4</v>
      </c>
      <c r="F1031" s="78">
        <v>3.0000000000000001E-5</v>
      </c>
      <c r="J1031" s="47"/>
      <c r="K1031" s="47"/>
    </row>
    <row r="1032" spans="1:11" x14ac:dyDescent="0.25">
      <c r="A1032" s="8">
        <v>4</v>
      </c>
      <c r="B1032" s="8">
        <v>1028</v>
      </c>
      <c r="C1032" s="8">
        <v>85.666666666666657</v>
      </c>
      <c r="D1032" s="46">
        <v>0</v>
      </c>
      <c r="E1032" s="78">
        <v>1.3999999999999999E-4</v>
      </c>
      <c r="F1032" s="78">
        <v>3.0000000000000001E-5</v>
      </c>
      <c r="J1032" s="47"/>
      <c r="K1032" s="47"/>
    </row>
    <row r="1033" spans="1:11" x14ac:dyDescent="0.25">
      <c r="A1033" s="8">
        <v>4</v>
      </c>
      <c r="B1033" s="8">
        <v>1029</v>
      </c>
      <c r="C1033" s="8">
        <v>85.75</v>
      </c>
      <c r="D1033" s="46">
        <v>0</v>
      </c>
      <c r="E1033" s="78">
        <v>1.3999999999999999E-4</v>
      </c>
      <c r="F1033" s="78">
        <v>3.0000000000000001E-5</v>
      </c>
      <c r="J1033" s="47"/>
      <c r="K1033" s="47"/>
    </row>
    <row r="1034" spans="1:11" x14ac:dyDescent="0.25">
      <c r="A1034" s="8">
        <v>4</v>
      </c>
      <c r="B1034" s="8">
        <v>1030</v>
      </c>
      <c r="C1034" s="8">
        <v>85.833333333333329</v>
      </c>
      <c r="D1034" s="46">
        <v>0</v>
      </c>
      <c r="E1034" s="78">
        <v>1.3999999999999999E-4</v>
      </c>
      <c r="F1034" s="78">
        <v>3.0000000000000001E-5</v>
      </c>
      <c r="J1034" s="47"/>
      <c r="K1034" s="47"/>
    </row>
    <row r="1035" spans="1:11" x14ac:dyDescent="0.25">
      <c r="A1035" s="8">
        <v>4</v>
      </c>
      <c r="B1035" s="8">
        <v>1031</v>
      </c>
      <c r="C1035" s="8">
        <v>85.916666666666657</v>
      </c>
      <c r="D1035" s="46">
        <v>0</v>
      </c>
      <c r="E1035" s="78">
        <v>1.3999999999999999E-4</v>
      </c>
      <c r="F1035" s="78">
        <v>3.0000000000000001E-5</v>
      </c>
      <c r="J1035" s="47"/>
      <c r="K1035" s="47"/>
    </row>
    <row r="1036" spans="1:11" x14ac:dyDescent="0.25">
      <c r="A1036" s="8">
        <v>4</v>
      </c>
      <c r="B1036" s="8">
        <v>1032</v>
      </c>
      <c r="C1036" s="8">
        <v>86</v>
      </c>
      <c r="D1036" s="46">
        <v>0</v>
      </c>
      <c r="E1036" s="78">
        <v>1.3999999999999999E-4</v>
      </c>
      <c r="F1036" s="78">
        <v>3.0000000000000001E-5</v>
      </c>
      <c r="J1036" s="47"/>
      <c r="K1036" s="47"/>
    </row>
    <row r="1037" spans="1:11" x14ac:dyDescent="0.25">
      <c r="A1037" s="8">
        <v>4</v>
      </c>
      <c r="B1037" s="8">
        <v>1033</v>
      </c>
      <c r="C1037" s="8">
        <v>86.083333333333329</v>
      </c>
      <c r="D1037" s="46">
        <v>0</v>
      </c>
      <c r="E1037" s="78">
        <v>1.3999999999999999E-4</v>
      </c>
      <c r="F1037" s="78">
        <v>3.0000000000000001E-5</v>
      </c>
      <c r="J1037" s="47"/>
      <c r="K1037" s="47"/>
    </row>
    <row r="1038" spans="1:11" x14ac:dyDescent="0.25">
      <c r="A1038" s="8">
        <v>4</v>
      </c>
      <c r="B1038" s="8">
        <v>1034</v>
      </c>
      <c r="C1038" s="8">
        <v>86.166666666666657</v>
      </c>
      <c r="D1038" s="46">
        <v>0</v>
      </c>
      <c r="E1038" s="78">
        <v>1.3999999999999999E-4</v>
      </c>
      <c r="F1038" s="78">
        <v>3.0000000000000001E-5</v>
      </c>
      <c r="J1038" s="47"/>
      <c r="K1038" s="47"/>
    </row>
    <row r="1039" spans="1:11" x14ac:dyDescent="0.25">
      <c r="A1039" s="8">
        <v>4</v>
      </c>
      <c r="B1039" s="8">
        <v>1035</v>
      </c>
      <c r="C1039" s="8">
        <v>86.25</v>
      </c>
      <c r="D1039" s="46">
        <v>0</v>
      </c>
      <c r="E1039" s="78">
        <v>1.3999999999999999E-4</v>
      </c>
      <c r="F1039" s="78">
        <v>3.0000000000000001E-5</v>
      </c>
      <c r="J1039" s="47"/>
      <c r="K1039" s="47"/>
    </row>
    <row r="1040" spans="1:11" x14ac:dyDescent="0.25">
      <c r="A1040" s="8">
        <v>4</v>
      </c>
      <c r="B1040" s="8">
        <v>1036</v>
      </c>
      <c r="C1040" s="8">
        <v>86.333333333333329</v>
      </c>
      <c r="D1040" s="46">
        <v>0</v>
      </c>
      <c r="E1040" s="78">
        <v>1.3999999999999999E-4</v>
      </c>
      <c r="F1040" s="78">
        <v>3.0000000000000001E-5</v>
      </c>
      <c r="J1040" s="47"/>
      <c r="K1040" s="47"/>
    </row>
    <row r="1041" spans="1:11" x14ac:dyDescent="0.25">
      <c r="A1041" s="8">
        <v>4</v>
      </c>
      <c r="B1041" s="8">
        <v>1037</v>
      </c>
      <c r="C1041" s="8">
        <v>86.416666666666657</v>
      </c>
      <c r="D1041" s="46">
        <v>0</v>
      </c>
      <c r="E1041" s="78">
        <v>1.3999999999999999E-4</v>
      </c>
      <c r="F1041" s="78">
        <v>3.0000000000000001E-5</v>
      </c>
      <c r="J1041" s="47"/>
      <c r="K1041" s="47"/>
    </row>
    <row r="1042" spans="1:11" x14ac:dyDescent="0.25">
      <c r="A1042" s="8">
        <v>4</v>
      </c>
      <c r="B1042" s="8">
        <v>1038</v>
      </c>
      <c r="C1042" s="8">
        <v>86.5</v>
      </c>
      <c r="D1042" s="46">
        <v>0</v>
      </c>
      <c r="E1042" s="78">
        <v>1.3999999999999999E-4</v>
      </c>
      <c r="F1042" s="78">
        <v>3.0000000000000001E-5</v>
      </c>
      <c r="J1042" s="47"/>
      <c r="K1042" s="47"/>
    </row>
    <row r="1043" spans="1:11" x14ac:dyDescent="0.25">
      <c r="A1043" s="8">
        <v>4</v>
      </c>
      <c r="B1043" s="8">
        <v>1039</v>
      </c>
      <c r="C1043" s="8">
        <v>86.583333333333329</v>
      </c>
      <c r="D1043" s="46">
        <v>0</v>
      </c>
      <c r="E1043" s="78">
        <v>1.3999999999999999E-4</v>
      </c>
      <c r="F1043" s="78">
        <v>3.0000000000000001E-5</v>
      </c>
      <c r="J1043" s="47"/>
      <c r="K1043" s="47"/>
    </row>
    <row r="1044" spans="1:11" x14ac:dyDescent="0.25">
      <c r="A1044" s="8">
        <v>4</v>
      </c>
      <c r="B1044" s="8">
        <v>1040</v>
      </c>
      <c r="C1044" s="8">
        <v>86.666666666666657</v>
      </c>
      <c r="D1044" s="46">
        <v>0</v>
      </c>
      <c r="E1044" s="78">
        <v>1.3999999999999999E-4</v>
      </c>
      <c r="F1044" s="78">
        <v>3.0000000000000001E-5</v>
      </c>
      <c r="J1044" s="47"/>
      <c r="K1044" s="47"/>
    </row>
    <row r="1045" spans="1:11" x14ac:dyDescent="0.25">
      <c r="A1045" s="8">
        <v>4</v>
      </c>
      <c r="B1045" s="8">
        <v>1041</v>
      </c>
      <c r="C1045" s="8">
        <v>86.75</v>
      </c>
      <c r="D1045" s="46">
        <v>0</v>
      </c>
      <c r="E1045" s="78">
        <v>1.3999999999999999E-4</v>
      </c>
      <c r="F1045" s="78">
        <v>3.0000000000000001E-5</v>
      </c>
      <c r="J1045" s="47"/>
      <c r="K1045" s="47"/>
    </row>
    <row r="1046" spans="1:11" x14ac:dyDescent="0.25">
      <c r="A1046" s="8">
        <v>4</v>
      </c>
      <c r="B1046" s="8">
        <v>1042</v>
      </c>
      <c r="C1046" s="8">
        <v>86.833333333333329</v>
      </c>
      <c r="D1046" s="46">
        <v>0</v>
      </c>
      <c r="E1046" s="78">
        <v>1.3999999999999999E-4</v>
      </c>
      <c r="F1046" s="78">
        <v>3.0000000000000001E-5</v>
      </c>
      <c r="J1046" s="47"/>
      <c r="K1046" s="47"/>
    </row>
    <row r="1047" spans="1:11" x14ac:dyDescent="0.25">
      <c r="A1047" s="8">
        <v>4</v>
      </c>
      <c r="B1047" s="8">
        <v>1043</v>
      </c>
      <c r="C1047" s="8">
        <v>86.916666666666657</v>
      </c>
      <c r="D1047" s="46">
        <v>0</v>
      </c>
      <c r="E1047" s="78">
        <v>1.3999999999999999E-4</v>
      </c>
      <c r="F1047" s="78">
        <v>3.0000000000000001E-5</v>
      </c>
      <c r="J1047" s="47"/>
      <c r="K1047" s="47"/>
    </row>
    <row r="1048" spans="1:11" x14ac:dyDescent="0.25">
      <c r="A1048" s="8">
        <v>4</v>
      </c>
      <c r="B1048" s="8">
        <v>1044</v>
      </c>
      <c r="C1048" s="8">
        <v>87</v>
      </c>
      <c r="D1048" s="46">
        <v>0</v>
      </c>
      <c r="E1048" s="78">
        <v>1.3999999999999999E-4</v>
      </c>
      <c r="F1048" s="78">
        <v>3.0000000000000001E-5</v>
      </c>
      <c r="J1048" s="47"/>
      <c r="K1048" s="47"/>
    </row>
    <row r="1049" spans="1:11" x14ac:dyDescent="0.25">
      <c r="A1049" s="8">
        <v>4</v>
      </c>
      <c r="B1049" s="8">
        <v>1045</v>
      </c>
      <c r="C1049" s="8">
        <v>87.083333333333329</v>
      </c>
      <c r="D1049" s="46">
        <v>0</v>
      </c>
      <c r="E1049" s="78">
        <v>1.3999999999999999E-4</v>
      </c>
      <c r="F1049" s="78">
        <v>3.0000000000000001E-5</v>
      </c>
      <c r="J1049" s="47"/>
      <c r="K1049" s="47"/>
    </row>
    <row r="1050" spans="1:11" x14ac:dyDescent="0.25">
      <c r="A1050" s="8">
        <v>4</v>
      </c>
      <c r="B1050" s="8">
        <v>1046</v>
      </c>
      <c r="C1050" s="8">
        <v>87.166666666666657</v>
      </c>
      <c r="D1050" s="46">
        <v>0</v>
      </c>
      <c r="E1050" s="78">
        <v>1.3999999999999999E-4</v>
      </c>
      <c r="F1050" s="78">
        <v>3.0000000000000001E-5</v>
      </c>
      <c r="J1050" s="47"/>
      <c r="K1050" s="47"/>
    </row>
    <row r="1051" spans="1:11" x14ac:dyDescent="0.25">
      <c r="A1051" s="8">
        <v>4</v>
      </c>
      <c r="B1051" s="8">
        <v>1047</v>
      </c>
      <c r="C1051" s="8">
        <v>87.25</v>
      </c>
      <c r="D1051" s="46">
        <v>0</v>
      </c>
      <c r="E1051" s="78">
        <v>1.3999999999999999E-4</v>
      </c>
      <c r="F1051" s="78">
        <v>3.0000000000000001E-5</v>
      </c>
      <c r="J1051" s="47"/>
      <c r="K1051" s="47"/>
    </row>
    <row r="1052" spans="1:11" x14ac:dyDescent="0.25">
      <c r="A1052" s="8">
        <v>4</v>
      </c>
      <c r="B1052" s="8">
        <v>1048</v>
      </c>
      <c r="C1052" s="8">
        <v>87.333333333333329</v>
      </c>
      <c r="D1052" s="46">
        <v>0</v>
      </c>
      <c r="E1052" s="78">
        <v>1.3999999999999999E-4</v>
      </c>
      <c r="F1052" s="78">
        <v>3.0000000000000001E-5</v>
      </c>
      <c r="J1052" s="47"/>
      <c r="K1052" s="47"/>
    </row>
    <row r="1053" spans="1:11" x14ac:dyDescent="0.25">
      <c r="A1053" s="8">
        <v>4</v>
      </c>
      <c r="B1053" s="8">
        <v>1049</v>
      </c>
      <c r="C1053" s="8">
        <v>87.416666666666657</v>
      </c>
      <c r="D1053" s="46">
        <v>0</v>
      </c>
      <c r="E1053" s="78">
        <v>1.3999999999999999E-4</v>
      </c>
      <c r="F1053" s="78">
        <v>3.0000000000000001E-5</v>
      </c>
      <c r="J1053" s="47"/>
      <c r="K1053" s="47"/>
    </row>
    <row r="1054" spans="1:11" x14ac:dyDescent="0.25">
      <c r="A1054" s="8">
        <v>4</v>
      </c>
      <c r="B1054" s="8">
        <v>1050</v>
      </c>
      <c r="C1054" s="8">
        <v>87.5</v>
      </c>
      <c r="D1054" s="46">
        <v>0</v>
      </c>
      <c r="E1054" s="78">
        <v>1.3999999999999999E-4</v>
      </c>
      <c r="F1054" s="78">
        <v>3.0000000000000001E-5</v>
      </c>
      <c r="J1054" s="47"/>
      <c r="K1054" s="47"/>
    </row>
    <row r="1055" spans="1:11" x14ac:dyDescent="0.25">
      <c r="A1055" s="8">
        <v>4</v>
      </c>
      <c r="B1055" s="8">
        <v>1051</v>
      </c>
      <c r="C1055" s="8">
        <v>87.583333333333329</v>
      </c>
      <c r="D1055" s="46">
        <v>0</v>
      </c>
      <c r="E1055" s="78">
        <v>1.3999999999999999E-4</v>
      </c>
      <c r="F1055" s="78">
        <v>3.0000000000000001E-5</v>
      </c>
      <c r="J1055" s="47"/>
      <c r="K1055" s="47"/>
    </row>
    <row r="1056" spans="1:11" x14ac:dyDescent="0.25">
      <c r="A1056" s="8">
        <v>4</v>
      </c>
      <c r="B1056" s="8">
        <v>1052</v>
      </c>
      <c r="C1056" s="8">
        <v>87.666666666666657</v>
      </c>
      <c r="D1056" s="46">
        <v>0</v>
      </c>
      <c r="E1056" s="78">
        <v>1.3999999999999999E-4</v>
      </c>
      <c r="F1056" s="78">
        <v>3.0000000000000001E-5</v>
      </c>
      <c r="J1056" s="47"/>
      <c r="K1056" s="47"/>
    </row>
    <row r="1057" spans="1:11" x14ac:dyDescent="0.25">
      <c r="A1057" s="8">
        <v>4</v>
      </c>
      <c r="B1057" s="8">
        <v>1053</v>
      </c>
      <c r="C1057" s="8">
        <v>87.75</v>
      </c>
      <c r="D1057" s="46">
        <v>0</v>
      </c>
      <c r="E1057" s="78">
        <v>1.3999999999999999E-4</v>
      </c>
      <c r="F1057" s="78">
        <v>3.0000000000000001E-5</v>
      </c>
      <c r="J1057" s="47"/>
      <c r="K1057" s="47"/>
    </row>
    <row r="1058" spans="1:11" x14ac:dyDescent="0.25">
      <c r="A1058" s="8">
        <v>4</v>
      </c>
      <c r="B1058" s="8">
        <v>1054</v>
      </c>
      <c r="C1058" s="8">
        <v>87.833333333333329</v>
      </c>
      <c r="D1058" s="46">
        <v>0</v>
      </c>
      <c r="E1058" s="78">
        <v>1.3999999999999999E-4</v>
      </c>
      <c r="F1058" s="78">
        <v>3.0000000000000001E-5</v>
      </c>
      <c r="J1058" s="47"/>
      <c r="K1058" s="47"/>
    </row>
    <row r="1059" spans="1:11" x14ac:dyDescent="0.25">
      <c r="A1059" s="8">
        <v>4</v>
      </c>
      <c r="B1059" s="8">
        <v>1055</v>
      </c>
      <c r="C1059" s="8">
        <v>87.916666666666657</v>
      </c>
      <c r="D1059" s="46">
        <v>0</v>
      </c>
      <c r="E1059" s="78">
        <v>1.3999999999999999E-4</v>
      </c>
      <c r="F1059" s="78">
        <v>3.0000000000000001E-5</v>
      </c>
      <c r="J1059" s="47"/>
      <c r="K1059" s="47"/>
    </row>
    <row r="1060" spans="1:11" x14ac:dyDescent="0.25">
      <c r="A1060" s="8">
        <v>4</v>
      </c>
      <c r="B1060" s="8">
        <v>1056</v>
      </c>
      <c r="C1060" s="8">
        <v>88</v>
      </c>
      <c r="D1060" s="46">
        <v>0</v>
      </c>
      <c r="E1060" s="78">
        <v>1.3999999999999999E-4</v>
      </c>
      <c r="F1060" s="78">
        <v>3.0000000000000001E-5</v>
      </c>
      <c r="J1060" s="47"/>
      <c r="K1060" s="47"/>
    </row>
    <row r="1061" spans="1:11" x14ac:dyDescent="0.25">
      <c r="A1061" s="8">
        <v>4</v>
      </c>
      <c r="B1061" s="8">
        <v>1057</v>
      </c>
      <c r="C1061" s="8">
        <v>88.083333333333329</v>
      </c>
      <c r="D1061" s="46">
        <v>0</v>
      </c>
      <c r="E1061" s="78">
        <v>1.3999999999999999E-4</v>
      </c>
      <c r="F1061" s="78">
        <v>3.0000000000000001E-5</v>
      </c>
      <c r="J1061" s="47"/>
      <c r="K1061" s="47"/>
    </row>
    <row r="1062" spans="1:11" x14ac:dyDescent="0.25">
      <c r="A1062" s="8">
        <v>4</v>
      </c>
      <c r="B1062" s="8">
        <v>1058</v>
      </c>
      <c r="C1062" s="8">
        <v>88.166666666666657</v>
      </c>
      <c r="D1062" s="46">
        <v>0</v>
      </c>
      <c r="E1062" s="78">
        <v>1.3999999999999999E-4</v>
      </c>
      <c r="F1062" s="78">
        <v>3.0000000000000001E-5</v>
      </c>
      <c r="J1062" s="47"/>
      <c r="K1062" s="47"/>
    </row>
    <row r="1063" spans="1:11" x14ac:dyDescent="0.25">
      <c r="A1063" s="8">
        <v>4</v>
      </c>
      <c r="B1063" s="8">
        <v>1059</v>
      </c>
      <c r="C1063" s="8">
        <v>88.25</v>
      </c>
      <c r="D1063" s="46">
        <v>0</v>
      </c>
      <c r="E1063" s="78">
        <v>1.3999999999999999E-4</v>
      </c>
      <c r="F1063" s="78">
        <v>3.0000000000000001E-5</v>
      </c>
      <c r="J1063" s="47"/>
      <c r="K1063" s="47"/>
    </row>
    <row r="1064" spans="1:11" x14ac:dyDescent="0.25">
      <c r="A1064" s="8">
        <v>4</v>
      </c>
      <c r="B1064" s="8">
        <v>1060</v>
      </c>
      <c r="C1064" s="8">
        <v>88.333333333333329</v>
      </c>
      <c r="D1064" s="46">
        <v>0</v>
      </c>
      <c r="E1064" s="78">
        <v>1.3999999999999999E-4</v>
      </c>
      <c r="F1064" s="78">
        <v>3.0000000000000001E-5</v>
      </c>
      <c r="J1064" s="47"/>
      <c r="K1064" s="47"/>
    </row>
    <row r="1065" spans="1:11" x14ac:dyDescent="0.25">
      <c r="A1065" s="8">
        <v>4</v>
      </c>
      <c r="B1065" s="8">
        <v>1061</v>
      </c>
      <c r="C1065" s="8">
        <v>88.416666666666657</v>
      </c>
      <c r="D1065" s="46">
        <v>0</v>
      </c>
      <c r="E1065" s="78">
        <v>1.3999999999999999E-4</v>
      </c>
      <c r="F1065" s="78">
        <v>3.0000000000000001E-5</v>
      </c>
      <c r="J1065" s="47"/>
      <c r="K1065" s="47"/>
    </row>
    <row r="1066" spans="1:11" x14ac:dyDescent="0.25">
      <c r="A1066" s="8">
        <v>4</v>
      </c>
      <c r="B1066" s="8">
        <v>1062</v>
      </c>
      <c r="C1066" s="8">
        <v>88.5</v>
      </c>
      <c r="D1066" s="46">
        <v>0</v>
      </c>
      <c r="E1066" s="78">
        <v>1.3999999999999999E-4</v>
      </c>
      <c r="F1066" s="78">
        <v>3.0000000000000001E-5</v>
      </c>
      <c r="J1066" s="47"/>
      <c r="K1066" s="47"/>
    </row>
    <row r="1067" spans="1:11" x14ac:dyDescent="0.25">
      <c r="A1067" s="8">
        <v>4</v>
      </c>
      <c r="B1067" s="8">
        <v>1063</v>
      </c>
      <c r="C1067" s="8">
        <v>88.583333333333329</v>
      </c>
      <c r="D1067" s="46">
        <v>0</v>
      </c>
      <c r="E1067" s="78">
        <v>1.3999999999999999E-4</v>
      </c>
      <c r="F1067" s="78">
        <v>3.0000000000000001E-5</v>
      </c>
      <c r="J1067" s="47"/>
      <c r="K1067" s="47"/>
    </row>
    <row r="1068" spans="1:11" x14ac:dyDescent="0.25">
      <c r="A1068" s="8">
        <v>4</v>
      </c>
      <c r="B1068" s="8">
        <v>1064</v>
      </c>
      <c r="C1068" s="8">
        <v>88.666666666666657</v>
      </c>
      <c r="D1068" s="46">
        <v>0</v>
      </c>
      <c r="E1068" s="78">
        <v>1.3999999999999999E-4</v>
      </c>
      <c r="F1068" s="78">
        <v>3.0000000000000001E-5</v>
      </c>
      <c r="J1068" s="47"/>
      <c r="K1068" s="47"/>
    </row>
    <row r="1069" spans="1:11" x14ac:dyDescent="0.25">
      <c r="A1069" s="8">
        <v>4</v>
      </c>
      <c r="B1069" s="8">
        <v>1065</v>
      </c>
      <c r="C1069" s="8">
        <v>88.75</v>
      </c>
      <c r="D1069" s="46">
        <v>0</v>
      </c>
      <c r="E1069" s="78">
        <v>1.3999999999999999E-4</v>
      </c>
      <c r="F1069" s="78">
        <v>3.0000000000000001E-5</v>
      </c>
      <c r="J1069" s="47"/>
      <c r="K1069" s="47"/>
    </row>
    <row r="1070" spans="1:11" x14ac:dyDescent="0.25">
      <c r="A1070" s="8">
        <v>4</v>
      </c>
      <c r="B1070" s="8">
        <v>1066</v>
      </c>
      <c r="C1070" s="8">
        <v>88.833333333333329</v>
      </c>
      <c r="D1070" s="46">
        <v>0</v>
      </c>
      <c r="E1070" s="78">
        <v>1.3999999999999999E-4</v>
      </c>
      <c r="F1070" s="78">
        <v>3.0000000000000001E-5</v>
      </c>
      <c r="J1070" s="47"/>
      <c r="K1070" s="47"/>
    </row>
    <row r="1071" spans="1:11" x14ac:dyDescent="0.25">
      <c r="A1071" s="8">
        <v>4</v>
      </c>
      <c r="B1071" s="8">
        <v>1067</v>
      </c>
      <c r="C1071" s="8">
        <v>88.916666666666657</v>
      </c>
      <c r="D1071" s="46">
        <v>0</v>
      </c>
      <c r="E1071" s="78">
        <v>1.3999999999999999E-4</v>
      </c>
      <c r="F1071" s="78">
        <v>3.0000000000000001E-5</v>
      </c>
      <c r="J1071" s="47"/>
      <c r="K1071" s="47"/>
    </row>
    <row r="1072" spans="1:11" x14ac:dyDescent="0.25">
      <c r="A1072" s="8">
        <v>4</v>
      </c>
      <c r="B1072" s="8">
        <v>1068</v>
      </c>
      <c r="C1072" s="8">
        <v>89</v>
      </c>
      <c r="D1072" s="46">
        <v>0</v>
      </c>
      <c r="E1072" s="78">
        <v>1.3999999999999999E-4</v>
      </c>
      <c r="F1072" s="78">
        <v>3.0000000000000001E-5</v>
      </c>
      <c r="J1072" s="47"/>
      <c r="K1072" s="47"/>
    </row>
    <row r="1073" spans="1:11" x14ac:dyDescent="0.25">
      <c r="A1073" s="8">
        <v>4</v>
      </c>
      <c r="B1073" s="8">
        <v>1069</v>
      </c>
      <c r="C1073" s="8">
        <v>89.083333333333329</v>
      </c>
      <c r="D1073" s="46">
        <v>0</v>
      </c>
      <c r="E1073" s="78">
        <v>1.3999999999999999E-4</v>
      </c>
      <c r="F1073" s="78">
        <v>3.0000000000000001E-5</v>
      </c>
      <c r="J1073" s="47"/>
      <c r="K1073" s="47"/>
    </row>
    <row r="1074" spans="1:11" x14ac:dyDescent="0.25">
      <c r="A1074" s="8">
        <v>4</v>
      </c>
      <c r="B1074" s="8">
        <v>1070</v>
      </c>
      <c r="C1074" s="8">
        <v>89.166666666666657</v>
      </c>
      <c r="D1074" s="46">
        <v>0</v>
      </c>
      <c r="E1074" s="78">
        <v>1.3999999999999999E-4</v>
      </c>
      <c r="F1074" s="78">
        <v>3.0000000000000001E-5</v>
      </c>
      <c r="J1074" s="47"/>
      <c r="K1074" s="47"/>
    </row>
    <row r="1075" spans="1:11" x14ac:dyDescent="0.25">
      <c r="A1075" s="8">
        <v>4</v>
      </c>
      <c r="B1075" s="8">
        <v>1071</v>
      </c>
      <c r="C1075" s="8">
        <v>89.25</v>
      </c>
      <c r="D1075" s="46">
        <v>0</v>
      </c>
      <c r="E1075" s="78">
        <v>1.3999999999999999E-4</v>
      </c>
      <c r="F1075" s="78">
        <v>3.0000000000000001E-5</v>
      </c>
      <c r="J1075" s="47"/>
      <c r="K1075" s="47"/>
    </row>
    <row r="1076" spans="1:11" x14ac:dyDescent="0.25">
      <c r="A1076" s="8">
        <v>4</v>
      </c>
      <c r="B1076" s="8">
        <v>1072</v>
      </c>
      <c r="C1076" s="8">
        <v>89.333333333333329</v>
      </c>
      <c r="D1076" s="46">
        <v>0</v>
      </c>
      <c r="E1076" s="78">
        <v>1.3999999999999999E-4</v>
      </c>
      <c r="F1076" s="78">
        <v>3.0000000000000001E-5</v>
      </c>
      <c r="J1076" s="47"/>
      <c r="K1076" s="47"/>
    </row>
    <row r="1077" spans="1:11" x14ac:dyDescent="0.25">
      <c r="A1077" s="8">
        <v>4</v>
      </c>
      <c r="B1077" s="8">
        <v>1073</v>
      </c>
      <c r="C1077" s="8">
        <v>89.416666666666657</v>
      </c>
      <c r="D1077" s="46">
        <v>0</v>
      </c>
      <c r="E1077" s="78">
        <v>1.3999999999999999E-4</v>
      </c>
      <c r="F1077" s="78">
        <v>3.0000000000000001E-5</v>
      </c>
      <c r="J1077" s="47"/>
      <c r="K1077" s="47"/>
    </row>
    <row r="1078" spans="1:11" x14ac:dyDescent="0.25">
      <c r="A1078" s="8">
        <v>4</v>
      </c>
      <c r="B1078" s="8">
        <v>1074</v>
      </c>
      <c r="C1078" s="8">
        <v>89.5</v>
      </c>
      <c r="D1078" s="46">
        <v>0</v>
      </c>
      <c r="E1078" s="78">
        <v>1.3999999999999999E-4</v>
      </c>
      <c r="F1078" s="78">
        <v>3.0000000000000001E-5</v>
      </c>
      <c r="J1078" s="47"/>
      <c r="K1078" s="47"/>
    </row>
    <row r="1079" spans="1:11" x14ac:dyDescent="0.25">
      <c r="A1079" s="8">
        <v>4</v>
      </c>
      <c r="B1079" s="8">
        <v>1075</v>
      </c>
      <c r="C1079" s="8">
        <v>89.583333333333329</v>
      </c>
      <c r="D1079" s="46">
        <v>0</v>
      </c>
      <c r="E1079" s="78">
        <v>1.3999999999999999E-4</v>
      </c>
      <c r="F1079" s="78">
        <v>3.0000000000000001E-5</v>
      </c>
      <c r="J1079" s="47"/>
      <c r="K1079" s="47"/>
    </row>
    <row r="1080" spans="1:11" x14ac:dyDescent="0.25">
      <c r="A1080" s="8">
        <v>4</v>
      </c>
      <c r="B1080" s="8">
        <v>1076</v>
      </c>
      <c r="C1080" s="8">
        <v>89.666666666666657</v>
      </c>
      <c r="D1080" s="46">
        <v>0</v>
      </c>
      <c r="E1080" s="78">
        <v>1.3999999999999999E-4</v>
      </c>
      <c r="F1080" s="78">
        <v>3.0000000000000001E-5</v>
      </c>
      <c r="J1080" s="47"/>
      <c r="K1080" s="47"/>
    </row>
    <row r="1081" spans="1:11" x14ac:dyDescent="0.25">
      <c r="A1081" s="8">
        <v>4</v>
      </c>
      <c r="B1081" s="8">
        <v>1077</v>
      </c>
      <c r="C1081" s="8">
        <v>89.75</v>
      </c>
      <c r="D1081" s="46">
        <v>0</v>
      </c>
      <c r="E1081" s="78">
        <v>1.3999999999999999E-4</v>
      </c>
      <c r="F1081" s="78">
        <v>3.0000000000000001E-5</v>
      </c>
      <c r="J1081" s="47"/>
      <c r="K1081" s="47"/>
    </row>
    <row r="1082" spans="1:11" x14ac:dyDescent="0.25">
      <c r="A1082" s="8">
        <v>4</v>
      </c>
      <c r="B1082" s="8">
        <v>1078</v>
      </c>
      <c r="C1082" s="8">
        <v>89.833333333333329</v>
      </c>
      <c r="D1082" s="46">
        <v>0</v>
      </c>
      <c r="E1082" s="78">
        <v>1.3999999999999999E-4</v>
      </c>
      <c r="F1082" s="78">
        <v>3.0000000000000001E-5</v>
      </c>
      <c r="J1082" s="47"/>
      <c r="K1082" s="47"/>
    </row>
    <row r="1083" spans="1:11" x14ac:dyDescent="0.25">
      <c r="A1083" s="8">
        <v>4</v>
      </c>
      <c r="B1083" s="8">
        <v>1079</v>
      </c>
      <c r="C1083" s="8">
        <v>89.916666666666657</v>
      </c>
      <c r="D1083" s="46">
        <v>0</v>
      </c>
      <c r="E1083" s="78">
        <v>1.3999999999999999E-4</v>
      </c>
      <c r="F1083" s="78">
        <v>3.0000000000000001E-5</v>
      </c>
      <c r="J1083" s="47"/>
      <c r="K1083" s="47"/>
    </row>
    <row r="1084" spans="1:11" x14ac:dyDescent="0.25">
      <c r="A1084" s="8">
        <v>4</v>
      </c>
      <c r="B1084" s="8">
        <v>1080</v>
      </c>
      <c r="C1084" s="8">
        <v>90</v>
      </c>
      <c r="D1084" s="46">
        <v>0</v>
      </c>
      <c r="E1084" s="78">
        <v>1.3999999999999999E-4</v>
      </c>
      <c r="F1084" s="78">
        <v>3.0000000000000001E-5</v>
      </c>
      <c r="J1084" s="47"/>
      <c r="K1084" s="47"/>
    </row>
    <row r="1085" spans="1:11" x14ac:dyDescent="0.25">
      <c r="A1085" s="8">
        <v>4</v>
      </c>
      <c r="B1085" s="8">
        <v>1081</v>
      </c>
      <c r="C1085" s="8">
        <v>90.083333333333329</v>
      </c>
      <c r="D1085" s="46">
        <v>0</v>
      </c>
      <c r="E1085" s="78">
        <v>1.3999999999999999E-4</v>
      </c>
      <c r="F1085" s="78">
        <v>3.0000000000000001E-5</v>
      </c>
      <c r="J1085" s="47"/>
      <c r="K1085" s="47"/>
    </row>
    <row r="1086" spans="1:11" x14ac:dyDescent="0.25">
      <c r="A1086" s="8">
        <v>4</v>
      </c>
      <c r="B1086" s="8">
        <v>1082</v>
      </c>
      <c r="C1086" s="8">
        <v>90.166666666666657</v>
      </c>
      <c r="D1086" s="46">
        <v>0</v>
      </c>
      <c r="E1086" s="78">
        <v>1.3999999999999999E-4</v>
      </c>
      <c r="F1086" s="78">
        <v>3.0000000000000001E-5</v>
      </c>
      <c r="J1086" s="47"/>
      <c r="K1086" s="47"/>
    </row>
    <row r="1087" spans="1:11" x14ac:dyDescent="0.25">
      <c r="A1087" s="8">
        <v>4</v>
      </c>
      <c r="B1087" s="8">
        <v>1083</v>
      </c>
      <c r="C1087" s="8">
        <v>90.25</v>
      </c>
      <c r="D1087" s="46">
        <v>0</v>
      </c>
      <c r="E1087" s="78">
        <v>1.3999999999999999E-4</v>
      </c>
      <c r="F1087" s="78">
        <v>3.0000000000000001E-5</v>
      </c>
      <c r="J1087" s="47"/>
      <c r="K1087" s="47"/>
    </row>
    <row r="1088" spans="1:11" x14ac:dyDescent="0.25">
      <c r="A1088" s="8">
        <v>4</v>
      </c>
      <c r="B1088" s="8">
        <v>1084</v>
      </c>
      <c r="C1088" s="8">
        <v>90.333333333333329</v>
      </c>
      <c r="D1088" s="46">
        <v>0</v>
      </c>
      <c r="E1088" s="78">
        <v>1.3999999999999999E-4</v>
      </c>
      <c r="F1088" s="78">
        <v>3.0000000000000001E-5</v>
      </c>
      <c r="J1088" s="47"/>
      <c r="K1088" s="47"/>
    </row>
    <row r="1089" spans="1:11" x14ac:dyDescent="0.25">
      <c r="A1089" s="8">
        <v>4</v>
      </c>
      <c r="B1089" s="8">
        <v>1085</v>
      </c>
      <c r="C1089" s="8">
        <v>90.416666666666657</v>
      </c>
      <c r="D1089" s="46">
        <v>0</v>
      </c>
      <c r="E1089" s="78">
        <v>1.3999999999999999E-4</v>
      </c>
      <c r="F1089" s="78">
        <v>3.0000000000000001E-5</v>
      </c>
      <c r="J1089" s="47"/>
      <c r="K1089" s="47"/>
    </row>
    <row r="1090" spans="1:11" x14ac:dyDescent="0.25">
      <c r="A1090" s="8">
        <v>4</v>
      </c>
      <c r="B1090" s="8">
        <v>1086</v>
      </c>
      <c r="C1090" s="8">
        <v>90.5</v>
      </c>
      <c r="D1090" s="46">
        <v>0</v>
      </c>
      <c r="E1090" s="78">
        <v>1.3999999999999999E-4</v>
      </c>
      <c r="F1090" s="78">
        <v>3.0000000000000001E-5</v>
      </c>
      <c r="J1090" s="47"/>
      <c r="K1090" s="47"/>
    </row>
    <row r="1091" spans="1:11" x14ac:dyDescent="0.25">
      <c r="A1091" s="8">
        <v>4</v>
      </c>
      <c r="B1091" s="8">
        <v>1087</v>
      </c>
      <c r="C1091" s="8">
        <v>90.583333333333329</v>
      </c>
      <c r="D1091" s="46">
        <v>0</v>
      </c>
      <c r="E1091" s="78">
        <v>1.3999999999999999E-4</v>
      </c>
      <c r="F1091" s="78">
        <v>3.0000000000000001E-5</v>
      </c>
      <c r="J1091" s="47"/>
      <c r="K1091" s="47"/>
    </row>
    <row r="1092" spans="1:11" x14ac:dyDescent="0.25">
      <c r="A1092" s="8">
        <v>4</v>
      </c>
      <c r="B1092" s="8">
        <v>1088</v>
      </c>
      <c r="C1092" s="8">
        <v>90.666666666666657</v>
      </c>
      <c r="D1092" s="46">
        <v>0</v>
      </c>
      <c r="E1092" s="78">
        <v>1.3999999999999999E-4</v>
      </c>
      <c r="F1092" s="78">
        <v>3.0000000000000001E-5</v>
      </c>
      <c r="J1092" s="47"/>
      <c r="K1092" s="47"/>
    </row>
    <row r="1093" spans="1:11" x14ac:dyDescent="0.25">
      <c r="A1093" s="8">
        <v>4</v>
      </c>
      <c r="B1093" s="8">
        <v>1089</v>
      </c>
      <c r="C1093" s="8">
        <v>90.75</v>
      </c>
      <c r="D1093" s="46">
        <v>0</v>
      </c>
      <c r="E1093" s="78">
        <v>1.3999999999999999E-4</v>
      </c>
      <c r="F1093" s="78">
        <v>3.0000000000000001E-5</v>
      </c>
      <c r="J1093" s="47"/>
      <c r="K1093" s="47"/>
    </row>
    <row r="1094" spans="1:11" x14ac:dyDescent="0.25">
      <c r="A1094" s="8">
        <v>4</v>
      </c>
      <c r="B1094" s="8">
        <v>1090</v>
      </c>
      <c r="C1094" s="8">
        <v>90.833333333333329</v>
      </c>
      <c r="D1094" s="46">
        <v>0</v>
      </c>
      <c r="E1094" s="78">
        <v>1.3999999999999999E-4</v>
      </c>
      <c r="F1094" s="78">
        <v>3.0000000000000001E-5</v>
      </c>
      <c r="J1094" s="47"/>
      <c r="K1094" s="47"/>
    </row>
    <row r="1095" spans="1:11" x14ac:dyDescent="0.25">
      <c r="A1095" s="8">
        <v>4</v>
      </c>
      <c r="B1095" s="8">
        <v>1091</v>
      </c>
      <c r="C1095" s="8">
        <v>90.916666666666657</v>
      </c>
      <c r="D1095" s="46">
        <v>0</v>
      </c>
      <c r="E1095" s="78">
        <v>1.3999999999999999E-4</v>
      </c>
      <c r="F1095" s="78">
        <v>3.0000000000000001E-5</v>
      </c>
      <c r="J1095" s="47"/>
      <c r="K1095" s="47"/>
    </row>
    <row r="1096" spans="1:11" x14ac:dyDescent="0.25">
      <c r="A1096" s="8">
        <v>4</v>
      </c>
      <c r="B1096" s="8">
        <v>1092</v>
      </c>
      <c r="C1096" s="8">
        <v>91</v>
      </c>
      <c r="D1096" s="46">
        <v>0</v>
      </c>
      <c r="E1096" s="78">
        <v>1.3999999999999999E-4</v>
      </c>
      <c r="F1096" s="78">
        <v>3.0000000000000001E-5</v>
      </c>
      <c r="J1096" s="47"/>
      <c r="K1096" s="47"/>
    </row>
    <row r="1097" spans="1:11" x14ac:dyDescent="0.25">
      <c r="A1097" s="8">
        <v>4</v>
      </c>
      <c r="B1097" s="8">
        <v>1093</v>
      </c>
      <c r="C1097" s="8">
        <v>91.083333333333329</v>
      </c>
      <c r="D1097" s="46">
        <v>0</v>
      </c>
      <c r="E1097" s="78">
        <v>1.3999999999999999E-4</v>
      </c>
      <c r="F1097" s="78">
        <v>3.0000000000000001E-5</v>
      </c>
      <c r="J1097" s="47"/>
      <c r="K1097" s="47"/>
    </row>
    <row r="1098" spans="1:11" x14ac:dyDescent="0.25">
      <c r="A1098" s="8">
        <v>4</v>
      </c>
      <c r="B1098" s="8">
        <v>1094</v>
      </c>
      <c r="C1098" s="8">
        <v>91.166666666666657</v>
      </c>
      <c r="D1098" s="46">
        <v>0</v>
      </c>
      <c r="E1098" s="78">
        <v>1.3999999999999999E-4</v>
      </c>
      <c r="F1098" s="78">
        <v>3.0000000000000001E-5</v>
      </c>
      <c r="J1098" s="47"/>
      <c r="K1098" s="47"/>
    </row>
    <row r="1099" spans="1:11" x14ac:dyDescent="0.25">
      <c r="A1099" s="8">
        <v>4</v>
      </c>
      <c r="B1099" s="8">
        <v>1095</v>
      </c>
      <c r="C1099" s="8">
        <v>91.25</v>
      </c>
      <c r="D1099" s="46">
        <v>0</v>
      </c>
      <c r="E1099" s="78">
        <v>1.3999999999999999E-4</v>
      </c>
      <c r="F1099" s="78">
        <v>3.0000000000000001E-5</v>
      </c>
      <c r="J1099" s="47"/>
      <c r="K1099" s="47"/>
    </row>
    <row r="1100" spans="1:11" x14ac:dyDescent="0.25">
      <c r="A1100" s="8">
        <v>4</v>
      </c>
      <c r="B1100" s="8">
        <v>1096</v>
      </c>
      <c r="C1100" s="8">
        <v>91.333333333333329</v>
      </c>
      <c r="D1100" s="46">
        <v>0</v>
      </c>
      <c r="E1100" s="78">
        <v>1.3999999999999999E-4</v>
      </c>
      <c r="F1100" s="78">
        <v>3.0000000000000001E-5</v>
      </c>
      <c r="J1100" s="47"/>
      <c r="K1100" s="47"/>
    </row>
    <row r="1101" spans="1:11" x14ac:dyDescent="0.25">
      <c r="A1101" s="8">
        <v>4</v>
      </c>
      <c r="B1101" s="8">
        <v>1097</v>
      </c>
      <c r="C1101" s="8">
        <v>91.416666666666657</v>
      </c>
      <c r="D1101" s="46">
        <v>0</v>
      </c>
      <c r="E1101" s="78">
        <v>1.3999999999999999E-4</v>
      </c>
      <c r="F1101" s="78">
        <v>3.0000000000000001E-5</v>
      </c>
      <c r="J1101" s="47"/>
      <c r="K1101" s="47"/>
    </row>
    <row r="1102" spans="1:11" x14ac:dyDescent="0.25">
      <c r="A1102" s="8">
        <v>4</v>
      </c>
      <c r="B1102" s="8">
        <v>1098</v>
      </c>
      <c r="C1102" s="8">
        <v>91.5</v>
      </c>
      <c r="D1102" s="46">
        <v>0</v>
      </c>
      <c r="E1102" s="78">
        <v>1.3999999999999999E-4</v>
      </c>
      <c r="F1102" s="78">
        <v>3.0000000000000001E-5</v>
      </c>
      <c r="J1102" s="47"/>
      <c r="K1102" s="47"/>
    </row>
    <row r="1103" spans="1:11" x14ac:dyDescent="0.25">
      <c r="A1103" s="8">
        <v>4</v>
      </c>
      <c r="B1103" s="8">
        <v>1099</v>
      </c>
      <c r="C1103" s="8">
        <v>91.583333333333329</v>
      </c>
      <c r="D1103" s="46">
        <v>0</v>
      </c>
      <c r="E1103" s="78">
        <v>1.3999999999999999E-4</v>
      </c>
      <c r="F1103" s="78">
        <v>3.0000000000000001E-5</v>
      </c>
      <c r="J1103" s="47"/>
      <c r="K1103" s="47"/>
    </row>
    <row r="1104" spans="1:11" x14ac:dyDescent="0.25">
      <c r="A1104" s="8">
        <v>4</v>
      </c>
      <c r="B1104" s="8">
        <v>1100</v>
      </c>
      <c r="C1104" s="8">
        <v>91.666666666666657</v>
      </c>
      <c r="D1104" s="46">
        <v>0</v>
      </c>
      <c r="E1104" s="78">
        <v>1.3999999999999999E-4</v>
      </c>
      <c r="F1104" s="78">
        <v>3.0000000000000001E-5</v>
      </c>
      <c r="J1104" s="47"/>
      <c r="K1104" s="47"/>
    </row>
    <row r="1105" spans="1:11" x14ac:dyDescent="0.25">
      <c r="A1105" s="8">
        <v>4</v>
      </c>
      <c r="B1105" s="8">
        <v>1101</v>
      </c>
      <c r="C1105" s="8">
        <v>91.75</v>
      </c>
      <c r="D1105" s="46">
        <v>0</v>
      </c>
      <c r="E1105" s="78">
        <v>1.3999999999999999E-4</v>
      </c>
      <c r="F1105" s="78">
        <v>3.0000000000000001E-5</v>
      </c>
      <c r="J1105" s="47"/>
      <c r="K1105" s="47"/>
    </row>
    <row r="1106" spans="1:11" x14ac:dyDescent="0.25">
      <c r="A1106" s="8">
        <v>4</v>
      </c>
      <c r="B1106" s="8">
        <v>1102</v>
      </c>
      <c r="C1106" s="8">
        <v>91.833333333333329</v>
      </c>
      <c r="D1106" s="46">
        <v>0</v>
      </c>
      <c r="E1106" s="78">
        <v>1.3999999999999999E-4</v>
      </c>
      <c r="F1106" s="78">
        <v>3.0000000000000001E-5</v>
      </c>
      <c r="J1106" s="47"/>
      <c r="K1106" s="47"/>
    </row>
    <row r="1107" spans="1:11" x14ac:dyDescent="0.25">
      <c r="A1107" s="8">
        <v>4</v>
      </c>
      <c r="B1107" s="8">
        <v>1103</v>
      </c>
      <c r="C1107" s="8">
        <v>91.916666666666657</v>
      </c>
      <c r="D1107" s="46">
        <v>0</v>
      </c>
      <c r="E1107" s="78">
        <v>1.3999999999999999E-4</v>
      </c>
      <c r="F1107" s="78">
        <v>3.0000000000000001E-5</v>
      </c>
      <c r="J1107" s="47"/>
      <c r="K1107" s="47"/>
    </row>
    <row r="1108" spans="1:11" x14ac:dyDescent="0.25">
      <c r="A1108" s="8">
        <v>4</v>
      </c>
      <c r="B1108" s="8">
        <v>1104</v>
      </c>
      <c r="C1108" s="8">
        <v>92</v>
      </c>
      <c r="D1108" s="46">
        <v>0</v>
      </c>
      <c r="E1108" s="78">
        <v>1.3999999999999999E-4</v>
      </c>
      <c r="F1108" s="78">
        <v>3.0000000000000001E-5</v>
      </c>
      <c r="J1108" s="47"/>
      <c r="K1108" s="47"/>
    </row>
    <row r="1109" spans="1:11" x14ac:dyDescent="0.25">
      <c r="A1109" s="8">
        <v>4</v>
      </c>
      <c r="B1109" s="8">
        <v>1105</v>
      </c>
      <c r="C1109" s="8">
        <v>92.083333333333329</v>
      </c>
      <c r="D1109" s="46">
        <v>0</v>
      </c>
      <c r="E1109" s="78">
        <v>1.3999999999999999E-4</v>
      </c>
      <c r="F1109" s="78">
        <v>3.0000000000000001E-5</v>
      </c>
      <c r="J1109" s="47"/>
      <c r="K1109" s="47"/>
    </row>
    <row r="1110" spans="1:11" x14ac:dyDescent="0.25">
      <c r="A1110" s="8">
        <v>4</v>
      </c>
      <c r="B1110" s="8">
        <v>1106</v>
      </c>
      <c r="C1110" s="8">
        <v>92.166666666666657</v>
      </c>
      <c r="D1110" s="46">
        <v>0</v>
      </c>
      <c r="E1110" s="78">
        <v>1.3999999999999999E-4</v>
      </c>
      <c r="F1110" s="78">
        <v>3.0000000000000001E-5</v>
      </c>
      <c r="J1110" s="47"/>
      <c r="K1110" s="47"/>
    </row>
    <row r="1111" spans="1:11" x14ac:dyDescent="0.25">
      <c r="A1111" s="8">
        <v>4</v>
      </c>
      <c r="B1111" s="8">
        <v>1107</v>
      </c>
      <c r="C1111" s="8">
        <v>92.25</v>
      </c>
      <c r="D1111" s="46">
        <v>0</v>
      </c>
      <c r="E1111" s="78">
        <v>1.3999999999999999E-4</v>
      </c>
      <c r="F1111" s="78">
        <v>3.0000000000000001E-5</v>
      </c>
      <c r="J1111" s="47"/>
      <c r="K1111" s="47"/>
    </row>
    <row r="1112" spans="1:11" x14ac:dyDescent="0.25">
      <c r="A1112" s="8">
        <v>4</v>
      </c>
      <c r="B1112" s="8">
        <v>1108</v>
      </c>
      <c r="C1112" s="8">
        <v>92.333333333333329</v>
      </c>
      <c r="D1112" s="46">
        <v>0</v>
      </c>
      <c r="E1112" s="78">
        <v>1.3999999999999999E-4</v>
      </c>
      <c r="F1112" s="78">
        <v>3.0000000000000001E-5</v>
      </c>
      <c r="J1112" s="47"/>
      <c r="K1112" s="47"/>
    </row>
    <row r="1113" spans="1:11" x14ac:dyDescent="0.25">
      <c r="A1113" s="8">
        <v>4</v>
      </c>
      <c r="B1113" s="8">
        <v>1109</v>
      </c>
      <c r="C1113" s="8">
        <v>92.416666666666657</v>
      </c>
      <c r="D1113" s="46">
        <v>0</v>
      </c>
      <c r="E1113" s="78">
        <v>1.3999999999999999E-4</v>
      </c>
      <c r="F1113" s="78">
        <v>3.0000000000000001E-5</v>
      </c>
      <c r="J1113" s="47"/>
      <c r="K1113" s="47"/>
    </row>
    <row r="1114" spans="1:11" x14ac:dyDescent="0.25">
      <c r="A1114" s="8">
        <v>4</v>
      </c>
      <c r="B1114" s="8">
        <v>1110</v>
      </c>
      <c r="C1114" s="8">
        <v>92.5</v>
      </c>
      <c r="D1114" s="46">
        <v>0</v>
      </c>
      <c r="E1114" s="78">
        <v>1.3999999999999999E-4</v>
      </c>
      <c r="F1114" s="78">
        <v>3.0000000000000001E-5</v>
      </c>
      <c r="J1114" s="47"/>
      <c r="K1114" s="47"/>
    </row>
    <row r="1115" spans="1:11" x14ac:dyDescent="0.25">
      <c r="A1115" s="8">
        <v>4</v>
      </c>
      <c r="B1115" s="8">
        <v>1111</v>
      </c>
      <c r="C1115" s="8">
        <v>92.583333333333329</v>
      </c>
      <c r="D1115" s="46">
        <v>0</v>
      </c>
      <c r="E1115" s="78">
        <v>1.3999999999999999E-4</v>
      </c>
      <c r="F1115" s="78">
        <v>3.0000000000000001E-5</v>
      </c>
      <c r="J1115" s="47"/>
      <c r="K1115" s="47"/>
    </row>
    <row r="1116" spans="1:11" x14ac:dyDescent="0.25">
      <c r="A1116" s="8">
        <v>4</v>
      </c>
      <c r="B1116" s="8">
        <v>1112</v>
      </c>
      <c r="C1116" s="8">
        <v>92.666666666666657</v>
      </c>
      <c r="D1116" s="46">
        <v>0</v>
      </c>
      <c r="E1116" s="78">
        <v>1.3999999999999999E-4</v>
      </c>
      <c r="F1116" s="78">
        <v>3.0000000000000001E-5</v>
      </c>
      <c r="J1116" s="47"/>
      <c r="K1116" s="47"/>
    </row>
    <row r="1117" spans="1:11" x14ac:dyDescent="0.25">
      <c r="A1117" s="8">
        <v>4</v>
      </c>
      <c r="B1117" s="8">
        <v>1113</v>
      </c>
      <c r="C1117" s="8">
        <v>92.75</v>
      </c>
      <c r="D1117" s="46">
        <v>0</v>
      </c>
      <c r="E1117" s="78">
        <v>1.3999999999999999E-4</v>
      </c>
      <c r="F1117" s="78">
        <v>3.0000000000000001E-5</v>
      </c>
      <c r="J1117" s="47"/>
      <c r="K1117" s="47"/>
    </row>
    <row r="1118" spans="1:11" x14ac:dyDescent="0.25">
      <c r="A1118" s="8">
        <v>4</v>
      </c>
      <c r="B1118" s="8">
        <v>1114</v>
      </c>
      <c r="C1118" s="8">
        <v>92.833333333333329</v>
      </c>
      <c r="D1118" s="46">
        <v>0</v>
      </c>
      <c r="E1118" s="78">
        <v>1.3999999999999999E-4</v>
      </c>
      <c r="F1118" s="78">
        <v>3.0000000000000001E-5</v>
      </c>
      <c r="J1118" s="47"/>
      <c r="K1118" s="47"/>
    </row>
    <row r="1119" spans="1:11" x14ac:dyDescent="0.25">
      <c r="A1119" s="8">
        <v>4</v>
      </c>
      <c r="B1119" s="8">
        <v>1115</v>
      </c>
      <c r="C1119" s="8">
        <v>92.916666666666657</v>
      </c>
      <c r="D1119" s="46">
        <v>0</v>
      </c>
      <c r="E1119" s="78">
        <v>1.3999999999999999E-4</v>
      </c>
      <c r="F1119" s="78">
        <v>3.0000000000000001E-5</v>
      </c>
      <c r="J1119" s="47"/>
      <c r="K1119" s="47"/>
    </row>
    <row r="1120" spans="1:11" x14ac:dyDescent="0.25">
      <c r="A1120" s="8">
        <v>4</v>
      </c>
      <c r="B1120" s="8">
        <v>1116</v>
      </c>
      <c r="C1120" s="8">
        <v>93</v>
      </c>
      <c r="D1120" s="46">
        <v>0</v>
      </c>
      <c r="E1120" s="78">
        <v>1.3999999999999999E-4</v>
      </c>
      <c r="F1120" s="78">
        <v>3.0000000000000001E-5</v>
      </c>
      <c r="J1120" s="47"/>
      <c r="K1120" s="47"/>
    </row>
    <row r="1121" spans="1:11" x14ac:dyDescent="0.25">
      <c r="A1121" s="8">
        <v>4</v>
      </c>
      <c r="B1121" s="8">
        <v>1117</v>
      </c>
      <c r="C1121" s="8">
        <v>93.083333333333329</v>
      </c>
      <c r="D1121" s="46">
        <v>0</v>
      </c>
      <c r="E1121" s="78">
        <v>1.3999999999999999E-4</v>
      </c>
      <c r="F1121" s="78">
        <v>3.0000000000000001E-5</v>
      </c>
      <c r="J1121" s="47"/>
      <c r="K1121" s="47"/>
    </row>
    <row r="1122" spans="1:11" x14ac:dyDescent="0.25">
      <c r="A1122" s="8">
        <v>4</v>
      </c>
      <c r="B1122" s="8">
        <v>1118</v>
      </c>
      <c r="C1122" s="8">
        <v>93.166666666666657</v>
      </c>
      <c r="D1122" s="46">
        <v>0</v>
      </c>
      <c r="E1122" s="78">
        <v>1.3999999999999999E-4</v>
      </c>
      <c r="F1122" s="78">
        <v>3.0000000000000001E-5</v>
      </c>
      <c r="J1122" s="47"/>
      <c r="K1122" s="47"/>
    </row>
    <row r="1123" spans="1:11" x14ac:dyDescent="0.25">
      <c r="A1123" s="8">
        <v>4</v>
      </c>
      <c r="B1123" s="8">
        <v>1119</v>
      </c>
      <c r="C1123" s="8">
        <v>93.25</v>
      </c>
      <c r="D1123" s="46">
        <v>0</v>
      </c>
      <c r="E1123" s="78">
        <v>1.3999999999999999E-4</v>
      </c>
      <c r="F1123" s="78">
        <v>3.0000000000000001E-5</v>
      </c>
      <c r="J1123" s="47"/>
      <c r="K1123" s="47"/>
    </row>
    <row r="1124" spans="1:11" x14ac:dyDescent="0.25">
      <c r="A1124" s="8">
        <v>4</v>
      </c>
      <c r="B1124" s="8">
        <v>1120</v>
      </c>
      <c r="C1124" s="8">
        <v>93.333333333333329</v>
      </c>
      <c r="D1124" s="46">
        <v>0</v>
      </c>
      <c r="E1124" s="78">
        <v>1.3999999999999999E-4</v>
      </c>
      <c r="F1124" s="78">
        <v>3.0000000000000001E-5</v>
      </c>
      <c r="J1124" s="47"/>
      <c r="K1124" s="47"/>
    </row>
    <row r="1125" spans="1:11" x14ac:dyDescent="0.25">
      <c r="A1125" s="8">
        <v>4</v>
      </c>
      <c r="B1125" s="8">
        <v>1121</v>
      </c>
      <c r="C1125" s="8">
        <v>93.416666666666657</v>
      </c>
      <c r="D1125" s="46">
        <v>0</v>
      </c>
      <c r="E1125" s="78">
        <v>1.3999999999999999E-4</v>
      </c>
      <c r="F1125" s="78">
        <v>3.0000000000000001E-5</v>
      </c>
      <c r="J1125" s="47"/>
      <c r="K1125" s="47"/>
    </row>
    <row r="1126" spans="1:11" x14ac:dyDescent="0.25">
      <c r="A1126" s="8">
        <v>4</v>
      </c>
      <c r="B1126" s="8">
        <v>1122</v>
      </c>
      <c r="C1126" s="8">
        <v>93.5</v>
      </c>
      <c r="D1126" s="46">
        <v>0</v>
      </c>
      <c r="E1126" s="78">
        <v>1.3999999999999999E-4</v>
      </c>
      <c r="F1126" s="78">
        <v>3.0000000000000001E-5</v>
      </c>
      <c r="J1126" s="47"/>
      <c r="K1126" s="47"/>
    </row>
    <row r="1127" spans="1:11" x14ac:dyDescent="0.25">
      <c r="A1127" s="8">
        <v>4</v>
      </c>
      <c r="B1127" s="8">
        <v>1123</v>
      </c>
      <c r="C1127" s="8">
        <v>93.583333333333329</v>
      </c>
      <c r="D1127" s="46">
        <v>0</v>
      </c>
      <c r="E1127" s="78">
        <v>1.3999999999999999E-4</v>
      </c>
      <c r="F1127" s="78">
        <v>3.0000000000000001E-5</v>
      </c>
      <c r="J1127" s="47"/>
      <c r="K1127" s="47"/>
    </row>
    <row r="1128" spans="1:11" x14ac:dyDescent="0.25">
      <c r="A1128" s="8">
        <v>4</v>
      </c>
      <c r="B1128" s="8">
        <v>1124</v>
      </c>
      <c r="C1128" s="8">
        <v>93.666666666666657</v>
      </c>
      <c r="D1128" s="46">
        <v>0</v>
      </c>
      <c r="E1128" s="78">
        <v>1.3999999999999999E-4</v>
      </c>
      <c r="F1128" s="78">
        <v>3.0000000000000001E-5</v>
      </c>
      <c r="J1128" s="47"/>
      <c r="K1128" s="47"/>
    </row>
    <row r="1129" spans="1:11" x14ac:dyDescent="0.25">
      <c r="A1129" s="8">
        <v>4</v>
      </c>
      <c r="B1129" s="8">
        <v>1125</v>
      </c>
      <c r="C1129" s="8">
        <v>93.75</v>
      </c>
      <c r="D1129" s="46">
        <v>0</v>
      </c>
      <c r="E1129" s="78">
        <v>1.3999999999999999E-4</v>
      </c>
      <c r="F1129" s="78">
        <v>3.0000000000000001E-5</v>
      </c>
      <c r="J1129" s="47"/>
      <c r="K1129" s="47"/>
    </row>
    <row r="1130" spans="1:11" x14ac:dyDescent="0.25">
      <c r="A1130" s="8">
        <v>4</v>
      </c>
      <c r="B1130" s="8">
        <v>1126</v>
      </c>
      <c r="C1130" s="8">
        <v>93.833333333333329</v>
      </c>
      <c r="D1130" s="46">
        <v>0</v>
      </c>
      <c r="E1130" s="78">
        <v>1.3999999999999999E-4</v>
      </c>
      <c r="F1130" s="78">
        <v>3.0000000000000001E-5</v>
      </c>
      <c r="J1130" s="47"/>
      <c r="K1130" s="47"/>
    </row>
    <row r="1131" spans="1:11" x14ac:dyDescent="0.25">
      <c r="A1131" s="8">
        <v>4</v>
      </c>
      <c r="B1131" s="8">
        <v>1127</v>
      </c>
      <c r="C1131" s="8">
        <v>93.916666666666657</v>
      </c>
      <c r="D1131" s="46">
        <v>0</v>
      </c>
      <c r="E1131" s="78">
        <v>1.3999999999999999E-4</v>
      </c>
      <c r="F1131" s="78">
        <v>3.0000000000000001E-5</v>
      </c>
      <c r="J1131" s="47"/>
      <c r="K1131" s="47"/>
    </row>
    <row r="1132" spans="1:11" x14ac:dyDescent="0.25">
      <c r="A1132" s="8">
        <v>4</v>
      </c>
      <c r="B1132" s="8">
        <v>1128</v>
      </c>
      <c r="C1132" s="8">
        <v>94</v>
      </c>
      <c r="D1132" s="46">
        <v>0</v>
      </c>
      <c r="E1132" s="78">
        <v>1.3999999999999999E-4</v>
      </c>
      <c r="F1132" s="78">
        <v>3.0000000000000001E-5</v>
      </c>
      <c r="J1132" s="47"/>
      <c r="K1132" s="47"/>
    </row>
    <row r="1133" spans="1:11" x14ac:dyDescent="0.25">
      <c r="A1133" s="8">
        <v>4</v>
      </c>
      <c r="B1133" s="8">
        <v>1129</v>
      </c>
      <c r="C1133" s="8">
        <v>94.083333333333329</v>
      </c>
      <c r="D1133" s="46">
        <v>0</v>
      </c>
      <c r="E1133" s="78">
        <v>1.3999999999999999E-4</v>
      </c>
      <c r="F1133" s="78">
        <v>3.0000000000000001E-5</v>
      </c>
      <c r="J1133" s="47"/>
      <c r="K1133" s="47"/>
    </row>
    <row r="1134" spans="1:11" x14ac:dyDescent="0.25">
      <c r="A1134" s="8">
        <v>4</v>
      </c>
      <c r="B1134" s="8">
        <v>1130</v>
      </c>
      <c r="C1134" s="8">
        <v>94.166666666666657</v>
      </c>
      <c r="D1134" s="46">
        <v>0</v>
      </c>
      <c r="E1134" s="78">
        <v>1.3999999999999999E-4</v>
      </c>
      <c r="F1134" s="78">
        <v>3.0000000000000001E-5</v>
      </c>
      <c r="J1134" s="47"/>
      <c r="K1134" s="47"/>
    </row>
    <row r="1135" spans="1:11" x14ac:dyDescent="0.25">
      <c r="A1135" s="8">
        <v>4</v>
      </c>
      <c r="B1135" s="8">
        <v>1131</v>
      </c>
      <c r="C1135" s="8">
        <v>94.25</v>
      </c>
      <c r="D1135" s="46">
        <v>0</v>
      </c>
      <c r="E1135" s="78">
        <v>1.3999999999999999E-4</v>
      </c>
      <c r="F1135" s="78">
        <v>3.0000000000000001E-5</v>
      </c>
      <c r="J1135" s="47"/>
      <c r="K1135" s="47"/>
    </row>
    <row r="1136" spans="1:11" x14ac:dyDescent="0.25">
      <c r="A1136" s="8">
        <v>4</v>
      </c>
      <c r="B1136" s="8">
        <v>1132</v>
      </c>
      <c r="C1136" s="8">
        <v>94.333333333333329</v>
      </c>
      <c r="D1136" s="46">
        <v>0</v>
      </c>
      <c r="E1136" s="78">
        <v>1.3999999999999999E-4</v>
      </c>
      <c r="F1136" s="78">
        <v>3.0000000000000001E-5</v>
      </c>
      <c r="J1136" s="47"/>
      <c r="K1136" s="47"/>
    </row>
    <row r="1137" spans="1:11" x14ac:dyDescent="0.25">
      <c r="A1137" s="8">
        <v>4</v>
      </c>
      <c r="B1137" s="8">
        <v>1133</v>
      </c>
      <c r="C1137" s="8">
        <v>94.416666666666657</v>
      </c>
      <c r="D1137" s="46">
        <v>0</v>
      </c>
      <c r="E1137" s="78">
        <v>1.3999999999999999E-4</v>
      </c>
      <c r="F1137" s="78">
        <v>3.0000000000000001E-5</v>
      </c>
      <c r="J1137" s="47"/>
      <c r="K1137" s="47"/>
    </row>
    <row r="1138" spans="1:11" x14ac:dyDescent="0.25">
      <c r="A1138" s="8">
        <v>4</v>
      </c>
      <c r="B1138" s="8">
        <v>1134</v>
      </c>
      <c r="C1138" s="8">
        <v>94.5</v>
      </c>
      <c r="D1138" s="46">
        <v>0</v>
      </c>
      <c r="E1138" s="78">
        <v>1.3999999999999999E-4</v>
      </c>
      <c r="F1138" s="78">
        <v>3.0000000000000001E-5</v>
      </c>
      <c r="J1138" s="47"/>
      <c r="K1138" s="47"/>
    </row>
    <row r="1139" spans="1:11" x14ac:dyDescent="0.25">
      <c r="A1139" s="8">
        <v>4</v>
      </c>
      <c r="B1139" s="8">
        <v>1135</v>
      </c>
      <c r="C1139" s="8">
        <v>94.583333333333329</v>
      </c>
      <c r="D1139" s="46">
        <v>0</v>
      </c>
      <c r="E1139" s="78">
        <v>1.3999999999999999E-4</v>
      </c>
      <c r="F1139" s="78">
        <v>3.0000000000000001E-5</v>
      </c>
      <c r="J1139" s="47"/>
      <c r="K1139" s="47"/>
    </row>
    <row r="1140" spans="1:11" x14ac:dyDescent="0.25">
      <c r="A1140" s="8">
        <v>4</v>
      </c>
      <c r="B1140" s="8">
        <v>1136</v>
      </c>
      <c r="C1140" s="8">
        <v>94.666666666666657</v>
      </c>
      <c r="D1140" s="46">
        <v>0</v>
      </c>
      <c r="E1140" s="78">
        <v>1.3999999999999999E-4</v>
      </c>
      <c r="F1140" s="78">
        <v>3.0000000000000001E-5</v>
      </c>
      <c r="J1140" s="47"/>
      <c r="K1140" s="47"/>
    </row>
    <row r="1141" spans="1:11" x14ac:dyDescent="0.25">
      <c r="A1141" s="8">
        <v>4</v>
      </c>
      <c r="B1141" s="8">
        <v>1137</v>
      </c>
      <c r="C1141" s="8">
        <v>94.75</v>
      </c>
      <c r="D1141" s="46">
        <v>0</v>
      </c>
      <c r="E1141" s="78">
        <v>1.3999999999999999E-4</v>
      </c>
      <c r="F1141" s="78">
        <v>3.0000000000000001E-5</v>
      </c>
      <c r="J1141" s="47"/>
      <c r="K1141" s="47"/>
    </row>
    <row r="1142" spans="1:11" x14ac:dyDescent="0.25">
      <c r="A1142" s="8">
        <v>4</v>
      </c>
      <c r="B1142" s="8">
        <v>1138</v>
      </c>
      <c r="C1142" s="8">
        <v>94.833333333333329</v>
      </c>
      <c r="D1142" s="46">
        <v>0</v>
      </c>
      <c r="E1142" s="78">
        <v>1.3999999999999999E-4</v>
      </c>
      <c r="F1142" s="78">
        <v>3.0000000000000001E-5</v>
      </c>
      <c r="J1142" s="47"/>
      <c r="K1142" s="47"/>
    </row>
    <row r="1143" spans="1:11" x14ac:dyDescent="0.25">
      <c r="A1143" s="8">
        <v>4</v>
      </c>
      <c r="B1143" s="8">
        <v>1139</v>
      </c>
      <c r="C1143" s="8">
        <v>94.916666666666657</v>
      </c>
      <c r="D1143" s="46">
        <v>0</v>
      </c>
      <c r="E1143" s="78">
        <v>1.3999999999999999E-4</v>
      </c>
      <c r="F1143" s="78">
        <v>3.0000000000000001E-5</v>
      </c>
      <c r="J1143" s="47"/>
      <c r="K1143" s="47"/>
    </row>
    <row r="1144" spans="1:11" x14ac:dyDescent="0.25">
      <c r="A1144" s="8">
        <v>4</v>
      </c>
      <c r="B1144" s="8">
        <v>1140</v>
      </c>
      <c r="C1144" s="8">
        <v>95</v>
      </c>
      <c r="D1144" s="46">
        <v>0</v>
      </c>
      <c r="E1144" s="78">
        <v>1.3999999999999999E-4</v>
      </c>
      <c r="F1144" s="78">
        <v>3.0000000000000001E-5</v>
      </c>
      <c r="J1144" s="47"/>
      <c r="K1144" s="47"/>
    </row>
    <row r="1145" spans="1:11" x14ac:dyDescent="0.25">
      <c r="A1145" s="8">
        <v>4</v>
      </c>
      <c r="B1145" s="8">
        <v>1141</v>
      </c>
      <c r="C1145" s="8">
        <v>95.083333333333329</v>
      </c>
      <c r="D1145" s="46">
        <v>0</v>
      </c>
      <c r="E1145" s="78">
        <v>1.3999999999999999E-4</v>
      </c>
      <c r="F1145" s="78">
        <v>3.0000000000000001E-5</v>
      </c>
      <c r="J1145" s="47"/>
      <c r="K1145" s="47"/>
    </row>
    <row r="1146" spans="1:11" x14ac:dyDescent="0.25">
      <c r="A1146" s="8">
        <v>4</v>
      </c>
      <c r="B1146" s="8">
        <v>1142</v>
      </c>
      <c r="C1146" s="8">
        <v>95.166666666666657</v>
      </c>
      <c r="D1146" s="46">
        <v>0</v>
      </c>
      <c r="E1146" s="78">
        <v>1.3999999999999999E-4</v>
      </c>
      <c r="F1146" s="78">
        <v>3.0000000000000001E-5</v>
      </c>
      <c r="J1146" s="47"/>
      <c r="K1146" s="47"/>
    </row>
    <row r="1147" spans="1:11" x14ac:dyDescent="0.25">
      <c r="A1147" s="8">
        <v>4</v>
      </c>
      <c r="B1147" s="8">
        <v>1143</v>
      </c>
      <c r="C1147" s="8">
        <v>95.25</v>
      </c>
      <c r="D1147" s="46">
        <v>0</v>
      </c>
      <c r="E1147" s="78">
        <v>1.3999999999999999E-4</v>
      </c>
      <c r="F1147" s="78">
        <v>3.0000000000000001E-5</v>
      </c>
      <c r="J1147" s="47"/>
      <c r="K1147" s="47"/>
    </row>
    <row r="1148" spans="1:11" x14ac:dyDescent="0.25">
      <c r="A1148" s="8">
        <v>4</v>
      </c>
      <c r="B1148" s="8">
        <v>1144</v>
      </c>
      <c r="C1148" s="8">
        <v>95.333333333333329</v>
      </c>
      <c r="D1148" s="46">
        <v>0</v>
      </c>
      <c r="E1148" s="78">
        <v>1.3999999999999999E-4</v>
      </c>
      <c r="F1148" s="78">
        <v>3.0000000000000001E-5</v>
      </c>
      <c r="J1148" s="47"/>
      <c r="K1148" s="47"/>
    </row>
    <row r="1149" spans="1:11" x14ac:dyDescent="0.25">
      <c r="A1149" s="8">
        <v>4</v>
      </c>
      <c r="B1149" s="8">
        <v>1145</v>
      </c>
      <c r="C1149" s="8">
        <v>95.416666666666657</v>
      </c>
      <c r="D1149" s="46">
        <v>0</v>
      </c>
      <c r="E1149" s="78">
        <v>1.3999999999999999E-4</v>
      </c>
      <c r="F1149" s="78">
        <v>3.0000000000000001E-5</v>
      </c>
      <c r="J1149" s="47"/>
      <c r="K1149" s="47"/>
    </row>
    <row r="1150" spans="1:11" x14ac:dyDescent="0.25">
      <c r="A1150" s="8">
        <v>4</v>
      </c>
      <c r="B1150" s="8">
        <v>1146</v>
      </c>
      <c r="C1150" s="8">
        <v>95.5</v>
      </c>
      <c r="D1150" s="46">
        <v>0</v>
      </c>
      <c r="E1150" s="78">
        <v>1.3999999999999999E-4</v>
      </c>
      <c r="F1150" s="78">
        <v>3.0000000000000001E-5</v>
      </c>
      <c r="J1150" s="47"/>
      <c r="K1150" s="47"/>
    </row>
    <row r="1151" spans="1:11" x14ac:dyDescent="0.25">
      <c r="A1151" s="8">
        <v>4</v>
      </c>
      <c r="B1151" s="8">
        <v>1147</v>
      </c>
      <c r="C1151" s="8">
        <v>95.583333333333329</v>
      </c>
      <c r="D1151" s="46">
        <v>0</v>
      </c>
      <c r="E1151" s="78">
        <v>1.3999999999999999E-4</v>
      </c>
      <c r="F1151" s="78">
        <v>3.0000000000000001E-5</v>
      </c>
      <c r="J1151" s="47"/>
      <c r="K1151" s="47"/>
    </row>
    <row r="1152" spans="1:11" x14ac:dyDescent="0.25">
      <c r="A1152" s="8">
        <v>4</v>
      </c>
      <c r="B1152" s="8">
        <v>1148</v>
      </c>
      <c r="C1152" s="8">
        <v>95.666666666666657</v>
      </c>
      <c r="D1152" s="46">
        <v>0</v>
      </c>
      <c r="E1152" s="78">
        <v>1.3999999999999999E-4</v>
      </c>
      <c r="F1152" s="78">
        <v>3.0000000000000001E-5</v>
      </c>
      <c r="J1152" s="47"/>
      <c r="K1152" s="47"/>
    </row>
    <row r="1153" spans="1:11" x14ac:dyDescent="0.25">
      <c r="A1153" s="8">
        <v>4</v>
      </c>
      <c r="B1153" s="8">
        <v>1149</v>
      </c>
      <c r="C1153" s="8">
        <v>95.75</v>
      </c>
      <c r="D1153" s="46">
        <v>0</v>
      </c>
      <c r="E1153" s="78">
        <v>1.3999999999999999E-4</v>
      </c>
      <c r="F1153" s="78">
        <v>3.0000000000000001E-5</v>
      </c>
      <c r="J1153" s="47"/>
      <c r="K1153" s="47"/>
    </row>
    <row r="1154" spans="1:11" x14ac:dyDescent="0.25">
      <c r="A1154" s="8">
        <v>4</v>
      </c>
      <c r="B1154" s="8">
        <v>1150</v>
      </c>
      <c r="C1154" s="8">
        <v>95.833333333333329</v>
      </c>
      <c r="D1154" s="46">
        <v>0</v>
      </c>
      <c r="E1154" s="78">
        <v>1.3999999999999999E-4</v>
      </c>
      <c r="F1154" s="78">
        <v>3.0000000000000001E-5</v>
      </c>
      <c r="J1154" s="47"/>
      <c r="K1154" s="47"/>
    </row>
    <row r="1155" spans="1:11" x14ac:dyDescent="0.25">
      <c r="A1155" s="8">
        <v>4</v>
      </c>
      <c r="B1155" s="8">
        <v>1151</v>
      </c>
      <c r="C1155" s="8">
        <v>95.916666666666657</v>
      </c>
      <c r="D1155" s="46">
        <v>0</v>
      </c>
      <c r="E1155" s="78">
        <v>1.3999999999999999E-4</v>
      </c>
      <c r="F1155" s="78">
        <v>3.0000000000000001E-5</v>
      </c>
      <c r="J1155" s="47"/>
      <c r="K1155" s="47"/>
    </row>
    <row r="1156" spans="1:11" x14ac:dyDescent="0.25">
      <c r="A1156" s="8">
        <v>4</v>
      </c>
      <c r="B1156" s="8">
        <v>1152</v>
      </c>
      <c r="C1156" s="8">
        <v>96</v>
      </c>
      <c r="D1156" s="46">
        <v>0</v>
      </c>
      <c r="E1156" s="78">
        <v>1.3999999999999999E-4</v>
      </c>
      <c r="F1156" s="78">
        <v>3.0000000000000001E-5</v>
      </c>
      <c r="J1156" s="47"/>
      <c r="K1156" s="47"/>
    </row>
  </sheetData>
  <pageMargins left="0.7" right="0.7" top="0.75" bottom="0.75" header="0.3" footer="0.3"/>
  <pageSetup orientation="portrait" horizontalDpi="1200" verticalDpi="1200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1:M5"/>
  <sheetViews>
    <sheetView workbookViewId="0">
      <selection activeCell="B7" sqref="B7"/>
    </sheetView>
  </sheetViews>
  <sheetFormatPr defaultRowHeight="15" x14ac:dyDescent="0.25"/>
  <cols>
    <col min="2" max="3" width="15.28515625" customWidth="1"/>
    <col min="7" max="7" width="12.28515625" customWidth="1"/>
  </cols>
  <sheetData>
    <row r="1" spans="1:13" x14ac:dyDescent="0.25">
      <c r="A1" t="s">
        <v>7</v>
      </c>
      <c r="B1" t="s">
        <v>5</v>
      </c>
      <c r="C1" t="s">
        <v>6</v>
      </c>
      <c r="D1" t="s">
        <v>9</v>
      </c>
      <c r="E1" t="s">
        <v>8</v>
      </c>
      <c r="F1" t="s">
        <v>25</v>
      </c>
      <c r="G1" t="s">
        <v>28</v>
      </c>
      <c r="H1" t="s">
        <v>41</v>
      </c>
    </row>
    <row r="2" spans="1:13" x14ac:dyDescent="0.25">
      <c r="A2" t="s">
        <v>53</v>
      </c>
      <c r="B2" t="s">
        <v>54</v>
      </c>
      <c r="C2" t="s">
        <v>55</v>
      </c>
      <c r="D2" t="s">
        <v>56</v>
      </c>
      <c r="E2" t="s">
        <v>57</v>
      </c>
      <c r="F2" t="s">
        <v>58</v>
      </c>
      <c r="G2" t="s">
        <v>59</v>
      </c>
      <c r="H2" t="s">
        <v>43</v>
      </c>
      <c r="M2" t="s">
        <v>83</v>
      </c>
    </row>
    <row r="3" spans="1:13" x14ac:dyDescent="0.25">
      <c r="A3" t="s">
        <v>60</v>
      </c>
      <c r="B3" t="s">
        <v>61</v>
      </c>
      <c r="C3" t="s">
        <v>62</v>
      </c>
      <c r="D3" t="s">
        <v>63</v>
      </c>
      <c r="E3" t="s">
        <v>64</v>
      </c>
      <c r="F3" t="s">
        <v>65</v>
      </c>
      <c r="G3" t="s">
        <v>66</v>
      </c>
      <c r="H3" t="s">
        <v>43</v>
      </c>
    </row>
    <row r="4" spans="1:13" x14ac:dyDescent="0.25">
      <c r="A4" t="s">
        <v>67</v>
      </c>
      <c r="B4" t="s">
        <v>68</v>
      </c>
      <c r="C4" t="s">
        <v>69</v>
      </c>
      <c r="D4" t="s">
        <v>71</v>
      </c>
      <c r="E4" t="s">
        <v>72</v>
      </c>
      <c r="F4" t="s">
        <v>73</v>
      </c>
      <c r="G4" t="s">
        <v>74</v>
      </c>
      <c r="H4" t="s">
        <v>70</v>
      </c>
    </row>
    <row r="5" spans="1:13" x14ac:dyDescent="0.25">
      <c r="A5" t="s">
        <v>75</v>
      </c>
      <c r="B5" t="s">
        <v>76</v>
      </c>
      <c r="C5" t="s">
        <v>77</v>
      </c>
      <c r="D5" t="s">
        <v>79</v>
      </c>
      <c r="E5" t="s">
        <v>80</v>
      </c>
      <c r="F5" t="s">
        <v>81</v>
      </c>
      <c r="G5" t="s">
        <v>82</v>
      </c>
      <c r="H5" t="s">
        <v>78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6</vt:i4>
      </vt:variant>
      <vt:variant>
        <vt:lpstr>Named Ranges</vt:lpstr>
      </vt:variant>
      <vt:variant>
        <vt:i4>16</vt:i4>
      </vt:variant>
    </vt:vector>
  </HeadingPairs>
  <TitlesOfParts>
    <vt:vector size="22" baseType="lpstr">
      <vt:lpstr>Demand</vt:lpstr>
      <vt:lpstr>Undispatch</vt:lpstr>
      <vt:lpstr>Machines</vt:lpstr>
      <vt:lpstr>Stor&amp;Net</vt:lpstr>
      <vt:lpstr>Prices</vt:lpstr>
      <vt:lpstr>DATA</vt:lpstr>
      <vt:lpstr>adddata</vt:lpstr>
      <vt:lpstr>ambdof</vt:lpstr>
      <vt:lpstr>ambrange</vt:lpstr>
      <vt:lpstr>colamb</vt:lpstr>
      <vt:lpstr>colinp</vt:lpstr>
      <vt:lpstr>colout</vt:lpstr>
      <vt:lpstr>datarange</vt:lpstr>
      <vt:lpstr>ddatarange</vt:lpstr>
      <vt:lpstr>names</vt:lpstr>
      <vt:lpstr>ngoods</vt:lpstr>
      <vt:lpstr>pricerange</vt:lpstr>
      <vt:lpstr>profstart</vt:lpstr>
      <vt:lpstr>rangeread</vt:lpstr>
      <vt:lpstr>storstart</vt:lpstr>
      <vt:lpstr>tdur</vt:lpstr>
      <vt:lpstr>unprofstart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Luca Moretti</dc:creator>
  <cp:lastModifiedBy>Luca Moretti</cp:lastModifiedBy>
  <dcterms:created xsi:type="dcterms:W3CDTF">2016-11-22T09:10:06Z</dcterms:created>
  <dcterms:modified xsi:type="dcterms:W3CDTF">2018-02-21T10:31:53Z</dcterms:modified>
</cp:coreProperties>
</file>