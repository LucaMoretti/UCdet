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xr:revisionPtr revIDLastSave="0" documentId="8_{AE1C9151-D5BA-4784-B965-E4601DDFD34F}" xr6:coauthVersionLast="33" xr6:coauthVersionMax="33" xr10:uidLastSave="{00000000-0000-0000-0000-000000000000}"/>
  <bookViews>
    <workbookView xWindow="0" yWindow="0" windowWidth="28800" windowHeight="11610" activeTab="2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r:id="rId6"/>
  </sheets>
  <functionGroups builtInGroupCount="19"/>
  <definedNames>
    <definedName name="adddata">Machines!$M$1</definedName>
    <definedName name="ambdof">Demand!$N$2</definedName>
    <definedName name="ambrange">Demand!$K$2</definedName>
    <definedName name="colamb">Machines!$A$3</definedName>
    <definedName name="colinp">Machines!$A$1</definedName>
    <definedName name="colout">Machines!$A$2</definedName>
    <definedName name="datarange">Demand!$I$2</definedName>
    <definedName name="ddatarange">Undispatch!$A$1</definedName>
    <definedName name="namb">DATA!#REF!</definedName>
    <definedName name="names">Machines!$B:$B</definedName>
    <definedName name="ngoods">Demand!$K$2</definedName>
    <definedName name="pricerange">Prices!$A$1</definedName>
    <definedName name="profstart">Demand!$F$4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8" l="1"/>
  <c r="C1" i="1" l="1"/>
  <c r="J5" i="4"/>
  <c r="J4" i="4"/>
  <c r="J3" i="4"/>
  <c r="N2" i="1"/>
  <c r="K2" i="1" s="1"/>
  <c r="I2" i="1"/>
  <c r="C28" i="1"/>
  <c r="A28" i="1" s="1"/>
  <c r="A27" i="3" s="1"/>
  <c r="A1" i="3"/>
  <c r="C37" i="1"/>
  <c r="C36" i="3"/>
  <c r="C36" i="1"/>
  <c r="A36" i="1" s="1"/>
  <c r="A35" i="3" s="1"/>
  <c r="C35" i="1"/>
  <c r="A35" i="1" s="1"/>
  <c r="A34" i="3" s="1"/>
  <c r="C34" i="1"/>
  <c r="C33" i="3" s="1"/>
  <c r="C33" i="1"/>
  <c r="C32" i="3" s="1"/>
  <c r="C32" i="1"/>
  <c r="A32" i="1" s="1"/>
  <c r="A31" i="3" s="1"/>
  <c r="C31" i="3"/>
  <c r="C31" i="1"/>
  <c r="C30" i="3" s="1"/>
  <c r="C30" i="1"/>
  <c r="C29" i="3" s="1"/>
  <c r="A30" i="1"/>
  <c r="A29" i="3" s="1"/>
  <c r="C29" i="1"/>
  <c r="C28" i="3" s="1"/>
  <c r="C27" i="1"/>
  <c r="A27" i="1" s="1"/>
  <c r="A26" i="3" s="1"/>
  <c r="C26" i="1"/>
  <c r="C25" i="3"/>
  <c r="A26" i="1"/>
  <c r="A25" i="3" s="1"/>
  <c r="C25" i="1"/>
  <c r="A25" i="1" s="1"/>
  <c r="A24" i="3" s="1"/>
  <c r="C24" i="1"/>
  <c r="C23" i="3" s="1"/>
  <c r="C23" i="1"/>
  <c r="C22" i="3" s="1"/>
  <c r="C22" i="1"/>
  <c r="C21" i="3" s="1"/>
  <c r="C21" i="1"/>
  <c r="A21" i="1" s="1"/>
  <c r="A20" i="3" s="1"/>
  <c r="C20" i="1"/>
  <c r="A20" i="1" s="1"/>
  <c r="A19" i="3" s="1"/>
  <c r="C19" i="1"/>
  <c r="C18" i="3" s="1"/>
  <c r="C18" i="1"/>
  <c r="C17" i="3" s="1"/>
  <c r="C17" i="1"/>
  <c r="C16" i="3" s="1"/>
  <c r="C16" i="1"/>
  <c r="A16" i="1" s="1"/>
  <c r="A15" i="3" s="1"/>
  <c r="C15" i="3"/>
  <c r="C15" i="1"/>
  <c r="A15" i="1" s="1"/>
  <c r="A14" i="3" s="1"/>
  <c r="C14" i="1"/>
  <c r="C13" i="3" s="1"/>
  <c r="C13" i="1"/>
  <c r="C12" i="3" s="1"/>
  <c r="A13" i="1"/>
  <c r="A12" i="3" s="1"/>
  <c r="C12" i="1"/>
  <c r="A12" i="1"/>
  <c r="A11" i="3" s="1"/>
  <c r="C11" i="1"/>
  <c r="C10" i="3" s="1"/>
  <c r="C10" i="1"/>
  <c r="C9" i="3" s="1"/>
  <c r="C9" i="1"/>
  <c r="C8" i="3" s="1"/>
  <c r="C8" i="1"/>
  <c r="A8" i="1" s="1"/>
  <c r="A7" i="3" s="1"/>
  <c r="C7" i="1"/>
  <c r="C6" i="3"/>
  <c r="C6" i="1"/>
  <c r="A6" i="1" s="1"/>
  <c r="A5" i="3" s="1"/>
  <c r="C5" i="1"/>
  <c r="C4" i="3" s="1"/>
  <c r="A5" i="1"/>
  <c r="A4" i="3" s="1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C27" i="3"/>
  <c r="B28" i="3"/>
  <c r="B29" i="3"/>
  <c r="B30" i="3"/>
  <c r="B31" i="3"/>
  <c r="B32" i="3"/>
  <c r="B33" i="3"/>
  <c r="B34" i="3"/>
  <c r="B35" i="3"/>
  <c r="B36" i="3"/>
  <c r="B4" i="3"/>
  <c r="A9" i="1"/>
  <c r="A8" i="3" s="1"/>
  <c r="A7" i="1"/>
  <c r="A6" i="3" s="1"/>
  <c r="A37" i="1"/>
  <c r="A36" i="3"/>
  <c r="C11" i="3"/>
  <c r="A22" i="1" l="1"/>
  <c r="A21" i="3" s="1"/>
  <c r="A10" i="1"/>
  <c r="A9" i="3" s="1"/>
  <c r="C20" i="3"/>
  <c r="C35" i="3"/>
  <c r="A33" i="1"/>
  <c r="A32" i="3" s="1"/>
  <c r="C14" i="3"/>
  <c r="A11" i="1"/>
  <c r="A10" i="3" s="1"/>
  <c r="C19" i="3"/>
  <c r="C24" i="3"/>
  <c r="A29" i="1"/>
  <c r="A28" i="3" s="1"/>
  <c r="C7" i="3"/>
  <c r="C26" i="3"/>
  <c r="A24" i="1"/>
  <c r="A23" i="3" s="1"/>
  <c r="A23" i="1"/>
  <c r="A22" i="3" s="1"/>
  <c r="C34" i="3"/>
  <c r="A17" i="1"/>
  <c r="A16" i="3" s="1"/>
  <c r="A18" i="1"/>
  <c r="A17" i="3" s="1"/>
  <c r="A31" i="1"/>
  <c r="A30" i="3" s="1"/>
  <c r="A19" i="1"/>
  <c r="A18" i="3" s="1"/>
  <c r="A14" i="1"/>
  <c r="A13" i="3" s="1"/>
  <c r="A34" i="1"/>
  <c r="A33" i="3" s="1"/>
  <c r="C5" i="3"/>
</calcChain>
</file>

<file path=xl/sharedStrings.xml><?xml version="1.0" encoding="utf-8"?>
<sst xmlns="http://schemas.openxmlformats.org/spreadsheetml/2006/main" count="210" uniqueCount="114">
  <si>
    <t>timestep</t>
  </si>
  <si>
    <t>[h]</t>
  </si>
  <si>
    <t>time [h]</t>
  </si>
  <si>
    <t>EE</t>
  </si>
  <si>
    <t>LTH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</si>
  <si>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</si>
  <si>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</si>
  <si>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</si>
  <si>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</si>
  <si>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</si>
  <si>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</si>
  <si>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</si>
  <si>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</si>
  <si>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</si>
  <si>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</si>
  <si>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</si>
  <si>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</si>
  <si>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</si>
  <si>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</si>
  <si>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</si>
  <si>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</si>
  <si>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</si>
  <si>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</si>
  <si>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</si>
  <si>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</si>
  <si>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</si>
  <si>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</si>
  <si>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</si>
  <si>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</si>
  <si>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</si>
  <si>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</si>
  <si>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</si>
  <si>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</si>
  <si>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</si>
  <si>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</si>
  <si>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</si>
  <si>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</si>
  <si>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</si>
  <si>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</si>
  <si>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variabili ambientali</t>
  </si>
  <si>
    <t>rangetoread</t>
  </si>
  <si>
    <t>AMBIENT</t>
  </si>
  <si>
    <t>Tamb</t>
  </si>
  <si>
    <t>N/A</t>
  </si>
  <si>
    <t>G</t>
  </si>
  <si>
    <t>inf</t>
  </si>
  <si>
    <t>G [W/m²]</t>
  </si>
  <si>
    <t>SUN</t>
  </si>
  <si>
    <t>HEATER @35</t>
  </si>
  <si>
    <t>HEATER @55</t>
  </si>
  <si>
    <t>MTH</t>
  </si>
  <si>
    <t>PVT @35</t>
  </si>
  <si>
    <t>PVT @55</t>
  </si>
  <si>
    <t>SAHP OFF</t>
  </si>
  <si>
    <t>SAHP @35</t>
  </si>
  <si>
    <t>SAHP @55</t>
  </si>
  <si>
    <t>B6</t>
  </si>
  <si>
    <t>C6</t>
  </si>
  <si>
    <t>D6</t>
  </si>
  <si>
    <t>C7:D8</t>
  </si>
  <si>
    <t>L7:M7</t>
  </si>
  <si>
    <t>N7:O7</t>
  </si>
  <si>
    <t>P7:S7</t>
  </si>
  <si>
    <t>A2:H8</t>
  </si>
  <si>
    <t>B12</t>
  </si>
  <si>
    <t>C12</t>
  </si>
  <si>
    <t>D12</t>
  </si>
  <si>
    <t>C13:D14</t>
  </si>
  <si>
    <t>L13:M13</t>
  </si>
  <si>
    <t>N13:O13</t>
  </si>
  <si>
    <t>P13:S13</t>
  </si>
  <si>
    <t>B18</t>
  </si>
  <si>
    <t>E18</t>
  </si>
  <si>
    <t>F18:G18</t>
  </si>
  <si>
    <t>C18:D18</t>
  </si>
  <si>
    <t>C19:G92</t>
  </si>
  <si>
    <t>L19:M19</t>
  </si>
  <si>
    <t>N19:O19</t>
  </si>
  <si>
    <t>P19:S19</t>
  </si>
  <si>
    <t>B96</t>
  </si>
  <si>
    <t>E96</t>
  </si>
  <si>
    <t>F96:G96</t>
  </si>
  <si>
    <t>C96:D96</t>
  </si>
  <si>
    <t>C97:G125</t>
  </si>
  <si>
    <t>L97:M97</t>
  </si>
  <si>
    <t>N97:O97</t>
  </si>
  <si>
    <t>P97:S97</t>
  </si>
  <si>
    <t>B129</t>
  </si>
  <si>
    <t>E129</t>
  </si>
  <si>
    <t>F129</t>
  </si>
  <si>
    <t>C129:D129</t>
  </si>
  <si>
    <t>C130:F285</t>
  </si>
  <si>
    <t>L130:M130</t>
  </si>
  <si>
    <t>N130:O130</t>
  </si>
  <si>
    <t>P130:S130</t>
  </si>
  <si>
    <t>B289</t>
  </si>
  <si>
    <t>E289</t>
  </si>
  <si>
    <t>F289:G289</t>
  </si>
  <si>
    <t>C289:D289</t>
  </si>
  <si>
    <t>C290:G1739</t>
  </si>
  <si>
    <t>L290:M290</t>
  </si>
  <si>
    <t>N290:O290</t>
  </si>
  <si>
    <t>P290:S290</t>
  </si>
  <si>
    <t>B1743</t>
  </si>
  <si>
    <t>E1743</t>
  </si>
  <si>
    <t>F1743:G1743</t>
  </si>
  <si>
    <t>C1743:D1743</t>
  </si>
  <si>
    <t>C1744:G3103</t>
  </si>
  <si>
    <t>L1744:M1744</t>
  </si>
  <si>
    <t>N1744:O1744</t>
  </si>
  <si>
    <t>P1744:S1744</t>
  </si>
  <si>
    <t>PV</t>
  </si>
  <si>
    <t>PVT</t>
  </si>
  <si>
    <t>Wind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</si>
</sst>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000_-;\-* #,##0.00000_-;_-* &quot;-&quot;??_-;_-@_-"/>
    <numFmt numFmtId="165" formatCode="#,##0.00;[Red]#,##0.00"/>
    <numFmt numFmtId="166" formatCode="0.0E+00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92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6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7" borderId="0" xfId="0" applyFont="1" applyFill="1"/>
    <xf numFmtId="0" fontId="0" fillId="17" borderId="0" xfId="0" applyFill="1"/>
    <xf numFmtId="0" fontId="0" fillId="8" borderId="1" xfId="0" applyFill="1" applyBorder="1"/>
    <xf numFmtId="0" fontId="0" fillId="6" borderId="1" xfId="0" applyFill="1" applyBorder="1"/>
    <xf numFmtId="0" fontId="0" fillId="17" borderId="1" xfId="0" applyFill="1" applyBorder="1"/>
    <xf numFmtId="0" fontId="3" fillId="15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8" borderId="0" xfId="0" applyFont="1" applyFill="1" applyBorder="1"/>
    <xf numFmtId="0" fontId="0" fillId="0" borderId="0" xfId="0" applyFont="1"/>
    <xf numFmtId="0" fontId="3" fillId="19" borderId="7" xfId="0" applyFont="1" applyFill="1" applyBorder="1"/>
    <xf numFmtId="0" fontId="0" fillId="19" borderId="8" xfId="0" applyFill="1" applyBorder="1"/>
    <xf numFmtId="0" fontId="0" fillId="19" borderId="8" xfId="0" applyFont="1" applyFill="1" applyBorder="1" applyAlignment="1">
      <alignment horizontal="center" vertical="center"/>
    </xf>
    <xf numFmtId="0" fontId="3" fillId="19" borderId="9" xfId="0" applyFont="1" applyFill="1" applyBorder="1"/>
    <xf numFmtId="0" fontId="3" fillId="19" borderId="0" xfId="0" applyFont="1" applyFill="1" applyBorder="1"/>
    <xf numFmtId="0" fontId="0" fillId="19" borderId="0" xfId="0" applyFill="1" applyBorder="1"/>
    <xf numFmtId="0" fontId="0" fillId="19" borderId="0" xfId="0" applyFont="1" applyFill="1" applyBorder="1" applyAlignment="1">
      <alignment horizontal="center" vertical="center"/>
    </xf>
    <xf numFmtId="0" fontId="0" fillId="20" borderId="0" xfId="0" applyFill="1" applyBorder="1"/>
    <xf numFmtId="0" fontId="0" fillId="0" borderId="0" xfId="0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9" fontId="6" fillId="0" borderId="0" xfId="0" applyNumberFormat="1" applyFont="1"/>
    <xf numFmtId="2" fontId="6" fillId="0" borderId="0" xfId="0" applyNumberFormat="1" applyFont="1" applyFill="1" applyBorder="1"/>
    <xf numFmtId="0" fontId="6" fillId="16" borderId="0" xfId="0" applyFont="1" applyFill="1"/>
    <xf numFmtId="0" fontId="1" fillId="12" borderId="0" xfId="0" applyFont="1" applyFill="1" applyAlignment="1">
      <alignment horizont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6" fillId="0" borderId="0" xfId="0" applyFont="1" applyFill="1"/>
    <xf numFmtId="0" fontId="0" fillId="3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11" fontId="6" fillId="0" borderId="0" xfId="0" applyNumberFormat="1" applyFont="1"/>
    <xf numFmtId="0" fontId="6" fillId="0" borderId="0" xfId="0" applyFont="1" applyAlignment="1">
      <alignment vertical="center"/>
    </xf>
    <xf numFmtId="2" fontId="6" fillId="0" borderId="0" xfId="0" applyNumberFormat="1" applyFont="1" applyAlignment="1">
      <alignment vertical="center"/>
    </xf>
    <xf numFmtId="0" fontId="3" fillId="0" borderId="0" xfId="0" applyFont="1" applyFill="1"/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 vertical="center"/>
    </xf>
    <xf numFmtId="165" fontId="4" fillId="0" borderId="13" xfId="3" applyNumberFormat="1" applyBorder="1" applyAlignment="1">
      <alignment horizontal="right" vertical="center"/>
    </xf>
    <xf numFmtId="165" fontId="4" fillId="0" borderId="10" xfId="3" applyNumberFormat="1" applyBorder="1" applyAlignment="1">
      <alignment horizontal="right" vertical="center"/>
    </xf>
    <xf numFmtId="165" fontId="4" fillId="0" borderId="0" xfId="3" applyNumberFormat="1" applyBorder="1" applyAlignment="1">
      <alignment horizontal="right" vertical="center"/>
    </xf>
    <xf numFmtId="165" fontId="4" fillId="0" borderId="11" xfId="3" applyNumberFormat="1" applyBorder="1" applyAlignment="1">
      <alignment horizontal="right" vertical="center"/>
    </xf>
    <xf numFmtId="165" fontId="4" fillId="0" borderId="1" xfId="3" applyNumberFormat="1" applyBorder="1" applyAlignment="1">
      <alignment horizontal="right" vertical="center"/>
    </xf>
    <xf numFmtId="165" fontId="4" fillId="0" borderId="12" xfId="3" applyNumberFormat="1" applyBorder="1" applyAlignment="1">
      <alignment horizontal="right" vertical="center"/>
    </xf>
    <xf numFmtId="166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 xr:uid="{00000000-0005-0000-0000-000002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37"/>
  <sheetViews>
    <sheetView zoomScaleNormal="100" workbookViewId="0">
      <selection activeCell="G1" sqref="G1"/>
    </sheetView>
  </sheetViews>
  <sheetFormatPr defaultRowHeight="15" x14ac:dyDescent="0.25"/>
  <cols>
    <col min="4" max="5" width="10.28515625" style="38" customWidth="1"/>
    <col min="8" max="8" width="9.140625" style="47"/>
    <col min="12" max="12" width="11.28515625" customWidth="1"/>
  </cols>
  <sheetData>
    <row r="1" spans="1:36" ht="15.75" thickBot="1" x14ac:dyDescent="0.3">
      <c r="A1" s="39" t="s">
        <v>37</v>
      </c>
      <c r="B1" s="40"/>
      <c r="C1" s="41">
        <f>5/60</f>
        <v>8.3333333333333329E-2</v>
      </c>
      <c r="D1" s="42" t="s">
        <v>1</v>
      </c>
      <c r="E1" s="47"/>
      <c r="F1" s="2"/>
    </row>
    <row r="2" spans="1:36" hidden="1" x14ac:dyDescent="0.25">
      <c r="A2" s="43"/>
      <c r="B2" s="44"/>
      <c r="C2" s="45"/>
      <c r="D2" s="43"/>
      <c r="E2" s="43"/>
      <c r="I2" s="1" t="str">
        <f>ADDRESS(ROW(profstart), COLUMN(profstart),4)&amp;":"&amp;ADDRESS(LOOKUP(2,1/(F:F&lt;&gt;""),ROW(F:F)),LOOKUP(2,1/(4:4&lt;&gt;""),COLUMN(4:4)),4)</f>
        <v>F4:H37</v>
      </c>
      <c r="J2" t="s">
        <v>40</v>
      </c>
      <c r="K2" t="str">
        <f>ADDRESS(ROW(profstart),COLUMN(profstart)-ambdof,4)&amp;":"&amp;ADDRESS(LOOKUP(2,1/(F:F&lt;&gt;""),ROW(F:F)),COLUMN(profstart)-1,4)</f>
        <v>D4:E37</v>
      </c>
      <c r="L2" t="s">
        <v>39</v>
      </c>
      <c r="N2">
        <f>+COLUMN(profstart)-4</f>
        <v>2</v>
      </c>
    </row>
    <row r="3" spans="1:36" ht="15.75" thickBot="1" x14ac:dyDescent="0.3">
      <c r="D3"/>
      <c r="E3" s="47"/>
    </row>
    <row r="4" spans="1:36" s="17" customFormat="1" ht="16.5" thickTop="1" thickBot="1" x14ac:dyDescent="0.3">
      <c r="A4" s="31" t="s">
        <v>29</v>
      </c>
      <c r="B4" s="32" t="s">
        <v>0</v>
      </c>
      <c r="C4" s="33" t="s">
        <v>2</v>
      </c>
      <c r="D4" s="37" t="s">
        <v>32</v>
      </c>
      <c r="E4" s="37" t="s">
        <v>46</v>
      </c>
      <c r="F4" s="30" t="s">
        <v>3</v>
      </c>
      <c r="G4" s="30" t="s">
        <v>4</v>
      </c>
      <c r="H4" s="30" t="s">
        <v>50</v>
      </c>
    </row>
    <row r="5" spans="1:36" x14ac:dyDescent="0.25">
      <c r="A5" s="34">
        <f>ROUNDUP(C5/24,0)</f>
        <v>1</v>
      </c>
      <c r="B5" s="35">
        <v>1</v>
      </c>
      <c r="C5" s="36">
        <f t="shared" ref="C5:C36" si="0">B5*$C$1</f>
        <v>8.3333333333333329E-2</v>
      </c>
      <c r="D5" s="80">
        <v>7</v>
      </c>
      <c r="E5" s="80">
        <v>0</v>
      </c>
      <c r="F5" s="81">
        <v>165.1</v>
      </c>
      <c r="G5" s="80">
        <v>0</v>
      </c>
      <c r="H5" s="80">
        <v>0</v>
      </c>
      <c r="AH5">
        <v>526.08558532714846</v>
      </c>
      <c r="AI5">
        <v>0</v>
      </c>
      <c r="AJ5">
        <v>3420.60107421875</v>
      </c>
    </row>
    <row r="6" spans="1:36" x14ac:dyDescent="0.25">
      <c r="A6" s="34">
        <f t="shared" ref="A6:A37" si="1">ROUNDUP(C6/24,0)</f>
        <v>1</v>
      </c>
      <c r="B6" s="35">
        <v>2</v>
      </c>
      <c r="C6" s="36">
        <f t="shared" si="0"/>
        <v>0.16666666666666666</v>
      </c>
      <c r="D6" s="82">
        <v>6.9916666666666698</v>
      </c>
      <c r="E6" s="82">
        <v>0</v>
      </c>
      <c r="F6" s="83">
        <v>162.125</v>
      </c>
      <c r="G6" s="82">
        <v>0</v>
      </c>
      <c r="H6" s="82">
        <v>0</v>
      </c>
      <c r="AH6">
        <v>508.83685302734375</v>
      </c>
      <c r="AI6">
        <v>0</v>
      </c>
      <c r="AJ6">
        <v>3507.75</v>
      </c>
    </row>
    <row r="7" spans="1:36" x14ac:dyDescent="0.25">
      <c r="A7" s="34">
        <f t="shared" si="1"/>
        <v>1</v>
      </c>
      <c r="B7" s="35">
        <v>3</v>
      </c>
      <c r="C7" s="36">
        <f t="shared" si="0"/>
        <v>0.25</v>
      </c>
      <c r="D7" s="82">
        <v>6.9833333333333298</v>
      </c>
      <c r="E7" s="82">
        <v>0</v>
      </c>
      <c r="F7" s="83">
        <v>159.15</v>
      </c>
      <c r="G7" s="82">
        <v>0</v>
      </c>
      <c r="H7" s="82">
        <v>0</v>
      </c>
      <c r="AF7">
        <v>517.46119140625001</v>
      </c>
      <c r="AG7">
        <v>0</v>
      </c>
      <c r="AH7">
        <v>3584.00537109375</v>
      </c>
    </row>
    <row r="8" spans="1:36" x14ac:dyDescent="0.25">
      <c r="A8" s="34">
        <f t="shared" si="1"/>
        <v>1</v>
      </c>
      <c r="B8" s="35">
        <v>4</v>
      </c>
      <c r="C8" s="36">
        <f t="shared" si="0"/>
        <v>0.33333333333333331</v>
      </c>
      <c r="D8" s="82">
        <v>6.9749999999999996</v>
      </c>
      <c r="E8" s="82">
        <v>0</v>
      </c>
      <c r="F8" s="83">
        <v>156.17500000000001</v>
      </c>
      <c r="G8" s="82">
        <v>0</v>
      </c>
      <c r="H8" s="82">
        <v>0</v>
      </c>
      <c r="AF8">
        <v>517.46119140625001</v>
      </c>
      <c r="AG8">
        <v>0</v>
      </c>
      <c r="AH8">
        <v>3758.3037109375</v>
      </c>
    </row>
    <row r="9" spans="1:36" x14ac:dyDescent="0.25">
      <c r="A9" s="34">
        <f t="shared" si="1"/>
        <v>1</v>
      </c>
      <c r="B9" s="35">
        <v>5</v>
      </c>
      <c r="C9" s="36">
        <f t="shared" si="0"/>
        <v>0.41666666666666663</v>
      </c>
      <c r="D9" s="82">
        <v>6.9666666666666703</v>
      </c>
      <c r="E9" s="82">
        <v>0</v>
      </c>
      <c r="F9" s="83">
        <v>153.19999999999999</v>
      </c>
      <c r="G9" s="82">
        <v>0</v>
      </c>
      <c r="H9" s="82">
        <v>0</v>
      </c>
      <c r="J9" s="47"/>
      <c r="AF9">
        <v>517.46119140625001</v>
      </c>
      <c r="AG9">
        <v>0</v>
      </c>
      <c r="AH9">
        <v>4019.750732421875</v>
      </c>
    </row>
    <row r="10" spans="1:36" x14ac:dyDescent="0.25">
      <c r="A10" s="34">
        <f t="shared" si="1"/>
        <v>1</v>
      </c>
      <c r="B10" s="35">
        <v>6</v>
      </c>
      <c r="C10" s="36">
        <f t="shared" si="0"/>
        <v>0.5</v>
      </c>
      <c r="D10" s="82">
        <v>6.9583333333333304</v>
      </c>
      <c r="E10" s="82">
        <v>0</v>
      </c>
      <c r="F10" s="83">
        <v>150.22499999999999</v>
      </c>
      <c r="G10" s="82">
        <v>0</v>
      </c>
      <c r="H10" s="82">
        <v>0</v>
      </c>
      <c r="AF10">
        <v>517.46119140625001</v>
      </c>
      <c r="AG10">
        <v>0</v>
      </c>
      <c r="AH10">
        <v>4085.11279296875</v>
      </c>
    </row>
    <row r="11" spans="1:36" x14ac:dyDescent="0.25">
      <c r="A11" s="34">
        <f t="shared" si="1"/>
        <v>1</v>
      </c>
      <c r="B11" s="35">
        <v>7</v>
      </c>
      <c r="C11" s="36">
        <f t="shared" si="0"/>
        <v>0.58333333333333326</v>
      </c>
      <c r="D11" s="82">
        <v>6.95</v>
      </c>
      <c r="E11" s="82">
        <v>0</v>
      </c>
      <c r="F11" s="83">
        <v>147.25</v>
      </c>
      <c r="G11" s="82">
        <v>0</v>
      </c>
      <c r="H11" s="82">
        <v>0</v>
      </c>
      <c r="AF11">
        <v>612.32908020019522</v>
      </c>
      <c r="AG11">
        <v>0</v>
      </c>
      <c r="AH11">
        <v>4139.5810546875</v>
      </c>
    </row>
    <row r="12" spans="1:36" x14ac:dyDescent="0.25">
      <c r="A12" s="34">
        <f t="shared" si="1"/>
        <v>1</v>
      </c>
      <c r="B12" s="35">
        <v>8</v>
      </c>
      <c r="C12" s="36">
        <f t="shared" si="0"/>
        <v>0.66666666666666663</v>
      </c>
      <c r="D12" s="82">
        <v>6.94166666666667</v>
      </c>
      <c r="E12" s="82">
        <v>0</v>
      </c>
      <c r="F12" s="83">
        <v>144.27500000000001</v>
      </c>
      <c r="G12" s="82">
        <v>0</v>
      </c>
      <c r="H12" s="82">
        <v>0</v>
      </c>
      <c r="AF12">
        <v>612.32908020019522</v>
      </c>
      <c r="AG12">
        <v>2368</v>
      </c>
      <c r="AH12">
        <v>4782.30517578125</v>
      </c>
    </row>
    <row r="13" spans="1:36" x14ac:dyDescent="0.25">
      <c r="A13" s="34">
        <f t="shared" si="1"/>
        <v>1</v>
      </c>
      <c r="B13" s="35">
        <v>9</v>
      </c>
      <c r="C13" s="36">
        <f t="shared" si="0"/>
        <v>0.75</v>
      </c>
      <c r="D13" s="82">
        <v>6.93333333333333</v>
      </c>
      <c r="E13" s="82">
        <v>0</v>
      </c>
      <c r="F13" s="83">
        <v>141.30000000000001</v>
      </c>
      <c r="G13" s="82">
        <v>0</v>
      </c>
      <c r="H13" s="82">
        <v>0</v>
      </c>
      <c r="AF13">
        <v>758.94311035156238</v>
      </c>
      <c r="AG13">
        <v>2368</v>
      </c>
      <c r="AH13">
        <v>5000.177734375</v>
      </c>
    </row>
    <row r="14" spans="1:36" x14ac:dyDescent="0.25">
      <c r="A14" s="34">
        <f t="shared" si="1"/>
        <v>1</v>
      </c>
      <c r="B14" s="35">
        <v>10</v>
      </c>
      <c r="C14" s="36">
        <f t="shared" si="0"/>
        <v>0.83333333333333326</v>
      </c>
      <c r="D14" s="82">
        <v>6.9249999999999998</v>
      </c>
      <c r="E14" s="82">
        <v>0</v>
      </c>
      <c r="F14" s="83">
        <v>138.32499999999999</v>
      </c>
      <c r="G14" s="82">
        <v>0</v>
      </c>
      <c r="H14" s="82">
        <v>0</v>
      </c>
      <c r="AF14">
        <v>750.31871643066404</v>
      </c>
      <c r="AG14">
        <v>2368</v>
      </c>
      <c r="AH14">
        <v>4499.07080078125</v>
      </c>
    </row>
    <row r="15" spans="1:36" x14ac:dyDescent="0.25">
      <c r="A15" s="34">
        <f t="shared" si="1"/>
        <v>1</v>
      </c>
      <c r="B15" s="35">
        <v>11</v>
      </c>
      <c r="C15" s="36">
        <f t="shared" si="0"/>
        <v>0.91666666666666663</v>
      </c>
      <c r="D15" s="82">
        <v>6.9166666666666696</v>
      </c>
      <c r="E15" s="82">
        <v>0</v>
      </c>
      <c r="F15" s="83">
        <v>135.35</v>
      </c>
      <c r="G15" s="82">
        <v>0</v>
      </c>
      <c r="H15" s="82">
        <v>0</v>
      </c>
      <c r="AF15">
        <v>724.44570129394526</v>
      </c>
      <c r="AG15">
        <v>2368</v>
      </c>
      <c r="AH15">
        <v>4869.4541015625</v>
      </c>
    </row>
    <row r="16" spans="1:36" x14ac:dyDescent="0.25">
      <c r="A16" s="34">
        <f t="shared" si="1"/>
        <v>1</v>
      </c>
      <c r="B16" s="35">
        <v>12</v>
      </c>
      <c r="C16" s="36">
        <f t="shared" si="0"/>
        <v>1</v>
      </c>
      <c r="D16" s="82">
        <v>6.9083333333333297</v>
      </c>
      <c r="E16" s="82">
        <v>0</v>
      </c>
      <c r="F16" s="83">
        <v>132.375</v>
      </c>
      <c r="G16" s="82">
        <v>0</v>
      </c>
      <c r="H16" s="82">
        <v>0</v>
      </c>
      <c r="AH16">
        <v>853.81099914550782</v>
      </c>
      <c r="AI16">
        <v>2368</v>
      </c>
      <c r="AJ16">
        <v>4695.15625</v>
      </c>
    </row>
    <row r="17" spans="1:36" x14ac:dyDescent="0.25">
      <c r="A17" s="34">
        <f t="shared" si="1"/>
        <v>1</v>
      </c>
      <c r="B17" s="35">
        <v>13</v>
      </c>
      <c r="C17" s="36">
        <f t="shared" si="0"/>
        <v>1.0833333333333333</v>
      </c>
      <c r="D17" s="82">
        <v>6.9</v>
      </c>
      <c r="E17" s="82">
        <v>0</v>
      </c>
      <c r="F17" s="83">
        <v>129.4</v>
      </c>
      <c r="G17" s="82">
        <v>0</v>
      </c>
      <c r="H17" s="82">
        <v>0</v>
      </c>
      <c r="AH17">
        <v>681.32389831542969</v>
      </c>
      <c r="AI17">
        <v>2368</v>
      </c>
      <c r="AJ17">
        <v>4695.15625</v>
      </c>
    </row>
    <row r="18" spans="1:36" x14ac:dyDescent="0.25">
      <c r="A18" s="34">
        <f t="shared" si="1"/>
        <v>1</v>
      </c>
      <c r="B18" s="35">
        <v>14</v>
      </c>
      <c r="C18" s="36">
        <f t="shared" si="0"/>
        <v>1.1666666666666665</v>
      </c>
      <c r="D18" s="82">
        <v>6.8416666666666703</v>
      </c>
      <c r="E18" s="82">
        <v>0</v>
      </c>
      <c r="F18" s="83">
        <v>128.96666666666701</v>
      </c>
      <c r="G18" s="82">
        <v>0</v>
      </c>
      <c r="H18" s="82">
        <v>0</v>
      </c>
      <c r="AH18">
        <v>664.07522155761717</v>
      </c>
      <c r="AI18">
        <v>2368</v>
      </c>
      <c r="AJ18">
        <v>4248.51708984375</v>
      </c>
    </row>
    <row r="19" spans="1:36" x14ac:dyDescent="0.25">
      <c r="A19" s="34">
        <f t="shared" si="1"/>
        <v>1</v>
      </c>
      <c r="B19" s="35">
        <v>15</v>
      </c>
      <c r="C19" s="36">
        <f t="shared" si="0"/>
        <v>1.25</v>
      </c>
      <c r="D19" s="82">
        <v>6.7833333333333297</v>
      </c>
      <c r="E19" s="82">
        <v>0</v>
      </c>
      <c r="F19" s="83">
        <v>128.53333333333299</v>
      </c>
      <c r="G19" s="82">
        <v>0</v>
      </c>
      <c r="H19" s="82">
        <v>0</v>
      </c>
      <c r="AH19">
        <v>638.20215087890631</v>
      </c>
      <c r="AI19">
        <v>2368</v>
      </c>
      <c r="AJ19">
        <v>4335.666015625</v>
      </c>
    </row>
    <row r="20" spans="1:36" x14ac:dyDescent="0.25">
      <c r="A20" s="34">
        <f t="shared" si="1"/>
        <v>1</v>
      </c>
      <c r="B20" s="35">
        <v>16</v>
      </c>
      <c r="C20" s="36">
        <f t="shared" si="0"/>
        <v>1.3333333333333333</v>
      </c>
      <c r="D20" s="82">
        <v>6.7249999999999996</v>
      </c>
      <c r="E20" s="82">
        <v>0</v>
      </c>
      <c r="F20" s="83">
        <v>128.1</v>
      </c>
      <c r="G20" s="82">
        <v>0</v>
      </c>
      <c r="H20" s="82">
        <v>0</v>
      </c>
      <c r="AH20">
        <v>534.70992370605472</v>
      </c>
      <c r="AI20">
        <v>2368</v>
      </c>
      <c r="AJ20">
        <v>4695.15625</v>
      </c>
    </row>
    <row r="21" spans="1:36" x14ac:dyDescent="0.25">
      <c r="A21" s="34">
        <f t="shared" si="1"/>
        <v>1</v>
      </c>
      <c r="B21" s="35">
        <v>17</v>
      </c>
      <c r="C21" s="36">
        <f t="shared" si="0"/>
        <v>1.4166666666666665</v>
      </c>
      <c r="D21" s="82">
        <v>6.6666666666666696</v>
      </c>
      <c r="E21" s="82">
        <v>0</v>
      </c>
      <c r="F21" s="83">
        <v>127.666666666667</v>
      </c>
      <c r="G21" s="82">
        <v>0</v>
      </c>
      <c r="H21" s="82">
        <v>0</v>
      </c>
      <c r="AH21">
        <v>707.19696899414055</v>
      </c>
      <c r="AI21">
        <v>2368</v>
      </c>
      <c r="AJ21">
        <v>4695.15625</v>
      </c>
    </row>
    <row r="22" spans="1:36" x14ac:dyDescent="0.25">
      <c r="A22" s="34">
        <f t="shared" si="1"/>
        <v>1</v>
      </c>
      <c r="B22" s="35">
        <v>18</v>
      </c>
      <c r="C22" s="36">
        <f t="shared" si="0"/>
        <v>1.5</v>
      </c>
      <c r="D22" s="82">
        <v>6.6083333333333298</v>
      </c>
      <c r="E22" s="82">
        <v>0</v>
      </c>
      <c r="F22" s="83">
        <v>127.23333333333299</v>
      </c>
      <c r="G22" s="82">
        <v>0</v>
      </c>
      <c r="H22" s="82">
        <v>0</v>
      </c>
      <c r="AH22">
        <v>707.19696899414055</v>
      </c>
      <c r="AI22">
        <v>2368</v>
      </c>
      <c r="AJ22">
        <v>4651.58154296875</v>
      </c>
    </row>
    <row r="23" spans="1:36" x14ac:dyDescent="0.25">
      <c r="A23" s="34">
        <f t="shared" si="1"/>
        <v>1</v>
      </c>
      <c r="B23" s="35">
        <v>19</v>
      </c>
      <c r="C23" s="36">
        <f t="shared" si="0"/>
        <v>1.5833333333333333</v>
      </c>
      <c r="D23" s="82">
        <v>6.55</v>
      </c>
      <c r="E23" s="82">
        <v>0</v>
      </c>
      <c r="F23" s="83">
        <v>126.8</v>
      </c>
      <c r="G23" s="82">
        <v>0</v>
      </c>
      <c r="H23" s="82">
        <v>0</v>
      </c>
      <c r="AH23">
        <v>664.07522155761717</v>
      </c>
      <c r="AI23">
        <v>2368</v>
      </c>
      <c r="AJ23">
        <v>4270.3046875</v>
      </c>
    </row>
    <row r="24" spans="1:36" x14ac:dyDescent="0.25">
      <c r="A24" s="34">
        <f t="shared" si="1"/>
        <v>1</v>
      </c>
      <c r="B24" s="35">
        <v>20</v>
      </c>
      <c r="C24" s="36">
        <f t="shared" si="0"/>
        <v>1.6666666666666665</v>
      </c>
      <c r="D24" s="82">
        <v>6.4916666666666698</v>
      </c>
      <c r="E24" s="82">
        <v>0</v>
      </c>
      <c r="F24" s="83">
        <v>126.366666666667</v>
      </c>
      <c r="G24" s="82">
        <v>0</v>
      </c>
      <c r="H24" s="82">
        <v>0</v>
      </c>
      <c r="AH24">
        <v>733.07003967285152</v>
      </c>
      <c r="AI24">
        <v>2368</v>
      </c>
      <c r="AJ24">
        <v>4270.3046875</v>
      </c>
    </row>
    <row r="25" spans="1:36" x14ac:dyDescent="0.25">
      <c r="A25" s="34">
        <f t="shared" si="1"/>
        <v>1</v>
      </c>
      <c r="B25" s="35">
        <v>21</v>
      </c>
      <c r="C25" s="36">
        <f t="shared" si="0"/>
        <v>1.75</v>
      </c>
      <c r="D25" s="82">
        <v>6.43333333333333</v>
      </c>
      <c r="E25" s="82">
        <v>0</v>
      </c>
      <c r="F25" s="83">
        <v>125.933333333333</v>
      </c>
      <c r="G25" s="82">
        <v>0</v>
      </c>
      <c r="H25" s="82">
        <v>0</v>
      </c>
      <c r="AH25">
        <v>638.20215087890631</v>
      </c>
      <c r="AI25">
        <v>0</v>
      </c>
      <c r="AJ25">
        <v>4183.1552734375</v>
      </c>
    </row>
    <row r="26" spans="1:36" x14ac:dyDescent="0.25">
      <c r="A26" s="34">
        <f t="shared" si="1"/>
        <v>1</v>
      </c>
      <c r="B26" s="35">
        <v>22</v>
      </c>
      <c r="C26" s="36">
        <f t="shared" si="0"/>
        <v>1.8333333333333333</v>
      </c>
      <c r="D26" s="82">
        <v>6.375</v>
      </c>
      <c r="E26" s="82">
        <v>0</v>
      </c>
      <c r="F26" s="83">
        <v>125.5</v>
      </c>
      <c r="G26" s="82">
        <v>0</v>
      </c>
      <c r="H26" s="82">
        <v>0</v>
      </c>
      <c r="AH26">
        <v>551.95860046386713</v>
      </c>
      <c r="AI26">
        <v>0</v>
      </c>
      <c r="AJ26">
        <v>3899.9208984375</v>
      </c>
    </row>
    <row r="27" spans="1:36" x14ac:dyDescent="0.25">
      <c r="A27" s="34">
        <f t="shared" si="1"/>
        <v>1</v>
      </c>
      <c r="B27" s="35">
        <v>23</v>
      </c>
      <c r="C27" s="36">
        <f t="shared" si="0"/>
        <v>1.9166666666666665</v>
      </c>
      <c r="D27" s="82">
        <v>6.31666666666667</v>
      </c>
      <c r="E27" s="82">
        <v>0</v>
      </c>
      <c r="F27" s="83">
        <v>125.066666666667</v>
      </c>
      <c r="G27" s="82">
        <v>0</v>
      </c>
      <c r="H27" s="82">
        <v>0</v>
      </c>
      <c r="AH27">
        <v>551.95860046386713</v>
      </c>
      <c r="AI27">
        <v>0</v>
      </c>
      <c r="AJ27">
        <v>3790.984375</v>
      </c>
    </row>
    <row r="28" spans="1:36" ht="15.75" thickBot="1" x14ac:dyDescent="0.3">
      <c r="A28" s="34">
        <f t="shared" si="1"/>
        <v>1</v>
      </c>
      <c r="B28" s="35">
        <v>24</v>
      </c>
      <c r="C28" s="36">
        <f t="shared" si="0"/>
        <v>2</v>
      </c>
      <c r="D28" s="84">
        <v>6.2583333333333302</v>
      </c>
      <c r="E28" s="84">
        <v>0</v>
      </c>
      <c r="F28" s="85">
        <v>124.633333333333</v>
      </c>
      <c r="G28" s="84">
        <v>0</v>
      </c>
      <c r="H28" s="84">
        <v>0</v>
      </c>
      <c r="AH28">
        <v>526.08558532714846</v>
      </c>
      <c r="AI28">
        <v>0</v>
      </c>
      <c r="AJ28">
        <v>3703.835693359375</v>
      </c>
    </row>
    <row r="29" spans="1:36" x14ac:dyDescent="0.25">
      <c r="A29" s="34">
        <f t="shared" si="1"/>
        <v>1</v>
      </c>
      <c r="B29" s="35">
        <v>25</v>
      </c>
      <c r="C29" s="36">
        <f t="shared" si="0"/>
        <v>2.083333333333333</v>
      </c>
      <c r="D29" s="80">
        <v>6.2</v>
      </c>
      <c r="E29" s="80">
        <v>0</v>
      </c>
      <c r="F29" s="81">
        <v>124.2</v>
      </c>
      <c r="G29" s="80">
        <v>0</v>
      </c>
      <c r="H29" s="80">
        <v>0</v>
      </c>
      <c r="AH29">
        <v>348.32088439941401</v>
      </c>
      <c r="AI29">
        <v>747</v>
      </c>
      <c r="AJ29">
        <v>3136.6806640625</v>
      </c>
    </row>
    <row r="30" spans="1:36" x14ac:dyDescent="0.25">
      <c r="A30" s="34">
        <f t="shared" si="1"/>
        <v>1</v>
      </c>
      <c r="B30" s="35">
        <v>26</v>
      </c>
      <c r="C30" s="36">
        <f t="shared" si="0"/>
        <v>2.1666666666666665</v>
      </c>
      <c r="D30" s="82">
        <v>6.1749999999999998</v>
      </c>
      <c r="E30" s="82">
        <v>0</v>
      </c>
      <c r="F30" s="83">
        <v>124.283333333333</v>
      </c>
      <c r="G30" s="82">
        <v>0</v>
      </c>
      <c r="H30" s="82">
        <v>0</v>
      </c>
      <c r="AH30">
        <v>331.4666390991211</v>
      </c>
      <c r="AI30">
        <v>747</v>
      </c>
      <c r="AJ30">
        <v>3231.470703125</v>
      </c>
    </row>
    <row r="31" spans="1:36" x14ac:dyDescent="0.25">
      <c r="A31" s="34">
        <f t="shared" si="1"/>
        <v>1</v>
      </c>
      <c r="B31" s="35">
        <v>27</v>
      </c>
      <c r="C31" s="36">
        <f t="shared" si="0"/>
        <v>2.25</v>
      </c>
      <c r="D31" s="82">
        <v>6.15</v>
      </c>
      <c r="E31" s="82">
        <v>0</v>
      </c>
      <c r="F31" s="83">
        <v>124.366666666667</v>
      </c>
      <c r="G31" s="82">
        <v>0</v>
      </c>
      <c r="H31" s="82">
        <v>0</v>
      </c>
      <c r="AH31">
        <v>342.70281188964839</v>
      </c>
      <c r="AI31">
        <v>747</v>
      </c>
      <c r="AJ31">
        <v>3343.494873046875</v>
      </c>
    </row>
    <row r="32" spans="1:36" x14ac:dyDescent="0.25">
      <c r="A32" s="34">
        <f t="shared" si="1"/>
        <v>1</v>
      </c>
      <c r="B32" s="35">
        <v>28</v>
      </c>
      <c r="C32" s="36">
        <f t="shared" si="0"/>
        <v>2.333333333333333</v>
      </c>
      <c r="D32" s="82">
        <v>6.125</v>
      </c>
      <c r="E32" s="82">
        <v>0</v>
      </c>
      <c r="F32" s="83">
        <v>124.45</v>
      </c>
      <c r="G32" s="82">
        <v>0</v>
      </c>
      <c r="H32" s="82">
        <v>0</v>
      </c>
      <c r="AH32">
        <v>337.08471160888672</v>
      </c>
      <c r="AI32">
        <v>747</v>
      </c>
      <c r="AJ32">
        <v>3421.05029296875</v>
      </c>
    </row>
    <row r="33" spans="1:36" x14ac:dyDescent="0.25">
      <c r="A33" s="34">
        <f t="shared" si="1"/>
        <v>1</v>
      </c>
      <c r="B33" s="35">
        <v>29</v>
      </c>
      <c r="C33" s="36">
        <f t="shared" si="0"/>
        <v>2.4166666666666665</v>
      </c>
      <c r="D33" s="82">
        <v>6.1</v>
      </c>
      <c r="E33" s="82">
        <v>0</v>
      </c>
      <c r="F33" s="83">
        <v>124.533333333333</v>
      </c>
      <c r="G33" s="82">
        <v>0</v>
      </c>
      <c r="H33" s="82">
        <v>0</v>
      </c>
      <c r="AH33">
        <v>337.08471160888672</v>
      </c>
      <c r="AI33">
        <v>747</v>
      </c>
      <c r="AJ33">
        <v>3524.457275390625</v>
      </c>
    </row>
    <row r="34" spans="1:36" x14ac:dyDescent="0.25">
      <c r="A34" s="34">
        <f t="shared" si="1"/>
        <v>1</v>
      </c>
      <c r="B34" s="35">
        <v>30</v>
      </c>
      <c r="C34" s="36">
        <f t="shared" si="0"/>
        <v>2.5</v>
      </c>
      <c r="D34" s="82">
        <v>6.0750000000000002</v>
      </c>
      <c r="E34" s="82">
        <v>0</v>
      </c>
      <c r="F34" s="83">
        <v>124.616666666667</v>
      </c>
      <c r="G34" s="82">
        <v>0</v>
      </c>
      <c r="H34" s="82">
        <v>0</v>
      </c>
      <c r="AH34">
        <v>337.08471160888672</v>
      </c>
      <c r="AI34">
        <v>747</v>
      </c>
      <c r="AJ34">
        <v>3688.18505859375</v>
      </c>
    </row>
    <row r="35" spans="1:36" x14ac:dyDescent="0.25">
      <c r="A35" s="34">
        <f t="shared" si="1"/>
        <v>1</v>
      </c>
      <c r="B35" s="35">
        <v>31</v>
      </c>
      <c r="C35" s="36">
        <f t="shared" si="0"/>
        <v>2.583333333333333</v>
      </c>
      <c r="D35" s="82">
        <v>6.05</v>
      </c>
      <c r="E35" s="82">
        <v>0</v>
      </c>
      <c r="F35" s="83">
        <v>124.7</v>
      </c>
      <c r="G35" s="82">
        <v>0</v>
      </c>
      <c r="H35" s="82">
        <v>0</v>
      </c>
      <c r="AH35">
        <v>573.0440069580078</v>
      </c>
      <c r="AI35">
        <v>747</v>
      </c>
      <c r="AJ35">
        <v>3981.171630859375</v>
      </c>
    </row>
    <row r="36" spans="1:36" x14ac:dyDescent="0.25">
      <c r="A36" s="34">
        <f t="shared" si="1"/>
        <v>1</v>
      </c>
      <c r="B36" s="35">
        <v>32</v>
      </c>
      <c r="C36" s="36">
        <f t="shared" si="0"/>
        <v>2.6666666666666665</v>
      </c>
      <c r="D36" s="82">
        <v>6.0250000000000004</v>
      </c>
      <c r="E36" s="82">
        <v>0</v>
      </c>
      <c r="F36" s="83">
        <v>124.783333333333</v>
      </c>
      <c r="G36" s="82">
        <v>0</v>
      </c>
      <c r="H36" s="82">
        <v>0</v>
      </c>
      <c r="AH36">
        <v>573.0440069580078</v>
      </c>
      <c r="AI36">
        <v>1532</v>
      </c>
      <c r="AJ36">
        <v>4661.9345703125</v>
      </c>
    </row>
    <row r="37" spans="1:36" x14ac:dyDescent="0.25">
      <c r="A37" s="34">
        <f t="shared" si="1"/>
        <v>1</v>
      </c>
      <c r="B37" s="35">
        <v>33</v>
      </c>
      <c r="C37" s="36">
        <f t="shared" ref="C37" si="2">B37*$C$1</f>
        <v>2.75</v>
      </c>
      <c r="D37" s="82">
        <v>6</v>
      </c>
      <c r="E37" s="82">
        <v>0</v>
      </c>
      <c r="F37" s="83">
        <v>124.866666666667</v>
      </c>
      <c r="G37" s="82">
        <v>0</v>
      </c>
      <c r="H37" s="82">
        <v>0</v>
      </c>
      <c r="AH37">
        <v>904.51067382812505</v>
      </c>
      <c r="AI37">
        <v>1532</v>
      </c>
      <c r="AJ37">
        <v>4300.01025390625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36"/>
  <sheetViews>
    <sheetView topLeftCell="A2" zoomScaleNormal="100" workbookViewId="0">
      <selection activeCell="A2" sqref="A2"/>
    </sheetView>
  </sheetViews>
  <sheetFormatPr defaultRowHeight="15" x14ac:dyDescent="0.25"/>
  <sheetData>
    <row r="1" spans="1:7" hidden="1" x14ac:dyDescent="0.25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D2:G36</v>
      </c>
      <c r="B1" s="2"/>
      <c r="C1" s="3"/>
      <c r="D1" s="2"/>
    </row>
    <row r="2" spans="1:7" s="17" customFormat="1" x14ac:dyDescent="0.25">
      <c r="A2" s="3"/>
      <c r="B2" s="3"/>
      <c r="C2" s="3"/>
      <c r="D2" s="13" t="s">
        <v>111</v>
      </c>
      <c r="E2" s="14" t="s">
        <v>112</v>
      </c>
      <c r="F2" s="14"/>
      <c r="G2" s="15" t="s">
        <v>113</v>
      </c>
    </row>
    <row r="3" spans="1:7" x14ac:dyDescent="0.25">
      <c r="A3" s="8" t="s">
        <v>29</v>
      </c>
      <c r="B3" s="8" t="s">
        <v>0</v>
      </c>
      <c r="C3" s="8" t="s">
        <v>2</v>
      </c>
      <c r="D3" s="6" t="s">
        <v>3</v>
      </c>
      <c r="E3" s="7" t="s">
        <v>4</v>
      </c>
      <c r="F3" s="7" t="s">
        <v>3</v>
      </c>
      <c r="G3" s="5" t="s">
        <v>3</v>
      </c>
    </row>
    <row r="4" spans="1:7" x14ac:dyDescent="0.25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8.3333333333333329E-2</v>
      </c>
      <c r="D4" s="6">
        <v>0</v>
      </c>
      <c r="E4" s="7">
        <v>0</v>
      </c>
      <c r="F4" s="7">
        <v>0</v>
      </c>
      <c r="G4" s="5">
        <v>274.99299999999999</v>
      </c>
    </row>
    <row r="5" spans="1:7" x14ac:dyDescent="0.25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0.16666666666666666</v>
      </c>
      <c r="D5" s="6">
        <v>0</v>
      </c>
      <c r="E5" s="7">
        <v>0</v>
      </c>
      <c r="F5" s="7">
        <v>0</v>
      </c>
      <c r="G5" s="5">
        <v>352.714</v>
      </c>
    </row>
    <row r="6" spans="1:7" x14ac:dyDescent="0.25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0.25</v>
      </c>
      <c r="D6" s="6">
        <v>0</v>
      </c>
      <c r="E6" s="7">
        <v>0</v>
      </c>
      <c r="F6" s="7">
        <v>0</v>
      </c>
      <c r="G6" s="5">
        <v>442.03800000000001</v>
      </c>
    </row>
    <row r="7" spans="1:7" x14ac:dyDescent="0.25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0.33333333333333331</v>
      </c>
      <c r="D7" s="6">
        <v>0</v>
      </c>
      <c r="E7" s="7">
        <v>0</v>
      </c>
      <c r="F7" s="7">
        <v>0</v>
      </c>
      <c r="G7" s="5">
        <v>458.39499999999998</v>
      </c>
    </row>
    <row r="8" spans="1:7" x14ac:dyDescent="0.25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0.41666666666666663</v>
      </c>
      <c r="D8" s="6">
        <v>0</v>
      </c>
      <c r="E8" s="7">
        <v>0</v>
      </c>
      <c r="F8" s="7">
        <v>0</v>
      </c>
      <c r="G8" s="5">
        <v>536.89499999999998</v>
      </c>
    </row>
    <row r="9" spans="1:7" x14ac:dyDescent="0.25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0.5</v>
      </c>
      <c r="D9" s="6">
        <v>25</v>
      </c>
      <c r="E9" s="7">
        <v>0</v>
      </c>
      <c r="F9" s="7">
        <v>0</v>
      </c>
      <c r="G9" s="5">
        <v>567.52599999999995</v>
      </c>
    </row>
    <row r="10" spans="1:7" x14ac:dyDescent="0.25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0.58333333333333326</v>
      </c>
      <c r="D10" s="6">
        <v>50</v>
      </c>
      <c r="E10" s="7">
        <v>0</v>
      </c>
      <c r="F10" s="7">
        <v>0</v>
      </c>
      <c r="G10" s="5">
        <v>579.24800000000005</v>
      </c>
    </row>
    <row r="11" spans="1:7" x14ac:dyDescent="0.25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0.66666666666666663</v>
      </c>
      <c r="D11" s="6">
        <v>100</v>
      </c>
      <c r="E11" s="7">
        <v>7.5616600000000007</v>
      </c>
      <c r="F11" s="7">
        <v>7.5616599999999998</v>
      </c>
      <c r="G11" s="5">
        <v>615.46299999999997</v>
      </c>
    </row>
    <row r="12" spans="1:7" x14ac:dyDescent="0.25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0.75</v>
      </c>
      <c r="D12" s="6">
        <v>175</v>
      </c>
      <c r="E12" s="7">
        <v>126.98240000000001</v>
      </c>
      <c r="F12" s="7">
        <v>126.9824</v>
      </c>
      <c r="G12" s="5">
        <v>614.27599999999995</v>
      </c>
    </row>
    <row r="13" spans="1:7" x14ac:dyDescent="0.25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0.83333333333333326</v>
      </c>
      <c r="D13" s="6">
        <v>300</v>
      </c>
      <c r="E13" s="7">
        <v>273.976</v>
      </c>
      <c r="F13" s="7">
        <v>273.976</v>
      </c>
      <c r="G13" s="5">
        <v>542.70799999999997</v>
      </c>
    </row>
    <row r="14" spans="1:7" x14ac:dyDescent="0.25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0.91666666666666663</v>
      </c>
      <c r="D14" s="6">
        <v>400</v>
      </c>
      <c r="E14" s="7">
        <v>381.57800000000003</v>
      </c>
      <c r="F14" s="7">
        <v>381.57799999999997</v>
      </c>
      <c r="G14" s="5">
        <v>529.52599999999995</v>
      </c>
    </row>
    <row r="15" spans="1:7" x14ac:dyDescent="0.25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</v>
      </c>
      <c r="D15" s="6">
        <v>450</v>
      </c>
      <c r="E15" s="7">
        <v>453.1040000000001</v>
      </c>
      <c r="F15" s="7">
        <v>453.10399999999998</v>
      </c>
      <c r="G15" s="5">
        <v>480.14800000000002</v>
      </c>
    </row>
    <row r="16" spans="1:7" x14ac:dyDescent="0.25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1.0833333333333333</v>
      </c>
      <c r="D16" s="6">
        <v>500</v>
      </c>
      <c r="E16" s="7">
        <v>479.7120000000001</v>
      </c>
      <c r="F16" s="7">
        <v>479.71199999999999</v>
      </c>
      <c r="G16" s="5">
        <v>442.38499999999999</v>
      </c>
    </row>
    <row r="17" spans="1:7" x14ac:dyDescent="0.25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1.1666666666666665</v>
      </c>
      <c r="D17" s="6">
        <v>500</v>
      </c>
      <c r="E17" s="7">
        <v>465.51599999999996</v>
      </c>
      <c r="F17" s="7">
        <v>465.51600000000002</v>
      </c>
      <c r="G17" s="5">
        <v>427.03199999999998</v>
      </c>
    </row>
    <row r="18" spans="1:7" x14ac:dyDescent="0.25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1.25</v>
      </c>
      <c r="D18" s="6">
        <v>500</v>
      </c>
      <c r="E18" s="7">
        <v>407.05800000000005</v>
      </c>
      <c r="F18" s="7">
        <v>407.05799999999999</v>
      </c>
      <c r="G18" s="5">
        <v>428.87200000000001</v>
      </c>
    </row>
    <row r="19" spans="1:7" x14ac:dyDescent="0.25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1.3333333333333333</v>
      </c>
      <c r="D19" s="6">
        <v>450</v>
      </c>
      <c r="E19" s="7">
        <v>312.96800000000002</v>
      </c>
      <c r="F19" s="7">
        <v>312.96800000000002</v>
      </c>
      <c r="G19" s="5">
        <v>303.32600000000002</v>
      </c>
    </row>
    <row r="20" spans="1:7" x14ac:dyDescent="0.25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1.4166666666666665</v>
      </c>
      <c r="D20" s="6">
        <v>400</v>
      </c>
      <c r="E20" s="7">
        <v>169.9522</v>
      </c>
      <c r="F20" s="7">
        <v>169.9522</v>
      </c>
      <c r="G20" s="5">
        <v>271.089</v>
      </c>
    </row>
    <row r="21" spans="1:7" x14ac:dyDescent="0.25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1.5</v>
      </c>
      <c r="D21" s="6">
        <v>300</v>
      </c>
      <c r="E21" s="7">
        <v>27.804199999999998</v>
      </c>
      <c r="F21" s="7">
        <v>27.804200000000002</v>
      </c>
      <c r="G21" s="5">
        <v>253.00899999999999</v>
      </c>
    </row>
    <row r="22" spans="1:7" x14ac:dyDescent="0.25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1.5833333333333333</v>
      </c>
      <c r="D22" s="6">
        <v>175</v>
      </c>
      <c r="E22" s="7">
        <v>0</v>
      </c>
      <c r="F22" s="7">
        <v>0</v>
      </c>
      <c r="G22" s="5">
        <v>289.56599999999997</v>
      </c>
    </row>
    <row r="23" spans="1:7" x14ac:dyDescent="0.25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1.6666666666666665</v>
      </c>
      <c r="D23" s="6">
        <v>100</v>
      </c>
      <c r="E23" s="7">
        <v>0</v>
      </c>
      <c r="F23" s="7">
        <v>0</v>
      </c>
      <c r="G23" s="5">
        <v>315.10899999999998</v>
      </c>
    </row>
    <row r="24" spans="1:7" x14ac:dyDescent="0.25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1.75</v>
      </c>
      <c r="D24" s="6">
        <v>50</v>
      </c>
      <c r="E24" s="7">
        <v>0</v>
      </c>
      <c r="F24" s="7">
        <v>0</v>
      </c>
      <c r="G24" s="5">
        <v>322.76299999999998</v>
      </c>
    </row>
    <row r="25" spans="1:7" x14ac:dyDescent="0.25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1.8333333333333333</v>
      </c>
      <c r="D25" s="6">
        <v>0</v>
      </c>
      <c r="E25" s="7">
        <v>0</v>
      </c>
      <c r="F25" s="7">
        <v>0</v>
      </c>
      <c r="G25" s="5">
        <v>290.94499999999999</v>
      </c>
    </row>
    <row r="26" spans="1:7" x14ac:dyDescent="0.25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1.9166666666666665</v>
      </c>
      <c r="D26" s="6">
        <v>0</v>
      </c>
      <c r="E26" s="7">
        <v>0</v>
      </c>
      <c r="F26" s="7">
        <v>0</v>
      </c>
      <c r="G26" s="5">
        <v>342.27300000000002</v>
      </c>
    </row>
    <row r="27" spans="1:7" x14ac:dyDescent="0.25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</v>
      </c>
      <c r="D27" s="6">
        <v>0</v>
      </c>
      <c r="E27" s="7">
        <v>0</v>
      </c>
      <c r="F27" s="7">
        <v>0</v>
      </c>
      <c r="G27" s="5">
        <v>335.39400000000001</v>
      </c>
    </row>
    <row r="28" spans="1:7" x14ac:dyDescent="0.25">
      <c r="A28" s="8">
        <f>IF(ISBLANK(Demand!A29),"",Demand!A29)</f>
        <v>1</v>
      </c>
      <c r="B28" s="8">
        <f>IF(ISBLANK(Demand!B29),"",Demand!B29)</f>
        <v>25</v>
      </c>
      <c r="C28" s="8">
        <f>IF(ISBLANK(Demand!C29),"",Demand!C29)</f>
        <v>2.083333333333333</v>
      </c>
      <c r="D28" s="6">
        <v>0</v>
      </c>
      <c r="E28" s="7">
        <v>0</v>
      </c>
      <c r="F28" s="7">
        <v>0</v>
      </c>
      <c r="G28" s="5">
        <v>274.99299999999999</v>
      </c>
    </row>
    <row r="29" spans="1:7" x14ac:dyDescent="0.25">
      <c r="A29" s="8">
        <f>IF(ISBLANK(Demand!A30),"",Demand!A30)</f>
        <v>1</v>
      </c>
      <c r="B29" s="8">
        <f>IF(ISBLANK(Demand!B30),"",Demand!B30)</f>
        <v>26</v>
      </c>
      <c r="C29" s="8">
        <f>IF(ISBLANK(Demand!C30),"",Demand!C30)</f>
        <v>2.1666666666666665</v>
      </c>
      <c r="D29" s="6">
        <v>0</v>
      </c>
      <c r="E29" s="7">
        <v>0</v>
      </c>
      <c r="F29" s="7">
        <v>0</v>
      </c>
      <c r="G29" s="5">
        <v>352.714</v>
      </c>
    </row>
    <row r="30" spans="1:7" x14ac:dyDescent="0.25">
      <c r="A30" s="8">
        <f>IF(ISBLANK(Demand!A31),"",Demand!A31)</f>
        <v>1</v>
      </c>
      <c r="B30" s="8">
        <f>IF(ISBLANK(Demand!B31),"",Demand!B31)</f>
        <v>27</v>
      </c>
      <c r="C30" s="8">
        <f>IF(ISBLANK(Demand!C31),"",Demand!C31)</f>
        <v>2.25</v>
      </c>
      <c r="D30" s="6">
        <v>0</v>
      </c>
      <c r="E30" s="7">
        <v>0</v>
      </c>
      <c r="F30" s="7">
        <v>0</v>
      </c>
      <c r="G30" s="5">
        <v>442.03800000000001</v>
      </c>
    </row>
    <row r="31" spans="1:7" x14ac:dyDescent="0.25">
      <c r="A31" s="8">
        <f>IF(ISBLANK(Demand!A32),"",Demand!A32)</f>
        <v>1</v>
      </c>
      <c r="B31" s="8">
        <f>IF(ISBLANK(Demand!B32),"",Demand!B32)</f>
        <v>28</v>
      </c>
      <c r="C31" s="8">
        <f>IF(ISBLANK(Demand!C32),"",Demand!C32)</f>
        <v>2.333333333333333</v>
      </c>
      <c r="D31" s="6">
        <v>0</v>
      </c>
      <c r="E31" s="7">
        <v>0</v>
      </c>
      <c r="F31" s="7">
        <v>0</v>
      </c>
      <c r="G31" s="5">
        <v>458.39499999999998</v>
      </c>
    </row>
    <row r="32" spans="1:7" x14ac:dyDescent="0.25">
      <c r="A32" s="8">
        <f>IF(ISBLANK(Demand!A33),"",Demand!A33)</f>
        <v>1</v>
      </c>
      <c r="B32" s="8">
        <f>IF(ISBLANK(Demand!B33),"",Demand!B33)</f>
        <v>29</v>
      </c>
      <c r="C32" s="8">
        <f>IF(ISBLANK(Demand!C33),"",Demand!C33)</f>
        <v>2.4166666666666665</v>
      </c>
      <c r="D32" s="6">
        <v>0</v>
      </c>
      <c r="E32" s="7">
        <v>0</v>
      </c>
      <c r="F32" s="7">
        <v>0</v>
      </c>
      <c r="G32" s="5">
        <v>536.89499999999998</v>
      </c>
    </row>
    <row r="33" spans="1:7" x14ac:dyDescent="0.25">
      <c r="A33" s="8">
        <f>IF(ISBLANK(Demand!A34),"",Demand!A34)</f>
        <v>1</v>
      </c>
      <c r="B33" s="8">
        <f>IF(ISBLANK(Demand!B34),"",Demand!B34)</f>
        <v>30</v>
      </c>
      <c r="C33" s="8">
        <f>IF(ISBLANK(Demand!C34),"",Demand!C34)</f>
        <v>2.5</v>
      </c>
      <c r="D33" s="6">
        <v>25</v>
      </c>
      <c r="E33" s="7">
        <v>0</v>
      </c>
      <c r="F33" s="7">
        <v>0</v>
      </c>
      <c r="G33" s="5">
        <v>567.52599999999995</v>
      </c>
    </row>
    <row r="34" spans="1:7" x14ac:dyDescent="0.25">
      <c r="A34" s="8">
        <f>IF(ISBLANK(Demand!A35),"",Demand!A35)</f>
        <v>1</v>
      </c>
      <c r="B34" s="8">
        <f>IF(ISBLANK(Demand!B35),"",Demand!B35)</f>
        <v>31</v>
      </c>
      <c r="C34" s="8">
        <f>IF(ISBLANK(Demand!C35),"",Demand!C35)</f>
        <v>2.583333333333333</v>
      </c>
      <c r="D34" s="6">
        <v>50</v>
      </c>
      <c r="E34" s="7">
        <v>0</v>
      </c>
      <c r="F34" s="7">
        <v>0</v>
      </c>
      <c r="G34" s="5">
        <v>579.24800000000005</v>
      </c>
    </row>
    <row r="35" spans="1:7" x14ac:dyDescent="0.25">
      <c r="A35" s="8">
        <f>IF(ISBLANK(Demand!A36),"",Demand!A36)</f>
        <v>1</v>
      </c>
      <c r="B35" s="8">
        <f>IF(ISBLANK(Demand!B36),"",Demand!B36)</f>
        <v>32</v>
      </c>
      <c r="C35" s="8">
        <f>IF(ISBLANK(Demand!C36),"",Demand!C36)</f>
        <v>2.6666666666666665</v>
      </c>
      <c r="D35" s="6">
        <v>100</v>
      </c>
      <c r="E35" s="7">
        <v>7.5616600000000007</v>
      </c>
      <c r="F35" s="7">
        <v>7.5616599999999998</v>
      </c>
      <c r="G35" s="5">
        <v>615.46299999999997</v>
      </c>
    </row>
    <row r="36" spans="1:7" x14ac:dyDescent="0.25">
      <c r="A36" s="8">
        <f>IF(ISBLANK(Demand!A37),"",Demand!A37)</f>
        <v>1</v>
      </c>
      <c r="B36" s="8">
        <f>IF(ISBLANK(Demand!B37),"",Demand!B37)</f>
        <v>33</v>
      </c>
      <c r="C36" s="8">
        <f>IF(ISBLANK(Demand!C37),"",Demand!C37)</f>
        <v>2.75</v>
      </c>
      <c r="D36" s="6">
        <v>175</v>
      </c>
      <c r="E36" s="7">
        <v>126.98240000000001</v>
      </c>
      <c r="F36" s="7">
        <v>126.9824</v>
      </c>
      <c r="G36" s="5">
        <v>614.27599999999995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3103"/>
  <sheetViews>
    <sheetView tabSelected="1" zoomScaleNormal="100" workbookViewId="0">
      <selection activeCell="B1" sqref="B1"/>
    </sheetView>
  </sheetViews>
  <sheetFormatPr defaultColWidth="8.85546875" defaultRowHeight="15" x14ac:dyDescent="0.25"/>
  <cols>
    <col min="1" max="1" width="13.140625" style="49" customWidth="1"/>
    <col min="2" max="2" width="12" style="63" bestFit="1" customWidth="1"/>
    <col min="3" max="3" width="9.140625" style="63"/>
    <col min="4" max="4" width="8.85546875" style="63"/>
    <col min="5" max="5" width="9" style="63" bestFit="1" customWidth="1"/>
    <col min="6" max="6" width="9.42578125" style="49" customWidth="1"/>
    <col min="7" max="7" width="9.28515625" style="49" bestFit="1" customWidth="1"/>
    <col min="8" max="11" width="8.85546875" style="49"/>
    <col min="12" max="12" width="13.85546875" style="49" bestFit="1" customWidth="1"/>
    <col min="13" max="13" width="14.140625" style="49" customWidth="1"/>
    <col min="14" max="14" width="18.5703125" style="49" bestFit="1" customWidth="1"/>
    <col min="15" max="15" width="20.7109375" style="49" customWidth="1"/>
    <col min="16" max="16" width="11.7109375" style="49" bestFit="1" customWidth="1"/>
    <col min="17" max="17" width="9.7109375" style="49" bestFit="1" customWidth="1"/>
    <col min="18" max="18" width="12.42578125" style="49" bestFit="1" customWidth="1"/>
    <col min="19" max="19" width="25.5703125" style="49" bestFit="1" customWidth="1"/>
    <col min="20" max="20" width="10" style="49" bestFit="1" customWidth="1"/>
    <col min="21" max="21" width="12.7109375" style="49" bestFit="1" customWidth="1"/>
    <col min="22" max="16384" width="8.85546875" style="49"/>
  </cols>
  <sheetData>
    <row r="1" spans="1:19" x14ac:dyDescent="0.25">
      <c r="A1" s="48" t="s">
        <v>5</v>
      </c>
      <c r="B1" s="49"/>
      <c r="C1" s="49"/>
      <c r="D1" s="49"/>
      <c r="E1" s="49"/>
      <c r="M1" s="50"/>
    </row>
    <row r="2" spans="1:19" x14ac:dyDescent="0.25">
      <c r="A2" s="51" t="s">
        <v>6</v>
      </c>
      <c r="B2" s="49"/>
      <c r="C2" s="49"/>
      <c r="D2" s="49"/>
      <c r="E2" s="49"/>
    </row>
    <row r="3" spans="1:19" ht="15.75" x14ac:dyDescent="0.25">
      <c r="A3" s="52" t="s">
        <v>41</v>
      </c>
      <c r="B3" s="49"/>
      <c r="C3" s="49"/>
      <c r="D3" s="49"/>
      <c r="E3" s="49"/>
    </row>
    <row r="4" spans="1:19" x14ac:dyDescent="0.25">
      <c r="B4" s="68"/>
      <c r="C4" s="68"/>
      <c r="D4" s="68"/>
      <c r="E4" s="68"/>
      <c r="I4" s="53"/>
    </row>
    <row r="5" spans="1:19" x14ac:dyDescent="0.25">
      <c r="B5" s="68"/>
      <c r="C5" s="68"/>
      <c r="D5" s="68"/>
      <c r="E5" s="68"/>
      <c r="I5" s="66"/>
    </row>
    <row r="6" spans="1:19" x14ac:dyDescent="0.25">
      <c r="B6" s="74" t="s">
        <v>48</v>
      </c>
      <c r="C6" s="70" t="s">
        <v>3</v>
      </c>
      <c r="D6" s="69" t="s">
        <v>4</v>
      </c>
      <c r="E6" s="49"/>
      <c r="I6" s="66"/>
      <c r="L6" s="50" t="s">
        <v>35</v>
      </c>
      <c r="M6" s="50" t="s">
        <v>36</v>
      </c>
      <c r="N6" s="50" t="s">
        <v>33</v>
      </c>
      <c r="O6" s="50" t="s">
        <v>34</v>
      </c>
      <c r="P6" s="54" t="s">
        <v>31</v>
      </c>
      <c r="Q6" s="50" t="s">
        <v>26</v>
      </c>
      <c r="R6" s="50" t="s">
        <v>27</v>
      </c>
      <c r="S6" s="18" t="s">
        <v>38</v>
      </c>
    </row>
    <row r="7" spans="1:19" x14ac:dyDescent="0.25">
      <c r="B7" s="68"/>
      <c r="C7" s="68">
        <v>0</v>
      </c>
      <c r="D7" s="68">
        <v>0</v>
      </c>
      <c r="E7" s="68"/>
      <c r="I7" s="66"/>
      <c r="L7" s="57">
        <v>0</v>
      </c>
      <c r="M7" s="58">
        <v>1000000</v>
      </c>
      <c r="N7" s="58">
        <v>10000</v>
      </c>
      <c r="O7" s="58">
        <v>10000</v>
      </c>
      <c r="P7" s="59">
        <v>0</v>
      </c>
      <c r="Q7" s="57">
        <v>0</v>
      </c>
      <c r="R7" s="57">
        <v>0</v>
      </c>
      <c r="S7" s="57">
        <v>500</v>
      </c>
    </row>
    <row r="8" spans="1:19" x14ac:dyDescent="0.25">
      <c r="B8" s="68"/>
      <c r="C8" s="68">
        <v>3000</v>
      </c>
      <c r="D8" s="68">
        <v>3000</v>
      </c>
      <c r="E8" s="68"/>
      <c r="I8" s="66"/>
    </row>
    <row r="9" spans="1:19" x14ac:dyDescent="0.25">
      <c r="B9" s="68"/>
      <c r="C9" s="68"/>
      <c r="D9" s="68"/>
      <c r="E9" s="68"/>
      <c r="I9" s="66"/>
    </row>
    <row r="10" spans="1:19" x14ac:dyDescent="0.25">
      <c r="B10" s="68"/>
      <c r="C10" s="68"/>
      <c r="D10" s="68"/>
      <c r="E10" s="68"/>
      <c r="I10" s="66"/>
    </row>
    <row r="11" spans="1:19" x14ac:dyDescent="0.25">
      <c r="B11" s="68"/>
      <c r="C11" s="68"/>
      <c r="D11" s="68"/>
      <c r="E11" s="68"/>
      <c r="I11" s="56"/>
    </row>
    <row r="12" spans="1:19" x14ac:dyDescent="0.25">
      <c r="B12" s="74" t="s">
        <v>49</v>
      </c>
      <c r="C12" s="70" t="s">
        <v>3</v>
      </c>
      <c r="D12" s="69" t="s">
        <v>50</v>
      </c>
      <c r="E12" s="49"/>
      <c r="I12" s="66"/>
      <c r="L12" s="50" t="s">
        <v>35</v>
      </c>
      <c r="M12" s="50" t="s">
        <v>36</v>
      </c>
      <c r="N12" s="50" t="s">
        <v>33</v>
      </c>
      <c r="O12" s="50" t="s">
        <v>34</v>
      </c>
      <c r="P12" s="54" t="s">
        <v>31</v>
      </c>
      <c r="Q12" s="50" t="s">
        <v>26</v>
      </c>
      <c r="R12" s="50" t="s">
        <v>27</v>
      </c>
      <c r="S12" s="50" t="s">
        <v>38</v>
      </c>
    </row>
    <row r="13" spans="1:19" x14ac:dyDescent="0.25">
      <c r="B13" s="68"/>
      <c r="C13" s="68">
        <v>0</v>
      </c>
      <c r="D13" s="68">
        <v>0</v>
      </c>
      <c r="E13" s="68"/>
      <c r="I13" s="66"/>
      <c r="L13" s="57">
        <v>0</v>
      </c>
      <c r="M13" s="58">
        <v>1000000</v>
      </c>
      <c r="N13" s="58">
        <v>10000</v>
      </c>
      <c r="O13" s="58">
        <v>10000</v>
      </c>
      <c r="P13" s="59">
        <v>0</v>
      </c>
      <c r="Q13" s="57">
        <v>0</v>
      </c>
      <c r="R13" s="57">
        <v>0</v>
      </c>
      <c r="S13" s="57">
        <v>500</v>
      </c>
    </row>
    <row r="14" spans="1:19" x14ac:dyDescent="0.25">
      <c r="B14" s="68"/>
      <c r="C14" s="68">
        <v>3000</v>
      </c>
      <c r="D14" s="68">
        <v>3000</v>
      </c>
      <c r="E14" s="68"/>
      <c r="I14" s="66"/>
    </row>
    <row r="15" spans="1:19" x14ac:dyDescent="0.25">
      <c r="B15" s="68"/>
      <c r="C15" s="68"/>
      <c r="D15" s="68"/>
      <c r="E15" s="68"/>
      <c r="I15" s="66"/>
    </row>
    <row r="16" spans="1:19" x14ac:dyDescent="0.25">
      <c r="B16" s="68"/>
      <c r="C16" s="68"/>
      <c r="D16" s="68"/>
      <c r="E16" s="68"/>
      <c r="I16" s="66"/>
    </row>
    <row r="17" spans="2:23" x14ac:dyDescent="0.25">
      <c r="B17" s="68"/>
      <c r="C17" s="68"/>
      <c r="D17" s="68"/>
      <c r="E17" s="68"/>
      <c r="I17" s="56"/>
    </row>
    <row r="18" spans="2:23" s="57" customFormat="1" ht="15.75" x14ac:dyDescent="0.25">
      <c r="B18" s="75" t="s">
        <v>51</v>
      </c>
      <c r="C18" s="64" t="s">
        <v>42</v>
      </c>
      <c r="D18" s="64" t="s">
        <v>44</v>
      </c>
      <c r="E18" s="70" t="s">
        <v>47</v>
      </c>
      <c r="F18" s="69" t="s">
        <v>3</v>
      </c>
      <c r="G18" s="69" t="s">
        <v>4</v>
      </c>
      <c r="L18" s="76" t="s">
        <v>35</v>
      </c>
      <c r="M18" s="76" t="s">
        <v>36</v>
      </c>
      <c r="N18" s="76" t="s">
        <v>33</v>
      </c>
      <c r="O18" s="76" t="s">
        <v>34</v>
      </c>
      <c r="P18" s="77" t="s">
        <v>31</v>
      </c>
      <c r="Q18" s="76" t="s">
        <v>26</v>
      </c>
      <c r="R18" s="76" t="s">
        <v>27</v>
      </c>
      <c r="S18" s="76" t="s">
        <v>38</v>
      </c>
      <c r="W18" s="78"/>
    </row>
    <row r="19" spans="2:23" x14ac:dyDescent="0.25">
      <c r="B19" s="49"/>
      <c r="C19" s="89">
        <v>-10</v>
      </c>
      <c r="D19" s="87">
        <v>1100</v>
      </c>
      <c r="E19" s="47">
        <v>0</v>
      </c>
      <c r="F19" s="47">
        <v>3057.45</v>
      </c>
      <c r="G19" s="47">
        <v>6.5526000000007096</v>
      </c>
      <c r="L19" s="57">
        <v>0</v>
      </c>
      <c r="M19" s="58">
        <v>1000000</v>
      </c>
      <c r="N19" s="58">
        <v>10000</v>
      </c>
      <c r="O19" s="58">
        <v>10000</v>
      </c>
      <c r="P19" s="59">
        <v>4</v>
      </c>
      <c r="Q19" s="57">
        <v>0</v>
      </c>
      <c r="R19" s="57">
        <v>0</v>
      </c>
      <c r="S19" s="57">
        <v>0</v>
      </c>
    </row>
    <row r="20" spans="2:23" x14ac:dyDescent="0.25">
      <c r="B20" s="49"/>
      <c r="C20" s="89"/>
      <c r="D20" s="87">
        <v>1200</v>
      </c>
      <c r="E20" s="47">
        <v>0</v>
      </c>
      <c r="F20" s="47">
        <v>3335.4</v>
      </c>
      <c r="G20" s="47">
        <v>1039.3206</v>
      </c>
      <c r="M20" s="55"/>
      <c r="N20" s="55"/>
      <c r="O20" s="55"/>
      <c r="W20" s="55"/>
    </row>
    <row r="21" spans="2:23" x14ac:dyDescent="0.25">
      <c r="B21" s="49"/>
      <c r="C21" s="89">
        <v>-5</v>
      </c>
      <c r="D21" s="87">
        <v>1000</v>
      </c>
      <c r="E21" s="47">
        <v>0</v>
      </c>
      <c r="F21" s="47">
        <v>2779.5</v>
      </c>
      <c r="G21" s="47">
        <v>309.537000000001</v>
      </c>
      <c r="M21" s="55"/>
      <c r="N21" s="55"/>
      <c r="O21" s="55"/>
      <c r="V21" s="61"/>
    </row>
    <row r="22" spans="2:23" x14ac:dyDescent="0.25">
      <c r="B22" s="49"/>
      <c r="C22" s="89"/>
      <c r="D22" s="87">
        <v>1100</v>
      </c>
      <c r="E22" s="47">
        <v>0</v>
      </c>
      <c r="F22" s="47">
        <v>3057.45</v>
      </c>
      <c r="G22" s="47">
        <v>1342.3050000000001</v>
      </c>
      <c r="M22" s="55"/>
      <c r="N22" s="62"/>
      <c r="O22" s="55"/>
      <c r="P22" s="60"/>
      <c r="V22" s="61"/>
    </row>
    <row r="23" spans="2:23" x14ac:dyDescent="0.25">
      <c r="B23" s="49"/>
      <c r="C23" s="89"/>
      <c r="D23" s="87">
        <v>1200</v>
      </c>
      <c r="E23" s="47">
        <v>0</v>
      </c>
      <c r="F23" s="47">
        <v>3335.4</v>
      </c>
      <c r="G23" s="47">
        <v>2375.0729999999999</v>
      </c>
      <c r="M23" s="55"/>
      <c r="N23" s="55"/>
      <c r="O23" s="55"/>
    </row>
    <row r="24" spans="2:23" x14ac:dyDescent="0.25">
      <c r="B24" s="49"/>
      <c r="C24" s="89">
        <v>0</v>
      </c>
      <c r="D24" s="87">
        <v>900</v>
      </c>
      <c r="E24" s="47">
        <v>0</v>
      </c>
      <c r="F24" s="47">
        <v>2501.5500000000002</v>
      </c>
      <c r="G24" s="47">
        <v>612.52140000000099</v>
      </c>
      <c r="M24" s="55"/>
      <c r="N24" s="55"/>
    </row>
    <row r="25" spans="2:23" x14ac:dyDescent="0.25">
      <c r="B25" s="49"/>
      <c r="C25" s="89"/>
      <c r="D25" s="87">
        <v>1000</v>
      </c>
      <c r="E25" s="47">
        <v>0</v>
      </c>
      <c r="F25" s="47">
        <v>2779.5</v>
      </c>
      <c r="G25" s="47">
        <v>1645.2893999999999</v>
      </c>
      <c r="M25" s="55"/>
      <c r="N25" s="55"/>
      <c r="O25" s="55"/>
    </row>
    <row r="26" spans="2:23" x14ac:dyDescent="0.25">
      <c r="B26" s="49"/>
      <c r="C26" s="89"/>
      <c r="D26" s="87">
        <v>1100</v>
      </c>
      <c r="E26" s="47">
        <v>0</v>
      </c>
      <c r="F26" s="47">
        <v>3057.45</v>
      </c>
      <c r="G26" s="47">
        <v>2678.0574000000001</v>
      </c>
      <c r="M26" s="55"/>
      <c r="N26" s="55"/>
      <c r="O26" s="55"/>
    </row>
    <row r="27" spans="2:23" x14ac:dyDescent="0.25">
      <c r="B27" s="49"/>
      <c r="C27" s="89"/>
      <c r="D27" s="87">
        <v>1200</v>
      </c>
      <c r="E27" s="47">
        <v>0</v>
      </c>
      <c r="F27" s="47">
        <v>3335.4</v>
      </c>
      <c r="G27" s="47">
        <v>3710.8254000000002</v>
      </c>
    </row>
    <row r="28" spans="2:23" x14ac:dyDescent="0.25">
      <c r="B28" s="49"/>
      <c r="C28" s="89">
        <v>5</v>
      </c>
      <c r="D28" s="87">
        <v>800</v>
      </c>
      <c r="E28" s="47">
        <v>0</v>
      </c>
      <c r="F28" s="47">
        <v>2223.6</v>
      </c>
      <c r="G28" s="47">
        <v>915.50580000000105</v>
      </c>
    </row>
    <row r="29" spans="2:23" x14ac:dyDescent="0.25">
      <c r="B29" s="49"/>
      <c r="C29" s="89"/>
      <c r="D29" s="87">
        <v>900</v>
      </c>
      <c r="E29" s="47">
        <v>0</v>
      </c>
      <c r="F29" s="47">
        <v>2501.5500000000002</v>
      </c>
      <c r="G29" s="47">
        <v>1948.2737999999999</v>
      </c>
      <c r="M29" s="55"/>
      <c r="N29" s="55"/>
      <c r="O29" s="55"/>
    </row>
    <row r="30" spans="2:23" x14ac:dyDescent="0.25">
      <c r="B30" s="49"/>
      <c r="C30" s="89"/>
      <c r="D30" s="87">
        <v>1000</v>
      </c>
      <c r="E30" s="47">
        <v>0</v>
      </c>
      <c r="F30" s="47">
        <v>2779.5</v>
      </c>
      <c r="G30" s="47">
        <v>2981.0418</v>
      </c>
      <c r="M30" s="55"/>
      <c r="N30" s="55"/>
      <c r="O30" s="55"/>
    </row>
    <row r="31" spans="2:23" x14ac:dyDescent="0.25">
      <c r="B31" s="49"/>
      <c r="C31" s="89"/>
      <c r="D31" s="87">
        <v>1100</v>
      </c>
      <c r="E31" s="47">
        <v>0</v>
      </c>
      <c r="F31" s="47">
        <v>3057.45</v>
      </c>
      <c r="G31" s="47">
        <v>4013.8098</v>
      </c>
      <c r="M31" s="55"/>
      <c r="N31" s="55"/>
      <c r="O31" s="55"/>
    </row>
    <row r="32" spans="2:23" x14ac:dyDescent="0.25">
      <c r="B32" s="49"/>
      <c r="C32" s="89"/>
      <c r="D32" s="87">
        <v>1200</v>
      </c>
      <c r="E32" s="47">
        <v>0</v>
      </c>
      <c r="F32" s="47">
        <v>3335.4</v>
      </c>
      <c r="G32" s="47">
        <v>5046.5778</v>
      </c>
      <c r="M32" s="55"/>
      <c r="N32" s="62"/>
      <c r="O32" s="55"/>
      <c r="P32" s="60"/>
    </row>
    <row r="33" spans="2:17" x14ac:dyDescent="0.25">
      <c r="B33" s="49"/>
      <c r="C33" s="89">
        <v>10</v>
      </c>
      <c r="D33" s="87">
        <v>600</v>
      </c>
      <c r="E33" s="47">
        <v>0</v>
      </c>
      <c r="F33" s="47">
        <v>1667.7</v>
      </c>
      <c r="G33" s="47">
        <v>185.72219999999999</v>
      </c>
      <c r="M33" s="55"/>
      <c r="N33" s="55"/>
      <c r="O33" s="55"/>
    </row>
    <row r="34" spans="2:17" ht="15.75" customHeight="1" x14ac:dyDescent="0.25">
      <c r="B34" s="65"/>
      <c r="C34" s="89"/>
      <c r="D34" s="87">
        <v>700</v>
      </c>
      <c r="E34" s="47">
        <v>0</v>
      </c>
      <c r="F34" s="47">
        <v>1945.65</v>
      </c>
      <c r="G34" s="47">
        <v>1218.4902</v>
      </c>
    </row>
    <row r="35" spans="2:17" ht="15" customHeight="1" x14ac:dyDescent="0.25">
      <c r="B35" s="65"/>
      <c r="C35" s="89"/>
      <c r="D35" s="87">
        <v>800</v>
      </c>
      <c r="E35" s="47">
        <v>0</v>
      </c>
      <c r="F35" s="47">
        <v>2223.6</v>
      </c>
      <c r="G35" s="47">
        <v>2251.2582000000002</v>
      </c>
    </row>
    <row r="36" spans="2:17" ht="15" customHeight="1" x14ac:dyDescent="0.25">
      <c r="B36" s="65"/>
      <c r="C36" s="89"/>
      <c r="D36" s="87">
        <v>900</v>
      </c>
      <c r="E36" s="47">
        <v>0</v>
      </c>
      <c r="F36" s="47">
        <v>2501.5500000000002</v>
      </c>
      <c r="G36" s="47">
        <v>3284.0261999999998</v>
      </c>
      <c r="M36" s="55"/>
      <c r="N36" s="55"/>
      <c r="O36" s="55"/>
    </row>
    <row r="37" spans="2:17" ht="15" customHeight="1" x14ac:dyDescent="0.25">
      <c r="B37" s="65"/>
      <c r="C37" s="89"/>
      <c r="D37" s="87">
        <v>1000</v>
      </c>
      <c r="E37" s="47">
        <v>0</v>
      </c>
      <c r="F37" s="47">
        <v>2779.5</v>
      </c>
      <c r="G37" s="47">
        <v>4316.7942000000003</v>
      </c>
    </row>
    <row r="38" spans="2:17" ht="15" customHeight="1" x14ac:dyDescent="0.25">
      <c r="B38" s="65"/>
      <c r="C38" s="89"/>
      <c r="D38" s="87">
        <v>1100</v>
      </c>
      <c r="E38" s="47">
        <v>0</v>
      </c>
      <c r="F38" s="47">
        <v>3057.45</v>
      </c>
      <c r="G38" s="47">
        <v>5349.5622000000003</v>
      </c>
    </row>
    <row r="39" spans="2:17" ht="15" customHeight="1" x14ac:dyDescent="0.25">
      <c r="B39" s="65"/>
      <c r="C39" s="89"/>
      <c r="D39" s="87">
        <v>1200</v>
      </c>
      <c r="E39" s="47">
        <v>0</v>
      </c>
      <c r="F39" s="47">
        <v>3335.4</v>
      </c>
      <c r="G39" s="47">
        <v>6382.3302000000003</v>
      </c>
    </row>
    <row r="40" spans="2:17" ht="15" customHeight="1" x14ac:dyDescent="0.25">
      <c r="B40" s="65"/>
      <c r="C40" s="89">
        <v>15</v>
      </c>
      <c r="D40" s="87">
        <v>500</v>
      </c>
      <c r="E40" s="47">
        <v>0</v>
      </c>
      <c r="F40" s="47">
        <v>1389.75</v>
      </c>
      <c r="G40" s="47">
        <v>488.70659999999998</v>
      </c>
    </row>
    <row r="41" spans="2:17" ht="15.75" x14ac:dyDescent="0.25">
      <c r="B41" s="65"/>
      <c r="C41" s="89"/>
      <c r="D41" s="87">
        <v>600</v>
      </c>
      <c r="E41" s="47">
        <v>0</v>
      </c>
      <c r="F41" s="47">
        <v>1667.7</v>
      </c>
      <c r="G41" s="47">
        <v>1521.4746</v>
      </c>
      <c r="M41" s="72"/>
      <c r="N41" s="73"/>
      <c r="O41" s="55"/>
      <c r="P41" s="55"/>
      <c r="Q41" s="71"/>
    </row>
    <row r="42" spans="2:17" ht="15" customHeight="1" x14ac:dyDescent="0.25">
      <c r="B42" s="65"/>
      <c r="C42" s="89"/>
      <c r="D42" s="87">
        <v>700</v>
      </c>
      <c r="E42" s="47">
        <v>0</v>
      </c>
      <c r="F42" s="47">
        <v>1945.65</v>
      </c>
      <c r="G42" s="47">
        <v>2554.2426</v>
      </c>
      <c r="M42" s="72"/>
      <c r="N42" s="73"/>
      <c r="O42" s="55"/>
      <c r="P42" s="55"/>
      <c r="Q42" s="71"/>
    </row>
    <row r="43" spans="2:17" ht="15" customHeight="1" x14ac:dyDescent="0.25">
      <c r="B43" s="65"/>
      <c r="C43" s="89"/>
      <c r="D43" s="87">
        <v>800</v>
      </c>
      <c r="E43" s="47">
        <v>0</v>
      </c>
      <c r="F43" s="47">
        <v>2223.6</v>
      </c>
      <c r="G43" s="47">
        <v>3587.0106000000001</v>
      </c>
      <c r="M43" s="72"/>
      <c r="N43" s="73"/>
      <c r="O43" s="55"/>
      <c r="P43" s="55"/>
      <c r="Q43" s="71"/>
    </row>
    <row r="44" spans="2:17" ht="15" customHeight="1" x14ac:dyDescent="0.25">
      <c r="B44" s="65"/>
      <c r="C44" s="89"/>
      <c r="D44" s="87">
        <v>900</v>
      </c>
      <c r="E44" s="47">
        <v>0</v>
      </c>
      <c r="F44" s="47">
        <v>2501.5500000000002</v>
      </c>
      <c r="G44" s="47">
        <v>4619.7785999999996</v>
      </c>
      <c r="M44" s="72"/>
      <c r="N44" s="73"/>
      <c r="O44" s="55"/>
      <c r="P44" s="55"/>
      <c r="Q44" s="71"/>
    </row>
    <row r="45" spans="2:17" ht="15" customHeight="1" x14ac:dyDescent="0.25">
      <c r="B45" s="65"/>
      <c r="C45" s="89"/>
      <c r="D45" s="87">
        <v>1000</v>
      </c>
      <c r="E45" s="47">
        <v>0</v>
      </c>
      <c r="F45" s="47">
        <v>2779.5</v>
      </c>
      <c r="G45" s="47">
        <v>5652.5465999999997</v>
      </c>
      <c r="M45" s="72"/>
      <c r="N45" s="73"/>
      <c r="O45" s="55"/>
      <c r="P45" s="55"/>
      <c r="Q45" s="71"/>
    </row>
    <row r="46" spans="2:17" ht="15" customHeight="1" x14ac:dyDescent="0.25">
      <c r="B46" s="65"/>
      <c r="C46" s="89"/>
      <c r="D46" s="87">
        <v>1100</v>
      </c>
      <c r="E46" s="47">
        <v>0</v>
      </c>
      <c r="F46" s="47">
        <v>3057.45</v>
      </c>
      <c r="G46" s="47">
        <v>6685.3145999999997</v>
      </c>
      <c r="M46" s="66"/>
      <c r="N46" s="55"/>
      <c r="O46" s="55"/>
      <c r="P46" s="55"/>
      <c r="Q46" s="60"/>
    </row>
    <row r="47" spans="2:17" ht="15" customHeight="1" x14ac:dyDescent="0.25">
      <c r="B47" s="65"/>
      <c r="C47" s="89"/>
      <c r="D47" s="87">
        <v>1200</v>
      </c>
      <c r="E47" s="47">
        <v>0</v>
      </c>
      <c r="F47" s="47">
        <v>3335.4</v>
      </c>
      <c r="G47" s="47">
        <v>7718.0825999999997</v>
      </c>
      <c r="M47" s="66"/>
      <c r="N47" s="55"/>
      <c r="O47" s="55"/>
      <c r="P47" s="55"/>
    </row>
    <row r="48" spans="2:17" ht="15" customHeight="1" x14ac:dyDescent="0.25">
      <c r="B48" s="65"/>
      <c r="C48" s="89">
        <v>20</v>
      </c>
      <c r="D48" s="87">
        <v>400</v>
      </c>
      <c r="E48" s="47">
        <v>0</v>
      </c>
      <c r="F48" s="47">
        <v>1111.8</v>
      </c>
      <c r="G48" s="47">
        <v>791.69100000000003</v>
      </c>
      <c r="M48" s="66"/>
      <c r="N48" s="55"/>
      <c r="O48" s="55"/>
      <c r="P48" s="55"/>
    </row>
    <row r="49" spans="2:17" ht="15" customHeight="1" x14ac:dyDescent="0.25">
      <c r="B49" s="65"/>
      <c r="C49" s="89"/>
      <c r="D49" s="87">
        <v>500</v>
      </c>
      <c r="E49" s="47">
        <v>0</v>
      </c>
      <c r="F49" s="47">
        <v>1389.75</v>
      </c>
      <c r="G49" s="47">
        <v>1824.4590000000001</v>
      </c>
      <c r="M49" s="66"/>
      <c r="N49" s="55"/>
      <c r="O49" s="55"/>
      <c r="P49" s="55"/>
    </row>
    <row r="50" spans="2:17" ht="15.75" x14ac:dyDescent="0.25">
      <c r="B50" s="65"/>
      <c r="C50" s="89"/>
      <c r="D50" s="87">
        <v>600</v>
      </c>
      <c r="E50" s="47">
        <v>0</v>
      </c>
      <c r="F50" s="47">
        <v>1667.7</v>
      </c>
      <c r="G50" s="47">
        <v>2857.2269999999999</v>
      </c>
    </row>
    <row r="51" spans="2:17" ht="15" customHeight="1" x14ac:dyDescent="0.25">
      <c r="B51" s="65"/>
      <c r="C51" s="89"/>
      <c r="D51" s="87">
        <v>700</v>
      </c>
      <c r="E51" s="47">
        <v>0</v>
      </c>
      <c r="F51" s="47">
        <v>1945.65</v>
      </c>
      <c r="G51" s="47">
        <v>3889.9949999999999</v>
      </c>
      <c r="M51" s="66"/>
      <c r="N51" s="55"/>
      <c r="O51" s="55"/>
      <c r="P51" s="55"/>
      <c r="Q51" s="60"/>
    </row>
    <row r="52" spans="2:17" ht="15" customHeight="1" x14ac:dyDescent="0.25">
      <c r="B52" s="65"/>
      <c r="C52" s="89"/>
      <c r="D52" s="87">
        <v>800</v>
      </c>
      <c r="E52" s="47">
        <v>0</v>
      </c>
      <c r="F52" s="47">
        <v>2223.6</v>
      </c>
      <c r="G52" s="47">
        <v>4922.7629999999999</v>
      </c>
      <c r="M52" s="67"/>
      <c r="N52" s="55"/>
      <c r="O52" s="55"/>
      <c r="P52" s="55"/>
    </row>
    <row r="53" spans="2:17" ht="15" customHeight="1" x14ac:dyDescent="0.25">
      <c r="B53" s="65"/>
      <c r="C53" s="89"/>
      <c r="D53" s="87">
        <v>900</v>
      </c>
      <c r="E53" s="47">
        <v>0</v>
      </c>
      <c r="F53" s="47">
        <v>2501.5500000000002</v>
      </c>
      <c r="G53" s="47">
        <v>5955.5309999999999</v>
      </c>
      <c r="M53" s="67"/>
      <c r="N53" s="55"/>
      <c r="O53" s="55"/>
      <c r="P53" s="55"/>
    </row>
    <row r="54" spans="2:17" ht="15" customHeight="1" x14ac:dyDescent="0.25">
      <c r="B54" s="65"/>
      <c r="C54" s="89"/>
      <c r="D54" s="87">
        <v>1000</v>
      </c>
      <c r="E54" s="47">
        <v>0</v>
      </c>
      <c r="F54" s="47">
        <v>2779.5</v>
      </c>
      <c r="G54" s="47">
        <v>6988.299</v>
      </c>
      <c r="M54" s="67"/>
      <c r="N54" s="55"/>
      <c r="O54" s="55"/>
      <c r="P54" s="55"/>
    </row>
    <row r="55" spans="2:17" ht="15" customHeight="1" x14ac:dyDescent="0.25">
      <c r="B55" s="65"/>
      <c r="C55" s="89"/>
      <c r="D55" s="87">
        <v>1100</v>
      </c>
      <c r="E55" s="47">
        <v>0</v>
      </c>
      <c r="F55" s="47">
        <v>3057.45</v>
      </c>
      <c r="G55" s="47">
        <v>8021.067</v>
      </c>
      <c r="M55" s="67"/>
      <c r="N55" s="55"/>
      <c r="O55" s="55"/>
      <c r="P55" s="55"/>
    </row>
    <row r="56" spans="2:17" ht="15" customHeight="1" x14ac:dyDescent="0.25">
      <c r="B56" s="65"/>
      <c r="C56" s="89"/>
      <c r="D56" s="87">
        <v>1200</v>
      </c>
      <c r="E56" s="47">
        <v>0</v>
      </c>
      <c r="F56" s="47">
        <v>3335.4</v>
      </c>
      <c r="G56" s="47">
        <v>9053.8349999999991</v>
      </c>
      <c r="M56" s="67"/>
      <c r="N56" s="55"/>
      <c r="O56" s="55"/>
      <c r="P56" s="55"/>
      <c r="Q56" s="60"/>
    </row>
    <row r="57" spans="2:17" ht="15.75" x14ac:dyDescent="0.25">
      <c r="B57" s="65"/>
      <c r="C57" s="89">
        <v>25</v>
      </c>
      <c r="D57" s="87">
        <v>200</v>
      </c>
      <c r="E57" s="47">
        <v>0</v>
      </c>
      <c r="F57" s="47">
        <v>555.9</v>
      </c>
      <c r="G57" s="47">
        <v>61.907400000000102</v>
      </c>
    </row>
    <row r="58" spans="2:17" ht="15" customHeight="1" x14ac:dyDescent="0.25">
      <c r="B58" s="65"/>
      <c r="C58" s="89"/>
      <c r="D58" s="87">
        <v>300</v>
      </c>
      <c r="E58" s="47">
        <v>0</v>
      </c>
      <c r="F58" s="47">
        <v>833.85</v>
      </c>
      <c r="G58" s="47">
        <v>1094.6754000000001</v>
      </c>
    </row>
    <row r="59" spans="2:17" ht="15" customHeight="1" x14ac:dyDescent="0.25">
      <c r="B59" s="65"/>
      <c r="C59" s="89"/>
      <c r="D59" s="87">
        <v>400</v>
      </c>
      <c r="E59" s="47">
        <v>0</v>
      </c>
      <c r="F59" s="47">
        <v>1111.8</v>
      </c>
      <c r="G59" s="47">
        <v>2127.4434000000001</v>
      </c>
    </row>
    <row r="60" spans="2:17" ht="15" customHeight="1" x14ac:dyDescent="0.25">
      <c r="B60" s="65"/>
      <c r="C60" s="89"/>
      <c r="D60" s="87">
        <v>500</v>
      </c>
      <c r="E60" s="47">
        <v>0</v>
      </c>
      <c r="F60" s="47">
        <v>1389.75</v>
      </c>
      <c r="G60" s="47">
        <v>3160.2114000000001</v>
      </c>
    </row>
    <row r="61" spans="2:17" ht="15" customHeight="1" x14ac:dyDescent="0.25">
      <c r="B61" s="65"/>
      <c r="C61" s="89"/>
      <c r="D61" s="87">
        <v>600</v>
      </c>
      <c r="E61" s="47">
        <v>0</v>
      </c>
      <c r="F61" s="47">
        <v>1667.7</v>
      </c>
      <c r="G61" s="47">
        <v>4192.9794000000002</v>
      </c>
    </row>
    <row r="62" spans="2:17" ht="15" customHeight="1" x14ac:dyDescent="0.25">
      <c r="B62" s="65"/>
      <c r="C62" s="89"/>
      <c r="D62" s="87">
        <v>700</v>
      </c>
      <c r="E62" s="47">
        <v>0</v>
      </c>
      <c r="F62" s="47">
        <v>1945.65</v>
      </c>
      <c r="G62" s="47">
        <v>5225.7474000000002</v>
      </c>
    </row>
    <row r="63" spans="2:17" ht="15" customHeight="1" x14ac:dyDescent="0.25">
      <c r="B63" s="65"/>
      <c r="C63" s="89"/>
      <c r="D63" s="87">
        <v>800</v>
      </c>
      <c r="E63" s="47">
        <v>0</v>
      </c>
      <c r="F63" s="47">
        <v>2223.6</v>
      </c>
      <c r="G63" s="47">
        <v>6258.5154000000002</v>
      </c>
    </row>
    <row r="64" spans="2:17" ht="15" customHeight="1" x14ac:dyDescent="0.25">
      <c r="B64" s="65"/>
      <c r="C64" s="89"/>
      <c r="D64" s="87">
        <v>900</v>
      </c>
      <c r="E64" s="47">
        <v>0</v>
      </c>
      <c r="F64" s="47">
        <v>2501.5500000000002</v>
      </c>
      <c r="G64" s="47">
        <v>7291.2834000000003</v>
      </c>
    </row>
    <row r="65" spans="2:21" ht="15" customHeight="1" x14ac:dyDescent="0.25">
      <c r="B65" s="65"/>
      <c r="C65" s="89"/>
      <c r="D65" s="87">
        <v>1000</v>
      </c>
      <c r="E65" s="47">
        <v>0</v>
      </c>
      <c r="F65" s="47">
        <v>2779.5</v>
      </c>
      <c r="G65" s="47">
        <v>8324.0514000000003</v>
      </c>
    </row>
    <row r="66" spans="2:21" ht="15" customHeight="1" x14ac:dyDescent="0.25">
      <c r="B66" s="65"/>
      <c r="C66" s="89"/>
      <c r="D66" s="87">
        <v>1100</v>
      </c>
      <c r="E66" s="47">
        <v>0</v>
      </c>
      <c r="F66" s="47">
        <v>3057.45</v>
      </c>
      <c r="G66" s="47">
        <v>9356.8194000000003</v>
      </c>
    </row>
    <row r="67" spans="2:21" ht="15" customHeight="1" x14ac:dyDescent="0.25">
      <c r="B67" s="65"/>
      <c r="C67" s="89"/>
      <c r="D67" s="87">
        <v>1200</v>
      </c>
      <c r="E67" s="47">
        <v>0</v>
      </c>
      <c r="F67" s="47">
        <v>3335.4</v>
      </c>
      <c r="G67" s="47">
        <v>10389.5874</v>
      </c>
    </row>
    <row r="68" spans="2:21" ht="15" customHeight="1" x14ac:dyDescent="0.25">
      <c r="B68" s="65"/>
      <c r="C68" s="89">
        <v>30</v>
      </c>
      <c r="D68" s="87">
        <v>100</v>
      </c>
      <c r="E68" s="47">
        <v>0</v>
      </c>
      <c r="F68" s="47">
        <v>277.95</v>
      </c>
      <c r="G68" s="47">
        <v>364.89179999999999</v>
      </c>
    </row>
    <row r="69" spans="2:21" ht="15" customHeight="1" x14ac:dyDescent="0.25">
      <c r="B69" s="65"/>
      <c r="C69" s="89"/>
      <c r="D69" s="87">
        <v>200</v>
      </c>
      <c r="E69" s="47">
        <v>0</v>
      </c>
      <c r="F69" s="47">
        <v>555.9</v>
      </c>
      <c r="G69" s="47">
        <v>1397.6597999999999</v>
      </c>
    </row>
    <row r="70" spans="2:21" ht="15" customHeight="1" x14ac:dyDescent="0.25">
      <c r="B70" s="65"/>
      <c r="C70" s="89"/>
      <c r="D70" s="87">
        <v>300</v>
      </c>
      <c r="E70" s="47">
        <v>0</v>
      </c>
      <c r="F70" s="47">
        <v>833.85</v>
      </c>
      <c r="G70" s="47">
        <v>2430.4277999999999</v>
      </c>
    </row>
    <row r="71" spans="2:21" ht="15" customHeight="1" x14ac:dyDescent="0.25">
      <c r="B71" s="65"/>
      <c r="C71" s="89"/>
      <c r="D71" s="87">
        <v>400</v>
      </c>
      <c r="E71" s="47">
        <v>0</v>
      </c>
      <c r="F71" s="47">
        <v>1111.8</v>
      </c>
      <c r="G71" s="47">
        <v>3463.1958</v>
      </c>
    </row>
    <row r="72" spans="2:21" ht="15" customHeight="1" x14ac:dyDescent="0.25">
      <c r="B72" s="65"/>
      <c r="C72" s="89"/>
      <c r="D72" s="87">
        <v>500</v>
      </c>
      <c r="E72" s="47">
        <v>0</v>
      </c>
      <c r="F72" s="47">
        <v>1389.75</v>
      </c>
      <c r="G72" s="47">
        <v>4495.9638000000004</v>
      </c>
    </row>
    <row r="73" spans="2:21" ht="15" customHeight="1" x14ac:dyDescent="0.25">
      <c r="B73" s="65"/>
      <c r="C73" s="89"/>
      <c r="D73" s="87">
        <v>600</v>
      </c>
      <c r="E73" s="47">
        <v>0</v>
      </c>
      <c r="F73" s="47">
        <v>1667.7</v>
      </c>
      <c r="G73" s="47">
        <v>5528.7317999999996</v>
      </c>
      <c r="U73" s="50"/>
    </row>
    <row r="74" spans="2:21" ht="15" customHeight="1" x14ac:dyDescent="0.25">
      <c r="B74" s="65"/>
      <c r="C74" s="89"/>
      <c r="D74" s="87">
        <v>700</v>
      </c>
      <c r="E74" s="47">
        <v>0</v>
      </c>
      <c r="F74" s="47">
        <v>1945.65</v>
      </c>
      <c r="G74" s="47">
        <v>6561.4997999999996</v>
      </c>
      <c r="U74" s="57"/>
    </row>
    <row r="75" spans="2:21" ht="15" customHeight="1" x14ac:dyDescent="0.25">
      <c r="B75" s="65"/>
      <c r="C75" s="89"/>
      <c r="D75" s="87">
        <v>800</v>
      </c>
      <c r="E75" s="47">
        <v>0</v>
      </c>
      <c r="F75" s="47">
        <v>2223.6</v>
      </c>
      <c r="G75" s="47">
        <v>7594.2677999999996</v>
      </c>
      <c r="M75" s="66"/>
      <c r="N75" s="55"/>
      <c r="O75" s="55"/>
      <c r="P75" s="55"/>
    </row>
    <row r="76" spans="2:21" ht="15" customHeight="1" x14ac:dyDescent="0.25">
      <c r="B76" s="65"/>
      <c r="C76" s="89"/>
      <c r="D76" s="87">
        <v>900</v>
      </c>
      <c r="E76" s="47">
        <v>0</v>
      </c>
      <c r="F76" s="47">
        <v>2501.5500000000002</v>
      </c>
      <c r="G76" s="47">
        <v>8627.0357999999997</v>
      </c>
      <c r="M76" s="66"/>
      <c r="N76" s="55"/>
      <c r="O76" s="55"/>
      <c r="P76" s="55"/>
    </row>
    <row r="77" spans="2:21" ht="15" customHeight="1" x14ac:dyDescent="0.25">
      <c r="B77" s="65"/>
      <c r="C77" s="89"/>
      <c r="D77" s="87">
        <v>1000</v>
      </c>
      <c r="E77" s="47">
        <v>0</v>
      </c>
      <c r="F77" s="47">
        <v>2779.5</v>
      </c>
      <c r="G77" s="47">
        <v>9659.8037999999997</v>
      </c>
      <c r="M77" s="66"/>
      <c r="N77" s="55"/>
      <c r="O77" s="55"/>
      <c r="P77" s="55"/>
    </row>
    <row r="78" spans="2:21" ht="15.75" x14ac:dyDescent="0.25">
      <c r="B78" s="65"/>
      <c r="C78" s="89"/>
      <c r="D78" s="87">
        <v>1100</v>
      </c>
      <c r="E78" s="47">
        <v>0</v>
      </c>
      <c r="F78" s="47">
        <v>3057.45</v>
      </c>
      <c r="G78" s="47">
        <v>10692.5718</v>
      </c>
    </row>
    <row r="79" spans="2:21" ht="15" customHeight="1" x14ac:dyDescent="0.25">
      <c r="B79" s="65"/>
      <c r="C79" s="89"/>
      <c r="D79" s="87">
        <v>1200</v>
      </c>
      <c r="E79" s="47">
        <v>0</v>
      </c>
      <c r="F79" s="47">
        <v>3335.4</v>
      </c>
      <c r="G79" s="47">
        <v>11725.3398</v>
      </c>
      <c r="M79" s="66"/>
      <c r="N79" s="55"/>
      <c r="O79" s="55"/>
      <c r="P79" s="55"/>
      <c r="Q79" s="60"/>
    </row>
    <row r="80" spans="2:21" ht="15" customHeight="1" x14ac:dyDescent="0.25">
      <c r="B80" s="65"/>
      <c r="C80" s="89">
        <v>35</v>
      </c>
      <c r="D80" s="87">
        <v>0</v>
      </c>
      <c r="E80" s="47">
        <v>0</v>
      </c>
      <c r="F80" s="47">
        <v>0</v>
      </c>
      <c r="G80" s="47">
        <v>667.87620000000004</v>
      </c>
      <c r="M80" s="67"/>
      <c r="N80" s="55"/>
      <c r="O80" s="55"/>
      <c r="P80" s="55"/>
    </row>
    <row r="81" spans="2:23" ht="15" customHeight="1" x14ac:dyDescent="0.25">
      <c r="B81" s="65"/>
      <c r="C81" s="89"/>
      <c r="D81" s="87">
        <v>100</v>
      </c>
      <c r="E81" s="47">
        <v>0</v>
      </c>
      <c r="F81" s="47">
        <v>277.95</v>
      </c>
      <c r="G81" s="47">
        <v>1700.6442</v>
      </c>
      <c r="M81" s="67"/>
      <c r="N81" s="55"/>
      <c r="O81" s="55"/>
      <c r="P81" s="55"/>
    </row>
    <row r="82" spans="2:23" ht="15" customHeight="1" x14ac:dyDescent="0.25">
      <c r="B82" s="65"/>
      <c r="C82" s="89"/>
      <c r="D82" s="87">
        <v>200</v>
      </c>
      <c r="E82" s="47">
        <v>0</v>
      </c>
      <c r="F82" s="47">
        <v>555.9</v>
      </c>
      <c r="G82" s="47">
        <v>2733.4122000000002</v>
      </c>
      <c r="M82" s="67"/>
      <c r="N82" s="55"/>
      <c r="O82" s="55"/>
      <c r="P82" s="55"/>
    </row>
    <row r="83" spans="2:23" ht="15" customHeight="1" x14ac:dyDescent="0.25">
      <c r="B83" s="65"/>
      <c r="C83" s="89"/>
      <c r="D83" s="87">
        <v>300</v>
      </c>
      <c r="E83" s="47">
        <v>0</v>
      </c>
      <c r="F83" s="47">
        <v>833.85</v>
      </c>
      <c r="G83" s="47">
        <v>3766.1801999999998</v>
      </c>
      <c r="M83" s="67"/>
      <c r="N83" s="55"/>
      <c r="O83" s="55"/>
      <c r="P83" s="55"/>
    </row>
    <row r="84" spans="2:23" ht="15" customHeight="1" x14ac:dyDescent="0.25">
      <c r="B84" s="65"/>
      <c r="C84" s="89"/>
      <c r="D84" s="87">
        <v>400</v>
      </c>
      <c r="E84" s="47">
        <v>0</v>
      </c>
      <c r="F84" s="47">
        <v>1111.8</v>
      </c>
      <c r="G84" s="47">
        <v>4798.9481999999998</v>
      </c>
      <c r="M84" s="67"/>
      <c r="N84" s="55"/>
      <c r="O84" s="55"/>
      <c r="P84" s="55"/>
      <c r="Q84" s="60"/>
    </row>
    <row r="85" spans="2:23" ht="15.75" x14ac:dyDescent="0.25">
      <c r="B85" s="65"/>
      <c r="C85" s="89"/>
      <c r="D85" s="87">
        <v>500</v>
      </c>
      <c r="E85" s="47">
        <v>0</v>
      </c>
      <c r="F85" s="47">
        <v>1389.75</v>
      </c>
      <c r="G85" s="47">
        <v>5831.7161999999998</v>
      </c>
    </row>
    <row r="86" spans="2:23" ht="15" customHeight="1" x14ac:dyDescent="0.25">
      <c r="B86" s="65"/>
      <c r="C86" s="89"/>
      <c r="D86" s="87">
        <v>600</v>
      </c>
      <c r="E86" s="47">
        <v>0</v>
      </c>
      <c r="F86" s="47">
        <v>1667.7</v>
      </c>
      <c r="G86" s="47">
        <v>6864.4841999999999</v>
      </c>
    </row>
    <row r="87" spans="2:23" ht="15" customHeight="1" x14ac:dyDescent="0.25">
      <c r="B87" s="65"/>
      <c r="C87" s="89"/>
      <c r="D87" s="87">
        <v>700</v>
      </c>
      <c r="E87" s="47">
        <v>0</v>
      </c>
      <c r="F87" s="47">
        <v>1945.65</v>
      </c>
      <c r="G87" s="47">
        <v>7897.2521999999999</v>
      </c>
    </row>
    <row r="88" spans="2:23" ht="15" customHeight="1" x14ac:dyDescent="0.25">
      <c r="B88" s="65"/>
      <c r="C88" s="89"/>
      <c r="D88" s="87">
        <v>800</v>
      </c>
      <c r="E88" s="47">
        <v>0</v>
      </c>
      <c r="F88" s="47">
        <v>2223.6</v>
      </c>
      <c r="G88" s="47">
        <v>8930.0202000000008</v>
      </c>
    </row>
    <row r="89" spans="2:23" ht="15" customHeight="1" x14ac:dyDescent="0.25">
      <c r="B89" s="65"/>
      <c r="C89" s="89"/>
      <c r="D89" s="87">
        <v>900</v>
      </c>
      <c r="E89" s="47">
        <v>0</v>
      </c>
      <c r="F89" s="47">
        <v>2501.5500000000002</v>
      </c>
      <c r="G89" s="47">
        <v>9962.7882000000009</v>
      </c>
    </row>
    <row r="90" spans="2:23" ht="15" customHeight="1" x14ac:dyDescent="0.25">
      <c r="B90" s="65"/>
      <c r="C90" s="89"/>
      <c r="D90" s="87">
        <v>1000</v>
      </c>
      <c r="E90" s="47">
        <v>0</v>
      </c>
      <c r="F90" s="47">
        <v>2779.5</v>
      </c>
      <c r="G90" s="47">
        <v>10995.556200000001</v>
      </c>
    </row>
    <row r="91" spans="2:23" ht="15" customHeight="1" x14ac:dyDescent="0.25">
      <c r="B91" s="65"/>
      <c r="C91" s="89"/>
      <c r="D91" s="87">
        <v>1100</v>
      </c>
      <c r="E91" s="47">
        <v>0</v>
      </c>
      <c r="F91" s="47">
        <v>3057.45</v>
      </c>
      <c r="G91" s="47">
        <v>12028.324199999999</v>
      </c>
    </row>
    <row r="92" spans="2:23" ht="15" customHeight="1" x14ac:dyDescent="0.25">
      <c r="B92" s="65"/>
      <c r="C92" s="89"/>
      <c r="D92" s="87">
        <v>1200</v>
      </c>
      <c r="E92" s="47">
        <v>0</v>
      </c>
      <c r="F92" s="47">
        <v>3335.4</v>
      </c>
      <c r="G92" s="47">
        <v>13061.092199999999</v>
      </c>
    </row>
    <row r="93" spans="2:23" ht="15" customHeight="1" x14ac:dyDescent="0.25">
      <c r="B93" s="65"/>
      <c r="C93" s="88"/>
      <c r="D93" s="88"/>
      <c r="E93" s="47"/>
      <c r="F93" s="47"/>
      <c r="G93" s="47"/>
    </row>
    <row r="94" spans="2:23" ht="15" customHeight="1" x14ac:dyDescent="0.25">
      <c r="B94" s="65"/>
      <c r="C94" s="88"/>
      <c r="D94" s="88"/>
      <c r="E94" s="47"/>
      <c r="F94" s="47"/>
      <c r="G94" s="47"/>
    </row>
    <row r="95" spans="2:23" ht="15" customHeight="1" x14ac:dyDescent="0.25">
      <c r="B95" s="65"/>
      <c r="C95" s="88"/>
      <c r="D95" s="88"/>
      <c r="E95" s="47"/>
      <c r="F95" s="47"/>
      <c r="G95" s="47"/>
    </row>
    <row r="96" spans="2:23" s="57" customFormat="1" ht="15.75" x14ac:dyDescent="0.25">
      <c r="B96" s="75" t="s">
        <v>52</v>
      </c>
      <c r="C96" s="64" t="s">
        <v>42</v>
      </c>
      <c r="D96" s="64" t="s">
        <v>44</v>
      </c>
      <c r="E96" s="70" t="s">
        <v>47</v>
      </c>
      <c r="F96" s="69" t="s">
        <v>3</v>
      </c>
      <c r="G96" s="69" t="s">
        <v>50</v>
      </c>
      <c r="L96" s="76" t="s">
        <v>35</v>
      </c>
      <c r="M96" s="76" t="s">
        <v>36</v>
      </c>
      <c r="N96" s="76" t="s">
        <v>33</v>
      </c>
      <c r="O96" s="76" t="s">
        <v>34</v>
      </c>
      <c r="P96" s="77" t="s">
        <v>31</v>
      </c>
      <c r="Q96" s="76" t="s">
        <v>26</v>
      </c>
      <c r="R96" s="76" t="s">
        <v>27</v>
      </c>
      <c r="S96" s="76" t="s">
        <v>38</v>
      </c>
      <c r="W96" s="78"/>
    </row>
    <row r="97" spans="2:19" x14ac:dyDescent="0.25">
      <c r="B97" s="49"/>
      <c r="C97" s="89">
        <v>10</v>
      </c>
      <c r="D97" s="87">
        <v>1100</v>
      </c>
      <c r="E97" s="47">
        <v>0</v>
      </c>
      <c r="F97" s="47">
        <v>2780.25</v>
      </c>
      <c r="G97" s="47">
        <v>6.5526000000007096</v>
      </c>
      <c r="L97" s="57">
        <v>0</v>
      </c>
      <c r="M97" s="58">
        <v>1000000</v>
      </c>
      <c r="N97" s="58">
        <v>10000</v>
      </c>
      <c r="O97" s="58">
        <v>10000</v>
      </c>
      <c r="P97" s="59">
        <v>4</v>
      </c>
      <c r="Q97" s="57">
        <v>0</v>
      </c>
      <c r="R97" s="57">
        <v>0</v>
      </c>
      <c r="S97" s="57">
        <v>0</v>
      </c>
    </row>
    <row r="98" spans="2:19" x14ac:dyDescent="0.25">
      <c r="B98" s="49"/>
      <c r="C98" s="89"/>
      <c r="D98" s="87">
        <v>1200</v>
      </c>
      <c r="E98" s="47">
        <v>0</v>
      </c>
      <c r="F98" s="47">
        <v>3033</v>
      </c>
      <c r="G98" s="47">
        <v>1039.3206</v>
      </c>
    </row>
    <row r="99" spans="2:19" x14ac:dyDescent="0.25">
      <c r="B99" s="49"/>
      <c r="C99" s="89">
        <v>15</v>
      </c>
      <c r="D99" s="87">
        <v>1000</v>
      </c>
      <c r="E99" s="47">
        <v>0</v>
      </c>
      <c r="F99" s="47">
        <v>2527.5</v>
      </c>
      <c r="G99" s="47">
        <v>309.537000000001</v>
      </c>
    </row>
    <row r="100" spans="2:19" x14ac:dyDescent="0.25">
      <c r="B100" s="49"/>
      <c r="C100" s="89"/>
      <c r="D100" s="87">
        <v>1100</v>
      </c>
      <c r="E100" s="47">
        <v>0</v>
      </c>
      <c r="F100" s="47">
        <v>2780.25</v>
      </c>
      <c r="G100" s="47">
        <v>1342.3050000000001</v>
      </c>
    </row>
    <row r="101" spans="2:19" x14ac:dyDescent="0.25">
      <c r="B101" s="49"/>
      <c r="C101" s="89"/>
      <c r="D101" s="87">
        <v>1200</v>
      </c>
      <c r="E101" s="47">
        <v>0</v>
      </c>
      <c r="F101" s="47">
        <v>3033</v>
      </c>
      <c r="G101" s="47">
        <v>2375.0729999999999</v>
      </c>
    </row>
    <row r="102" spans="2:19" x14ac:dyDescent="0.25">
      <c r="B102" s="49"/>
      <c r="C102" s="89">
        <v>20</v>
      </c>
      <c r="D102" s="87">
        <v>900</v>
      </c>
      <c r="E102" s="47">
        <v>0</v>
      </c>
      <c r="F102" s="47">
        <v>2274.75</v>
      </c>
      <c r="G102" s="47">
        <v>612.52140000000099</v>
      </c>
    </row>
    <row r="103" spans="2:19" x14ac:dyDescent="0.25">
      <c r="B103" s="49"/>
      <c r="C103" s="89"/>
      <c r="D103" s="87">
        <v>1000</v>
      </c>
      <c r="E103" s="47">
        <v>0</v>
      </c>
      <c r="F103" s="47">
        <v>2527.5</v>
      </c>
      <c r="G103" s="47">
        <v>1645.2893999999999</v>
      </c>
    </row>
    <row r="104" spans="2:19" x14ac:dyDescent="0.25">
      <c r="B104" s="49"/>
      <c r="C104" s="89"/>
      <c r="D104" s="87">
        <v>1100</v>
      </c>
      <c r="E104" s="47">
        <v>0</v>
      </c>
      <c r="F104" s="47">
        <v>2780.25</v>
      </c>
      <c r="G104" s="47">
        <v>2678.0574000000001</v>
      </c>
    </row>
    <row r="105" spans="2:19" x14ac:dyDescent="0.25">
      <c r="B105" s="49"/>
      <c r="C105" s="89"/>
      <c r="D105" s="87">
        <v>1200</v>
      </c>
      <c r="E105" s="47">
        <v>0</v>
      </c>
      <c r="F105" s="47">
        <v>3033</v>
      </c>
      <c r="G105" s="47">
        <v>3710.8254000000002</v>
      </c>
    </row>
    <row r="106" spans="2:19" x14ac:dyDescent="0.25">
      <c r="B106" s="49"/>
      <c r="C106" s="89">
        <v>25</v>
      </c>
      <c r="D106" s="87">
        <v>800</v>
      </c>
      <c r="E106" s="47">
        <v>0</v>
      </c>
      <c r="F106" s="47">
        <v>2022</v>
      </c>
      <c r="G106" s="47">
        <v>915.50580000000105</v>
      </c>
    </row>
    <row r="107" spans="2:19" x14ac:dyDescent="0.25">
      <c r="B107" s="49"/>
      <c r="C107" s="89"/>
      <c r="D107" s="87">
        <v>900</v>
      </c>
      <c r="E107" s="47">
        <v>0</v>
      </c>
      <c r="F107" s="47">
        <v>2274.75</v>
      </c>
      <c r="G107" s="47">
        <v>1948.2737999999999</v>
      </c>
    </row>
    <row r="108" spans="2:19" x14ac:dyDescent="0.25">
      <c r="B108" s="49"/>
      <c r="C108" s="89"/>
      <c r="D108" s="87">
        <v>1000</v>
      </c>
      <c r="E108" s="47">
        <v>0</v>
      </c>
      <c r="F108" s="47">
        <v>2527.5</v>
      </c>
      <c r="G108" s="47">
        <v>2981.0418</v>
      </c>
    </row>
    <row r="109" spans="2:19" x14ac:dyDescent="0.25">
      <c r="B109" s="49"/>
      <c r="C109" s="89"/>
      <c r="D109" s="87">
        <v>1100</v>
      </c>
      <c r="E109" s="47">
        <v>0</v>
      </c>
      <c r="F109" s="47">
        <v>2780.25</v>
      </c>
      <c r="G109" s="47">
        <v>4013.8098</v>
      </c>
    </row>
    <row r="110" spans="2:19" x14ac:dyDescent="0.25">
      <c r="B110" s="49"/>
      <c r="C110" s="89"/>
      <c r="D110" s="87">
        <v>1200</v>
      </c>
      <c r="E110" s="47">
        <v>0</v>
      </c>
      <c r="F110" s="47">
        <v>3033</v>
      </c>
      <c r="G110" s="47">
        <v>5046.5778</v>
      </c>
    </row>
    <row r="111" spans="2:19" x14ac:dyDescent="0.25">
      <c r="B111" s="49"/>
      <c r="C111" s="89">
        <v>30</v>
      </c>
      <c r="D111" s="87">
        <v>600</v>
      </c>
      <c r="E111" s="47">
        <v>0</v>
      </c>
      <c r="F111" s="47">
        <v>1516.5</v>
      </c>
      <c r="G111" s="47">
        <v>185.72219999999999</v>
      </c>
    </row>
    <row r="112" spans="2:19" x14ac:dyDescent="0.25">
      <c r="B112" s="49"/>
      <c r="C112" s="89"/>
      <c r="D112" s="87">
        <v>700</v>
      </c>
      <c r="E112" s="47">
        <v>0</v>
      </c>
      <c r="F112" s="47">
        <v>1769.25</v>
      </c>
      <c r="G112" s="47">
        <v>1218.4902</v>
      </c>
    </row>
    <row r="113" spans="2:7" x14ac:dyDescent="0.25">
      <c r="B113" s="49"/>
      <c r="C113" s="89"/>
      <c r="D113" s="87">
        <v>800</v>
      </c>
      <c r="E113" s="47">
        <v>0</v>
      </c>
      <c r="F113" s="47">
        <v>2022</v>
      </c>
      <c r="G113" s="47">
        <v>2251.2582000000002</v>
      </c>
    </row>
    <row r="114" spans="2:7" x14ac:dyDescent="0.25">
      <c r="B114" s="49"/>
      <c r="C114" s="89"/>
      <c r="D114" s="87">
        <v>900</v>
      </c>
      <c r="E114" s="47">
        <v>0</v>
      </c>
      <c r="F114" s="47">
        <v>2274.75</v>
      </c>
      <c r="G114" s="47">
        <v>3284.0261999999998</v>
      </c>
    </row>
    <row r="115" spans="2:7" x14ac:dyDescent="0.25">
      <c r="B115" s="49"/>
      <c r="C115" s="89"/>
      <c r="D115" s="87">
        <v>1000</v>
      </c>
      <c r="E115" s="47">
        <v>0</v>
      </c>
      <c r="F115" s="47">
        <v>2527.5</v>
      </c>
      <c r="G115" s="47">
        <v>4316.7942000000003</v>
      </c>
    </row>
    <row r="116" spans="2:7" x14ac:dyDescent="0.25">
      <c r="B116" s="49"/>
      <c r="C116" s="89"/>
      <c r="D116" s="87">
        <v>1100</v>
      </c>
      <c r="E116" s="47">
        <v>0</v>
      </c>
      <c r="F116" s="47">
        <v>2780.25</v>
      </c>
      <c r="G116" s="47">
        <v>5349.5622000000003</v>
      </c>
    </row>
    <row r="117" spans="2:7" x14ac:dyDescent="0.25">
      <c r="B117" s="49"/>
      <c r="C117" s="89"/>
      <c r="D117" s="87">
        <v>1200</v>
      </c>
      <c r="E117" s="47">
        <v>0</v>
      </c>
      <c r="F117" s="47">
        <v>3033</v>
      </c>
      <c r="G117" s="47">
        <v>6382.3302000000003</v>
      </c>
    </row>
    <row r="118" spans="2:7" x14ac:dyDescent="0.25">
      <c r="B118" s="49"/>
      <c r="C118" s="89">
        <v>35</v>
      </c>
      <c r="D118" s="87">
        <v>500</v>
      </c>
      <c r="E118" s="47">
        <v>0</v>
      </c>
      <c r="F118" s="47">
        <v>1263.75</v>
      </c>
      <c r="G118" s="47">
        <v>488.70659999999998</v>
      </c>
    </row>
    <row r="119" spans="2:7" x14ac:dyDescent="0.25">
      <c r="B119" s="49"/>
      <c r="C119" s="89"/>
      <c r="D119" s="87">
        <v>600</v>
      </c>
      <c r="E119" s="47">
        <v>0</v>
      </c>
      <c r="F119" s="47">
        <v>1516.5</v>
      </c>
      <c r="G119" s="47">
        <v>1521.4746</v>
      </c>
    </row>
    <row r="120" spans="2:7" x14ac:dyDescent="0.25">
      <c r="B120" s="49"/>
      <c r="C120" s="89"/>
      <c r="D120" s="87">
        <v>700</v>
      </c>
      <c r="E120" s="47">
        <v>0</v>
      </c>
      <c r="F120" s="47">
        <v>1769.25</v>
      </c>
      <c r="G120" s="47">
        <v>2554.2426</v>
      </c>
    </row>
    <row r="121" spans="2:7" x14ac:dyDescent="0.25">
      <c r="B121" s="49"/>
      <c r="C121" s="89"/>
      <c r="D121" s="87">
        <v>800</v>
      </c>
      <c r="E121" s="47">
        <v>0</v>
      </c>
      <c r="F121" s="47">
        <v>2022</v>
      </c>
      <c r="G121" s="47">
        <v>3587.0106000000001</v>
      </c>
    </row>
    <row r="122" spans="2:7" x14ac:dyDescent="0.25">
      <c r="B122" s="49"/>
      <c r="C122" s="89"/>
      <c r="D122" s="87">
        <v>900</v>
      </c>
      <c r="E122" s="47">
        <v>0</v>
      </c>
      <c r="F122" s="47">
        <v>2274.75</v>
      </c>
      <c r="G122" s="47">
        <v>4619.7785999999996</v>
      </c>
    </row>
    <row r="123" spans="2:7" x14ac:dyDescent="0.25">
      <c r="B123" s="49"/>
      <c r="C123" s="89"/>
      <c r="D123" s="87">
        <v>1000</v>
      </c>
      <c r="E123" s="47">
        <v>0</v>
      </c>
      <c r="F123" s="47">
        <v>2527.5</v>
      </c>
      <c r="G123" s="47">
        <v>5652.5465999999997</v>
      </c>
    </row>
    <row r="124" spans="2:7" x14ac:dyDescent="0.25">
      <c r="B124" s="49"/>
      <c r="C124" s="89"/>
      <c r="D124" s="87">
        <v>1100</v>
      </c>
      <c r="E124" s="47">
        <v>0</v>
      </c>
      <c r="F124" s="47">
        <v>2780.25</v>
      </c>
      <c r="G124" s="47">
        <v>6685.3145999999997</v>
      </c>
    </row>
    <row r="125" spans="2:7" x14ac:dyDescent="0.25">
      <c r="B125" s="49"/>
      <c r="C125" s="89"/>
      <c r="D125" s="87">
        <v>1200</v>
      </c>
      <c r="E125" s="47">
        <v>0</v>
      </c>
      <c r="F125" s="47">
        <v>3033</v>
      </c>
      <c r="G125" s="47">
        <v>7718.0825999999997</v>
      </c>
    </row>
    <row r="126" spans="2:7" x14ac:dyDescent="0.25">
      <c r="B126" s="49"/>
      <c r="C126" s="88"/>
      <c r="D126" s="88"/>
      <c r="E126" s="47"/>
      <c r="F126" s="47"/>
      <c r="G126" s="47"/>
    </row>
    <row r="127" spans="2:7" x14ac:dyDescent="0.25">
      <c r="B127" s="49"/>
      <c r="C127" s="88"/>
      <c r="D127" s="88"/>
      <c r="E127" s="47"/>
      <c r="F127" s="47"/>
      <c r="G127" s="47"/>
    </row>
    <row r="128" spans="2:7" x14ac:dyDescent="0.25">
      <c r="B128" s="49"/>
      <c r="C128" s="88"/>
      <c r="D128" s="88"/>
      <c r="E128" s="47"/>
      <c r="F128" s="47"/>
      <c r="G128" s="47"/>
    </row>
    <row r="129" spans="2:23" s="57" customFormat="1" ht="15.75" x14ac:dyDescent="0.25">
      <c r="B129" s="75" t="s">
        <v>53</v>
      </c>
      <c r="C129" s="64" t="s">
        <v>42</v>
      </c>
      <c r="D129" s="64" t="s">
        <v>44</v>
      </c>
      <c r="E129" s="70" t="s">
        <v>47</v>
      </c>
      <c r="F129" s="69" t="s">
        <v>3</v>
      </c>
      <c r="G129" s="79"/>
      <c r="L129" s="76" t="s">
        <v>35</v>
      </c>
      <c r="M129" s="76" t="s">
        <v>36</v>
      </c>
      <c r="N129" s="76" t="s">
        <v>33</v>
      </c>
      <c r="O129" s="76" t="s">
        <v>34</v>
      </c>
      <c r="P129" s="77" t="s">
        <v>31</v>
      </c>
      <c r="Q129" s="76" t="s">
        <v>26</v>
      </c>
      <c r="R129" s="76" t="s">
        <v>27</v>
      </c>
      <c r="S129" s="76" t="s">
        <v>38</v>
      </c>
      <c r="W129" s="78"/>
    </row>
    <row r="130" spans="2:23" x14ac:dyDescent="0.25">
      <c r="B130" s="49"/>
      <c r="C130" s="89">
        <v>-20</v>
      </c>
      <c r="D130" s="87">
        <v>0</v>
      </c>
      <c r="E130" s="47">
        <v>0</v>
      </c>
      <c r="F130" s="47">
        <v>0</v>
      </c>
      <c r="L130" s="57">
        <v>0</v>
      </c>
      <c r="M130" s="58">
        <v>1000000</v>
      </c>
      <c r="N130" s="58">
        <v>10000</v>
      </c>
      <c r="O130" s="58">
        <v>10000</v>
      </c>
      <c r="P130" s="59">
        <v>4</v>
      </c>
      <c r="Q130" s="57">
        <v>0</v>
      </c>
      <c r="R130" s="57">
        <v>0</v>
      </c>
      <c r="S130" s="57">
        <v>0</v>
      </c>
    </row>
    <row r="131" spans="2:23" x14ac:dyDescent="0.25">
      <c r="B131" s="49"/>
      <c r="C131" s="89"/>
      <c r="D131" s="87">
        <v>100</v>
      </c>
      <c r="E131" s="47">
        <v>0</v>
      </c>
      <c r="F131" s="47">
        <v>351.03</v>
      </c>
    </row>
    <row r="132" spans="2:23" x14ac:dyDescent="0.25">
      <c r="B132" s="49"/>
      <c r="C132" s="89"/>
      <c r="D132" s="87">
        <v>200</v>
      </c>
      <c r="E132" s="47">
        <v>0</v>
      </c>
      <c r="F132" s="47">
        <v>690.72</v>
      </c>
    </row>
    <row r="133" spans="2:23" x14ac:dyDescent="0.25">
      <c r="B133" s="49"/>
      <c r="C133" s="89"/>
      <c r="D133" s="87">
        <v>300</v>
      </c>
      <c r="E133" s="47">
        <v>0</v>
      </c>
      <c r="F133" s="47">
        <v>1019.07</v>
      </c>
    </row>
    <row r="134" spans="2:23" x14ac:dyDescent="0.25">
      <c r="B134" s="49"/>
      <c r="C134" s="89"/>
      <c r="D134" s="87">
        <v>400</v>
      </c>
      <c r="E134" s="47">
        <v>0</v>
      </c>
      <c r="F134" s="47">
        <v>1336.08</v>
      </c>
    </row>
    <row r="135" spans="2:23" x14ac:dyDescent="0.25">
      <c r="B135" s="49"/>
      <c r="C135" s="89"/>
      <c r="D135" s="87">
        <v>500</v>
      </c>
      <c r="E135" s="47">
        <v>0</v>
      </c>
      <c r="F135" s="47">
        <v>1641.75</v>
      </c>
    </row>
    <row r="136" spans="2:23" x14ac:dyDescent="0.25">
      <c r="B136" s="49"/>
      <c r="C136" s="89"/>
      <c r="D136" s="87">
        <v>600</v>
      </c>
      <c r="E136" s="47">
        <v>0</v>
      </c>
      <c r="F136" s="47">
        <v>1936.08</v>
      </c>
    </row>
    <row r="137" spans="2:23" x14ac:dyDescent="0.25">
      <c r="B137" s="49"/>
      <c r="C137" s="89"/>
      <c r="D137" s="87">
        <v>700</v>
      </c>
      <c r="E137" s="47">
        <v>0</v>
      </c>
      <c r="F137" s="47">
        <v>2219.0700000000002</v>
      </c>
    </row>
    <row r="138" spans="2:23" x14ac:dyDescent="0.25">
      <c r="B138" s="49"/>
      <c r="C138" s="89"/>
      <c r="D138" s="87">
        <v>800</v>
      </c>
      <c r="E138" s="47">
        <v>0</v>
      </c>
      <c r="F138" s="47">
        <v>2490.7199999999998</v>
      </c>
    </row>
    <row r="139" spans="2:23" x14ac:dyDescent="0.25">
      <c r="B139" s="49"/>
      <c r="C139" s="89"/>
      <c r="D139" s="87">
        <v>900</v>
      </c>
      <c r="E139" s="47">
        <v>0</v>
      </c>
      <c r="F139" s="47">
        <v>2751.03</v>
      </c>
    </row>
    <row r="140" spans="2:23" x14ac:dyDescent="0.25">
      <c r="B140" s="49"/>
      <c r="C140" s="89"/>
      <c r="D140" s="87">
        <v>1000</v>
      </c>
      <c r="E140" s="47">
        <v>0</v>
      </c>
      <c r="F140" s="47">
        <v>3000</v>
      </c>
    </row>
    <row r="141" spans="2:23" x14ac:dyDescent="0.25">
      <c r="B141" s="49"/>
      <c r="C141" s="89"/>
      <c r="D141" s="87">
        <v>1100</v>
      </c>
      <c r="E141" s="47">
        <v>0</v>
      </c>
      <c r="F141" s="47">
        <v>3237.63</v>
      </c>
    </row>
    <row r="142" spans="2:23" x14ac:dyDescent="0.25">
      <c r="B142" s="49"/>
      <c r="C142" s="89"/>
      <c r="D142" s="87">
        <v>1200</v>
      </c>
      <c r="E142" s="47">
        <v>0</v>
      </c>
      <c r="F142" s="47">
        <v>3463.92</v>
      </c>
    </row>
    <row r="143" spans="2:23" x14ac:dyDescent="0.25">
      <c r="B143" s="49"/>
      <c r="C143" s="89">
        <v>-15</v>
      </c>
      <c r="D143" s="87">
        <v>0</v>
      </c>
      <c r="E143" s="47">
        <v>0</v>
      </c>
      <c r="F143" s="47">
        <v>0</v>
      </c>
    </row>
    <row r="144" spans="2:23" x14ac:dyDescent="0.25">
      <c r="B144" s="49"/>
      <c r="C144" s="89"/>
      <c r="D144" s="87">
        <v>100</v>
      </c>
      <c r="E144" s="47">
        <v>0</v>
      </c>
      <c r="F144" s="47">
        <v>344.73</v>
      </c>
    </row>
    <row r="145" spans="2:6" x14ac:dyDescent="0.25">
      <c r="B145" s="49"/>
      <c r="C145" s="89"/>
      <c r="D145" s="87">
        <v>200</v>
      </c>
      <c r="E145" s="47">
        <v>0</v>
      </c>
      <c r="F145" s="47">
        <v>678.12</v>
      </c>
    </row>
    <row r="146" spans="2:6" x14ac:dyDescent="0.25">
      <c r="B146" s="49"/>
      <c r="C146" s="89"/>
      <c r="D146" s="87">
        <v>300</v>
      </c>
      <c r="E146" s="47">
        <v>0</v>
      </c>
      <c r="F146" s="47">
        <v>1000.17</v>
      </c>
    </row>
    <row r="147" spans="2:6" x14ac:dyDescent="0.25">
      <c r="B147" s="49"/>
      <c r="C147" s="89"/>
      <c r="D147" s="87">
        <v>400</v>
      </c>
      <c r="E147" s="47">
        <v>0</v>
      </c>
      <c r="F147" s="47">
        <v>1310.88</v>
      </c>
    </row>
    <row r="148" spans="2:6" x14ac:dyDescent="0.25">
      <c r="B148" s="49"/>
      <c r="C148" s="89"/>
      <c r="D148" s="87">
        <v>500</v>
      </c>
      <c r="E148" s="47">
        <v>0</v>
      </c>
      <c r="F148" s="47">
        <v>1610.25</v>
      </c>
    </row>
    <row r="149" spans="2:6" x14ac:dyDescent="0.25">
      <c r="B149" s="49"/>
      <c r="C149" s="89"/>
      <c r="D149" s="87">
        <v>600</v>
      </c>
      <c r="E149" s="47">
        <v>0</v>
      </c>
      <c r="F149" s="47">
        <v>1898.28</v>
      </c>
    </row>
    <row r="150" spans="2:6" x14ac:dyDescent="0.25">
      <c r="B150" s="49"/>
      <c r="C150" s="89"/>
      <c r="D150" s="87">
        <v>700</v>
      </c>
      <c r="E150" s="47">
        <v>0</v>
      </c>
      <c r="F150" s="47">
        <v>2174.9699999999998</v>
      </c>
    </row>
    <row r="151" spans="2:6" x14ac:dyDescent="0.25">
      <c r="B151" s="49"/>
      <c r="C151" s="89"/>
      <c r="D151" s="87">
        <v>800</v>
      </c>
      <c r="E151" s="47">
        <v>0</v>
      </c>
      <c r="F151" s="47">
        <v>2440.3200000000002</v>
      </c>
    </row>
    <row r="152" spans="2:6" x14ac:dyDescent="0.25">
      <c r="B152" s="49"/>
      <c r="C152" s="89"/>
      <c r="D152" s="87">
        <v>900</v>
      </c>
      <c r="E152" s="47">
        <v>0</v>
      </c>
      <c r="F152" s="47">
        <v>2694.33</v>
      </c>
    </row>
    <row r="153" spans="2:6" x14ac:dyDescent="0.25">
      <c r="B153" s="49"/>
      <c r="C153" s="89"/>
      <c r="D153" s="87">
        <v>1000</v>
      </c>
      <c r="E153" s="47">
        <v>0</v>
      </c>
      <c r="F153" s="47">
        <v>2937</v>
      </c>
    </row>
    <row r="154" spans="2:6" x14ac:dyDescent="0.25">
      <c r="B154" s="49"/>
      <c r="C154" s="89"/>
      <c r="D154" s="87">
        <v>1100</v>
      </c>
      <c r="E154" s="47">
        <v>0</v>
      </c>
      <c r="F154" s="47">
        <v>3168.33</v>
      </c>
    </row>
    <row r="155" spans="2:6" x14ac:dyDescent="0.25">
      <c r="B155" s="49"/>
      <c r="C155" s="89"/>
      <c r="D155" s="87">
        <v>1200</v>
      </c>
      <c r="E155" s="47">
        <v>0</v>
      </c>
      <c r="F155" s="47">
        <v>3388.32</v>
      </c>
    </row>
    <row r="156" spans="2:6" x14ac:dyDescent="0.25">
      <c r="B156" s="49"/>
      <c r="C156" s="89">
        <v>-10</v>
      </c>
      <c r="D156" s="87">
        <v>0</v>
      </c>
      <c r="E156" s="47">
        <v>0</v>
      </c>
      <c r="F156" s="47">
        <v>0</v>
      </c>
    </row>
    <row r="157" spans="2:6" x14ac:dyDescent="0.25">
      <c r="B157" s="49"/>
      <c r="C157" s="89"/>
      <c r="D157" s="87">
        <v>100</v>
      </c>
      <c r="E157" s="47">
        <v>0</v>
      </c>
      <c r="F157" s="47">
        <v>338.43</v>
      </c>
    </row>
    <row r="158" spans="2:6" x14ac:dyDescent="0.25">
      <c r="B158" s="49"/>
      <c r="C158" s="89"/>
      <c r="D158" s="87">
        <v>200</v>
      </c>
      <c r="E158" s="47">
        <v>0</v>
      </c>
      <c r="F158" s="47">
        <v>665.52</v>
      </c>
    </row>
    <row r="159" spans="2:6" x14ac:dyDescent="0.25">
      <c r="B159" s="49"/>
      <c r="C159" s="89"/>
      <c r="D159" s="87">
        <v>300</v>
      </c>
      <c r="E159" s="47">
        <v>0</v>
      </c>
      <c r="F159" s="47">
        <v>981.27</v>
      </c>
    </row>
    <row r="160" spans="2:6" x14ac:dyDescent="0.25">
      <c r="B160" s="49"/>
      <c r="C160" s="89"/>
      <c r="D160" s="87">
        <v>400</v>
      </c>
      <c r="E160" s="47">
        <v>0</v>
      </c>
      <c r="F160" s="47">
        <v>1285.68</v>
      </c>
    </row>
    <row r="161" spans="2:6" x14ac:dyDescent="0.25">
      <c r="B161" s="49"/>
      <c r="C161" s="89"/>
      <c r="D161" s="87">
        <v>500</v>
      </c>
      <c r="E161" s="47">
        <v>0</v>
      </c>
      <c r="F161" s="47">
        <v>1578.75</v>
      </c>
    </row>
    <row r="162" spans="2:6" x14ac:dyDescent="0.25">
      <c r="B162" s="49"/>
      <c r="C162" s="89"/>
      <c r="D162" s="87">
        <v>600</v>
      </c>
      <c r="E162" s="47">
        <v>0</v>
      </c>
      <c r="F162" s="47">
        <v>1860.48</v>
      </c>
    </row>
    <row r="163" spans="2:6" x14ac:dyDescent="0.25">
      <c r="B163" s="49"/>
      <c r="C163" s="89"/>
      <c r="D163" s="87">
        <v>700</v>
      </c>
      <c r="E163" s="47">
        <v>0</v>
      </c>
      <c r="F163" s="47">
        <v>2130.87</v>
      </c>
    </row>
    <row r="164" spans="2:6" x14ac:dyDescent="0.25">
      <c r="B164" s="49"/>
      <c r="C164" s="89"/>
      <c r="D164" s="87">
        <v>800</v>
      </c>
      <c r="E164" s="47">
        <v>0</v>
      </c>
      <c r="F164" s="47">
        <v>2389.92</v>
      </c>
    </row>
    <row r="165" spans="2:6" x14ac:dyDescent="0.25">
      <c r="B165" s="49"/>
      <c r="C165" s="89"/>
      <c r="D165" s="87">
        <v>900</v>
      </c>
      <c r="E165" s="47">
        <v>0</v>
      </c>
      <c r="F165" s="47">
        <v>2637.63</v>
      </c>
    </row>
    <row r="166" spans="2:6" x14ac:dyDescent="0.25">
      <c r="B166" s="49"/>
      <c r="C166" s="89"/>
      <c r="D166" s="87">
        <v>1000</v>
      </c>
      <c r="E166" s="47">
        <v>0</v>
      </c>
      <c r="F166" s="47">
        <v>2874</v>
      </c>
    </row>
    <row r="167" spans="2:6" x14ac:dyDescent="0.25">
      <c r="B167" s="49"/>
      <c r="C167" s="89"/>
      <c r="D167" s="87">
        <v>1100</v>
      </c>
      <c r="E167" s="47">
        <v>0</v>
      </c>
      <c r="F167" s="47">
        <v>3099.03</v>
      </c>
    </row>
    <row r="168" spans="2:6" x14ac:dyDescent="0.25">
      <c r="B168" s="49"/>
      <c r="C168" s="89"/>
      <c r="D168" s="87">
        <v>1200</v>
      </c>
      <c r="E168" s="47">
        <v>0</v>
      </c>
      <c r="F168" s="47">
        <v>3312.72</v>
      </c>
    </row>
    <row r="169" spans="2:6" x14ac:dyDescent="0.25">
      <c r="B169" s="49"/>
      <c r="C169" s="89">
        <v>-5</v>
      </c>
      <c r="D169" s="87">
        <v>0</v>
      </c>
      <c r="E169" s="47">
        <v>0</v>
      </c>
      <c r="F169" s="47">
        <v>0</v>
      </c>
    </row>
    <row r="170" spans="2:6" x14ac:dyDescent="0.25">
      <c r="B170" s="49"/>
      <c r="C170" s="89"/>
      <c r="D170" s="87">
        <v>100</v>
      </c>
      <c r="E170" s="47">
        <v>0</v>
      </c>
      <c r="F170" s="47">
        <v>332.13</v>
      </c>
    </row>
    <row r="171" spans="2:6" x14ac:dyDescent="0.25">
      <c r="B171" s="49"/>
      <c r="C171" s="89"/>
      <c r="D171" s="87">
        <v>200</v>
      </c>
      <c r="E171" s="47">
        <v>0</v>
      </c>
      <c r="F171" s="47">
        <v>652.91999999999996</v>
      </c>
    </row>
    <row r="172" spans="2:6" x14ac:dyDescent="0.25">
      <c r="B172" s="49"/>
      <c r="C172" s="89"/>
      <c r="D172" s="87">
        <v>300</v>
      </c>
      <c r="E172" s="47">
        <v>0</v>
      </c>
      <c r="F172" s="47">
        <v>962.37</v>
      </c>
    </row>
    <row r="173" spans="2:6" x14ac:dyDescent="0.25">
      <c r="B173" s="49"/>
      <c r="C173" s="89"/>
      <c r="D173" s="87">
        <v>400</v>
      </c>
      <c r="E173" s="47">
        <v>0</v>
      </c>
      <c r="F173" s="47">
        <v>1260.48</v>
      </c>
    </row>
    <row r="174" spans="2:6" x14ac:dyDescent="0.25">
      <c r="B174" s="49"/>
      <c r="C174" s="89"/>
      <c r="D174" s="87">
        <v>500</v>
      </c>
      <c r="E174" s="47">
        <v>0</v>
      </c>
      <c r="F174" s="47">
        <v>1547.25</v>
      </c>
    </row>
    <row r="175" spans="2:6" x14ac:dyDescent="0.25">
      <c r="B175" s="49"/>
      <c r="C175" s="89"/>
      <c r="D175" s="87">
        <v>600</v>
      </c>
      <c r="E175" s="47">
        <v>0</v>
      </c>
      <c r="F175" s="47">
        <v>1822.68</v>
      </c>
    </row>
    <row r="176" spans="2:6" x14ac:dyDescent="0.25">
      <c r="B176" s="49"/>
      <c r="C176" s="89"/>
      <c r="D176" s="87">
        <v>700</v>
      </c>
      <c r="E176" s="47">
        <v>0</v>
      </c>
      <c r="F176" s="47">
        <v>2086.77</v>
      </c>
    </row>
    <row r="177" spans="2:6" x14ac:dyDescent="0.25">
      <c r="B177" s="49"/>
      <c r="C177" s="89"/>
      <c r="D177" s="87">
        <v>800</v>
      </c>
      <c r="E177" s="47">
        <v>0</v>
      </c>
      <c r="F177" s="47">
        <v>2339.52</v>
      </c>
    </row>
    <row r="178" spans="2:6" x14ac:dyDescent="0.25">
      <c r="B178" s="49"/>
      <c r="C178" s="89"/>
      <c r="D178" s="87">
        <v>900</v>
      </c>
      <c r="E178" s="47">
        <v>0</v>
      </c>
      <c r="F178" s="47">
        <v>2580.9299999999998</v>
      </c>
    </row>
    <row r="179" spans="2:6" x14ac:dyDescent="0.25">
      <c r="B179" s="49"/>
      <c r="C179" s="89"/>
      <c r="D179" s="87">
        <v>1000</v>
      </c>
      <c r="E179" s="47">
        <v>0</v>
      </c>
      <c r="F179" s="47">
        <v>2811</v>
      </c>
    </row>
    <row r="180" spans="2:6" x14ac:dyDescent="0.25">
      <c r="B180" s="49"/>
      <c r="C180" s="89"/>
      <c r="D180" s="87">
        <v>1100</v>
      </c>
      <c r="E180" s="47">
        <v>0</v>
      </c>
      <c r="F180" s="47">
        <v>3029.73</v>
      </c>
    </row>
    <row r="181" spans="2:6" x14ac:dyDescent="0.25">
      <c r="B181" s="49"/>
      <c r="C181" s="89"/>
      <c r="D181" s="87">
        <v>1200</v>
      </c>
      <c r="E181" s="47">
        <v>0</v>
      </c>
      <c r="F181" s="47">
        <v>3237.12</v>
      </c>
    </row>
    <row r="182" spans="2:6" x14ac:dyDescent="0.25">
      <c r="B182" s="49"/>
      <c r="C182" s="89">
        <v>0</v>
      </c>
      <c r="D182" s="87">
        <v>0</v>
      </c>
      <c r="E182" s="47">
        <v>0</v>
      </c>
      <c r="F182" s="47">
        <v>0</v>
      </c>
    </row>
    <row r="183" spans="2:6" x14ac:dyDescent="0.25">
      <c r="B183" s="49"/>
      <c r="C183" s="89"/>
      <c r="D183" s="87">
        <v>100</v>
      </c>
      <c r="E183" s="47">
        <v>0</v>
      </c>
      <c r="F183" s="47">
        <v>325.83</v>
      </c>
    </row>
    <row r="184" spans="2:6" x14ac:dyDescent="0.25">
      <c r="B184" s="49"/>
      <c r="C184" s="89"/>
      <c r="D184" s="87">
        <v>200</v>
      </c>
      <c r="E184" s="47">
        <v>0</v>
      </c>
      <c r="F184" s="47">
        <v>640.32000000000005</v>
      </c>
    </row>
    <row r="185" spans="2:6" x14ac:dyDescent="0.25">
      <c r="B185" s="49"/>
      <c r="C185" s="89"/>
      <c r="D185" s="87">
        <v>300</v>
      </c>
      <c r="E185" s="47">
        <v>0</v>
      </c>
      <c r="F185" s="47">
        <v>943.47</v>
      </c>
    </row>
    <row r="186" spans="2:6" x14ac:dyDescent="0.25">
      <c r="B186" s="49"/>
      <c r="C186" s="89"/>
      <c r="D186" s="87">
        <v>400</v>
      </c>
      <c r="E186" s="47">
        <v>0</v>
      </c>
      <c r="F186" s="47">
        <v>1235.28</v>
      </c>
    </row>
    <row r="187" spans="2:6" x14ac:dyDescent="0.25">
      <c r="B187" s="49"/>
      <c r="C187" s="89"/>
      <c r="D187" s="87">
        <v>500</v>
      </c>
      <c r="E187" s="47">
        <v>0</v>
      </c>
      <c r="F187" s="47">
        <v>1515.75</v>
      </c>
    </row>
    <row r="188" spans="2:6" x14ac:dyDescent="0.25">
      <c r="B188" s="49"/>
      <c r="C188" s="89"/>
      <c r="D188" s="87">
        <v>600</v>
      </c>
      <c r="E188" s="47">
        <v>0</v>
      </c>
      <c r="F188" s="47">
        <v>1784.88</v>
      </c>
    </row>
    <row r="189" spans="2:6" x14ac:dyDescent="0.25">
      <c r="B189" s="49"/>
      <c r="C189" s="89"/>
      <c r="D189" s="87">
        <v>700</v>
      </c>
      <c r="E189" s="47">
        <v>0</v>
      </c>
      <c r="F189" s="47">
        <v>2042.67</v>
      </c>
    </row>
    <row r="190" spans="2:6" x14ac:dyDescent="0.25">
      <c r="B190" s="49"/>
      <c r="C190" s="89"/>
      <c r="D190" s="87">
        <v>800</v>
      </c>
      <c r="E190" s="47">
        <v>0</v>
      </c>
      <c r="F190" s="47">
        <v>2289.12</v>
      </c>
    </row>
    <row r="191" spans="2:6" x14ac:dyDescent="0.25">
      <c r="B191" s="49"/>
      <c r="C191" s="89"/>
      <c r="D191" s="87">
        <v>900</v>
      </c>
      <c r="E191" s="47">
        <v>0</v>
      </c>
      <c r="F191" s="47">
        <v>2524.23</v>
      </c>
    </row>
    <row r="192" spans="2:6" x14ac:dyDescent="0.25">
      <c r="B192" s="49"/>
      <c r="C192" s="89"/>
      <c r="D192" s="87">
        <v>1000</v>
      </c>
      <c r="E192" s="47">
        <v>0</v>
      </c>
      <c r="F192" s="47">
        <v>2748</v>
      </c>
    </row>
    <row r="193" spans="2:6" x14ac:dyDescent="0.25">
      <c r="B193" s="49"/>
      <c r="C193" s="89"/>
      <c r="D193" s="87">
        <v>1100</v>
      </c>
      <c r="E193" s="47">
        <v>0</v>
      </c>
      <c r="F193" s="47">
        <v>2960.43</v>
      </c>
    </row>
    <row r="194" spans="2:6" x14ac:dyDescent="0.25">
      <c r="B194" s="49"/>
      <c r="C194" s="89"/>
      <c r="D194" s="87">
        <v>1200</v>
      </c>
      <c r="E194" s="47">
        <v>0</v>
      </c>
      <c r="F194" s="47">
        <v>3161.52</v>
      </c>
    </row>
    <row r="195" spans="2:6" x14ac:dyDescent="0.25">
      <c r="B195" s="49"/>
      <c r="C195" s="89">
        <v>5</v>
      </c>
      <c r="D195" s="87">
        <v>0</v>
      </c>
      <c r="E195" s="47">
        <v>0</v>
      </c>
      <c r="F195" s="47">
        <v>0</v>
      </c>
    </row>
    <row r="196" spans="2:6" x14ac:dyDescent="0.25">
      <c r="B196" s="49"/>
      <c r="C196" s="89"/>
      <c r="D196" s="87">
        <v>100</v>
      </c>
      <c r="E196" s="47">
        <v>0</v>
      </c>
      <c r="F196" s="47">
        <v>319.52999999999997</v>
      </c>
    </row>
    <row r="197" spans="2:6" x14ac:dyDescent="0.25">
      <c r="B197" s="49"/>
      <c r="C197" s="89"/>
      <c r="D197" s="87">
        <v>200</v>
      </c>
      <c r="E197" s="47">
        <v>0</v>
      </c>
      <c r="F197" s="47">
        <v>627.72</v>
      </c>
    </row>
    <row r="198" spans="2:6" x14ac:dyDescent="0.25">
      <c r="B198" s="49"/>
      <c r="C198" s="89"/>
      <c r="D198" s="87">
        <v>300</v>
      </c>
      <c r="E198" s="47">
        <v>0</v>
      </c>
      <c r="F198" s="47">
        <v>924.57</v>
      </c>
    </row>
    <row r="199" spans="2:6" x14ac:dyDescent="0.25">
      <c r="B199" s="49"/>
      <c r="C199" s="89"/>
      <c r="D199" s="87">
        <v>400</v>
      </c>
      <c r="E199" s="47">
        <v>0</v>
      </c>
      <c r="F199" s="47">
        <v>1210.08</v>
      </c>
    </row>
    <row r="200" spans="2:6" x14ac:dyDescent="0.25">
      <c r="B200" s="49"/>
      <c r="C200" s="89"/>
      <c r="D200" s="87">
        <v>500</v>
      </c>
      <c r="E200" s="47">
        <v>0</v>
      </c>
      <c r="F200" s="47">
        <v>1484.25</v>
      </c>
    </row>
    <row r="201" spans="2:6" x14ac:dyDescent="0.25">
      <c r="B201" s="49"/>
      <c r="C201" s="89"/>
      <c r="D201" s="87">
        <v>600</v>
      </c>
      <c r="E201" s="47">
        <v>0</v>
      </c>
      <c r="F201" s="47">
        <v>1747.08</v>
      </c>
    </row>
    <row r="202" spans="2:6" x14ac:dyDescent="0.25">
      <c r="B202" s="49"/>
      <c r="C202" s="89"/>
      <c r="D202" s="87">
        <v>700</v>
      </c>
      <c r="E202" s="47">
        <v>0</v>
      </c>
      <c r="F202" s="47">
        <v>1998.57</v>
      </c>
    </row>
    <row r="203" spans="2:6" x14ac:dyDescent="0.25">
      <c r="B203" s="49"/>
      <c r="C203" s="89"/>
      <c r="D203" s="87">
        <v>800</v>
      </c>
      <c r="E203" s="47">
        <v>0</v>
      </c>
      <c r="F203" s="47">
        <v>2238.7199999999998</v>
      </c>
    </row>
    <row r="204" spans="2:6" x14ac:dyDescent="0.25">
      <c r="B204" s="49"/>
      <c r="C204" s="89"/>
      <c r="D204" s="87">
        <v>900</v>
      </c>
      <c r="E204" s="47">
        <v>0</v>
      </c>
      <c r="F204" s="47">
        <v>2467.5300000000002</v>
      </c>
    </row>
    <row r="205" spans="2:6" x14ac:dyDescent="0.25">
      <c r="B205" s="49"/>
      <c r="C205" s="89"/>
      <c r="D205" s="87">
        <v>1000</v>
      </c>
      <c r="E205" s="47">
        <v>0</v>
      </c>
      <c r="F205" s="47">
        <v>2685</v>
      </c>
    </row>
    <row r="206" spans="2:6" x14ac:dyDescent="0.25">
      <c r="B206" s="49"/>
      <c r="C206" s="89"/>
      <c r="D206" s="87">
        <v>1100</v>
      </c>
      <c r="E206" s="47">
        <v>0</v>
      </c>
      <c r="F206" s="47">
        <v>2891.13</v>
      </c>
    </row>
    <row r="207" spans="2:6" x14ac:dyDescent="0.25">
      <c r="B207" s="49"/>
      <c r="C207" s="89"/>
      <c r="D207" s="87">
        <v>1200</v>
      </c>
      <c r="E207" s="47">
        <v>0</v>
      </c>
      <c r="F207" s="47">
        <v>3085.92</v>
      </c>
    </row>
    <row r="208" spans="2:6" x14ac:dyDescent="0.25">
      <c r="B208" s="49"/>
      <c r="C208" s="89">
        <v>10</v>
      </c>
      <c r="D208" s="87">
        <v>0</v>
      </c>
      <c r="E208" s="47">
        <v>0</v>
      </c>
      <c r="F208" s="47">
        <v>0</v>
      </c>
    </row>
    <row r="209" spans="2:6" x14ac:dyDescent="0.25">
      <c r="B209" s="49"/>
      <c r="C209" s="89"/>
      <c r="D209" s="87">
        <v>100</v>
      </c>
      <c r="E209" s="47">
        <v>0</v>
      </c>
      <c r="F209" s="47">
        <v>313.23</v>
      </c>
    </row>
    <row r="210" spans="2:6" x14ac:dyDescent="0.25">
      <c r="B210" s="49"/>
      <c r="C210" s="89"/>
      <c r="D210" s="87">
        <v>200</v>
      </c>
      <c r="E210" s="47">
        <v>0</v>
      </c>
      <c r="F210" s="47">
        <v>615.12</v>
      </c>
    </row>
    <row r="211" spans="2:6" x14ac:dyDescent="0.25">
      <c r="B211" s="49"/>
      <c r="C211" s="89"/>
      <c r="D211" s="87">
        <v>300</v>
      </c>
      <c r="E211" s="47">
        <v>0</v>
      </c>
      <c r="F211" s="47">
        <v>905.67</v>
      </c>
    </row>
    <row r="212" spans="2:6" x14ac:dyDescent="0.25">
      <c r="B212" s="49"/>
      <c r="C212" s="89"/>
      <c r="D212" s="87">
        <v>400</v>
      </c>
      <c r="E212" s="47">
        <v>0</v>
      </c>
      <c r="F212" s="47">
        <v>1184.8800000000001</v>
      </c>
    </row>
    <row r="213" spans="2:6" x14ac:dyDescent="0.25">
      <c r="B213" s="49"/>
      <c r="C213" s="89"/>
      <c r="D213" s="87">
        <v>500</v>
      </c>
      <c r="E213" s="47">
        <v>0</v>
      </c>
      <c r="F213" s="47">
        <v>1452.75</v>
      </c>
    </row>
    <row r="214" spans="2:6" x14ac:dyDescent="0.25">
      <c r="B214" s="49"/>
      <c r="C214" s="89"/>
      <c r="D214" s="87">
        <v>600</v>
      </c>
      <c r="E214" s="47">
        <v>0</v>
      </c>
      <c r="F214" s="47">
        <v>1709.28</v>
      </c>
    </row>
    <row r="215" spans="2:6" x14ac:dyDescent="0.25">
      <c r="B215" s="49"/>
      <c r="C215" s="89"/>
      <c r="D215" s="87">
        <v>700</v>
      </c>
      <c r="E215" s="47">
        <v>0</v>
      </c>
      <c r="F215" s="47">
        <v>1954.47</v>
      </c>
    </row>
    <row r="216" spans="2:6" x14ac:dyDescent="0.25">
      <c r="B216" s="49"/>
      <c r="C216" s="89"/>
      <c r="D216" s="87">
        <v>800</v>
      </c>
      <c r="E216" s="47">
        <v>0</v>
      </c>
      <c r="F216" s="47">
        <v>2188.3200000000002</v>
      </c>
    </row>
    <row r="217" spans="2:6" x14ac:dyDescent="0.25">
      <c r="B217" s="49"/>
      <c r="C217" s="89"/>
      <c r="D217" s="87">
        <v>900</v>
      </c>
      <c r="E217" s="47">
        <v>0</v>
      </c>
      <c r="F217" s="47">
        <v>2410.83</v>
      </c>
    </row>
    <row r="218" spans="2:6" x14ac:dyDescent="0.25">
      <c r="B218" s="49"/>
      <c r="C218" s="89"/>
      <c r="D218" s="87">
        <v>1000</v>
      </c>
      <c r="E218" s="47">
        <v>0</v>
      </c>
      <c r="F218" s="47">
        <v>2622</v>
      </c>
    </row>
    <row r="219" spans="2:6" x14ac:dyDescent="0.25">
      <c r="B219" s="49"/>
      <c r="C219" s="89"/>
      <c r="D219" s="87">
        <v>1100</v>
      </c>
      <c r="E219" s="47">
        <v>0</v>
      </c>
      <c r="F219" s="47">
        <v>2821.83</v>
      </c>
    </row>
    <row r="220" spans="2:6" x14ac:dyDescent="0.25">
      <c r="B220" s="49"/>
      <c r="C220" s="89"/>
      <c r="D220" s="87">
        <v>1200</v>
      </c>
      <c r="E220" s="47">
        <v>0</v>
      </c>
      <c r="F220" s="47">
        <v>3010.32</v>
      </c>
    </row>
    <row r="221" spans="2:6" x14ac:dyDescent="0.25">
      <c r="B221" s="49"/>
      <c r="C221" s="89">
        <v>15</v>
      </c>
      <c r="D221" s="87">
        <v>0</v>
      </c>
      <c r="E221" s="47">
        <v>0</v>
      </c>
      <c r="F221" s="47">
        <v>0</v>
      </c>
    </row>
    <row r="222" spans="2:6" x14ac:dyDescent="0.25">
      <c r="B222" s="49"/>
      <c r="C222" s="89"/>
      <c r="D222" s="87">
        <v>100</v>
      </c>
      <c r="E222" s="47">
        <v>0</v>
      </c>
      <c r="F222" s="47">
        <v>306.93</v>
      </c>
    </row>
    <row r="223" spans="2:6" x14ac:dyDescent="0.25">
      <c r="B223" s="49"/>
      <c r="C223" s="89"/>
      <c r="D223" s="87">
        <v>200</v>
      </c>
      <c r="E223" s="47">
        <v>0</v>
      </c>
      <c r="F223" s="47">
        <v>602.52</v>
      </c>
    </row>
    <row r="224" spans="2:6" x14ac:dyDescent="0.25">
      <c r="B224" s="49"/>
      <c r="C224" s="89"/>
      <c r="D224" s="87">
        <v>300</v>
      </c>
      <c r="E224" s="47">
        <v>0</v>
      </c>
      <c r="F224" s="47">
        <v>886.77</v>
      </c>
    </row>
    <row r="225" spans="2:6" x14ac:dyDescent="0.25">
      <c r="B225" s="49"/>
      <c r="C225" s="89"/>
      <c r="D225" s="87">
        <v>400</v>
      </c>
      <c r="E225" s="47">
        <v>0</v>
      </c>
      <c r="F225" s="47">
        <v>1159.68</v>
      </c>
    </row>
    <row r="226" spans="2:6" x14ac:dyDescent="0.25">
      <c r="B226" s="49"/>
      <c r="C226" s="89"/>
      <c r="D226" s="87">
        <v>500</v>
      </c>
      <c r="E226" s="47">
        <v>0</v>
      </c>
      <c r="F226" s="47">
        <v>1421.25</v>
      </c>
    </row>
    <row r="227" spans="2:6" x14ac:dyDescent="0.25">
      <c r="B227" s="49"/>
      <c r="C227" s="89"/>
      <c r="D227" s="87">
        <v>600</v>
      </c>
      <c r="E227" s="47">
        <v>0</v>
      </c>
      <c r="F227" s="47">
        <v>1671.48</v>
      </c>
    </row>
    <row r="228" spans="2:6" x14ac:dyDescent="0.25">
      <c r="B228" s="49"/>
      <c r="C228" s="89"/>
      <c r="D228" s="87">
        <v>700</v>
      </c>
      <c r="E228" s="47">
        <v>0</v>
      </c>
      <c r="F228" s="47">
        <v>1910.37</v>
      </c>
    </row>
    <row r="229" spans="2:6" x14ac:dyDescent="0.25">
      <c r="B229" s="49"/>
      <c r="C229" s="89"/>
      <c r="D229" s="87">
        <v>800</v>
      </c>
      <c r="E229" s="47">
        <v>0</v>
      </c>
      <c r="F229" s="47">
        <v>2137.92</v>
      </c>
    </row>
    <row r="230" spans="2:6" x14ac:dyDescent="0.25">
      <c r="B230" s="49"/>
      <c r="C230" s="89"/>
      <c r="D230" s="87">
        <v>900</v>
      </c>
      <c r="E230" s="47">
        <v>0</v>
      </c>
      <c r="F230" s="47">
        <v>2354.13</v>
      </c>
    </row>
    <row r="231" spans="2:6" x14ac:dyDescent="0.25">
      <c r="B231" s="49"/>
      <c r="C231" s="89"/>
      <c r="D231" s="87">
        <v>1000</v>
      </c>
      <c r="E231" s="47">
        <v>0</v>
      </c>
      <c r="F231" s="47">
        <v>2559</v>
      </c>
    </row>
    <row r="232" spans="2:6" x14ac:dyDescent="0.25">
      <c r="B232" s="49"/>
      <c r="C232" s="89"/>
      <c r="D232" s="87">
        <v>1100</v>
      </c>
      <c r="E232" s="47">
        <v>0</v>
      </c>
      <c r="F232" s="47">
        <v>2752.53</v>
      </c>
    </row>
    <row r="233" spans="2:6" x14ac:dyDescent="0.25">
      <c r="B233" s="49"/>
      <c r="C233" s="89"/>
      <c r="D233" s="87">
        <v>1200</v>
      </c>
      <c r="E233" s="47">
        <v>0</v>
      </c>
      <c r="F233" s="47">
        <v>2934.72</v>
      </c>
    </row>
    <row r="234" spans="2:6" x14ac:dyDescent="0.25">
      <c r="B234" s="49"/>
      <c r="C234" s="89">
        <v>20</v>
      </c>
      <c r="D234" s="87">
        <v>0</v>
      </c>
      <c r="E234" s="47">
        <v>0</v>
      </c>
      <c r="F234" s="47">
        <v>0</v>
      </c>
    </row>
    <row r="235" spans="2:6" x14ac:dyDescent="0.25">
      <c r="B235" s="49"/>
      <c r="C235" s="89"/>
      <c r="D235" s="87">
        <v>100</v>
      </c>
      <c r="E235" s="47">
        <v>0</v>
      </c>
      <c r="F235" s="47">
        <v>300.63</v>
      </c>
    </row>
    <row r="236" spans="2:6" x14ac:dyDescent="0.25">
      <c r="B236" s="49"/>
      <c r="C236" s="89"/>
      <c r="D236" s="87">
        <v>200</v>
      </c>
      <c r="E236" s="47">
        <v>0</v>
      </c>
      <c r="F236" s="47">
        <v>589.91999999999996</v>
      </c>
    </row>
    <row r="237" spans="2:6" x14ac:dyDescent="0.25">
      <c r="B237" s="49"/>
      <c r="C237" s="89"/>
      <c r="D237" s="87">
        <v>300</v>
      </c>
      <c r="E237" s="47">
        <v>0</v>
      </c>
      <c r="F237" s="47">
        <v>867.87</v>
      </c>
    </row>
    <row r="238" spans="2:6" x14ac:dyDescent="0.25">
      <c r="B238" s="49"/>
      <c r="C238" s="89"/>
      <c r="D238" s="87">
        <v>400</v>
      </c>
      <c r="E238" s="47">
        <v>0</v>
      </c>
      <c r="F238" s="47">
        <v>1134.48</v>
      </c>
    </row>
    <row r="239" spans="2:6" x14ac:dyDescent="0.25">
      <c r="B239" s="49"/>
      <c r="C239" s="89"/>
      <c r="D239" s="87">
        <v>500</v>
      </c>
      <c r="E239" s="47">
        <v>0</v>
      </c>
      <c r="F239" s="47">
        <v>1389.75</v>
      </c>
    </row>
    <row r="240" spans="2:6" x14ac:dyDescent="0.25">
      <c r="B240" s="49"/>
      <c r="C240" s="89"/>
      <c r="D240" s="87">
        <v>600</v>
      </c>
      <c r="E240" s="47">
        <v>0</v>
      </c>
      <c r="F240" s="47">
        <v>1633.68</v>
      </c>
    </row>
    <row r="241" spans="2:6" x14ac:dyDescent="0.25">
      <c r="B241" s="49"/>
      <c r="C241" s="89"/>
      <c r="D241" s="87">
        <v>700</v>
      </c>
      <c r="E241" s="47">
        <v>0</v>
      </c>
      <c r="F241" s="47">
        <v>1866.27</v>
      </c>
    </row>
    <row r="242" spans="2:6" x14ac:dyDescent="0.25">
      <c r="B242" s="49"/>
      <c r="C242" s="89"/>
      <c r="D242" s="87">
        <v>800</v>
      </c>
      <c r="E242" s="47">
        <v>0</v>
      </c>
      <c r="F242" s="47">
        <v>2087.52</v>
      </c>
    </row>
    <row r="243" spans="2:6" x14ac:dyDescent="0.25">
      <c r="B243" s="49"/>
      <c r="C243" s="89"/>
      <c r="D243" s="87">
        <v>900</v>
      </c>
      <c r="E243" s="47">
        <v>0</v>
      </c>
      <c r="F243" s="47">
        <v>2297.4299999999998</v>
      </c>
    </row>
    <row r="244" spans="2:6" x14ac:dyDescent="0.25">
      <c r="B244" s="49"/>
      <c r="C244" s="89"/>
      <c r="D244" s="87">
        <v>1000</v>
      </c>
      <c r="E244" s="47">
        <v>0</v>
      </c>
      <c r="F244" s="47">
        <v>2496</v>
      </c>
    </row>
    <row r="245" spans="2:6" x14ac:dyDescent="0.25">
      <c r="B245" s="49"/>
      <c r="C245" s="89"/>
      <c r="D245" s="87">
        <v>1100</v>
      </c>
      <c r="E245" s="47">
        <v>0</v>
      </c>
      <c r="F245" s="47">
        <v>2683.23</v>
      </c>
    </row>
    <row r="246" spans="2:6" x14ac:dyDescent="0.25">
      <c r="B246" s="49"/>
      <c r="C246" s="89"/>
      <c r="D246" s="87">
        <v>1200</v>
      </c>
      <c r="E246" s="47">
        <v>0</v>
      </c>
      <c r="F246" s="47">
        <v>2859.12</v>
      </c>
    </row>
    <row r="247" spans="2:6" x14ac:dyDescent="0.25">
      <c r="B247" s="49"/>
      <c r="C247" s="89">
        <v>25</v>
      </c>
      <c r="D247" s="87">
        <v>0</v>
      </c>
      <c r="E247" s="47">
        <v>0</v>
      </c>
      <c r="F247" s="47">
        <v>0</v>
      </c>
    </row>
    <row r="248" spans="2:6" x14ac:dyDescent="0.25">
      <c r="B248" s="49"/>
      <c r="C248" s="89"/>
      <c r="D248" s="87">
        <v>100</v>
      </c>
      <c r="E248" s="47">
        <v>0</v>
      </c>
      <c r="F248" s="47">
        <v>294.33</v>
      </c>
    </row>
    <row r="249" spans="2:6" x14ac:dyDescent="0.25">
      <c r="B249" s="49"/>
      <c r="C249" s="89"/>
      <c r="D249" s="87">
        <v>200</v>
      </c>
      <c r="E249" s="47">
        <v>0</v>
      </c>
      <c r="F249" s="47">
        <v>577.32000000000005</v>
      </c>
    </row>
    <row r="250" spans="2:6" x14ac:dyDescent="0.25">
      <c r="B250" s="49"/>
      <c r="C250" s="89"/>
      <c r="D250" s="87">
        <v>300</v>
      </c>
      <c r="E250" s="47">
        <v>0</v>
      </c>
      <c r="F250" s="47">
        <v>848.97</v>
      </c>
    </row>
    <row r="251" spans="2:6" x14ac:dyDescent="0.25">
      <c r="B251" s="49"/>
      <c r="C251" s="89"/>
      <c r="D251" s="87">
        <v>400</v>
      </c>
      <c r="E251" s="47">
        <v>0</v>
      </c>
      <c r="F251" s="47">
        <v>1109.28</v>
      </c>
    </row>
    <row r="252" spans="2:6" x14ac:dyDescent="0.25">
      <c r="B252" s="49"/>
      <c r="C252" s="89"/>
      <c r="D252" s="87">
        <v>500</v>
      </c>
      <c r="E252" s="47">
        <v>0</v>
      </c>
      <c r="F252" s="47">
        <v>1358.25</v>
      </c>
    </row>
    <row r="253" spans="2:6" x14ac:dyDescent="0.25">
      <c r="B253" s="49"/>
      <c r="C253" s="89"/>
      <c r="D253" s="87">
        <v>600</v>
      </c>
      <c r="E253" s="47">
        <v>0</v>
      </c>
      <c r="F253" s="47">
        <v>1595.88</v>
      </c>
    </row>
    <row r="254" spans="2:6" x14ac:dyDescent="0.25">
      <c r="B254" s="49"/>
      <c r="C254" s="89"/>
      <c r="D254" s="87">
        <v>700</v>
      </c>
      <c r="E254" s="47">
        <v>0</v>
      </c>
      <c r="F254" s="47">
        <v>1822.17</v>
      </c>
    </row>
    <row r="255" spans="2:6" x14ac:dyDescent="0.25">
      <c r="B255" s="49"/>
      <c r="C255" s="89"/>
      <c r="D255" s="87">
        <v>800</v>
      </c>
      <c r="E255" s="47">
        <v>0</v>
      </c>
      <c r="F255" s="47">
        <v>2037.12</v>
      </c>
    </row>
    <row r="256" spans="2:6" x14ac:dyDescent="0.25">
      <c r="B256" s="49"/>
      <c r="C256" s="89"/>
      <c r="D256" s="87">
        <v>900</v>
      </c>
      <c r="E256" s="47">
        <v>0</v>
      </c>
      <c r="F256" s="47">
        <v>2240.73</v>
      </c>
    </row>
    <row r="257" spans="2:6" x14ac:dyDescent="0.25">
      <c r="B257" s="49"/>
      <c r="C257" s="89"/>
      <c r="D257" s="87">
        <v>1000</v>
      </c>
      <c r="E257" s="47">
        <v>0</v>
      </c>
      <c r="F257" s="47">
        <v>2433</v>
      </c>
    </row>
    <row r="258" spans="2:6" x14ac:dyDescent="0.25">
      <c r="B258" s="49"/>
      <c r="C258" s="89"/>
      <c r="D258" s="87">
        <v>1100</v>
      </c>
      <c r="E258" s="47">
        <v>0</v>
      </c>
      <c r="F258" s="47">
        <v>2613.9299999999998</v>
      </c>
    </row>
    <row r="259" spans="2:6" x14ac:dyDescent="0.25">
      <c r="B259" s="49"/>
      <c r="C259" s="89"/>
      <c r="D259" s="87">
        <v>1200</v>
      </c>
      <c r="E259" s="47">
        <v>0</v>
      </c>
      <c r="F259" s="47">
        <v>2783.52</v>
      </c>
    </row>
    <row r="260" spans="2:6" x14ac:dyDescent="0.25">
      <c r="B260" s="49"/>
      <c r="C260" s="89">
        <v>30</v>
      </c>
      <c r="D260" s="87">
        <v>0</v>
      </c>
      <c r="E260" s="47">
        <v>0</v>
      </c>
      <c r="F260" s="47">
        <v>0</v>
      </c>
    </row>
    <row r="261" spans="2:6" x14ac:dyDescent="0.25">
      <c r="B261" s="49"/>
      <c r="C261" s="89"/>
      <c r="D261" s="87">
        <v>100</v>
      </c>
      <c r="E261" s="47">
        <v>0</v>
      </c>
      <c r="F261" s="47">
        <v>288.02999999999997</v>
      </c>
    </row>
    <row r="262" spans="2:6" x14ac:dyDescent="0.25">
      <c r="B262" s="49"/>
      <c r="C262" s="89"/>
      <c r="D262" s="87">
        <v>200</v>
      </c>
      <c r="E262" s="47">
        <v>0</v>
      </c>
      <c r="F262" s="47">
        <v>564.72</v>
      </c>
    </row>
    <row r="263" spans="2:6" x14ac:dyDescent="0.25">
      <c r="B263" s="49"/>
      <c r="C263" s="89"/>
      <c r="D263" s="87">
        <v>300</v>
      </c>
      <c r="E263" s="47">
        <v>0</v>
      </c>
      <c r="F263" s="47">
        <v>830.07</v>
      </c>
    </row>
    <row r="264" spans="2:6" x14ac:dyDescent="0.25">
      <c r="B264" s="49"/>
      <c r="C264" s="89"/>
      <c r="D264" s="87">
        <v>400</v>
      </c>
      <c r="E264" s="47">
        <v>0</v>
      </c>
      <c r="F264" s="47">
        <v>1084.08</v>
      </c>
    </row>
    <row r="265" spans="2:6" x14ac:dyDescent="0.25">
      <c r="B265" s="49"/>
      <c r="C265" s="89"/>
      <c r="D265" s="87">
        <v>500</v>
      </c>
      <c r="E265" s="47">
        <v>0</v>
      </c>
      <c r="F265" s="47">
        <v>1326.75</v>
      </c>
    </row>
    <row r="266" spans="2:6" x14ac:dyDescent="0.25">
      <c r="B266" s="49"/>
      <c r="C266" s="89"/>
      <c r="D266" s="87">
        <v>600</v>
      </c>
      <c r="E266" s="47">
        <v>0</v>
      </c>
      <c r="F266" s="47">
        <v>1558.08</v>
      </c>
    </row>
    <row r="267" spans="2:6" x14ac:dyDescent="0.25">
      <c r="B267" s="49"/>
      <c r="C267" s="89"/>
      <c r="D267" s="87">
        <v>700</v>
      </c>
      <c r="E267" s="47">
        <v>0</v>
      </c>
      <c r="F267" s="47">
        <v>1778.07</v>
      </c>
    </row>
    <row r="268" spans="2:6" x14ac:dyDescent="0.25">
      <c r="B268" s="49"/>
      <c r="C268" s="89"/>
      <c r="D268" s="87">
        <v>800</v>
      </c>
      <c r="E268" s="47">
        <v>0</v>
      </c>
      <c r="F268" s="47">
        <v>1986.72</v>
      </c>
    </row>
    <row r="269" spans="2:6" x14ac:dyDescent="0.25">
      <c r="B269" s="49"/>
      <c r="C269" s="89"/>
      <c r="D269" s="87">
        <v>900</v>
      </c>
      <c r="E269" s="47">
        <v>0</v>
      </c>
      <c r="F269" s="47">
        <v>2184.0300000000002</v>
      </c>
    </row>
    <row r="270" spans="2:6" x14ac:dyDescent="0.25">
      <c r="B270" s="49"/>
      <c r="C270" s="89"/>
      <c r="D270" s="87">
        <v>1000</v>
      </c>
      <c r="E270" s="47">
        <v>0</v>
      </c>
      <c r="F270" s="47">
        <v>2370</v>
      </c>
    </row>
    <row r="271" spans="2:6" x14ac:dyDescent="0.25">
      <c r="B271" s="49"/>
      <c r="C271" s="89"/>
      <c r="D271" s="87">
        <v>1100</v>
      </c>
      <c r="E271" s="47">
        <v>0</v>
      </c>
      <c r="F271" s="47">
        <v>2544.63</v>
      </c>
    </row>
    <row r="272" spans="2:6" x14ac:dyDescent="0.25">
      <c r="B272" s="49"/>
      <c r="C272" s="89"/>
      <c r="D272" s="87">
        <v>1200</v>
      </c>
      <c r="E272" s="47">
        <v>0</v>
      </c>
      <c r="F272" s="47">
        <v>2707.92</v>
      </c>
    </row>
    <row r="273" spans="2:7" x14ac:dyDescent="0.25">
      <c r="B273" s="49"/>
      <c r="C273" s="89">
        <v>35</v>
      </c>
      <c r="D273" s="87">
        <v>0</v>
      </c>
      <c r="E273" s="47">
        <v>0</v>
      </c>
      <c r="F273" s="47">
        <v>0</v>
      </c>
    </row>
    <row r="274" spans="2:7" x14ac:dyDescent="0.25">
      <c r="B274" s="49"/>
      <c r="C274" s="89"/>
      <c r="D274" s="87">
        <v>100</v>
      </c>
      <c r="E274" s="47">
        <v>0</v>
      </c>
      <c r="F274" s="47">
        <v>281.73</v>
      </c>
    </row>
    <row r="275" spans="2:7" x14ac:dyDescent="0.25">
      <c r="B275" s="49"/>
      <c r="C275" s="89"/>
      <c r="D275" s="87">
        <v>200</v>
      </c>
      <c r="E275" s="47">
        <v>0</v>
      </c>
      <c r="F275" s="47">
        <v>552.12</v>
      </c>
    </row>
    <row r="276" spans="2:7" x14ac:dyDescent="0.25">
      <c r="B276" s="49"/>
      <c r="C276" s="89"/>
      <c r="D276" s="87">
        <v>300</v>
      </c>
      <c r="E276" s="47">
        <v>0</v>
      </c>
      <c r="F276" s="47">
        <v>811.17</v>
      </c>
    </row>
    <row r="277" spans="2:7" x14ac:dyDescent="0.25">
      <c r="B277" s="49"/>
      <c r="C277" s="89"/>
      <c r="D277" s="87">
        <v>400</v>
      </c>
      <c r="E277" s="47">
        <v>0</v>
      </c>
      <c r="F277" s="47">
        <v>1058.8800000000001</v>
      </c>
    </row>
    <row r="278" spans="2:7" x14ac:dyDescent="0.25">
      <c r="B278" s="49"/>
      <c r="C278" s="89"/>
      <c r="D278" s="87">
        <v>500</v>
      </c>
      <c r="E278" s="47">
        <v>0</v>
      </c>
      <c r="F278" s="47">
        <v>1295.25</v>
      </c>
    </row>
    <row r="279" spans="2:7" x14ac:dyDescent="0.25">
      <c r="B279" s="49"/>
      <c r="C279" s="89"/>
      <c r="D279" s="87">
        <v>600</v>
      </c>
      <c r="E279" s="47">
        <v>0</v>
      </c>
      <c r="F279" s="47">
        <v>1520.28</v>
      </c>
    </row>
    <row r="280" spans="2:7" x14ac:dyDescent="0.25">
      <c r="B280" s="49"/>
      <c r="C280" s="89"/>
      <c r="D280" s="87">
        <v>700</v>
      </c>
      <c r="E280" s="47">
        <v>0</v>
      </c>
      <c r="F280" s="47">
        <v>1733.97</v>
      </c>
    </row>
    <row r="281" spans="2:7" x14ac:dyDescent="0.25">
      <c r="B281" s="49"/>
      <c r="C281" s="89"/>
      <c r="D281" s="87">
        <v>800</v>
      </c>
      <c r="E281" s="47">
        <v>0</v>
      </c>
      <c r="F281" s="47">
        <v>1936.32</v>
      </c>
    </row>
    <row r="282" spans="2:7" x14ac:dyDescent="0.25">
      <c r="B282" s="49"/>
      <c r="C282" s="89"/>
      <c r="D282" s="87">
        <v>900</v>
      </c>
      <c r="E282" s="47">
        <v>0</v>
      </c>
      <c r="F282" s="47">
        <v>2127.33</v>
      </c>
    </row>
    <row r="283" spans="2:7" x14ac:dyDescent="0.25">
      <c r="B283" s="49"/>
      <c r="C283" s="89"/>
      <c r="D283" s="87">
        <v>1000</v>
      </c>
      <c r="E283" s="47">
        <v>0</v>
      </c>
      <c r="F283" s="47">
        <v>2307</v>
      </c>
    </row>
    <row r="284" spans="2:7" x14ac:dyDescent="0.25">
      <c r="B284" s="49"/>
      <c r="C284" s="89"/>
      <c r="D284" s="87">
        <v>1100</v>
      </c>
      <c r="E284" s="47">
        <v>0</v>
      </c>
      <c r="F284" s="47">
        <v>2475.33</v>
      </c>
    </row>
    <row r="285" spans="2:7" x14ac:dyDescent="0.25">
      <c r="B285" s="49"/>
      <c r="C285" s="89"/>
      <c r="D285" s="87">
        <v>1200</v>
      </c>
      <c r="E285" s="47">
        <v>0</v>
      </c>
      <c r="F285" s="47">
        <v>2632.32</v>
      </c>
    </row>
    <row r="286" spans="2:7" x14ac:dyDescent="0.25">
      <c r="B286" s="49"/>
      <c r="C286" s="88"/>
      <c r="D286" s="88"/>
      <c r="E286" s="47"/>
      <c r="F286" s="47"/>
      <c r="G286" s="47"/>
    </row>
    <row r="287" spans="2:7" x14ac:dyDescent="0.25">
      <c r="B287" s="49"/>
      <c r="C287" s="88"/>
      <c r="D287" s="88"/>
      <c r="E287" s="47"/>
      <c r="F287" s="47"/>
      <c r="G287" s="47"/>
    </row>
    <row r="288" spans="2:7" x14ac:dyDescent="0.25">
      <c r="B288" s="49"/>
      <c r="C288" s="88"/>
      <c r="D288" s="88"/>
      <c r="E288" s="47"/>
      <c r="F288" s="47"/>
      <c r="G288" s="47"/>
    </row>
    <row r="289" spans="2:23" s="57" customFormat="1" ht="15.75" x14ac:dyDescent="0.25">
      <c r="B289" s="75" t="s">
        <v>54</v>
      </c>
      <c r="C289" s="64" t="s">
        <v>42</v>
      </c>
      <c r="D289" s="64" t="s">
        <v>44</v>
      </c>
      <c r="E289" s="70" t="s">
        <v>3</v>
      </c>
      <c r="F289" s="69" t="s">
        <v>3</v>
      </c>
      <c r="G289" s="69" t="s">
        <v>4</v>
      </c>
      <c r="L289" s="76" t="s">
        <v>35</v>
      </c>
      <c r="M289" s="76" t="s">
        <v>36</v>
      </c>
      <c r="N289" s="76" t="s">
        <v>33</v>
      </c>
      <c r="O289" s="76" t="s">
        <v>34</v>
      </c>
      <c r="P289" s="77" t="s">
        <v>31</v>
      </c>
      <c r="Q289" s="76" t="s">
        <v>26</v>
      </c>
      <c r="R289" s="76" t="s">
        <v>27</v>
      </c>
      <c r="S289" s="76" t="s">
        <v>38</v>
      </c>
      <c r="W289" s="78"/>
    </row>
    <row r="290" spans="2:23" x14ac:dyDescent="0.25">
      <c r="B290" s="49"/>
      <c r="C290" s="89">
        <v>-20</v>
      </c>
      <c r="D290" s="89">
        <v>500</v>
      </c>
      <c r="E290" s="47">
        <v>1738.22575753455</v>
      </c>
      <c r="F290" s="47">
        <v>1671.0116522016899</v>
      </c>
      <c r="G290" s="47">
        <v>4629.3213555894099</v>
      </c>
      <c r="L290" s="57">
        <v>0</v>
      </c>
      <c r="M290" s="58">
        <v>1000000</v>
      </c>
      <c r="N290" s="58">
        <v>10000</v>
      </c>
      <c r="O290" s="58">
        <v>10000</v>
      </c>
      <c r="P290" s="59">
        <v>4</v>
      </c>
      <c r="Q290" s="57">
        <v>0</v>
      </c>
      <c r="R290" s="57">
        <v>0</v>
      </c>
      <c r="S290" s="57">
        <v>200</v>
      </c>
    </row>
    <row r="291" spans="2:23" x14ac:dyDescent="0.25">
      <c r="B291" s="49"/>
      <c r="C291" s="89"/>
      <c r="D291" s="89"/>
      <c r="E291" s="47">
        <v>1746.96186959956</v>
      </c>
      <c r="F291" s="47">
        <v>1672.0011900014599</v>
      </c>
      <c r="G291" s="47">
        <v>4678.8721491952601</v>
      </c>
    </row>
    <row r="292" spans="2:23" x14ac:dyDescent="0.25">
      <c r="B292" s="49"/>
      <c r="C292" s="89"/>
      <c r="D292" s="89"/>
      <c r="E292" s="47">
        <v>1756.7997855594399</v>
      </c>
      <c r="F292" s="47">
        <v>1672.65391160379</v>
      </c>
      <c r="G292" s="47">
        <v>4715.0301341842996</v>
      </c>
    </row>
    <row r="293" spans="2:23" x14ac:dyDescent="0.25">
      <c r="B293" s="49"/>
      <c r="C293" s="89"/>
      <c r="D293" s="89"/>
      <c r="E293" s="47">
        <v>1768.38171828591</v>
      </c>
      <c r="F293" s="47">
        <v>1673.0647484051799</v>
      </c>
      <c r="G293" s="47">
        <v>4742.3836121435397</v>
      </c>
    </row>
    <row r="294" spans="2:23" x14ac:dyDescent="0.25">
      <c r="B294" s="49"/>
      <c r="C294" s="89"/>
      <c r="D294" s="89"/>
      <c r="E294" s="47">
        <v>1782.22813902656</v>
      </c>
      <c r="F294" s="47">
        <v>1673.29552426744</v>
      </c>
      <c r="G294" s="47">
        <v>4764.0073975498099</v>
      </c>
    </row>
    <row r="295" spans="2:23" x14ac:dyDescent="0.25">
      <c r="B295" s="49"/>
      <c r="C295" s="89"/>
      <c r="D295" s="89"/>
      <c r="E295" s="47">
        <v>1798.7789181573601</v>
      </c>
      <c r="F295" s="47">
        <v>1673.38457827702</v>
      </c>
      <c r="G295" s="47">
        <v>4781.9078959998596</v>
      </c>
    </row>
    <row r="296" spans="2:23" x14ac:dyDescent="0.25">
      <c r="B296" s="49"/>
      <c r="C296" s="89"/>
      <c r="D296" s="89"/>
      <c r="E296" s="47">
        <v>1818.42814087186</v>
      </c>
      <c r="F296" s="47">
        <v>1673.35591400625</v>
      </c>
      <c r="G296" s="47">
        <v>4797.4424112690103</v>
      </c>
    </row>
    <row r="297" spans="2:23" x14ac:dyDescent="0.25">
      <c r="B297" s="49"/>
      <c r="C297" s="89"/>
      <c r="D297" s="89"/>
      <c r="E297" s="47">
        <v>1841.54446298687</v>
      </c>
      <c r="F297" s="47">
        <v>1673.22516958971</v>
      </c>
      <c r="G297" s="47">
        <v>4811.59062566168</v>
      </c>
    </row>
    <row r="298" spans="2:23" x14ac:dyDescent="0.25">
      <c r="B298" s="49"/>
      <c r="C298" s="89"/>
      <c r="D298" s="89"/>
      <c r="E298" s="47">
        <v>1868.47869280652</v>
      </c>
      <c r="F298" s="47">
        <v>1673.0023095655199</v>
      </c>
      <c r="G298" s="47">
        <v>4825.0755707807202</v>
      </c>
    </row>
    <row r="299" spans="2:23" x14ac:dyDescent="0.25">
      <c r="B299" s="49"/>
      <c r="C299" s="89"/>
      <c r="D299" s="89"/>
      <c r="E299" s="47">
        <v>1899.5701057496201</v>
      </c>
      <c r="F299" s="47">
        <v>1672.6935460667801</v>
      </c>
      <c r="G299" s="47">
        <v>4838.4507785059895</v>
      </c>
    </row>
    <row r="300" spans="2:23" x14ac:dyDescent="0.25">
      <c r="B300" s="49"/>
      <c r="C300" s="89"/>
      <c r="D300" s="89">
        <v>600</v>
      </c>
      <c r="E300" s="47">
        <v>1748.61048524542</v>
      </c>
      <c r="F300" s="47">
        <v>1982.1247671676899</v>
      </c>
      <c r="G300" s="47">
        <v>4855.7225639652497</v>
      </c>
    </row>
    <row r="301" spans="2:23" x14ac:dyDescent="0.25">
      <c r="B301" s="49"/>
      <c r="C301" s="89"/>
      <c r="D301" s="89"/>
      <c r="E301" s="47">
        <v>1758.39211035517</v>
      </c>
      <c r="F301" s="47">
        <v>1984.6970358103899</v>
      </c>
      <c r="G301" s="47">
        <v>4955.2242326244996</v>
      </c>
    </row>
    <row r="302" spans="2:23" x14ac:dyDescent="0.25">
      <c r="B302" s="49"/>
      <c r="C302" s="89"/>
      <c r="D302" s="89"/>
      <c r="E302" s="47">
        <v>1768.1364846349099</v>
      </c>
      <c r="F302" s="47">
        <v>1986.2799650869699</v>
      </c>
      <c r="G302" s="47">
        <v>5019.6237095965398</v>
      </c>
    </row>
    <row r="303" spans="2:23" x14ac:dyDescent="0.25">
      <c r="B303" s="49"/>
      <c r="C303" s="89"/>
      <c r="D303" s="89"/>
      <c r="E303" s="47">
        <v>1779.36211311237</v>
      </c>
      <c r="F303" s="47">
        <v>1987.2893673800299</v>
      </c>
      <c r="G303" s="47">
        <v>5064.9585026299501</v>
      </c>
    </row>
    <row r="304" spans="2:23" x14ac:dyDescent="0.25">
      <c r="B304" s="49"/>
      <c r="C304" s="89"/>
      <c r="D304" s="89"/>
      <c r="E304" s="47">
        <v>1793.00680095143</v>
      </c>
      <c r="F304" s="47">
        <v>1987.92093834705</v>
      </c>
      <c r="G304" s="47">
        <v>5098.9651445210302</v>
      </c>
    </row>
    <row r="305" spans="2:7" x14ac:dyDescent="0.25">
      <c r="B305" s="49"/>
      <c r="C305" s="89"/>
      <c r="D305" s="89"/>
      <c r="E305" s="47">
        <v>1809.78653711114</v>
      </c>
      <c r="F305" s="47">
        <v>1988.2792428405101</v>
      </c>
      <c r="G305" s="47">
        <v>5125.9602109555599</v>
      </c>
    </row>
    <row r="306" spans="2:7" x14ac:dyDescent="0.25">
      <c r="B306" s="49"/>
      <c r="C306" s="89"/>
      <c r="D306" s="89"/>
      <c r="E306" s="47">
        <v>1830.3105818878901</v>
      </c>
      <c r="F306" s="47">
        <v>1988.42428438558</v>
      </c>
      <c r="G306" s="47">
        <v>5148.5895419301496</v>
      </c>
    </row>
    <row r="307" spans="2:7" x14ac:dyDescent="0.25">
      <c r="B307" s="49"/>
      <c r="C307" s="89"/>
      <c r="D307" s="89"/>
      <c r="E307" s="47">
        <v>1855.1344517494499</v>
      </c>
      <c r="F307" s="47">
        <v>1988.39212582863</v>
      </c>
      <c r="G307" s="47">
        <v>5168.6046074904798</v>
      </c>
    </row>
    <row r="308" spans="2:7" x14ac:dyDescent="0.25">
      <c r="B308" s="49"/>
      <c r="C308" s="89"/>
      <c r="D308" s="89"/>
      <c r="E308" s="47">
        <v>1884.7803425060999</v>
      </c>
      <c r="F308" s="47">
        <v>1988.20464684729</v>
      </c>
      <c r="G308" s="47">
        <v>5187.2256932768796</v>
      </c>
    </row>
    <row r="309" spans="2:7" x14ac:dyDescent="0.25">
      <c r="B309" s="49"/>
      <c r="C309" s="89"/>
      <c r="D309" s="89"/>
      <c r="E309" s="47">
        <v>1919.75364756044</v>
      </c>
      <c r="F309" s="47">
        <v>1987.8751611479199</v>
      </c>
      <c r="G309" s="47">
        <v>5205.3552639099998</v>
      </c>
    </row>
    <row r="310" spans="2:7" x14ac:dyDescent="0.25">
      <c r="B310" s="49"/>
      <c r="C310" s="89"/>
      <c r="D310" s="89">
        <v>700</v>
      </c>
      <c r="E310" s="47">
        <v>1767.45353878537</v>
      </c>
      <c r="F310" s="47">
        <v>2289.1657502058802</v>
      </c>
      <c r="G310" s="47">
        <v>5199.3135037839702</v>
      </c>
    </row>
    <row r="311" spans="2:7" x14ac:dyDescent="0.25">
      <c r="B311" s="49"/>
      <c r="C311" s="89"/>
      <c r="D311" s="89"/>
      <c r="E311" s="47">
        <v>1776.8424193324099</v>
      </c>
      <c r="F311" s="47">
        <v>2292.5618815706498</v>
      </c>
      <c r="G311" s="47">
        <v>5310.4305067085297</v>
      </c>
    </row>
    <row r="312" spans="2:7" x14ac:dyDescent="0.25">
      <c r="B312" s="49"/>
      <c r="C312" s="89"/>
      <c r="D312" s="89"/>
      <c r="E312" s="47">
        <v>1786.3300032710999</v>
      </c>
      <c r="F312" s="47">
        <v>2294.6761496838199</v>
      </c>
      <c r="G312" s="47">
        <v>5382.7017490813596</v>
      </c>
    </row>
    <row r="313" spans="2:7" x14ac:dyDescent="0.25">
      <c r="B313" s="49"/>
      <c r="C313" s="89"/>
      <c r="D313" s="89"/>
      <c r="E313" s="47">
        <v>1797.37988973556</v>
      </c>
      <c r="F313" s="47">
        <v>2296.0520802054698</v>
      </c>
      <c r="G313" s="47">
        <v>5433.8844951442798</v>
      </c>
    </row>
    <row r="314" spans="2:7" x14ac:dyDescent="0.25">
      <c r="B314" s="49"/>
      <c r="C314" s="89"/>
      <c r="D314" s="89"/>
      <c r="E314" s="47">
        <v>1810.8982997072701</v>
      </c>
      <c r="F314" s="47">
        <v>2296.9432914232202</v>
      </c>
      <c r="G314" s="47">
        <v>5472.4534751301599</v>
      </c>
    </row>
    <row r="315" spans="2:7" x14ac:dyDescent="0.25">
      <c r="B315" s="49"/>
      <c r="C315" s="89"/>
      <c r="D315" s="89"/>
      <c r="E315" s="47">
        <v>1827.5856350465999</v>
      </c>
      <c r="F315" s="47">
        <v>2297.4888589494399</v>
      </c>
      <c r="G315" s="47">
        <v>5503.2286336568004</v>
      </c>
    </row>
    <row r="316" spans="2:7" x14ac:dyDescent="0.25">
      <c r="B316" s="49"/>
      <c r="C316" s="89"/>
      <c r="D316" s="89"/>
      <c r="E316" s="47">
        <v>1848.0318574487301</v>
      </c>
      <c r="F316" s="47">
        <v>2297.7661079310301</v>
      </c>
      <c r="G316" s="47">
        <v>5529.0601945340204</v>
      </c>
    </row>
    <row r="317" spans="2:7" x14ac:dyDescent="0.25">
      <c r="B317" s="49"/>
      <c r="C317" s="89"/>
      <c r="D317" s="89"/>
      <c r="E317" s="47">
        <v>1872.7825994541899</v>
      </c>
      <c r="F317" s="47">
        <v>2297.8224273147698</v>
      </c>
      <c r="G317" s="47">
        <v>5551.8517438959698</v>
      </c>
    </row>
    <row r="318" spans="2:7" x14ac:dyDescent="0.25">
      <c r="B318" s="49"/>
      <c r="C318" s="89"/>
      <c r="D318" s="89"/>
      <c r="E318" s="47">
        <v>1902.3532862090599</v>
      </c>
      <c r="F318" s="47">
        <v>2297.6870090929301</v>
      </c>
      <c r="G318" s="47">
        <v>5572.9285120841596</v>
      </c>
    </row>
    <row r="319" spans="2:7" x14ac:dyDescent="0.25">
      <c r="B319" s="49"/>
      <c r="C319" s="89"/>
      <c r="D319" s="89"/>
      <c r="E319" s="47">
        <v>1937.24440833892</v>
      </c>
      <c r="F319" s="47">
        <v>2297.3779389702599</v>
      </c>
      <c r="G319" s="47">
        <v>5593.2658899520002</v>
      </c>
    </row>
    <row r="320" spans="2:7" x14ac:dyDescent="0.25">
      <c r="B320" s="49"/>
      <c r="C320" s="89"/>
      <c r="D320" s="89">
        <v>800</v>
      </c>
      <c r="E320" s="47">
        <v>1783.6276744438301</v>
      </c>
      <c r="F320" s="47">
        <v>2590.0420932873199</v>
      </c>
      <c r="G320" s="47">
        <v>5553.6547690160896</v>
      </c>
    </row>
    <row r="321" spans="2:7" x14ac:dyDescent="0.25">
      <c r="B321" s="49"/>
      <c r="C321" s="89"/>
      <c r="D321" s="89"/>
      <c r="E321" s="47">
        <v>1792.5556866362399</v>
      </c>
      <c r="F321" s="47">
        <v>2594.4187646608402</v>
      </c>
      <c r="G321" s="47">
        <v>5677.4860298397898</v>
      </c>
    </row>
    <row r="322" spans="2:7" x14ac:dyDescent="0.25">
      <c r="B322" s="49"/>
      <c r="C322" s="89"/>
      <c r="D322" s="89"/>
      <c r="E322" s="47">
        <v>1801.7445405568701</v>
      </c>
      <c r="F322" s="47">
        <v>2597.1637846888798</v>
      </c>
      <c r="G322" s="47">
        <v>5758.2003517030298</v>
      </c>
    </row>
    <row r="323" spans="2:7" x14ac:dyDescent="0.25">
      <c r="B323" s="49"/>
      <c r="C323" s="89"/>
      <c r="D323" s="89"/>
      <c r="E323" s="47">
        <v>1812.58288269116</v>
      </c>
      <c r="F323" s="47">
        <v>2598.9742315148501</v>
      </c>
      <c r="G323" s="47">
        <v>5815.4993409524704</v>
      </c>
    </row>
    <row r="324" spans="2:7" x14ac:dyDescent="0.25">
      <c r="B324" s="49"/>
      <c r="C324" s="89"/>
      <c r="D324" s="89"/>
      <c r="E324" s="47">
        <v>1825.9418884274701</v>
      </c>
      <c r="F324" s="47">
        <v>2600.17772584146</v>
      </c>
      <c r="G324" s="47">
        <v>5858.8271411791602</v>
      </c>
    </row>
    <row r="325" spans="2:7" x14ac:dyDescent="0.25">
      <c r="B325" s="49"/>
      <c r="C325" s="89"/>
      <c r="D325" s="89"/>
      <c r="E325" s="47">
        <v>1842.4950327541301</v>
      </c>
      <c r="F325" s="47">
        <v>2600.9482101517401</v>
      </c>
      <c r="G325" s="47">
        <v>5893.3770288759397</v>
      </c>
    </row>
    <row r="326" spans="2:7" x14ac:dyDescent="0.25">
      <c r="B326" s="49"/>
      <c r="C326" s="89"/>
      <c r="D326" s="89"/>
      <c r="E326" s="47">
        <v>1862.8250322614399</v>
      </c>
      <c r="F326" s="47">
        <v>2601.3867465145499</v>
      </c>
      <c r="G326" s="47">
        <v>5922.3290475938102</v>
      </c>
    </row>
    <row r="327" spans="2:7" x14ac:dyDescent="0.25">
      <c r="B327" s="49"/>
      <c r="C327" s="89"/>
      <c r="D327" s="89"/>
      <c r="E327" s="47">
        <v>1887.4707352038699</v>
      </c>
      <c r="F327" s="47">
        <v>2601.55712314733</v>
      </c>
      <c r="G327" s="47">
        <v>5947.8358907333104</v>
      </c>
    </row>
    <row r="328" spans="2:7" x14ac:dyDescent="0.25">
      <c r="B328" s="49"/>
      <c r="C328" s="89"/>
      <c r="D328" s="89"/>
      <c r="E328" s="47">
        <v>1916.9424933176699</v>
      </c>
      <c r="F328" s="47">
        <v>2601.49772652409</v>
      </c>
      <c r="G328" s="47">
        <v>5971.3513832968902</v>
      </c>
    </row>
    <row r="329" spans="2:7" x14ac:dyDescent="0.25">
      <c r="B329" s="49"/>
      <c r="C329" s="89"/>
      <c r="D329" s="89"/>
      <c r="E329" s="47">
        <v>1951.7314193493701</v>
      </c>
      <c r="F329" s="47">
        <v>2601.23108018317</v>
      </c>
      <c r="G329" s="47">
        <v>5993.8916212775703</v>
      </c>
    </row>
    <row r="330" spans="2:7" x14ac:dyDescent="0.25">
      <c r="B330" s="49"/>
      <c r="C330" s="89"/>
      <c r="D330" s="89">
        <v>900</v>
      </c>
      <c r="E330" s="47">
        <v>1797.23240873451</v>
      </c>
      <c r="F330" s="47">
        <v>2884.8694375725399</v>
      </c>
      <c r="G330" s="47">
        <v>5917.1761298620704</v>
      </c>
    </row>
    <row r="331" spans="2:7" x14ac:dyDescent="0.25">
      <c r="B331" s="49"/>
      <c r="C331" s="89"/>
      <c r="D331" s="89"/>
      <c r="E331" s="47">
        <v>1805.63763789873</v>
      </c>
      <c r="F331" s="47">
        <v>2890.35773209937</v>
      </c>
      <c r="G331" s="47">
        <v>6053.8364645653</v>
      </c>
    </row>
    <row r="332" spans="2:7" x14ac:dyDescent="0.25">
      <c r="B332" s="49"/>
      <c r="C332" s="89"/>
      <c r="D332" s="89"/>
      <c r="E332" s="47">
        <v>1814.4787213596201</v>
      </c>
      <c r="F332" s="47">
        <v>2893.8250020833402</v>
      </c>
      <c r="G332" s="47">
        <v>6143.16929536522</v>
      </c>
    </row>
    <row r="333" spans="2:7" x14ac:dyDescent="0.25">
      <c r="B333" s="49"/>
      <c r="C333" s="89"/>
      <c r="D333" s="89"/>
      <c r="E333" s="47">
        <v>1825.0721002315699</v>
      </c>
      <c r="F333" s="47">
        <v>2896.13940212534</v>
      </c>
      <c r="G333" s="47">
        <v>6206.7887669246602</v>
      </c>
    </row>
    <row r="334" spans="2:7" x14ac:dyDescent="0.25">
      <c r="B334" s="49"/>
      <c r="C334" s="89"/>
      <c r="D334" s="89"/>
      <c r="E334" s="47">
        <v>1838.25000587051</v>
      </c>
      <c r="F334" s="47">
        <v>2897.7107827034201</v>
      </c>
      <c r="G334" s="47">
        <v>6255.0763955869497</v>
      </c>
    </row>
    <row r="335" spans="2:7" x14ac:dyDescent="0.25">
      <c r="B335" s="49"/>
      <c r="C335" s="89"/>
      <c r="D335" s="89"/>
      <c r="E335" s="47">
        <v>1854.6588001139501</v>
      </c>
      <c r="F335" s="47">
        <v>2898.7551829209701</v>
      </c>
      <c r="G335" s="47">
        <v>6293.6805626086098</v>
      </c>
    </row>
    <row r="336" spans="2:7" x14ac:dyDescent="0.25">
      <c r="B336" s="49"/>
      <c r="C336" s="89"/>
      <c r="D336" s="89"/>
      <c r="E336" s="47">
        <v>1874.86662943997</v>
      </c>
      <c r="F336" s="47">
        <v>2899.3990531327499</v>
      </c>
      <c r="G336" s="47">
        <v>6326.0687016435304</v>
      </c>
    </row>
    <row r="337" spans="2:7" x14ac:dyDescent="0.25">
      <c r="B337" s="49"/>
      <c r="C337" s="89"/>
      <c r="D337" s="89"/>
      <c r="E337" s="47">
        <v>1899.3990829346701</v>
      </c>
      <c r="F337" s="47">
        <v>2899.7191773997001</v>
      </c>
      <c r="G337" s="47">
        <v>6354.4998938037397</v>
      </c>
    </row>
    <row r="338" spans="2:7" x14ac:dyDescent="0.25">
      <c r="B338" s="49"/>
      <c r="C338" s="89"/>
      <c r="D338" s="89"/>
      <c r="E338" s="47">
        <v>1928.75875223253</v>
      </c>
      <c r="F338" s="47">
        <v>2899.76386400203</v>
      </c>
      <c r="G338" s="47">
        <v>6380.5416857717</v>
      </c>
    </row>
    <row r="339" spans="2:7" x14ac:dyDescent="0.25">
      <c r="B339" s="49"/>
      <c r="C339" s="89"/>
      <c r="D339" s="89"/>
      <c r="E339" s="47">
        <v>1963.43439387337</v>
      </c>
      <c r="F339" s="47">
        <v>2899.5636828424699</v>
      </c>
      <c r="G339" s="47">
        <v>6405.33128956581</v>
      </c>
    </row>
    <row r="340" spans="2:7" x14ac:dyDescent="0.25">
      <c r="B340" s="49"/>
      <c r="C340" s="89"/>
      <c r="D340" s="89">
        <v>1000</v>
      </c>
      <c r="E340" s="47">
        <v>1808.5237667564199</v>
      </c>
      <c r="F340" s="47">
        <v>3173.8508328989301</v>
      </c>
      <c r="G340" s="47">
        <v>6290.9653756033904</v>
      </c>
    </row>
    <row r="341" spans="2:7" x14ac:dyDescent="0.25">
      <c r="B341" s="49"/>
      <c r="C341" s="89"/>
      <c r="D341" s="89"/>
      <c r="E341" s="47">
        <v>1816.37062855504</v>
      </c>
      <c r="F341" s="47">
        <v>3180.6450378555301</v>
      </c>
      <c r="G341" s="47">
        <v>6441.8822091273996</v>
      </c>
    </row>
    <row r="342" spans="2:7" x14ac:dyDescent="0.25">
      <c r="B342" s="49"/>
      <c r="C342" s="89"/>
      <c r="D342" s="89"/>
      <c r="E342" s="47">
        <v>1824.8413313941001</v>
      </c>
      <c r="F342" s="47">
        <v>3184.9568219060602</v>
      </c>
      <c r="G342" s="47">
        <v>6540.61920567369</v>
      </c>
    </row>
    <row r="343" spans="2:7" x14ac:dyDescent="0.25">
      <c r="B343" s="49"/>
      <c r="C343" s="89"/>
      <c r="D343" s="89"/>
      <c r="E343" s="47">
        <v>1835.16481358343</v>
      </c>
      <c r="F343" s="47">
        <v>3187.8560132897101</v>
      </c>
      <c r="G343" s="47">
        <v>6610.9425117545698</v>
      </c>
    </row>
    <row r="344" spans="2:7" x14ac:dyDescent="0.25">
      <c r="B344" s="49"/>
      <c r="C344" s="89"/>
      <c r="D344" s="89"/>
      <c r="E344" s="47">
        <v>1848.13020205814</v>
      </c>
      <c r="F344" s="47">
        <v>3189.8423250419601</v>
      </c>
      <c r="G344" s="47">
        <v>6664.1346228482698</v>
      </c>
    </row>
    <row r="345" spans="2:7" x14ac:dyDescent="0.25">
      <c r="B345" s="49"/>
      <c r="C345" s="89"/>
      <c r="D345" s="89"/>
      <c r="E345" s="47">
        <v>1864.3703774926601</v>
      </c>
      <c r="F345" s="47">
        <v>3191.20005947667</v>
      </c>
      <c r="G345" s="47">
        <v>6706.7701849984896</v>
      </c>
    </row>
    <row r="346" spans="2:7" x14ac:dyDescent="0.25">
      <c r="B346" s="49"/>
      <c r="C346" s="89"/>
      <c r="D346" s="89"/>
      <c r="E346" s="47">
        <v>1884.4352603509501</v>
      </c>
      <c r="F346" s="47">
        <v>3192.0811487163101</v>
      </c>
      <c r="G346" s="47">
        <v>6742.5426129180696</v>
      </c>
    </row>
    <row r="347" spans="2:7" x14ac:dyDescent="0.25">
      <c r="B347" s="49"/>
      <c r="C347" s="89"/>
      <c r="D347" s="89"/>
      <c r="E347" s="47">
        <v>1908.83935108987</v>
      </c>
      <c r="F347" s="47">
        <v>3192.5800216699899</v>
      </c>
      <c r="G347" s="47">
        <v>6773.8942373347099</v>
      </c>
    </row>
    <row r="348" spans="2:7" x14ac:dyDescent="0.25">
      <c r="B348" s="49"/>
      <c r="C348" s="89"/>
      <c r="D348" s="89"/>
      <c r="E348" s="47">
        <v>1938.0780257802001</v>
      </c>
      <c r="F348" s="47">
        <v>3192.75622274847</v>
      </c>
      <c r="G348" s="47">
        <v>6802.5105428380302</v>
      </c>
    </row>
    <row r="349" spans="2:7" x14ac:dyDescent="0.25">
      <c r="B349" s="49"/>
      <c r="C349" s="89"/>
      <c r="D349" s="89"/>
      <c r="E349" s="47">
        <v>1972.6349558188999</v>
      </c>
      <c r="F349" s="47">
        <v>3192.6483901067199</v>
      </c>
      <c r="G349" s="47">
        <v>6829.6232184804603</v>
      </c>
    </row>
    <row r="350" spans="2:7" x14ac:dyDescent="0.25">
      <c r="B350" s="49"/>
      <c r="C350" s="89"/>
      <c r="D350" s="89">
        <v>1100</v>
      </c>
      <c r="E350" s="47">
        <v>1817.6303021891199</v>
      </c>
      <c r="F350" s="47">
        <v>3457.0798594083399</v>
      </c>
      <c r="G350" s="47">
        <v>6673.5737957164101</v>
      </c>
    </row>
    <row r="351" spans="2:7" x14ac:dyDescent="0.25">
      <c r="B351" s="49"/>
      <c r="C351" s="89"/>
      <c r="D351" s="89"/>
      <c r="E351" s="47">
        <v>1824.8623599326199</v>
      </c>
      <c r="F351" s="47">
        <v>3465.3169051002601</v>
      </c>
      <c r="G351" s="47">
        <v>6838.65220179274</v>
      </c>
    </row>
    <row r="352" spans="2:7" x14ac:dyDescent="0.25">
      <c r="B352" s="49"/>
      <c r="C352" s="89"/>
      <c r="D352" s="89"/>
      <c r="E352" s="47">
        <v>1832.92864888441</v>
      </c>
      <c r="F352" s="47">
        <v>3470.5695258845399</v>
      </c>
      <c r="G352" s="47">
        <v>6946.8488981398004</v>
      </c>
    </row>
    <row r="353" spans="2:7" x14ac:dyDescent="0.25">
      <c r="B353" s="49"/>
      <c r="C353" s="89"/>
      <c r="D353" s="89"/>
      <c r="E353" s="47">
        <v>1842.9658076042199</v>
      </c>
      <c r="F353" s="47">
        <v>3474.1331037412501</v>
      </c>
      <c r="G353" s="47">
        <v>7024.1324118049697</v>
      </c>
    </row>
    <row r="354" spans="2:7" x14ac:dyDescent="0.25">
      <c r="B354" s="49"/>
      <c r="C354" s="89"/>
      <c r="D354" s="89"/>
      <c r="E354" s="47">
        <v>1855.71629967744</v>
      </c>
      <c r="F354" s="47">
        <v>3476.6165615500499</v>
      </c>
      <c r="G354" s="47">
        <v>7082.8850642808002</v>
      </c>
    </row>
    <row r="355" spans="2:7" x14ac:dyDescent="0.25">
      <c r="B355" s="49"/>
      <c r="C355" s="89"/>
      <c r="D355" s="89"/>
      <c r="E355" s="47">
        <v>1871.7810580180501</v>
      </c>
      <c r="F355" s="47">
        <v>3478.34513157124</v>
      </c>
      <c r="G355" s="47">
        <v>7129.8936844085101</v>
      </c>
    </row>
    <row r="356" spans="2:7" x14ac:dyDescent="0.25">
      <c r="B356" s="49"/>
      <c r="C356" s="89"/>
      <c r="D356" s="89"/>
      <c r="E356" s="47">
        <v>1891.6953709365901</v>
      </c>
      <c r="F356" s="47">
        <v>3479.5102714377399</v>
      </c>
      <c r="G356" s="47">
        <v>7169.3075257192104</v>
      </c>
    </row>
    <row r="357" spans="2:7" x14ac:dyDescent="0.25">
      <c r="B357" s="49"/>
      <c r="C357" s="89"/>
      <c r="D357" s="89"/>
      <c r="E357" s="47">
        <v>1915.9655905099401</v>
      </c>
      <c r="F357" s="47">
        <v>3480.2268028129301</v>
      </c>
      <c r="G357" s="47">
        <v>7203.7726477251199</v>
      </c>
    </row>
    <row r="358" spans="2:7" x14ac:dyDescent="0.25">
      <c r="B358" s="49"/>
      <c r="C358" s="89"/>
      <c r="D358" s="89"/>
      <c r="E358" s="47">
        <v>1945.0785152661599</v>
      </c>
      <c r="F358" s="47">
        <v>3480.5673488204802</v>
      </c>
      <c r="G358" s="47">
        <v>7235.10413953439</v>
      </c>
    </row>
    <row r="359" spans="2:7" x14ac:dyDescent="0.25">
      <c r="B359" s="49"/>
      <c r="C359" s="89"/>
      <c r="D359" s="89"/>
      <c r="E359" s="47">
        <v>1979.51228831207</v>
      </c>
      <c r="F359" s="47">
        <v>3480.5798161369798</v>
      </c>
      <c r="G359" s="47">
        <v>7264.6328981216602</v>
      </c>
    </row>
    <row r="360" spans="2:7" x14ac:dyDescent="0.25">
      <c r="B360" s="49"/>
      <c r="C360" s="89"/>
      <c r="D360" s="89">
        <v>1200</v>
      </c>
      <c r="E360" s="47">
        <v>1824.76272070389</v>
      </c>
      <c r="F360" s="47">
        <v>3734.7581356023202</v>
      </c>
      <c r="G360" s="47">
        <v>7066.05697832028</v>
      </c>
    </row>
    <row r="361" spans="2:7" x14ac:dyDescent="0.25">
      <c r="B361" s="49"/>
      <c r="C361" s="89"/>
      <c r="D361" s="89"/>
      <c r="E361" s="47">
        <v>1831.3615356702301</v>
      </c>
      <c r="F361" s="47">
        <v>3744.6713106454399</v>
      </c>
      <c r="G361" s="47">
        <v>7246.9497855584104</v>
      </c>
    </row>
    <row r="362" spans="2:7" x14ac:dyDescent="0.25">
      <c r="B362" s="49"/>
      <c r="C362" s="89"/>
      <c r="D362" s="89"/>
      <c r="E362" s="47">
        <v>1839.0042568163301</v>
      </c>
      <c r="F362" s="47">
        <v>3750.9944544734599</v>
      </c>
      <c r="G362" s="47">
        <v>7365.2430587229401</v>
      </c>
    </row>
    <row r="363" spans="2:7" x14ac:dyDescent="0.25">
      <c r="B363" s="49"/>
      <c r="C363" s="89"/>
      <c r="D363" s="89"/>
      <c r="E363" s="47">
        <v>1848.73189387761</v>
      </c>
      <c r="F363" s="47">
        <v>3755.2922487969299</v>
      </c>
      <c r="G363" s="47">
        <v>7449.4967361377203</v>
      </c>
    </row>
    <row r="364" spans="2:7" x14ac:dyDescent="0.25">
      <c r="B364" s="49"/>
      <c r="C364" s="89"/>
      <c r="D364" s="89"/>
      <c r="E364" s="47">
        <v>1861.2455752042199</v>
      </c>
      <c r="F364" s="47">
        <v>3758.31783932896</v>
      </c>
      <c r="G364" s="47">
        <v>7513.6260912027901</v>
      </c>
    </row>
    <row r="365" spans="2:7" x14ac:dyDescent="0.25">
      <c r="B365" s="49"/>
      <c r="C365" s="89"/>
      <c r="D365" s="89"/>
      <c r="E365" s="47">
        <v>1877.11878514912</v>
      </c>
      <c r="F365" s="47">
        <v>3760.4588447382698</v>
      </c>
      <c r="G365" s="47">
        <v>7564.9731375637803</v>
      </c>
    </row>
    <row r="366" spans="2:7" x14ac:dyDescent="0.25">
      <c r="B366" s="49"/>
      <c r="C366" s="89"/>
      <c r="D366" s="89"/>
      <c r="E366" s="47">
        <v>1896.87157267252</v>
      </c>
      <c r="F366" s="47">
        <v>3761.9407277199298</v>
      </c>
      <c r="G366" s="47">
        <v>7607.9667156261303</v>
      </c>
    </row>
    <row r="367" spans="2:7" x14ac:dyDescent="0.25">
      <c r="B367" s="49"/>
      <c r="C367" s="89"/>
      <c r="D367" s="89"/>
      <c r="E367" s="47">
        <v>1920.9971703184999</v>
      </c>
      <c r="F367" s="47">
        <v>3762.9039160920702</v>
      </c>
      <c r="G367" s="47">
        <v>7645.5090780307901</v>
      </c>
    </row>
    <row r="368" spans="2:7" x14ac:dyDescent="0.25">
      <c r="B368" s="49"/>
      <c r="C368" s="89"/>
      <c r="D368" s="89"/>
      <c r="E368" s="47">
        <v>1949.9767023340401</v>
      </c>
      <c r="F368" s="47">
        <v>3763.4362158502299</v>
      </c>
      <c r="G368" s="47">
        <v>7679.5618233121404</v>
      </c>
    </row>
    <row r="369" spans="2:7" x14ac:dyDescent="0.25">
      <c r="B369" s="49"/>
      <c r="C369" s="89"/>
      <c r="D369" s="89"/>
      <c r="E369" s="47">
        <v>1984.2817882954701</v>
      </c>
      <c r="F369" s="47">
        <v>3763.5945232283102</v>
      </c>
      <c r="G369" s="47">
        <v>7711.5318630091597</v>
      </c>
    </row>
    <row r="370" spans="2:7" x14ac:dyDescent="0.25">
      <c r="B370" s="49"/>
      <c r="C370" s="89">
        <v>-15</v>
      </c>
      <c r="D370" s="89">
        <v>300</v>
      </c>
      <c r="E370" s="47">
        <v>1818.48035952437</v>
      </c>
      <c r="F370" s="47">
        <v>1010.93803285084</v>
      </c>
      <c r="G370" s="47">
        <v>4556.2985320770404</v>
      </c>
    </row>
    <row r="371" spans="2:7" x14ac:dyDescent="0.25">
      <c r="B371" s="49"/>
      <c r="C371" s="89"/>
      <c r="D371" s="89"/>
      <c r="E371" s="47">
        <v>1825.0610336507</v>
      </c>
      <c r="F371" s="47">
        <v>1010.89988979142</v>
      </c>
      <c r="G371" s="47">
        <v>4559.2064544287696</v>
      </c>
    </row>
    <row r="372" spans="2:7" x14ac:dyDescent="0.25">
      <c r="B372" s="49"/>
      <c r="C372" s="89"/>
      <c r="D372" s="89"/>
      <c r="E372" s="47">
        <v>1831.64170777703</v>
      </c>
      <c r="F372" s="47">
        <v>1010.861746732</v>
      </c>
      <c r="G372" s="47">
        <v>4562.1143767804897</v>
      </c>
    </row>
    <row r="373" spans="2:7" x14ac:dyDescent="0.25">
      <c r="B373" s="49"/>
      <c r="C373" s="89"/>
      <c r="D373" s="89"/>
      <c r="E373" s="47">
        <v>1838.22238190336</v>
      </c>
      <c r="F373" s="47">
        <v>1010.82360367259</v>
      </c>
      <c r="G373" s="47">
        <v>4565.0222991322198</v>
      </c>
    </row>
    <row r="374" spans="2:7" x14ac:dyDescent="0.25">
      <c r="B374" s="49"/>
      <c r="C374" s="89"/>
      <c r="D374" s="89"/>
      <c r="E374" s="47">
        <v>1844.80305602969</v>
      </c>
      <c r="F374" s="47">
        <v>1010.78546061317</v>
      </c>
      <c r="G374" s="47">
        <v>4567.9302214839399</v>
      </c>
    </row>
    <row r="375" spans="2:7" x14ac:dyDescent="0.25">
      <c r="B375" s="49"/>
      <c r="C375" s="89"/>
      <c r="D375" s="89"/>
      <c r="E375" s="47">
        <v>1851.97971866955</v>
      </c>
      <c r="F375" s="47">
        <v>1010.74035486799</v>
      </c>
      <c r="G375" s="47">
        <v>4570.8526648069301</v>
      </c>
    </row>
    <row r="376" spans="2:7" x14ac:dyDescent="0.25">
      <c r="B376" s="49"/>
      <c r="C376" s="89"/>
      <c r="D376" s="89"/>
      <c r="E376" s="47">
        <v>1859.75236982295</v>
      </c>
      <c r="F376" s="47">
        <v>1010.68828643706</v>
      </c>
      <c r="G376" s="47">
        <v>4573.7896291011803</v>
      </c>
    </row>
    <row r="377" spans="2:7" x14ac:dyDescent="0.25">
      <c r="B377" s="49"/>
      <c r="C377" s="89"/>
      <c r="D377" s="89"/>
      <c r="E377" s="47">
        <v>1867.5250209763501</v>
      </c>
      <c r="F377" s="47">
        <v>1010.63621800612</v>
      </c>
      <c r="G377" s="47">
        <v>4576.7265933954304</v>
      </c>
    </row>
    <row r="378" spans="2:7" x14ac:dyDescent="0.25">
      <c r="B378" s="49"/>
      <c r="C378" s="89"/>
      <c r="D378" s="89"/>
      <c r="E378" s="47">
        <v>1875.29767212974</v>
      </c>
      <c r="F378" s="47">
        <v>1010.58414957518</v>
      </c>
      <c r="G378" s="47">
        <v>4579.6635576896797</v>
      </c>
    </row>
    <row r="379" spans="2:7" x14ac:dyDescent="0.25">
      <c r="B379" s="49"/>
      <c r="C379" s="89"/>
      <c r="D379" s="89"/>
      <c r="E379" s="47">
        <v>1883.0703232831399</v>
      </c>
      <c r="F379" s="47">
        <v>1010.53208114424</v>
      </c>
      <c r="G379" s="47">
        <v>4582.6005219839299</v>
      </c>
    </row>
    <row r="380" spans="2:7" x14ac:dyDescent="0.25">
      <c r="B380" s="49"/>
      <c r="C380" s="89"/>
      <c r="D380" s="89">
        <v>400</v>
      </c>
      <c r="E380" s="47">
        <v>1734.5082089309001</v>
      </c>
      <c r="F380" s="47">
        <v>1331.2264514282299</v>
      </c>
      <c r="G380" s="47">
        <v>4633.2330611666603</v>
      </c>
    </row>
    <row r="381" spans="2:7" x14ac:dyDescent="0.25">
      <c r="B381" s="49"/>
      <c r="C381" s="89"/>
      <c r="D381" s="89"/>
      <c r="E381" s="47">
        <v>1744.4952847946699</v>
      </c>
      <c r="F381" s="47">
        <v>1332.7932657941601</v>
      </c>
      <c r="G381" s="47">
        <v>4725.0730762860903</v>
      </c>
    </row>
    <row r="382" spans="2:7" x14ac:dyDescent="0.25">
      <c r="B382" s="49"/>
      <c r="C382" s="89"/>
      <c r="D382" s="89"/>
      <c r="E382" s="47">
        <v>1754.3271373579701</v>
      </c>
      <c r="F382" s="47">
        <v>1333.7357552035801</v>
      </c>
      <c r="G382" s="47">
        <v>4783.5723724875097</v>
      </c>
    </row>
    <row r="383" spans="2:7" x14ac:dyDescent="0.25">
      <c r="B383" s="49"/>
      <c r="C383" s="89"/>
      <c r="D383" s="89"/>
      <c r="E383" s="47">
        <v>1765.57531850329</v>
      </c>
      <c r="F383" s="47">
        <v>1334.3164598277001</v>
      </c>
      <c r="G383" s="47">
        <v>4824.0387025391501</v>
      </c>
    </row>
    <row r="384" spans="2:7" x14ac:dyDescent="0.25">
      <c r="B384" s="49"/>
      <c r="C384" s="89"/>
      <c r="D384" s="89"/>
      <c r="E384" s="47">
        <v>1779.2110193566</v>
      </c>
      <c r="F384" s="47">
        <v>1334.65921327301</v>
      </c>
      <c r="G384" s="47">
        <v>4853.88720775205</v>
      </c>
    </row>
    <row r="385" spans="2:7" x14ac:dyDescent="0.25">
      <c r="B385" s="49"/>
      <c r="C385" s="89"/>
      <c r="D385" s="89"/>
      <c r="E385" s="47">
        <v>1795.9771102705699</v>
      </c>
      <c r="F385" s="47">
        <v>1334.8330760542699</v>
      </c>
      <c r="G385" s="47">
        <v>4877.4242356328195</v>
      </c>
    </row>
    <row r="386" spans="2:7" x14ac:dyDescent="0.25">
      <c r="B386" s="49"/>
      <c r="C386" s="89"/>
      <c r="D386" s="89"/>
      <c r="E386" s="47">
        <v>1816.47583812425</v>
      </c>
      <c r="F386" s="47">
        <v>1334.8701461232799</v>
      </c>
      <c r="G386" s="47">
        <v>4896.8703331900697</v>
      </c>
    </row>
    <row r="387" spans="2:7" x14ac:dyDescent="0.25">
      <c r="B387" s="49"/>
      <c r="C387" s="89"/>
      <c r="D387" s="89"/>
      <c r="E387" s="47">
        <v>1841.2773163627701</v>
      </c>
      <c r="F387" s="47">
        <v>1334.7954297748499</v>
      </c>
      <c r="G387" s="47">
        <v>4914.0412266339499</v>
      </c>
    </row>
    <row r="388" spans="2:7" x14ac:dyDescent="0.25">
      <c r="B388" s="49"/>
      <c r="C388" s="89"/>
      <c r="D388" s="89"/>
      <c r="E388" s="47">
        <v>1870.9100295132901</v>
      </c>
      <c r="F388" s="47">
        <v>1334.6224826376099</v>
      </c>
      <c r="G388" s="47">
        <v>4930.1082215911301</v>
      </c>
    </row>
    <row r="389" spans="2:7" x14ac:dyDescent="0.25">
      <c r="B389" s="49"/>
      <c r="C389" s="89"/>
      <c r="D389" s="89"/>
      <c r="E389" s="47">
        <v>1905.88113907764</v>
      </c>
      <c r="F389" s="47">
        <v>1334.35919919346</v>
      </c>
      <c r="G389" s="47">
        <v>4945.9233579523898</v>
      </c>
    </row>
    <row r="390" spans="2:7" x14ac:dyDescent="0.25">
      <c r="B390" s="49"/>
      <c r="C390" s="89"/>
      <c r="D390" s="89">
        <v>500</v>
      </c>
      <c r="E390" s="47">
        <v>1754.4135314790201</v>
      </c>
      <c r="F390" s="47">
        <v>1646.84940943779</v>
      </c>
      <c r="G390" s="47">
        <v>4955.2457497672804</v>
      </c>
    </row>
    <row r="391" spans="2:7" x14ac:dyDescent="0.25">
      <c r="B391" s="49"/>
      <c r="C391" s="89"/>
      <c r="D391" s="89"/>
      <c r="E391" s="47">
        <v>1764.0980164782</v>
      </c>
      <c r="F391" s="47">
        <v>1649.0755695258499</v>
      </c>
      <c r="G391" s="47">
        <v>5058.1627543260101</v>
      </c>
    </row>
    <row r="392" spans="2:7" x14ac:dyDescent="0.25">
      <c r="B392" s="49"/>
      <c r="C392" s="89"/>
      <c r="D392" s="89"/>
      <c r="E392" s="47">
        <v>1773.7736041650201</v>
      </c>
      <c r="F392" s="47">
        <v>1650.4500491173101</v>
      </c>
      <c r="G392" s="47">
        <v>5124.8483581641203</v>
      </c>
    </row>
    <row r="393" spans="2:7" x14ac:dyDescent="0.25">
      <c r="B393" s="49"/>
      <c r="C393" s="89"/>
      <c r="D393" s="89"/>
      <c r="E393" s="47">
        <v>1784.9477757826301</v>
      </c>
      <c r="F393" s="47">
        <v>1651.33163915561</v>
      </c>
      <c r="G393" s="47">
        <v>5171.8509055223703</v>
      </c>
    </row>
    <row r="394" spans="2:7" x14ac:dyDescent="0.25">
      <c r="B394" s="49"/>
      <c r="C394" s="89"/>
      <c r="D394" s="89"/>
      <c r="E394" s="47">
        <v>1798.5559937999501</v>
      </c>
      <c r="F394" s="47">
        <v>1651.8896018606499</v>
      </c>
      <c r="G394" s="47">
        <v>5207.16698890936</v>
      </c>
    </row>
    <row r="395" spans="2:7" x14ac:dyDescent="0.25">
      <c r="B395" s="49"/>
      <c r="C395" s="89"/>
      <c r="D395" s="89"/>
      <c r="E395" s="47">
        <v>1815.3120771305601</v>
      </c>
      <c r="F395" s="47">
        <v>1652.21477769493</v>
      </c>
      <c r="G395" s="47">
        <v>5235.26825970757</v>
      </c>
    </row>
    <row r="396" spans="2:7" x14ac:dyDescent="0.25">
      <c r="B396" s="49"/>
      <c r="C396" s="89"/>
      <c r="D396" s="89"/>
      <c r="E396" s="47">
        <v>1835.8205496017199</v>
      </c>
      <c r="F396" s="47">
        <v>1652.35882724556</v>
      </c>
      <c r="G396" s="47">
        <v>5258.86658744955</v>
      </c>
    </row>
    <row r="397" spans="2:7" x14ac:dyDescent="0.25">
      <c r="B397" s="49"/>
      <c r="C397" s="89"/>
      <c r="D397" s="89"/>
      <c r="E397" s="47">
        <v>1860.62883726475</v>
      </c>
      <c r="F397" s="47">
        <v>1652.35220162064</v>
      </c>
      <c r="G397" s="47">
        <v>5279.7230691463501</v>
      </c>
    </row>
    <row r="398" spans="2:7" x14ac:dyDescent="0.25">
      <c r="B398" s="49"/>
      <c r="C398" s="89"/>
      <c r="D398" s="89"/>
      <c r="E398" s="47">
        <v>1890.25875891803</v>
      </c>
      <c r="F398" s="47">
        <v>1652.21393728368</v>
      </c>
      <c r="G398" s="47">
        <v>5299.09171912492</v>
      </c>
    </row>
    <row r="399" spans="2:7" x14ac:dyDescent="0.25">
      <c r="B399" s="49"/>
      <c r="C399" s="89"/>
      <c r="D399" s="89"/>
      <c r="E399" s="47">
        <v>1925.21279131811</v>
      </c>
      <c r="F399" s="47">
        <v>1651.9555973409099</v>
      </c>
      <c r="G399" s="47">
        <v>5317.8922373696196</v>
      </c>
    </row>
    <row r="400" spans="2:7" x14ac:dyDescent="0.25">
      <c r="B400" s="49"/>
      <c r="C400" s="89"/>
      <c r="D400" s="89">
        <v>600</v>
      </c>
      <c r="E400" s="47">
        <v>1772.4867180828401</v>
      </c>
      <c r="F400" s="47">
        <v>1956.3595855577501</v>
      </c>
      <c r="G400" s="47">
        <v>5302.4899446323898</v>
      </c>
    </row>
    <row r="401" spans="2:7" x14ac:dyDescent="0.25">
      <c r="B401" s="49"/>
      <c r="C401" s="89"/>
      <c r="D401" s="89"/>
      <c r="E401" s="47">
        <v>1781.7354046683799</v>
      </c>
      <c r="F401" s="47">
        <v>1959.3720097015701</v>
      </c>
      <c r="G401" s="47">
        <v>5417.0658856112996</v>
      </c>
    </row>
    <row r="402" spans="2:7" x14ac:dyDescent="0.25">
      <c r="B402" s="49"/>
      <c r="C402" s="89"/>
      <c r="D402" s="89"/>
      <c r="E402" s="47">
        <v>1791.13488794308</v>
      </c>
      <c r="F402" s="47">
        <v>1961.2519452379599</v>
      </c>
      <c r="G402" s="47">
        <v>5491.6503798834301</v>
      </c>
    </row>
    <row r="403" spans="2:7" x14ac:dyDescent="0.25">
      <c r="B403" s="49"/>
      <c r="C403" s="89"/>
      <c r="D403" s="89"/>
      <c r="E403" s="47">
        <v>1802.12721734863</v>
      </c>
      <c r="F403" s="47">
        <v>1962.4810164999201</v>
      </c>
      <c r="G403" s="47">
        <v>5544.5377353416397</v>
      </c>
    </row>
    <row r="404" spans="2:7" x14ac:dyDescent="0.25">
      <c r="B404" s="49"/>
      <c r="C404" s="89"/>
      <c r="D404" s="89"/>
      <c r="E404" s="47">
        <v>1815.6023701711599</v>
      </c>
      <c r="F404" s="47">
        <v>1963.28484545011</v>
      </c>
      <c r="G404" s="47">
        <v>5584.4789605088599</v>
      </c>
    </row>
    <row r="405" spans="2:7" x14ac:dyDescent="0.25">
      <c r="B405" s="49"/>
      <c r="C405" s="89"/>
      <c r="D405" s="89"/>
      <c r="E405" s="47">
        <v>1832.2500674093501</v>
      </c>
      <c r="F405" s="47">
        <v>1963.78412894704</v>
      </c>
      <c r="G405" s="47">
        <v>5616.3370573124103</v>
      </c>
    </row>
    <row r="406" spans="2:7" x14ac:dyDescent="0.25">
      <c r="B406" s="49"/>
      <c r="C406" s="89"/>
      <c r="D406" s="89"/>
      <c r="E406" s="47">
        <v>1852.6628897360499</v>
      </c>
      <c r="F406" s="47">
        <v>1964.04839455874</v>
      </c>
      <c r="G406" s="47">
        <v>5643.0794144720803</v>
      </c>
    </row>
    <row r="407" spans="2:7" x14ac:dyDescent="0.25">
      <c r="B407" s="49"/>
      <c r="C407" s="89"/>
      <c r="D407" s="89"/>
      <c r="E407" s="47">
        <v>1877.3820168637801</v>
      </c>
      <c r="F407" s="47">
        <v>1964.11943562088</v>
      </c>
      <c r="G407" s="47">
        <v>5666.64710638629</v>
      </c>
    </row>
    <row r="408" spans="2:7" x14ac:dyDescent="0.25">
      <c r="B408" s="49"/>
      <c r="C408" s="89"/>
      <c r="D408" s="89"/>
      <c r="E408" s="47">
        <v>1906.9227880630899</v>
      </c>
      <c r="F408" s="47">
        <v>1964.0234988003699</v>
      </c>
      <c r="G408" s="47">
        <v>5688.4085742303396</v>
      </c>
    </row>
    <row r="409" spans="2:7" x14ac:dyDescent="0.25">
      <c r="B409" s="49"/>
      <c r="C409" s="89"/>
      <c r="D409" s="89"/>
      <c r="E409" s="47">
        <v>1941.7843814873199</v>
      </c>
      <c r="F409" s="47">
        <v>1963.77735393179</v>
      </c>
      <c r="G409" s="47">
        <v>5709.3828296495203</v>
      </c>
    </row>
    <row r="410" spans="2:7" x14ac:dyDescent="0.25">
      <c r="B410" s="49"/>
      <c r="C410" s="89"/>
      <c r="D410" s="89">
        <v>700</v>
      </c>
      <c r="E410" s="47">
        <v>1787.8612606783199</v>
      </c>
      <c r="F410" s="47">
        <v>2259.63761200622</v>
      </c>
      <c r="G410" s="47">
        <v>5659.0500581296901</v>
      </c>
    </row>
    <row r="411" spans="2:7" x14ac:dyDescent="0.25">
      <c r="B411" s="49"/>
      <c r="C411" s="89"/>
      <c r="D411" s="89"/>
      <c r="E411" s="47">
        <v>1796.64578264905</v>
      </c>
      <c r="F411" s="47">
        <v>2263.5950640850101</v>
      </c>
      <c r="G411" s="47">
        <v>5786.6250988910797</v>
      </c>
    </row>
    <row r="412" spans="2:7" x14ac:dyDescent="0.25">
      <c r="B412" s="49"/>
      <c r="C412" s="89"/>
      <c r="D412" s="89"/>
      <c r="E412" s="47">
        <v>1805.73650806668</v>
      </c>
      <c r="F412" s="47">
        <v>2266.08270175193</v>
      </c>
      <c r="G412" s="47">
        <v>5869.8482671503698</v>
      </c>
    </row>
    <row r="413" spans="2:7" x14ac:dyDescent="0.25">
      <c r="B413" s="49"/>
      <c r="C413" s="89"/>
      <c r="D413" s="89"/>
      <c r="E413" s="47">
        <v>1816.5024204762699</v>
      </c>
      <c r="F413" s="47">
        <v>2267.7285162377302</v>
      </c>
      <c r="G413" s="47">
        <v>5928.9501284781099</v>
      </c>
    </row>
    <row r="414" spans="2:7" x14ac:dyDescent="0.25">
      <c r="B414" s="49"/>
      <c r="C414" s="89"/>
      <c r="D414" s="89"/>
      <c r="E414" s="47">
        <v>1829.81254225829</v>
      </c>
      <c r="F414" s="47">
        <v>2268.83103117171</v>
      </c>
      <c r="G414" s="47">
        <v>5973.7319837203904</v>
      </c>
    </row>
    <row r="415" spans="2:7" x14ac:dyDescent="0.25">
      <c r="B415" s="49"/>
      <c r="C415" s="89"/>
      <c r="D415" s="89"/>
      <c r="E415" s="47">
        <v>1846.3292039499099</v>
      </c>
      <c r="F415" s="47">
        <v>2269.5469959069501</v>
      </c>
      <c r="G415" s="47">
        <v>6009.5148866710897</v>
      </c>
    </row>
    <row r="416" spans="2:7" x14ac:dyDescent="0.25">
      <c r="B416" s="49"/>
      <c r="C416" s="89"/>
      <c r="D416" s="89"/>
      <c r="E416" s="47">
        <v>1866.6284706634301</v>
      </c>
      <c r="F416" s="47">
        <v>2269.9669261899198</v>
      </c>
      <c r="G416" s="47">
        <v>6039.53609223073</v>
      </c>
    </row>
    <row r="417" spans="2:7" x14ac:dyDescent="0.25">
      <c r="B417" s="49"/>
      <c r="C417" s="89"/>
      <c r="D417" s="89"/>
      <c r="E417" s="47">
        <v>1891.2441400063799</v>
      </c>
      <c r="F417" s="47">
        <v>2270.1459803553598</v>
      </c>
      <c r="G417" s="47">
        <v>6065.9238690871098</v>
      </c>
    </row>
    <row r="418" spans="2:7" x14ac:dyDescent="0.25">
      <c r="B418" s="49"/>
      <c r="C418" s="89"/>
      <c r="D418" s="89"/>
      <c r="E418" s="47">
        <v>1920.6828133960701</v>
      </c>
      <c r="F418" s="47">
        <v>2270.1188469016702</v>
      </c>
      <c r="G418" s="47">
        <v>6090.16199645907</v>
      </c>
    </row>
    <row r="419" spans="2:7" x14ac:dyDescent="0.25">
      <c r="B419" s="49"/>
      <c r="C419" s="89"/>
      <c r="D419" s="89"/>
      <c r="E419" s="47">
        <v>1955.43781682184</v>
      </c>
      <c r="F419" s="47">
        <v>2269.9071814735398</v>
      </c>
      <c r="G419" s="47">
        <v>6113.32755313694</v>
      </c>
    </row>
    <row r="420" spans="2:7" x14ac:dyDescent="0.25">
      <c r="B420" s="49"/>
      <c r="C420" s="89"/>
      <c r="D420" s="89">
        <v>800</v>
      </c>
      <c r="E420" s="47">
        <v>1800.7902622141801</v>
      </c>
      <c r="F420" s="47">
        <v>2556.8869748564098</v>
      </c>
      <c r="G420" s="47">
        <v>6026.1426282186903</v>
      </c>
    </row>
    <row r="421" spans="2:7" x14ac:dyDescent="0.25">
      <c r="B421" s="49"/>
      <c r="C421" s="89"/>
      <c r="D421" s="89"/>
      <c r="E421" s="47">
        <v>1809.0246666123101</v>
      </c>
      <c r="F421" s="47">
        <v>2561.9149108923202</v>
      </c>
      <c r="G421" s="47">
        <v>6166.6101583377203</v>
      </c>
    </row>
    <row r="422" spans="2:7" x14ac:dyDescent="0.25">
      <c r="B422" s="49"/>
      <c r="C422" s="89"/>
      <c r="D422" s="89"/>
      <c r="E422" s="47">
        <v>1817.7598844690001</v>
      </c>
      <c r="F422" s="47">
        <v>2565.09792964393</v>
      </c>
      <c r="G422" s="47">
        <v>6258.5245541530803</v>
      </c>
    </row>
    <row r="423" spans="2:7" x14ac:dyDescent="0.25">
      <c r="B423" s="49"/>
      <c r="C423" s="89"/>
      <c r="D423" s="89"/>
      <c r="E423" s="47">
        <v>1828.27593200969</v>
      </c>
      <c r="F423" s="47">
        <v>2567.2286220852998</v>
      </c>
      <c r="G423" s="47">
        <v>6324.0210413575796</v>
      </c>
    </row>
    <row r="424" spans="2:7" x14ac:dyDescent="0.25">
      <c r="B424" s="49"/>
      <c r="C424" s="89"/>
      <c r="D424" s="89"/>
      <c r="E424" s="47">
        <v>1841.39231457095</v>
      </c>
      <c r="F424" s="47">
        <v>2568.6809136066499</v>
      </c>
      <c r="G424" s="47">
        <v>6373.7244806540702</v>
      </c>
    </row>
    <row r="425" spans="2:7" x14ac:dyDescent="0.25">
      <c r="B425" s="49"/>
      <c r="C425" s="89"/>
      <c r="D425" s="89"/>
      <c r="E425" s="47">
        <v>1857.7523238418</v>
      </c>
      <c r="F425" s="47">
        <v>2569.6544170890202</v>
      </c>
      <c r="G425" s="47">
        <v>6413.4813325852601</v>
      </c>
    </row>
    <row r="426" spans="2:7" x14ac:dyDescent="0.25">
      <c r="B426" s="49"/>
      <c r="C426" s="89"/>
      <c r="D426" s="89"/>
      <c r="E426" s="47">
        <v>1877.92002144912</v>
      </c>
      <c r="F426" s="47">
        <v>2570.2663409254501</v>
      </c>
      <c r="G426" s="47">
        <v>6446.8827838716998</v>
      </c>
    </row>
    <row r="427" spans="2:7" x14ac:dyDescent="0.25">
      <c r="B427" s="49"/>
      <c r="C427" s="89"/>
      <c r="D427" s="89"/>
      <c r="E427" s="47">
        <v>1902.4168850589299</v>
      </c>
      <c r="F427" s="47">
        <v>2570.5855514996001</v>
      </c>
      <c r="G427" s="47">
        <v>6476.2004875914599</v>
      </c>
    </row>
    <row r="428" spans="2:7" x14ac:dyDescent="0.25">
      <c r="B428" s="49"/>
      <c r="C428" s="89"/>
      <c r="D428" s="89"/>
      <c r="E428" s="47">
        <v>1931.7428688483401</v>
      </c>
      <c r="F428" s="47">
        <v>2570.6557786769499</v>
      </c>
      <c r="G428" s="47">
        <v>6503.0205335315304</v>
      </c>
    </row>
    <row r="429" spans="2:7" x14ac:dyDescent="0.25">
      <c r="B429" s="49"/>
      <c r="C429" s="89"/>
      <c r="D429" s="89"/>
      <c r="E429" s="47">
        <v>1966.3845244055599</v>
      </c>
      <c r="F429" s="47">
        <v>2570.5056773807401</v>
      </c>
      <c r="G429" s="47">
        <v>6528.5174194739302</v>
      </c>
    </row>
    <row r="430" spans="2:7" x14ac:dyDescent="0.25">
      <c r="B430" s="49"/>
      <c r="C430" s="89"/>
      <c r="D430" s="89">
        <v>900</v>
      </c>
      <c r="E430" s="47">
        <v>1811.4063983337801</v>
      </c>
      <c r="F430" s="47">
        <v>2848.2085461326401</v>
      </c>
      <c r="G430" s="47">
        <v>6402.0189404828698</v>
      </c>
    </row>
    <row r="431" spans="2:7" x14ac:dyDescent="0.25">
      <c r="B431" s="49"/>
      <c r="C431" s="89"/>
      <c r="D431" s="89"/>
      <c r="E431" s="47">
        <v>1819.0770277885099</v>
      </c>
      <c r="F431" s="47">
        <v>2854.5050128090902</v>
      </c>
      <c r="G431" s="47">
        <v>6557.0572868352201</v>
      </c>
    </row>
    <row r="432" spans="2:7" x14ac:dyDescent="0.25">
      <c r="B432" s="49"/>
      <c r="C432" s="89"/>
      <c r="D432" s="89"/>
      <c r="E432" s="47">
        <v>1827.4308179222101</v>
      </c>
      <c r="F432" s="47">
        <v>2858.5065778222802</v>
      </c>
      <c r="G432" s="47">
        <v>6658.53866566746</v>
      </c>
    </row>
    <row r="433" spans="2:7" x14ac:dyDescent="0.25">
      <c r="B433" s="49"/>
      <c r="C433" s="89"/>
      <c r="D433" s="89"/>
      <c r="E433" s="47">
        <v>1837.67433911226</v>
      </c>
      <c r="F433" s="47">
        <v>2861.2067866063499</v>
      </c>
      <c r="G433" s="47">
        <v>6730.9323322185401</v>
      </c>
    </row>
    <row r="434" spans="2:7" x14ac:dyDescent="0.25">
      <c r="B434" s="49"/>
      <c r="C434" s="89"/>
      <c r="D434" s="89"/>
      <c r="E434" s="47">
        <v>1850.58234755686</v>
      </c>
      <c r="F434" s="47">
        <v>2863.0726741417898</v>
      </c>
      <c r="G434" s="47">
        <v>6785.9152481335104</v>
      </c>
    </row>
    <row r="435" spans="2:7" x14ac:dyDescent="0.25">
      <c r="B435" s="49"/>
      <c r="C435" s="89"/>
      <c r="D435" s="89"/>
      <c r="E435" s="47">
        <v>1866.7738046516299</v>
      </c>
      <c r="F435" s="47">
        <v>2864.3536338200502</v>
      </c>
      <c r="G435" s="47">
        <v>6829.8969069872201</v>
      </c>
    </row>
    <row r="436" spans="2:7" x14ac:dyDescent="0.25">
      <c r="B436" s="49"/>
      <c r="C436" s="89"/>
      <c r="D436" s="89"/>
      <c r="E436" s="47">
        <v>1886.7953530986499</v>
      </c>
      <c r="F436" s="47">
        <v>2865.1940776638398</v>
      </c>
      <c r="G436" s="47">
        <v>6866.7485399001098</v>
      </c>
    </row>
    <row r="437" spans="2:7" x14ac:dyDescent="0.25">
      <c r="B437" s="49"/>
      <c r="C437" s="89"/>
      <c r="D437" s="89"/>
      <c r="E437" s="47">
        <v>1911.16090902823</v>
      </c>
      <c r="F437" s="47">
        <v>2865.6823028063</v>
      </c>
      <c r="G437" s="47">
        <v>6898.9899571138303</v>
      </c>
    </row>
    <row r="438" spans="2:7" x14ac:dyDescent="0.25">
      <c r="B438" s="49"/>
      <c r="C438" s="89"/>
      <c r="D438" s="89"/>
      <c r="E438" s="47">
        <v>1940.36403000104</v>
      </c>
      <c r="F438" s="47">
        <v>2865.8766417877</v>
      </c>
      <c r="G438" s="47">
        <v>6928.4167344262896</v>
      </c>
    </row>
    <row r="439" spans="2:7" x14ac:dyDescent="0.25">
      <c r="B439" s="49"/>
      <c r="C439" s="89"/>
      <c r="D439" s="89"/>
      <c r="E439" s="47">
        <v>1974.8848895098799</v>
      </c>
      <c r="F439" s="47">
        <v>2865.8109751152301</v>
      </c>
      <c r="G439" s="47">
        <v>6956.2363570439002</v>
      </c>
    </row>
    <row r="440" spans="2:7" x14ac:dyDescent="0.25">
      <c r="B440" s="49"/>
      <c r="C440" s="89"/>
      <c r="D440" s="89">
        <v>1000</v>
      </c>
      <c r="E440" s="47">
        <v>1819.926115966</v>
      </c>
      <c r="F440" s="47">
        <v>3133.8087390833002</v>
      </c>
      <c r="G440" s="47">
        <v>6787.9906617441202</v>
      </c>
    </row>
    <row r="441" spans="2:7" x14ac:dyDescent="0.25">
      <c r="B441" s="49"/>
      <c r="C441" s="89"/>
      <c r="D441" s="89"/>
      <c r="E441" s="47">
        <v>1826.9700465854601</v>
      </c>
      <c r="F441" s="47">
        <v>3141.5054522560599</v>
      </c>
      <c r="G441" s="47">
        <v>6957.3202497019402</v>
      </c>
    </row>
    <row r="442" spans="2:7" x14ac:dyDescent="0.25">
      <c r="B442" s="49"/>
      <c r="C442" s="89"/>
      <c r="D442" s="89"/>
      <c r="E442" s="47">
        <v>1834.9127244127401</v>
      </c>
      <c r="F442" s="47">
        <v>3146.4184528756</v>
      </c>
      <c r="G442" s="47">
        <v>7068.3293279909203</v>
      </c>
    </row>
    <row r="443" spans="2:7" x14ac:dyDescent="0.25">
      <c r="B443" s="49"/>
      <c r="C443" s="89"/>
      <c r="D443" s="89"/>
      <c r="E443" s="47">
        <v>1844.86097471176</v>
      </c>
      <c r="F443" s="47">
        <v>3149.7566629768698</v>
      </c>
      <c r="G443" s="47">
        <v>7147.6232722848599</v>
      </c>
    </row>
    <row r="444" spans="2:7" x14ac:dyDescent="0.25">
      <c r="B444" s="49"/>
      <c r="C444" s="89"/>
      <c r="D444" s="89"/>
      <c r="E444" s="47">
        <v>1857.5442097287601</v>
      </c>
      <c r="F444" s="47">
        <v>3152.0925449200899</v>
      </c>
      <c r="G444" s="47">
        <v>7207.9733023300696</v>
      </c>
    </row>
    <row r="445" spans="2:7" x14ac:dyDescent="0.25">
      <c r="B445" s="49"/>
      <c r="C445" s="89"/>
      <c r="D445" s="89"/>
      <c r="E445" s="47">
        <v>1873.5539566413599</v>
      </c>
      <c r="F445" s="47">
        <v>3153.72787437426</v>
      </c>
      <c r="G445" s="47">
        <v>7256.2873294321998</v>
      </c>
    </row>
    <row r="446" spans="2:7" x14ac:dyDescent="0.25">
      <c r="B446" s="49"/>
      <c r="C446" s="89"/>
      <c r="D446" s="89"/>
      <c r="E446" s="47">
        <v>1893.4223987181599</v>
      </c>
      <c r="F446" s="47">
        <v>3154.83884294983</v>
      </c>
      <c r="G446" s="47">
        <v>7296.7571749266199</v>
      </c>
    </row>
    <row r="447" spans="2:7" x14ac:dyDescent="0.25">
      <c r="B447" s="49"/>
      <c r="C447" s="89"/>
      <c r="D447" s="89"/>
      <c r="E447" s="47">
        <v>1917.65140322862</v>
      </c>
      <c r="F447" s="47">
        <v>3155.5333151058599</v>
      </c>
      <c r="G447" s="47">
        <v>7332.0986701073598</v>
      </c>
    </row>
    <row r="448" spans="2:7" x14ac:dyDescent="0.25">
      <c r="B448" s="49"/>
      <c r="C448" s="89"/>
      <c r="D448" s="89"/>
      <c r="E448" s="47">
        <v>1946.7259717898201</v>
      </c>
      <c r="F448" s="47">
        <v>3155.8805890654098</v>
      </c>
      <c r="G448" s="47">
        <v>7364.1947733487305</v>
      </c>
    </row>
    <row r="449" spans="2:7" x14ac:dyDescent="0.25">
      <c r="B449" s="49"/>
      <c r="C449" s="89"/>
      <c r="D449" s="89"/>
      <c r="E449" s="47">
        <v>1981.1226515799699</v>
      </c>
      <c r="F449" s="47">
        <v>3155.9266217962199</v>
      </c>
      <c r="G449" s="47">
        <v>7394.4259450539103</v>
      </c>
    </row>
    <row r="450" spans="2:7" x14ac:dyDescent="0.25">
      <c r="B450" s="49"/>
      <c r="C450" s="89"/>
      <c r="D450" s="89">
        <v>1100</v>
      </c>
      <c r="E450" s="47">
        <v>1826.4949258506399</v>
      </c>
      <c r="F450" s="47">
        <v>3413.76754513377</v>
      </c>
      <c r="G450" s="47">
        <v>7182.4627106406797</v>
      </c>
    </row>
    <row r="451" spans="2:7" x14ac:dyDescent="0.25">
      <c r="B451" s="49"/>
      <c r="C451" s="89"/>
      <c r="D451" s="89"/>
      <c r="E451" s="47">
        <v>1832.8993372320399</v>
      </c>
      <c r="F451" s="47">
        <v>3423.0963781155501</v>
      </c>
      <c r="G451" s="47">
        <v>7367.8403895760603</v>
      </c>
    </row>
    <row r="452" spans="2:7" x14ac:dyDescent="0.25">
      <c r="B452" s="49"/>
      <c r="C452" s="89"/>
      <c r="D452" s="89"/>
      <c r="E452" s="47">
        <v>1840.41506547224</v>
      </c>
      <c r="F452" s="47">
        <v>3429.06784186502</v>
      </c>
      <c r="G452" s="47">
        <v>7489.3972866720796</v>
      </c>
    </row>
    <row r="453" spans="2:7" x14ac:dyDescent="0.25">
      <c r="B453" s="49"/>
      <c r="C453" s="89"/>
      <c r="D453" s="89"/>
      <c r="E453" s="47">
        <v>1850.05331895922</v>
      </c>
      <c r="F453" s="47">
        <v>3433.1445587080202</v>
      </c>
      <c r="G453" s="47">
        <v>7576.2125932679601</v>
      </c>
    </row>
    <row r="454" spans="2:7" x14ac:dyDescent="0.25">
      <c r="B454" s="49"/>
      <c r="C454" s="89"/>
      <c r="D454" s="89"/>
      <c r="E454" s="47">
        <v>1862.4982734261</v>
      </c>
      <c r="F454" s="47">
        <v>3436.01916491979</v>
      </c>
      <c r="G454" s="47">
        <v>7642.2297478881001</v>
      </c>
    </row>
    <row r="455" spans="2:7" x14ac:dyDescent="0.25">
      <c r="B455" s="49"/>
      <c r="C455" s="89"/>
      <c r="D455" s="89"/>
      <c r="E455" s="47">
        <v>1878.3137349748199</v>
      </c>
      <c r="F455" s="47">
        <v>3438.05639722673</v>
      </c>
      <c r="G455" s="47">
        <v>7694.9636175736496</v>
      </c>
    </row>
    <row r="456" spans="2:7" x14ac:dyDescent="0.25">
      <c r="B456" s="49"/>
      <c r="C456" s="89"/>
      <c r="D456" s="89"/>
      <c r="E456" s="47">
        <v>1898.0165107809601</v>
      </c>
      <c r="F456" s="47">
        <v>3439.47316671303</v>
      </c>
      <c r="G456" s="47">
        <v>7739.0374429353897</v>
      </c>
    </row>
    <row r="457" spans="2:7" x14ac:dyDescent="0.25">
      <c r="B457" s="49"/>
      <c r="C457" s="89"/>
      <c r="D457" s="89"/>
      <c r="E457" s="47">
        <v>1922.09953463228</v>
      </c>
      <c r="F457" s="47">
        <v>3440.4045785014901</v>
      </c>
      <c r="G457" s="47">
        <v>7777.4761758712302</v>
      </c>
    </row>
    <row r="458" spans="2:7" x14ac:dyDescent="0.25">
      <c r="B458" s="49"/>
      <c r="C458" s="89"/>
      <c r="D458" s="89"/>
      <c r="E458" s="47">
        <v>1951.0399395033301</v>
      </c>
      <c r="F458" s="47">
        <v>3440.9339257274301</v>
      </c>
      <c r="G458" s="47">
        <v>7812.2918769549096</v>
      </c>
    </row>
    <row r="459" spans="2:7" x14ac:dyDescent="0.25">
      <c r="B459" s="49"/>
      <c r="C459" s="89"/>
      <c r="D459" s="89"/>
      <c r="E459" s="47">
        <v>1985.3080969150701</v>
      </c>
      <c r="F459" s="47">
        <v>3441.1157926228402</v>
      </c>
      <c r="G459" s="47">
        <v>7844.9371613869298</v>
      </c>
    </row>
    <row r="460" spans="2:7" x14ac:dyDescent="0.25">
      <c r="B460" s="49"/>
      <c r="C460" s="89"/>
      <c r="D460" s="89">
        <v>1200</v>
      </c>
      <c r="E460" s="47">
        <v>1831.28578588562</v>
      </c>
      <c r="F460" s="47">
        <v>3688.2610458123399</v>
      </c>
      <c r="G460" s="47">
        <v>7586.1378427173204</v>
      </c>
    </row>
    <row r="461" spans="2:7" x14ac:dyDescent="0.25">
      <c r="B461" s="49"/>
      <c r="C461" s="89"/>
      <c r="D461" s="89"/>
      <c r="E461" s="47">
        <v>1836.99998034586</v>
      </c>
      <c r="F461" s="47">
        <v>3699.3594728110402</v>
      </c>
      <c r="G461" s="47">
        <v>7787.1763689467598</v>
      </c>
    </row>
    <row r="462" spans="2:7" x14ac:dyDescent="0.25">
      <c r="B462" s="49"/>
      <c r="C462" s="89"/>
      <c r="D462" s="89"/>
      <c r="E462" s="47">
        <v>1844.0628614981199</v>
      </c>
      <c r="F462" s="47">
        <v>3706.4823351576301</v>
      </c>
      <c r="G462" s="47">
        <v>7919.0778195821304</v>
      </c>
    </row>
    <row r="463" spans="2:7" x14ac:dyDescent="0.25">
      <c r="B463" s="49"/>
      <c r="C463" s="89"/>
      <c r="D463" s="89"/>
      <c r="E463" s="47">
        <v>1853.37691785124</v>
      </c>
      <c r="F463" s="47">
        <v>3711.3719312837902</v>
      </c>
      <c r="G463" s="47">
        <v>8013.4157234928898</v>
      </c>
    </row>
    <row r="464" spans="2:7" x14ac:dyDescent="0.25">
      <c r="B464" s="49"/>
      <c r="C464" s="89"/>
      <c r="D464" s="89"/>
      <c r="E464" s="47">
        <v>1865.5767761639099</v>
      </c>
      <c r="F464" s="47">
        <v>3714.8463780623101</v>
      </c>
      <c r="G464" s="47">
        <v>8085.19346395906</v>
      </c>
    </row>
    <row r="465" spans="2:7" x14ac:dyDescent="0.25">
      <c r="B465" s="49"/>
      <c r="C465" s="89"/>
      <c r="D465" s="89"/>
      <c r="E465" s="47">
        <v>1881.1938210430301</v>
      </c>
      <c r="F465" s="47">
        <v>3717.34600612856</v>
      </c>
      <c r="G465" s="47">
        <v>8142.6465219513602</v>
      </c>
    </row>
    <row r="466" spans="2:7" x14ac:dyDescent="0.25">
      <c r="B466" s="49"/>
      <c r="C466" s="89"/>
      <c r="D466" s="89"/>
      <c r="E466" s="47">
        <v>1900.7295752023899</v>
      </c>
      <c r="F466" s="47">
        <v>3719.1244589329699</v>
      </c>
      <c r="G466" s="47">
        <v>8190.6849871454797</v>
      </c>
    </row>
    <row r="467" spans="2:7" x14ac:dyDescent="0.25">
      <c r="B467" s="49"/>
      <c r="C467" s="89"/>
      <c r="D467" s="89"/>
      <c r="E467" s="47">
        <v>1924.6643084562199</v>
      </c>
      <c r="F467" s="47">
        <v>3720.3370410286998</v>
      </c>
      <c r="G467" s="47">
        <v>8232.4623041429295</v>
      </c>
    </row>
    <row r="468" spans="2:7" x14ac:dyDescent="0.25">
      <c r="B468" s="49"/>
      <c r="C468" s="89"/>
      <c r="D468" s="89"/>
      <c r="E468" s="47">
        <v>1953.4687242152199</v>
      </c>
      <c r="F468" s="47">
        <v>3721.0849262946599</v>
      </c>
      <c r="G468" s="47">
        <v>8270.1668916117706</v>
      </c>
    </row>
    <row r="469" spans="2:7" x14ac:dyDescent="0.25">
      <c r="B469" s="49"/>
      <c r="C469" s="89"/>
      <c r="D469" s="89"/>
      <c r="E469" s="47">
        <v>1987.6080835462801</v>
      </c>
      <c r="F469" s="47">
        <v>3721.4346843461199</v>
      </c>
      <c r="G469" s="47">
        <v>8305.3708602464994</v>
      </c>
    </row>
    <row r="470" spans="2:7" x14ac:dyDescent="0.25">
      <c r="B470" s="49"/>
      <c r="C470" s="89">
        <v>-10</v>
      </c>
      <c r="D470" s="89">
        <v>200</v>
      </c>
      <c r="E470" s="47">
        <v>1749.9966246960901</v>
      </c>
      <c r="F470" s="47">
        <v>671.90342157357895</v>
      </c>
      <c r="G470" s="47">
        <v>4583.2819882669801</v>
      </c>
    </row>
    <row r="471" spans="2:7" x14ac:dyDescent="0.25">
      <c r="B471" s="49"/>
      <c r="C471" s="89"/>
      <c r="D471" s="89"/>
      <c r="E471" s="47">
        <v>1759.0605536194</v>
      </c>
      <c r="F471" s="47">
        <v>671.992595538459</v>
      </c>
      <c r="G471" s="47">
        <v>4600.4986224895601</v>
      </c>
    </row>
    <row r="472" spans="2:7" x14ac:dyDescent="0.25">
      <c r="B472" s="49"/>
      <c r="C472" s="89"/>
      <c r="D472" s="89"/>
      <c r="E472" s="47">
        <v>1769.1640479883599</v>
      </c>
      <c r="F472" s="47">
        <v>672.05520609096095</v>
      </c>
      <c r="G472" s="47">
        <v>4615.77595534186</v>
      </c>
    </row>
    <row r="473" spans="2:7" x14ac:dyDescent="0.25">
      <c r="B473" s="49"/>
      <c r="C473" s="89"/>
      <c r="D473" s="89"/>
      <c r="E473" s="47">
        <v>1780.30710780295</v>
      </c>
      <c r="F473" s="47">
        <v>672.09125323108503</v>
      </c>
      <c r="G473" s="47">
        <v>4629.1139868238897</v>
      </c>
    </row>
    <row r="474" spans="2:7" x14ac:dyDescent="0.25">
      <c r="B474" s="49"/>
      <c r="C474" s="89"/>
      <c r="D474" s="89"/>
      <c r="E474" s="47">
        <v>1793.9481103083799</v>
      </c>
      <c r="F474" s="47">
        <v>672.08573242868397</v>
      </c>
      <c r="G474" s="47">
        <v>4640.1604870128904</v>
      </c>
    </row>
    <row r="475" spans="2:7" x14ac:dyDescent="0.25">
      <c r="B475" s="49"/>
      <c r="C475" s="89"/>
      <c r="D475" s="89"/>
      <c r="E475" s="47">
        <v>1809.02697495559</v>
      </c>
      <c r="F475" s="47">
        <v>672.06283657755102</v>
      </c>
      <c r="G475" s="47">
        <v>4650.5849900438698</v>
      </c>
    </row>
    <row r="476" spans="2:7" x14ac:dyDescent="0.25">
      <c r="B476" s="49"/>
      <c r="C476" s="89"/>
      <c r="D476" s="89"/>
      <c r="E476" s="47">
        <v>1825.5437017445799</v>
      </c>
      <c r="F476" s="47">
        <v>672.022565677687</v>
      </c>
      <c r="G476" s="47">
        <v>4660.3874959168297</v>
      </c>
    </row>
    <row r="477" spans="2:7" x14ac:dyDescent="0.25">
      <c r="B477" s="49"/>
      <c r="C477" s="89"/>
      <c r="D477" s="89"/>
      <c r="E477" s="47">
        <v>1845.2907968206</v>
      </c>
      <c r="F477" s="47">
        <v>671.95153549159795</v>
      </c>
      <c r="G477" s="47">
        <v>4669.6730208421104</v>
      </c>
    </row>
    <row r="478" spans="2:7" x14ac:dyDescent="0.25">
      <c r="B478" s="49"/>
      <c r="C478" s="89"/>
      <c r="D478" s="89"/>
      <c r="E478" s="47">
        <v>1866.8230454122599</v>
      </c>
      <c r="F478" s="47">
        <v>671.86625017176402</v>
      </c>
      <c r="G478" s="47">
        <v>4678.9646190742296</v>
      </c>
    </row>
    <row r="479" spans="2:7" x14ac:dyDescent="0.25">
      <c r="B479" s="49"/>
      <c r="C479" s="89"/>
      <c r="D479" s="89"/>
      <c r="E479" s="47">
        <v>1890.14044751956</v>
      </c>
      <c r="F479" s="47">
        <v>671.76670971818203</v>
      </c>
      <c r="G479" s="47">
        <v>4688.2622906131601</v>
      </c>
    </row>
    <row r="480" spans="2:7" x14ac:dyDescent="0.25">
      <c r="B480" s="49"/>
      <c r="C480" s="89"/>
      <c r="D480" s="89">
        <v>300</v>
      </c>
      <c r="E480" s="47">
        <v>1740.5609417077501</v>
      </c>
      <c r="F480" s="47">
        <v>995.36528306718196</v>
      </c>
      <c r="G480" s="47">
        <v>4725.7850346663599</v>
      </c>
    </row>
    <row r="481" spans="2:7" x14ac:dyDescent="0.25">
      <c r="B481" s="49"/>
      <c r="C481" s="89"/>
      <c r="D481" s="89"/>
      <c r="E481" s="47">
        <v>1750.52652481365</v>
      </c>
      <c r="F481" s="47">
        <v>996.59638555137701</v>
      </c>
      <c r="G481" s="47">
        <v>4821.56290528103</v>
      </c>
    </row>
    <row r="482" spans="2:7" x14ac:dyDescent="0.25">
      <c r="B482" s="49"/>
      <c r="C482" s="89"/>
      <c r="D482" s="89"/>
      <c r="E482" s="47">
        <v>1760.3398590510401</v>
      </c>
      <c r="F482" s="47">
        <v>997.34225959301898</v>
      </c>
      <c r="G482" s="47">
        <v>4882.8023430988997</v>
      </c>
    </row>
    <row r="483" spans="2:7" x14ac:dyDescent="0.25">
      <c r="B483" s="49"/>
      <c r="C483" s="89"/>
      <c r="D483" s="89"/>
      <c r="E483" s="47">
        <v>1771.57997204771</v>
      </c>
      <c r="F483" s="47">
        <v>997.80726681318697</v>
      </c>
      <c r="G483" s="47">
        <v>4925.3448146651399</v>
      </c>
    </row>
    <row r="484" spans="2:7" x14ac:dyDescent="0.25">
      <c r="B484" s="49"/>
      <c r="C484" s="89"/>
      <c r="D484" s="89"/>
      <c r="E484" s="47">
        <v>1785.2156796603799</v>
      </c>
      <c r="F484" s="47">
        <v>998.08793680885606</v>
      </c>
      <c r="G484" s="47">
        <v>4956.8615967250998</v>
      </c>
    </row>
    <row r="485" spans="2:7" x14ac:dyDescent="0.25">
      <c r="B485" s="49"/>
      <c r="C485" s="89"/>
      <c r="D485" s="89"/>
      <c r="E485" s="47">
        <v>1801.9760542658601</v>
      </c>
      <c r="F485" s="47">
        <v>998.235672463539</v>
      </c>
      <c r="G485" s="47">
        <v>4981.6188785951499</v>
      </c>
    </row>
    <row r="486" spans="2:7" x14ac:dyDescent="0.25">
      <c r="B486" s="49"/>
      <c r="C486" s="89"/>
      <c r="D486" s="89"/>
      <c r="E486" s="47">
        <v>1822.48565339165</v>
      </c>
      <c r="F486" s="47">
        <v>998.28053582332495</v>
      </c>
      <c r="G486" s="47">
        <v>5002.2805283012804</v>
      </c>
    </row>
    <row r="487" spans="2:7" x14ac:dyDescent="0.25">
      <c r="B487" s="49"/>
      <c r="C487" s="89"/>
      <c r="D487" s="89"/>
      <c r="E487" s="47">
        <v>1847.29455413709</v>
      </c>
      <c r="F487" s="47">
        <v>998.23935549306202</v>
      </c>
      <c r="G487" s="47">
        <v>5020.5081115949597</v>
      </c>
    </row>
    <row r="488" spans="2:7" x14ac:dyDescent="0.25">
      <c r="B488" s="49"/>
      <c r="C488" s="89"/>
      <c r="D488" s="89"/>
      <c r="E488" s="47">
        <v>1876.93068655143</v>
      </c>
      <c r="F488" s="47">
        <v>998.12278066268402</v>
      </c>
      <c r="G488" s="47">
        <v>5037.5065334013798</v>
      </c>
    </row>
    <row r="489" spans="2:7" x14ac:dyDescent="0.25">
      <c r="B489" s="49"/>
      <c r="C489" s="89"/>
      <c r="D489" s="89"/>
      <c r="E489" s="47">
        <v>1911.8998609026501</v>
      </c>
      <c r="F489" s="47">
        <v>997.93708302258597</v>
      </c>
      <c r="G489" s="47">
        <v>5054.1514122437002</v>
      </c>
    </row>
    <row r="490" spans="2:7" x14ac:dyDescent="0.25">
      <c r="B490" s="49"/>
      <c r="C490" s="89"/>
      <c r="D490" s="89">
        <v>400</v>
      </c>
      <c r="E490" s="47">
        <v>1759.9926464764201</v>
      </c>
      <c r="F490" s="47">
        <v>1313.56650300162</v>
      </c>
      <c r="G490" s="47">
        <v>5055.8373877064996</v>
      </c>
    </row>
    <row r="491" spans="2:7" x14ac:dyDescent="0.25">
      <c r="B491" s="49"/>
      <c r="C491" s="89"/>
      <c r="D491" s="89"/>
      <c r="E491" s="47">
        <v>1769.55496695036</v>
      </c>
      <c r="F491" s="47">
        <v>1315.4131683829401</v>
      </c>
      <c r="G491" s="47">
        <v>5162.1289192230197</v>
      </c>
    </row>
    <row r="492" spans="2:7" x14ac:dyDescent="0.25">
      <c r="B492" s="49"/>
      <c r="C492" s="89"/>
      <c r="D492" s="89"/>
      <c r="E492" s="47">
        <v>1779.1515938367199</v>
      </c>
      <c r="F492" s="47">
        <v>1316.55724990621</v>
      </c>
      <c r="G492" s="47">
        <v>5231.1021135024303</v>
      </c>
    </row>
    <row r="493" spans="2:7" x14ac:dyDescent="0.25">
      <c r="B493" s="49"/>
      <c r="C493" s="89"/>
      <c r="D493" s="89"/>
      <c r="E493" s="47">
        <v>1790.2836094756699</v>
      </c>
      <c r="F493" s="47">
        <v>1317.2962550889199</v>
      </c>
      <c r="G493" s="47">
        <v>5279.8547815448901</v>
      </c>
    </row>
    <row r="494" spans="2:7" x14ac:dyDescent="0.25">
      <c r="B494" s="49"/>
      <c r="C494" s="89"/>
      <c r="D494" s="89"/>
      <c r="E494" s="47">
        <v>1803.8620747268501</v>
      </c>
      <c r="F494" s="47">
        <v>1317.7693053288001</v>
      </c>
      <c r="G494" s="47">
        <v>5316.5582928131198</v>
      </c>
    </row>
    <row r="495" spans="2:7" x14ac:dyDescent="0.25">
      <c r="B495" s="49"/>
      <c r="C495" s="89"/>
      <c r="D495" s="89"/>
      <c r="E495" s="47">
        <v>1820.5913784926699</v>
      </c>
      <c r="F495" s="47">
        <v>1318.0508677970499</v>
      </c>
      <c r="G495" s="47">
        <v>5345.7709469973297</v>
      </c>
    </row>
    <row r="496" spans="2:7" x14ac:dyDescent="0.25">
      <c r="B496" s="49"/>
      <c r="C496" s="89"/>
      <c r="D496" s="89"/>
      <c r="E496" s="47">
        <v>1841.07306690256</v>
      </c>
      <c r="F496" s="47">
        <v>1318.18375238056</v>
      </c>
      <c r="G496" s="47">
        <v>5370.2804577737497</v>
      </c>
    </row>
    <row r="497" spans="2:7" x14ac:dyDescent="0.25">
      <c r="B497" s="49"/>
      <c r="C497" s="89"/>
      <c r="D497" s="89"/>
      <c r="E497" s="47">
        <v>1865.8662774325801</v>
      </c>
      <c r="F497" s="47">
        <v>1318.19470006392</v>
      </c>
      <c r="G497" s="47">
        <v>5391.9842998455697</v>
      </c>
    </row>
    <row r="498" spans="2:7" x14ac:dyDescent="0.25">
      <c r="B498" s="49"/>
      <c r="C498" s="89"/>
      <c r="D498" s="89"/>
      <c r="E498" s="47">
        <v>1895.47163769179</v>
      </c>
      <c r="F498" s="47">
        <v>1318.0973995532199</v>
      </c>
      <c r="G498" s="47">
        <v>5412.03636115887</v>
      </c>
    </row>
    <row r="499" spans="2:7" x14ac:dyDescent="0.25">
      <c r="B499" s="49"/>
      <c r="C499" s="89"/>
      <c r="D499" s="89"/>
      <c r="E499" s="47">
        <v>1930.3996581967899</v>
      </c>
      <c r="F499" s="47">
        <v>1317.90267955678</v>
      </c>
      <c r="G499" s="47">
        <v>5431.4469641009</v>
      </c>
    </row>
    <row r="500" spans="2:7" x14ac:dyDescent="0.25">
      <c r="B500" s="49"/>
      <c r="C500" s="89"/>
      <c r="D500" s="89">
        <v>500</v>
      </c>
      <c r="E500" s="47">
        <v>1786.40263868477</v>
      </c>
      <c r="F500" s="47">
        <v>1628.1064553546701</v>
      </c>
      <c r="G500" s="47">
        <v>5524.7974175326299</v>
      </c>
    </row>
    <row r="501" spans="2:7" x14ac:dyDescent="0.25">
      <c r="B501" s="49"/>
      <c r="C501" s="89"/>
      <c r="D501" s="89"/>
      <c r="E501" s="47">
        <v>1794.67592267846</v>
      </c>
      <c r="F501" s="47">
        <v>1629.5498933717399</v>
      </c>
      <c r="G501" s="47">
        <v>5593.1792432044404</v>
      </c>
    </row>
    <row r="502" spans="2:7" x14ac:dyDescent="0.25">
      <c r="B502" s="49"/>
      <c r="C502" s="89"/>
      <c r="D502" s="89"/>
      <c r="E502" s="47">
        <v>1804.2040485381101</v>
      </c>
      <c r="F502" s="47">
        <v>1630.55892079572</v>
      </c>
      <c r="G502" s="47">
        <v>5644.16753157521</v>
      </c>
    </row>
    <row r="503" spans="2:7" x14ac:dyDescent="0.25">
      <c r="B503" s="49"/>
      <c r="C503" s="89"/>
      <c r="D503" s="89"/>
      <c r="E503" s="47">
        <v>1815.5795106543101</v>
      </c>
      <c r="F503" s="47">
        <v>1631.2634646491899</v>
      </c>
      <c r="G503" s="47">
        <v>5683.7898250323497</v>
      </c>
    </row>
    <row r="504" spans="2:7" x14ac:dyDescent="0.25">
      <c r="B504" s="49"/>
      <c r="C504" s="89"/>
      <c r="D504" s="89"/>
      <c r="E504" s="47">
        <v>1829.28299706845</v>
      </c>
      <c r="F504" s="47">
        <v>1631.7436202517199</v>
      </c>
      <c r="G504" s="47">
        <v>5715.85993535533</v>
      </c>
    </row>
    <row r="505" spans="2:7" x14ac:dyDescent="0.25">
      <c r="B505" s="49"/>
      <c r="C505" s="89"/>
      <c r="D505" s="89"/>
      <c r="E505" s="47">
        <v>1845.7255471973201</v>
      </c>
      <c r="F505" s="47">
        <v>1632.0487911140899</v>
      </c>
      <c r="G505" s="47">
        <v>5742.8275099147704</v>
      </c>
    </row>
    <row r="506" spans="2:7" x14ac:dyDescent="0.25">
      <c r="B506" s="49"/>
      <c r="C506" s="89"/>
      <c r="D506" s="89"/>
      <c r="E506" s="47">
        <v>1865.2803045911601</v>
      </c>
      <c r="F506" s="47">
        <v>1632.2105107638499</v>
      </c>
      <c r="G506" s="47">
        <v>5766.3503166842602</v>
      </c>
    </row>
    <row r="507" spans="2:7" x14ac:dyDescent="0.25">
      <c r="B507" s="49"/>
      <c r="C507" s="89"/>
      <c r="D507" s="89"/>
      <c r="E507" s="47">
        <v>1888.3005526551101</v>
      </c>
      <c r="F507" s="47">
        <v>1632.24979693762</v>
      </c>
      <c r="G507" s="47">
        <v>5787.6223298275199</v>
      </c>
    </row>
    <row r="508" spans="2:7" x14ac:dyDescent="0.25">
      <c r="B508" s="49"/>
      <c r="C508" s="89"/>
      <c r="D508" s="89"/>
      <c r="E508" s="47">
        <v>1915.12639484648</v>
      </c>
      <c r="F508" s="47">
        <v>1632.1807027357499</v>
      </c>
      <c r="G508" s="47">
        <v>5807.5303281413298</v>
      </c>
    </row>
    <row r="509" spans="2:7" x14ac:dyDescent="0.25">
      <c r="B509" s="49"/>
      <c r="C509" s="89"/>
      <c r="D509" s="89"/>
      <c r="E509" s="47">
        <v>1946.08811444193</v>
      </c>
      <c r="F509" s="47">
        <v>1632.01254349484</v>
      </c>
      <c r="G509" s="47">
        <v>5826.7513491522504</v>
      </c>
    </row>
    <row r="510" spans="2:7" x14ac:dyDescent="0.25">
      <c r="B510" s="49"/>
      <c r="C510" s="89"/>
      <c r="D510" s="89">
        <v>600</v>
      </c>
      <c r="E510" s="47">
        <v>1791.89364799591</v>
      </c>
      <c r="F510" s="47">
        <v>1931.16740712776</v>
      </c>
      <c r="G510" s="47">
        <v>5765.4833849367797</v>
      </c>
    </row>
    <row r="511" spans="2:7" x14ac:dyDescent="0.25">
      <c r="B511" s="49"/>
      <c r="C511" s="89"/>
      <c r="D511" s="89"/>
      <c r="E511" s="47">
        <v>1800.5218190569501</v>
      </c>
      <c r="F511" s="47">
        <v>1934.6692603563299</v>
      </c>
      <c r="G511" s="47">
        <v>5896.7960444601804</v>
      </c>
    </row>
    <row r="512" spans="2:7" x14ac:dyDescent="0.25">
      <c r="B512" s="49"/>
      <c r="C512" s="89"/>
      <c r="D512" s="89"/>
      <c r="E512" s="47">
        <v>1809.5127627275899</v>
      </c>
      <c r="F512" s="47">
        <v>1936.8760025352501</v>
      </c>
      <c r="G512" s="47">
        <v>5982.5613955359504</v>
      </c>
    </row>
    <row r="513" spans="2:7" x14ac:dyDescent="0.25">
      <c r="B513" s="49"/>
      <c r="C513" s="89"/>
      <c r="D513" s="89"/>
      <c r="E513" s="47">
        <v>1820.2125599875801</v>
      </c>
      <c r="F513" s="47">
        <v>1938.3422078439401</v>
      </c>
      <c r="G513" s="47">
        <v>6043.5652497601704</v>
      </c>
    </row>
    <row r="514" spans="2:7" x14ac:dyDescent="0.25">
      <c r="B514" s="49"/>
      <c r="C514" s="89"/>
      <c r="D514" s="89"/>
      <c r="E514" s="47">
        <v>1833.4676518630899</v>
      </c>
      <c r="F514" s="47">
        <v>1939.32908129765</v>
      </c>
      <c r="G514" s="47">
        <v>6089.7768500755501</v>
      </c>
    </row>
    <row r="515" spans="2:7" x14ac:dyDescent="0.25">
      <c r="B515" s="49"/>
      <c r="C515" s="89"/>
      <c r="D515" s="89"/>
      <c r="E515" s="47">
        <v>1849.93891213753</v>
      </c>
      <c r="F515" s="47">
        <v>1939.97628034438</v>
      </c>
      <c r="G515" s="47">
        <v>6126.7032588885704</v>
      </c>
    </row>
    <row r="516" spans="2:7" x14ac:dyDescent="0.25">
      <c r="B516" s="49"/>
      <c r="C516" s="89"/>
      <c r="D516" s="89"/>
      <c r="E516" s="47">
        <v>1870.1994567202401</v>
      </c>
      <c r="F516" s="47">
        <v>1940.3642371632</v>
      </c>
      <c r="G516" s="47">
        <v>6157.6796925236304</v>
      </c>
    </row>
    <row r="517" spans="2:7" x14ac:dyDescent="0.25">
      <c r="B517" s="49"/>
      <c r="C517" s="89"/>
      <c r="D517" s="89"/>
      <c r="E517" s="47">
        <v>1894.7807228209999</v>
      </c>
      <c r="F517" s="47">
        <v>1940.5422509795201</v>
      </c>
      <c r="G517" s="47">
        <v>6184.90370109798</v>
      </c>
    </row>
    <row r="518" spans="2:7" x14ac:dyDescent="0.25">
      <c r="B518" s="49"/>
      <c r="C518" s="89"/>
      <c r="D518" s="89"/>
      <c r="E518" s="47">
        <v>1924.1897234016701</v>
      </c>
      <c r="F518" s="47">
        <v>1940.5418058739699</v>
      </c>
      <c r="G518" s="47">
        <v>6209.9213140373404</v>
      </c>
    </row>
    <row r="519" spans="2:7" x14ac:dyDescent="0.25">
      <c r="B519" s="49"/>
      <c r="C519" s="89"/>
      <c r="D519" s="89"/>
      <c r="E519" s="47">
        <v>1958.91423244409</v>
      </c>
      <c r="F519" s="47">
        <v>1940.3812249556199</v>
      </c>
      <c r="G519" s="47">
        <v>6233.7961734719902</v>
      </c>
    </row>
    <row r="520" spans="2:7" x14ac:dyDescent="0.25">
      <c r="B520" s="49"/>
      <c r="C520" s="89"/>
      <c r="D520" s="89">
        <v>700</v>
      </c>
      <c r="E520" s="47">
        <v>1804.1539017400801</v>
      </c>
      <c r="F520" s="47">
        <v>2230.80500366249</v>
      </c>
      <c r="G520" s="47">
        <v>6136.1500806101503</v>
      </c>
    </row>
    <row r="521" spans="2:7" x14ac:dyDescent="0.25">
      <c r="B521" s="49"/>
      <c r="C521" s="89"/>
      <c r="D521" s="89"/>
      <c r="E521" s="47">
        <v>1812.2207648753599</v>
      </c>
      <c r="F521" s="47">
        <v>2235.3380314773399</v>
      </c>
      <c r="G521" s="47">
        <v>6280.5129729465898</v>
      </c>
    </row>
    <row r="522" spans="2:7" x14ac:dyDescent="0.25">
      <c r="B522" s="49"/>
      <c r="C522" s="89"/>
      <c r="D522" s="89"/>
      <c r="E522" s="47">
        <v>1820.8401980051401</v>
      </c>
      <c r="F522" s="47">
        <v>2238.21065324034</v>
      </c>
      <c r="G522" s="47">
        <v>6374.9728845494201</v>
      </c>
    </row>
    <row r="523" spans="2:7" x14ac:dyDescent="0.25">
      <c r="B523" s="49"/>
      <c r="C523" s="89"/>
      <c r="D523" s="89"/>
      <c r="E523" s="47">
        <v>1831.27460452844</v>
      </c>
      <c r="F523" s="47">
        <v>2240.1388171109202</v>
      </c>
      <c r="G523" s="47">
        <v>6442.3286066833198</v>
      </c>
    </row>
    <row r="524" spans="2:7" x14ac:dyDescent="0.25">
      <c r="B524" s="49"/>
      <c r="C524" s="89"/>
      <c r="D524" s="89"/>
      <c r="E524" s="47">
        <v>1844.3309941827899</v>
      </c>
      <c r="F524" s="47">
        <v>2241.46034953344</v>
      </c>
      <c r="G524" s="47">
        <v>6493.5160847460802</v>
      </c>
    </row>
    <row r="525" spans="2:7" x14ac:dyDescent="0.25">
      <c r="B525" s="49"/>
      <c r="C525" s="89"/>
      <c r="D525" s="89"/>
      <c r="E525" s="47">
        <v>1860.6420706737099</v>
      </c>
      <c r="F525" s="47">
        <v>2242.3535890216299</v>
      </c>
      <c r="G525" s="47">
        <v>6534.4836324678899</v>
      </c>
    </row>
    <row r="526" spans="2:7" x14ac:dyDescent="0.25">
      <c r="B526" s="49"/>
      <c r="C526" s="89"/>
      <c r="D526" s="89"/>
      <c r="E526" s="47">
        <v>1880.7673291184301</v>
      </c>
      <c r="F526" s="47">
        <v>2242.92234572397</v>
      </c>
      <c r="G526" s="47">
        <v>6568.8562745384397</v>
      </c>
    </row>
    <row r="527" spans="2:7" x14ac:dyDescent="0.25">
      <c r="B527" s="49"/>
      <c r="C527" s="89"/>
      <c r="D527" s="89"/>
      <c r="E527" s="47">
        <v>1905.2251338482999</v>
      </c>
      <c r="F527" s="47">
        <v>2243.2299960012601</v>
      </c>
      <c r="G527" s="47">
        <v>6598.9973133517597</v>
      </c>
    </row>
    <row r="528" spans="2:7" x14ac:dyDescent="0.25">
      <c r="B528" s="49"/>
      <c r="C528" s="89"/>
      <c r="D528" s="89"/>
      <c r="E528" s="47">
        <v>1934.51460617923</v>
      </c>
      <c r="F528" s="47">
        <v>2243.31663742618</v>
      </c>
      <c r="G528" s="47">
        <v>6626.54763898288</v>
      </c>
    </row>
    <row r="529" spans="2:7" x14ac:dyDescent="0.25">
      <c r="B529" s="49"/>
      <c r="C529" s="89"/>
      <c r="D529" s="89"/>
      <c r="E529" s="47">
        <v>1969.1208214307301</v>
      </c>
      <c r="F529" s="47">
        <v>2243.2077924815999</v>
      </c>
      <c r="G529" s="47">
        <v>6652.6940346452802</v>
      </c>
    </row>
    <row r="530" spans="2:7" x14ac:dyDescent="0.25">
      <c r="B530" s="49"/>
      <c r="C530" s="89"/>
      <c r="D530" s="89">
        <v>800</v>
      </c>
      <c r="E530" s="47">
        <v>1814.11272888496</v>
      </c>
      <c r="F530" s="47">
        <v>2524.44458955132</v>
      </c>
      <c r="G530" s="47">
        <v>6514.0639617008301</v>
      </c>
    </row>
    <row r="531" spans="2:7" x14ac:dyDescent="0.25">
      <c r="B531" s="49"/>
      <c r="C531" s="89"/>
      <c r="D531" s="89"/>
      <c r="E531" s="47">
        <v>1821.60154393113</v>
      </c>
      <c r="F531" s="47">
        <v>2530.2036090960601</v>
      </c>
      <c r="G531" s="47">
        <v>6673.2364207764904</v>
      </c>
    </row>
    <row r="532" spans="2:7" x14ac:dyDescent="0.25">
      <c r="B532" s="49"/>
      <c r="C532" s="89"/>
      <c r="D532" s="89"/>
      <c r="E532" s="47">
        <v>1829.8394135173701</v>
      </c>
      <c r="F532" s="47">
        <v>2533.8701986259298</v>
      </c>
      <c r="G532" s="47">
        <v>6777.5193515928204</v>
      </c>
    </row>
    <row r="533" spans="2:7" x14ac:dyDescent="0.25">
      <c r="B533" s="49"/>
      <c r="C533" s="89"/>
      <c r="D533" s="89"/>
      <c r="E533" s="47">
        <v>1839.99794814608</v>
      </c>
      <c r="F533" s="47">
        <v>2536.3490313624802</v>
      </c>
      <c r="G533" s="47">
        <v>6851.9209376528797</v>
      </c>
    </row>
    <row r="534" spans="2:7" x14ac:dyDescent="0.25">
      <c r="B534" s="49"/>
      <c r="C534" s="89"/>
      <c r="D534" s="89"/>
      <c r="E534" s="47">
        <v>1852.8413133024201</v>
      </c>
      <c r="F534" s="47">
        <v>2538.06758225678</v>
      </c>
      <c r="G534" s="47">
        <v>6908.4354653858099</v>
      </c>
    </row>
    <row r="535" spans="2:7" x14ac:dyDescent="0.25">
      <c r="B535" s="49"/>
      <c r="C535" s="89"/>
      <c r="D535" s="89"/>
      <c r="E535" s="47">
        <v>1868.9809821854899</v>
      </c>
      <c r="F535" s="47">
        <v>2539.2564743448602</v>
      </c>
      <c r="G535" s="47">
        <v>6953.7026278938401</v>
      </c>
    </row>
    <row r="536" spans="2:7" x14ac:dyDescent="0.25">
      <c r="B536" s="49"/>
      <c r="C536" s="89"/>
      <c r="D536" s="89"/>
      <c r="E536" s="47">
        <v>1888.9595112575801</v>
      </c>
      <c r="F536" s="47">
        <v>2540.0458375336102</v>
      </c>
      <c r="G536" s="47">
        <v>6991.6367224692403</v>
      </c>
    </row>
    <row r="537" spans="2:7" x14ac:dyDescent="0.25">
      <c r="B537" s="49"/>
      <c r="C537" s="89"/>
      <c r="D537" s="89"/>
      <c r="E537" s="47">
        <v>1913.2863481965001</v>
      </c>
      <c r="F537" s="47">
        <v>2540.51639145219</v>
      </c>
      <c r="G537" s="47">
        <v>7024.8127279663804</v>
      </c>
    </row>
    <row r="538" spans="2:7" x14ac:dyDescent="0.25">
      <c r="B538" s="49"/>
      <c r="C538" s="89"/>
      <c r="D538" s="89"/>
      <c r="E538" s="47">
        <v>1942.45191695724</v>
      </c>
      <c r="F538" s="47">
        <v>2540.7194672020601</v>
      </c>
      <c r="G538" s="47">
        <v>7055.0096185728598</v>
      </c>
    </row>
    <row r="539" spans="2:7" x14ac:dyDescent="0.25">
      <c r="B539" s="49"/>
      <c r="C539" s="89"/>
      <c r="D539" s="89"/>
      <c r="E539" s="47">
        <v>1976.9367497804201</v>
      </c>
      <c r="F539" s="47">
        <v>2540.6882911513999</v>
      </c>
      <c r="G539" s="47">
        <v>7083.5176376087802</v>
      </c>
    </row>
    <row r="540" spans="2:7" x14ac:dyDescent="0.25">
      <c r="B540" s="49"/>
      <c r="C540" s="89"/>
      <c r="D540" s="89">
        <v>900</v>
      </c>
      <c r="E540" s="47">
        <v>1822.0577837886201</v>
      </c>
      <c r="F540" s="47">
        <v>2812.3848090010301</v>
      </c>
      <c r="G540" s="47">
        <v>6903.4132932702196</v>
      </c>
    </row>
    <row r="541" spans="2:7" x14ac:dyDescent="0.25">
      <c r="B541" s="49"/>
      <c r="C541" s="89"/>
      <c r="D541" s="89"/>
      <c r="E541" s="47">
        <v>1828.9108080153501</v>
      </c>
      <c r="F541" s="47">
        <v>2819.5010233153998</v>
      </c>
      <c r="G541" s="47">
        <v>7077.0276440676198</v>
      </c>
    </row>
    <row r="542" spans="2:7" x14ac:dyDescent="0.25">
      <c r="B542" s="49"/>
      <c r="C542" s="89"/>
      <c r="D542" s="89"/>
      <c r="E542" s="47">
        <v>1836.72774677899</v>
      </c>
      <c r="F542" s="47">
        <v>2824.0473108988399</v>
      </c>
      <c r="G542" s="47">
        <v>7190.8586216593903</v>
      </c>
    </row>
    <row r="543" spans="2:7" x14ac:dyDescent="0.25">
      <c r="B543" s="49"/>
      <c r="C543" s="89"/>
      <c r="D543" s="89"/>
      <c r="E543" s="47">
        <v>1846.5853386875301</v>
      </c>
      <c r="F543" s="47">
        <v>2827.1430302426102</v>
      </c>
      <c r="G543" s="47">
        <v>7272.2225735619204</v>
      </c>
    </row>
    <row r="544" spans="2:7" x14ac:dyDescent="0.25">
      <c r="B544" s="49"/>
      <c r="C544" s="89"/>
      <c r="D544" s="89"/>
      <c r="E544" s="47">
        <v>1859.1997342066099</v>
      </c>
      <c r="F544" s="47">
        <v>2829.3133339043602</v>
      </c>
      <c r="G544" s="47">
        <v>7334.1128730647197</v>
      </c>
    </row>
    <row r="545" spans="2:7" x14ac:dyDescent="0.25">
      <c r="B545" s="49"/>
      <c r="C545" s="89"/>
      <c r="D545" s="89"/>
      <c r="E545" s="47">
        <v>1875.1539748300299</v>
      </c>
      <c r="F545" s="47">
        <v>2830.8395656849898</v>
      </c>
      <c r="G545" s="47">
        <v>7383.6593863327698</v>
      </c>
    </row>
    <row r="546" spans="2:7" x14ac:dyDescent="0.25">
      <c r="B546" s="49"/>
      <c r="C546" s="89"/>
      <c r="D546" s="89"/>
      <c r="E546" s="47">
        <v>1894.97509770136</v>
      </c>
      <c r="F546" s="47">
        <v>2831.88706594836</v>
      </c>
      <c r="G546" s="47">
        <v>7425.20874084139</v>
      </c>
    </row>
    <row r="547" spans="2:7" x14ac:dyDescent="0.25">
      <c r="B547" s="49"/>
      <c r="C547" s="89"/>
      <c r="D547" s="89"/>
      <c r="E547" s="47">
        <v>1919.16163824976</v>
      </c>
      <c r="F547" s="47">
        <v>2832.5535230661999</v>
      </c>
      <c r="G547" s="47">
        <v>7461.4881518360498</v>
      </c>
    </row>
    <row r="548" spans="2:7" x14ac:dyDescent="0.25">
      <c r="B548" s="49"/>
      <c r="C548" s="89"/>
      <c r="D548" s="89"/>
      <c r="E548" s="47">
        <v>1948.19713185039</v>
      </c>
      <c r="F548" s="47">
        <v>2832.9027388383502</v>
      </c>
      <c r="G548" s="47">
        <v>7494.4130280023901</v>
      </c>
    </row>
    <row r="549" spans="2:7" x14ac:dyDescent="0.25">
      <c r="B549" s="49"/>
      <c r="C549" s="89"/>
      <c r="D549" s="89"/>
      <c r="E549" s="47">
        <v>1982.5561174299301</v>
      </c>
      <c r="F549" s="47">
        <v>2832.9763651175899</v>
      </c>
      <c r="G549" s="47">
        <v>7525.3688693445401</v>
      </c>
    </row>
    <row r="550" spans="2:7" x14ac:dyDescent="0.25">
      <c r="B550" s="49"/>
      <c r="C550" s="89"/>
      <c r="D550" s="89">
        <v>1000</v>
      </c>
      <c r="E550" s="47">
        <v>1828.07657387569</v>
      </c>
      <c r="F550" s="47">
        <v>3094.6017760270202</v>
      </c>
      <c r="G550" s="47">
        <v>7299.7960371704803</v>
      </c>
    </row>
    <row r="551" spans="2:7" x14ac:dyDescent="0.25">
      <c r="B551" s="49"/>
      <c r="C551" s="89"/>
      <c r="D551" s="89"/>
      <c r="E551" s="47">
        <v>1834.2823783111701</v>
      </c>
      <c r="F551" s="47">
        <v>3103.3045140242598</v>
      </c>
      <c r="G551" s="47">
        <v>7489.7015072958902</v>
      </c>
    </row>
    <row r="552" spans="2:7" x14ac:dyDescent="0.25">
      <c r="B552" s="49"/>
      <c r="C552" s="89"/>
      <c r="D552" s="89"/>
      <c r="E552" s="47">
        <v>1841.6666376486</v>
      </c>
      <c r="F552" s="47">
        <v>3108.8800821263299</v>
      </c>
      <c r="G552" s="47">
        <v>7614.2561032283502</v>
      </c>
    </row>
    <row r="553" spans="2:7" x14ac:dyDescent="0.25">
      <c r="B553" s="49"/>
      <c r="C553" s="89"/>
      <c r="D553" s="89"/>
      <c r="E553" s="47">
        <v>1851.21004015736</v>
      </c>
      <c r="F553" s="47">
        <v>3112.69529580874</v>
      </c>
      <c r="G553" s="47">
        <v>7703.2994068462604</v>
      </c>
    </row>
    <row r="554" spans="2:7" x14ac:dyDescent="0.25">
      <c r="B554" s="49"/>
      <c r="C554" s="89"/>
      <c r="D554" s="89"/>
      <c r="E554" s="47">
        <v>1863.58287367245</v>
      </c>
      <c r="F554" s="47">
        <v>3115.3913225050101</v>
      </c>
      <c r="G554" s="47">
        <v>7771.0061463629499</v>
      </c>
    </row>
    <row r="555" spans="2:7" x14ac:dyDescent="0.25">
      <c r="B555" s="49"/>
      <c r="C555" s="89"/>
      <c r="D555" s="89"/>
      <c r="E555" s="47">
        <v>1879.34287644198</v>
      </c>
      <c r="F555" s="47">
        <v>3117.3130766905401</v>
      </c>
      <c r="G555" s="47">
        <v>7825.1684767643401</v>
      </c>
    </row>
    <row r="556" spans="2:7" x14ac:dyDescent="0.25">
      <c r="B556" s="49"/>
      <c r="C556" s="89"/>
      <c r="D556" s="89"/>
      <c r="E556" s="47">
        <v>1898.99972627132</v>
      </c>
      <c r="F556" s="47">
        <v>3118.66046270894</v>
      </c>
      <c r="G556" s="47">
        <v>7870.4607340786197</v>
      </c>
    </row>
    <row r="557" spans="2:7" x14ac:dyDescent="0.25">
      <c r="B557" s="49"/>
      <c r="C557" s="89"/>
      <c r="D557" s="89"/>
      <c r="E557" s="47">
        <v>1923.0392550828501</v>
      </c>
      <c r="F557" s="47">
        <v>3119.5584084721299</v>
      </c>
      <c r="G557" s="47">
        <v>7909.9461125354601</v>
      </c>
    </row>
    <row r="558" spans="2:7" x14ac:dyDescent="0.25">
      <c r="B558" s="49"/>
      <c r="C558" s="89"/>
      <c r="D558" s="89"/>
      <c r="E558" s="47">
        <v>1951.9395292824699</v>
      </c>
      <c r="F558" s="47">
        <v>3120.0833943236198</v>
      </c>
      <c r="G558" s="47">
        <v>7945.6536134409898</v>
      </c>
    </row>
    <row r="559" spans="2:7" x14ac:dyDescent="0.25">
      <c r="B559" s="49"/>
      <c r="C559" s="89"/>
      <c r="D559" s="89"/>
      <c r="E559" s="47">
        <v>1986.16943393466</v>
      </c>
      <c r="F559" s="47">
        <v>3120.2868406023099</v>
      </c>
      <c r="G559" s="47">
        <v>7979.0726440688404</v>
      </c>
    </row>
    <row r="560" spans="2:7" x14ac:dyDescent="0.25">
      <c r="B560" s="49"/>
      <c r="C560" s="89"/>
      <c r="D560" s="89">
        <v>1100</v>
      </c>
      <c r="E560" s="47">
        <v>1832.3747482369299</v>
      </c>
      <c r="F560" s="47">
        <v>3371.3859354239198</v>
      </c>
      <c r="G560" s="47">
        <v>7706.6045671065303</v>
      </c>
    </row>
    <row r="561" spans="2:7" x14ac:dyDescent="0.25">
      <c r="B561" s="49"/>
      <c r="C561" s="89"/>
      <c r="D561" s="89"/>
      <c r="E561" s="47">
        <v>1837.8844196349901</v>
      </c>
      <c r="F561" s="47">
        <v>3381.8119768746701</v>
      </c>
      <c r="G561" s="47">
        <v>7912.3256289521596</v>
      </c>
    </row>
    <row r="562" spans="2:7" x14ac:dyDescent="0.25">
      <c r="B562" s="49"/>
      <c r="C562" s="89"/>
      <c r="D562" s="89"/>
      <c r="E562" s="47">
        <v>1844.81135137415</v>
      </c>
      <c r="F562" s="47">
        <v>3388.5072614429901</v>
      </c>
      <c r="G562" s="47">
        <v>8047.3042622948196</v>
      </c>
    </row>
    <row r="563" spans="2:7" x14ac:dyDescent="0.25">
      <c r="B563" s="49"/>
      <c r="C563" s="89"/>
      <c r="D563" s="89"/>
      <c r="E563" s="47">
        <v>1854.02924538246</v>
      </c>
      <c r="F563" s="47">
        <v>3393.1082050704499</v>
      </c>
      <c r="G563" s="47">
        <v>8143.8457684303103</v>
      </c>
    </row>
    <row r="564" spans="2:7" x14ac:dyDescent="0.25">
      <c r="B564" s="49"/>
      <c r="C564" s="89"/>
      <c r="D564" s="89"/>
      <c r="E564" s="47">
        <v>1866.15174926793</v>
      </c>
      <c r="F564" s="47">
        <v>3396.38599244124</v>
      </c>
      <c r="G564" s="47">
        <v>8217.3441314784905</v>
      </c>
    </row>
    <row r="565" spans="2:7" x14ac:dyDescent="0.25">
      <c r="B565" s="49"/>
      <c r="C565" s="89"/>
      <c r="D565" s="89"/>
      <c r="E565" s="47">
        <v>1881.7099481411101</v>
      </c>
      <c r="F565" s="47">
        <v>3398.75015099948</v>
      </c>
      <c r="G565" s="47">
        <v>8276.1481133963007</v>
      </c>
    </row>
    <row r="566" spans="2:7" x14ac:dyDescent="0.25">
      <c r="B566" s="49"/>
      <c r="C566" s="89"/>
      <c r="D566" s="89"/>
      <c r="E566" s="47">
        <v>1901.1972521334801</v>
      </c>
      <c r="F566" s="47">
        <v>3400.4396538248702</v>
      </c>
      <c r="G566" s="47">
        <v>8325.2851468206409</v>
      </c>
    </row>
    <row r="567" spans="2:7" x14ac:dyDescent="0.25">
      <c r="B567" s="49"/>
      <c r="C567" s="89"/>
      <c r="D567" s="89"/>
      <c r="E567" s="47">
        <v>1925.0887634885501</v>
      </c>
      <c r="F567" s="47">
        <v>3401.60308219022</v>
      </c>
      <c r="G567" s="47">
        <v>8368.0238930796604</v>
      </c>
    </row>
    <row r="568" spans="2:7" x14ac:dyDescent="0.25">
      <c r="B568" s="49"/>
      <c r="C568" s="89"/>
      <c r="D568" s="89"/>
      <c r="E568" s="47">
        <v>1953.8510228079399</v>
      </c>
      <c r="F568" s="47">
        <v>3402.3355759739602</v>
      </c>
      <c r="G568" s="47">
        <v>8406.5952367836308</v>
      </c>
    </row>
    <row r="569" spans="2:7" x14ac:dyDescent="0.25">
      <c r="B569" s="49"/>
      <c r="C569" s="89"/>
      <c r="D569" s="89"/>
      <c r="E569" s="47">
        <v>1987.95010470592</v>
      </c>
      <c r="F569" s="47">
        <v>3402.69791358575</v>
      </c>
      <c r="G569" s="47">
        <v>8442.5673224434104</v>
      </c>
    </row>
    <row r="570" spans="2:7" x14ac:dyDescent="0.25">
      <c r="B570" s="49"/>
      <c r="C570" s="89"/>
      <c r="D570" s="89">
        <v>1200</v>
      </c>
      <c r="E570" s="47">
        <v>1835.0649575177599</v>
      </c>
      <c r="F570" s="47">
        <v>3642.7249670982701</v>
      </c>
      <c r="G570" s="47">
        <v>8120.7290025888497</v>
      </c>
    </row>
    <row r="571" spans="2:7" x14ac:dyDescent="0.25">
      <c r="B571" s="49"/>
      <c r="C571" s="89"/>
      <c r="D571" s="89"/>
      <c r="E571" s="47">
        <v>1839.8685598496199</v>
      </c>
      <c r="F571" s="47">
        <v>3655.1342704120002</v>
      </c>
      <c r="G571" s="47">
        <v>8344.1094882437792</v>
      </c>
    </row>
    <row r="572" spans="2:7" x14ac:dyDescent="0.25">
      <c r="B572" s="49"/>
      <c r="C572" s="89"/>
      <c r="D572" s="89"/>
      <c r="E572" s="47">
        <v>1846.32503511449</v>
      </c>
      <c r="F572" s="47">
        <v>3663.1178056808899</v>
      </c>
      <c r="G572" s="47">
        <v>8490.6721901097699</v>
      </c>
    </row>
    <row r="573" spans="2:7" x14ac:dyDescent="0.25">
      <c r="B573" s="49"/>
      <c r="C573" s="89"/>
      <c r="D573" s="89"/>
      <c r="E573" s="47">
        <v>1855.2087009468601</v>
      </c>
      <c r="F573" s="47">
        <v>3668.6197513996999</v>
      </c>
      <c r="G573" s="47">
        <v>8595.4422452559993</v>
      </c>
    </row>
    <row r="574" spans="2:7" x14ac:dyDescent="0.25">
      <c r="B574" s="49"/>
      <c r="C574" s="89"/>
      <c r="D574" s="89"/>
      <c r="E574" s="47">
        <v>1867.07087250417</v>
      </c>
      <c r="F574" s="47">
        <v>3672.55919133715</v>
      </c>
      <c r="G574" s="47">
        <v>8675.1320146120306</v>
      </c>
    </row>
    <row r="575" spans="2:7" x14ac:dyDescent="0.25">
      <c r="B575" s="49"/>
      <c r="C575" s="89"/>
      <c r="D575" s="89"/>
      <c r="E575" s="47">
        <v>1882.4208214236601</v>
      </c>
      <c r="F575" s="47">
        <v>3675.4160086884399</v>
      </c>
      <c r="G575" s="47">
        <v>8738.6559259764599</v>
      </c>
    </row>
    <row r="576" spans="2:7" x14ac:dyDescent="0.25">
      <c r="B576" s="49"/>
      <c r="C576" s="89"/>
      <c r="D576" s="89"/>
      <c r="E576" s="47">
        <v>1901.73269443104</v>
      </c>
      <c r="F576" s="47">
        <v>3677.4853025645102</v>
      </c>
      <c r="G576" s="47">
        <v>8791.6319042469404</v>
      </c>
    </row>
    <row r="577" spans="2:7" x14ac:dyDescent="0.25">
      <c r="B577" s="49"/>
      <c r="C577" s="89"/>
      <c r="D577" s="89"/>
      <c r="E577" s="47">
        <v>1925.47157847631</v>
      </c>
      <c r="F577" s="47">
        <v>3678.94596787518</v>
      </c>
      <c r="G577" s="47">
        <v>8837.6165466896</v>
      </c>
    </row>
    <row r="578" spans="2:7" x14ac:dyDescent="0.25">
      <c r="B578" s="49"/>
      <c r="C578" s="89"/>
      <c r="D578" s="89"/>
      <c r="E578" s="47">
        <v>1954.0927271323301</v>
      </c>
      <c r="F578" s="47">
        <v>3679.9134912136301</v>
      </c>
      <c r="G578" s="47">
        <v>8879.0372606671008</v>
      </c>
    </row>
    <row r="579" spans="2:7" x14ac:dyDescent="0.25">
      <c r="B579" s="49"/>
      <c r="C579" s="89"/>
      <c r="D579" s="89"/>
      <c r="E579" s="47">
        <v>1988.05850227173</v>
      </c>
      <c r="F579" s="47">
        <v>3680.4594897370398</v>
      </c>
      <c r="G579" s="47">
        <v>8917.5527380183103</v>
      </c>
    </row>
    <row r="580" spans="2:7" x14ac:dyDescent="0.25">
      <c r="B580" s="49"/>
      <c r="C580" s="89">
        <v>-5</v>
      </c>
      <c r="D580" s="89">
        <v>100</v>
      </c>
      <c r="E580" s="47">
        <v>1756.66158336536</v>
      </c>
      <c r="F580" s="47">
        <v>334.963616316517</v>
      </c>
      <c r="G580" s="47">
        <v>4682.76492089568</v>
      </c>
    </row>
    <row r="581" spans="2:7" x14ac:dyDescent="0.25">
      <c r="B581" s="49"/>
      <c r="C581" s="89"/>
      <c r="D581" s="89"/>
      <c r="E581" s="47">
        <v>1765.7373291639601</v>
      </c>
      <c r="F581" s="47">
        <v>335.01335177754203</v>
      </c>
      <c r="G581" s="47">
        <v>4701.0837923101599</v>
      </c>
    </row>
    <row r="582" spans="2:7" x14ac:dyDescent="0.25">
      <c r="B582" s="49"/>
      <c r="C582" s="89"/>
      <c r="D582" s="89"/>
      <c r="E582" s="47">
        <v>1775.8529221040001</v>
      </c>
      <c r="F582" s="47">
        <v>335.04936908248698</v>
      </c>
      <c r="G582" s="47">
        <v>4717.3710779458897</v>
      </c>
    </row>
    <row r="583" spans="2:7" x14ac:dyDescent="0.25">
      <c r="B583" s="49"/>
      <c r="C583" s="89"/>
      <c r="D583" s="89"/>
      <c r="E583" s="47">
        <v>1787.0083621854999</v>
      </c>
      <c r="F583" s="47">
        <v>335.07166823135299</v>
      </c>
      <c r="G583" s="47">
        <v>4731.6267778028496</v>
      </c>
    </row>
    <row r="584" spans="2:7" x14ac:dyDescent="0.25">
      <c r="B584" s="49"/>
      <c r="C584" s="89"/>
      <c r="D584" s="89"/>
      <c r="E584" s="47">
        <v>1800.6632811299701</v>
      </c>
      <c r="F584" s="47">
        <v>335.07260785712998</v>
      </c>
      <c r="G584" s="47">
        <v>4743.4702980116799</v>
      </c>
    </row>
    <row r="585" spans="2:7" x14ac:dyDescent="0.25">
      <c r="B585" s="49"/>
      <c r="C585" s="89"/>
      <c r="D585" s="89"/>
      <c r="E585" s="47">
        <v>1815.7552524570101</v>
      </c>
      <c r="F585" s="47">
        <v>335.06462584965402</v>
      </c>
      <c r="G585" s="47">
        <v>4754.6414555319698</v>
      </c>
    </row>
    <row r="586" spans="2:7" x14ac:dyDescent="0.25">
      <c r="B586" s="49"/>
      <c r="C586" s="89"/>
      <c r="D586" s="89"/>
      <c r="E586" s="47">
        <v>1832.28427616663</v>
      </c>
      <c r="F586" s="47">
        <v>335.04772220892602</v>
      </c>
      <c r="G586" s="47">
        <v>4765.14025036372</v>
      </c>
    </row>
    <row r="587" spans="2:7" x14ac:dyDescent="0.25">
      <c r="B587" s="49"/>
      <c r="C587" s="89"/>
      <c r="D587" s="89"/>
      <c r="E587" s="47">
        <v>1852.0390652183801</v>
      </c>
      <c r="F587" s="47">
        <v>335.01502024561</v>
      </c>
      <c r="G587" s="47">
        <v>4775.0291514205001</v>
      </c>
    </row>
    <row r="588" spans="2:7" x14ac:dyDescent="0.25">
      <c r="B588" s="49"/>
      <c r="C588" s="89"/>
      <c r="D588" s="89"/>
      <c r="E588" s="47">
        <v>1873.5763621435501</v>
      </c>
      <c r="F588" s="47">
        <v>334.97502187075401</v>
      </c>
      <c r="G588" s="47">
        <v>4784.8859455522797</v>
      </c>
    </row>
    <row r="589" spans="2:7" x14ac:dyDescent="0.25">
      <c r="B589" s="49"/>
      <c r="C589" s="89"/>
      <c r="D589" s="89"/>
      <c r="E589" s="47">
        <v>1896.8961669421401</v>
      </c>
      <c r="F589" s="47">
        <v>334.92772708435803</v>
      </c>
      <c r="G589" s="47">
        <v>4794.71063275907</v>
      </c>
    </row>
    <row r="590" spans="2:7" x14ac:dyDescent="0.25">
      <c r="B590" s="49"/>
      <c r="C590" s="89"/>
      <c r="D590" s="89">
        <v>200</v>
      </c>
      <c r="E590" s="47">
        <v>1766.0802823394999</v>
      </c>
      <c r="F590" s="47">
        <v>662.93016580378105</v>
      </c>
      <c r="G590" s="47">
        <v>4982.6739248204804</v>
      </c>
    </row>
    <row r="591" spans="2:7" x14ac:dyDescent="0.25">
      <c r="B591" s="49"/>
      <c r="C591" s="89"/>
      <c r="D591" s="89"/>
      <c r="E591" s="47">
        <v>1774.8235005511899</v>
      </c>
      <c r="F591" s="47">
        <v>663.18725016938504</v>
      </c>
      <c r="G591" s="47">
        <v>5017.4562923987096</v>
      </c>
    </row>
    <row r="592" spans="2:7" x14ac:dyDescent="0.25">
      <c r="B592" s="49"/>
      <c r="C592" s="89"/>
      <c r="D592" s="89"/>
      <c r="E592" s="47">
        <v>1784.9006374181399</v>
      </c>
      <c r="F592" s="47">
        <v>663.37384675694602</v>
      </c>
      <c r="G592" s="47">
        <v>5045.8812180270697</v>
      </c>
    </row>
    <row r="593" spans="2:7" x14ac:dyDescent="0.25">
      <c r="B593" s="49"/>
      <c r="C593" s="89"/>
      <c r="D593" s="89"/>
      <c r="E593" s="47">
        <v>1796.5532880000801</v>
      </c>
      <c r="F593" s="47">
        <v>663.50177547577096</v>
      </c>
      <c r="G593" s="47">
        <v>5069.4115703623902</v>
      </c>
    </row>
    <row r="594" spans="2:7" x14ac:dyDescent="0.25">
      <c r="B594" s="49"/>
      <c r="C594" s="89"/>
      <c r="D594" s="89"/>
      <c r="E594" s="47">
        <v>1810.0107644571899</v>
      </c>
      <c r="F594" s="47">
        <v>663.58117481588101</v>
      </c>
      <c r="G594" s="47">
        <v>5089.3209126704296</v>
      </c>
    </row>
    <row r="595" spans="2:7" x14ac:dyDescent="0.25">
      <c r="B595" s="49"/>
      <c r="C595" s="89"/>
      <c r="D595" s="89"/>
      <c r="E595" s="47">
        <v>1825.96162614235</v>
      </c>
      <c r="F595" s="47">
        <v>663.61317994385104</v>
      </c>
      <c r="G595" s="47">
        <v>5106.3169669195204</v>
      </c>
    </row>
    <row r="596" spans="2:7" x14ac:dyDescent="0.25">
      <c r="B596" s="49"/>
      <c r="C596" s="89"/>
      <c r="D596" s="89"/>
      <c r="E596" s="47">
        <v>1844.7780549899101</v>
      </c>
      <c r="F596" s="47">
        <v>663.60592953040702</v>
      </c>
      <c r="G596" s="47">
        <v>5121.5822538905104</v>
      </c>
    </row>
    <row r="597" spans="2:7" x14ac:dyDescent="0.25">
      <c r="B597" s="49"/>
      <c r="C597" s="89"/>
      <c r="D597" s="89"/>
      <c r="E597" s="47">
        <v>1866.2155340245099</v>
      </c>
      <c r="F597" s="47">
        <v>663.56925032941399</v>
      </c>
      <c r="G597" s="47">
        <v>5135.9530053295402</v>
      </c>
    </row>
    <row r="598" spans="2:7" x14ac:dyDescent="0.25">
      <c r="B598" s="49"/>
      <c r="C598" s="89"/>
      <c r="D598" s="89"/>
      <c r="E598" s="47">
        <v>1890.44484858653</v>
      </c>
      <c r="F598" s="47">
        <v>663.50495859300599</v>
      </c>
      <c r="G598" s="47">
        <v>5149.7678524891298</v>
      </c>
    </row>
    <row r="599" spans="2:7" x14ac:dyDescent="0.25">
      <c r="B599" s="49"/>
      <c r="C599" s="89"/>
      <c r="D599" s="89"/>
      <c r="E599" s="47">
        <v>1917.6347726046499</v>
      </c>
      <c r="F599" s="47">
        <v>663.41454713802602</v>
      </c>
      <c r="G599" s="47">
        <v>5163.3293282981604</v>
      </c>
    </row>
    <row r="600" spans="2:7" x14ac:dyDescent="0.25">
      <c r="B600" s="49"/>
      <c r="C600" s="89"/>
      <c r="D600" s="89">
        <v>300</v>
      </c>
      <c r="E600" s="47">
        <v>1765.3373757042</v>
      </c>
      <c r="F600" s="47">
        <v>982.25790893309204</v>
      </c>
      <c r="G600" s="47">
        <v>5157.4760952467796</v>
      </c>
    </row>
    <row r="601" spans="2:7" x14ac:dyDescent="0.25">
      <c r="B601" s="49"/>
      <c r="C601" s="89"/>
      <c r="D601" s="89"/>
      <c r="E601" s="47">
        <v>1774.7741904806501</v>
      </c>
      <c r="F601" s="47">
        <v>983.69271842164096</v>
      </c>
      <c r="G601" s="47">
        <v>5267.1750119291901</v>
      </c>
    </row>
    <row r="602" spans="2:7" x14ac:dyDescent="0.25">
      <c r="B602" s="49"/>
      <c r="C602" s="89"/>
      <c r="D602" s="89"/>
      <c r="E602" s="47">
        <v>1784.2992403947001</v>
      </c>
      <c r="F602" s="47">
        <v>984.58515213372004</v>
      </c>
      <c r="G602" s="47">
        <v>5338.5130590163499</v>
      </c>
    </row>
    <row r="603" spans="2:7" x14ac:dyDescent="0.25">
      <c r="B603" s="49"/>
      <c r="C603" s="89"/>
      <c r="D603" s="89"/>
      <c r="E603" s="47">
        <v>1795.3716717699201</v>
      </c>
      <c r="F603" s="47">
        <v>985.16418716650196</v>
      </c>
      <c r="G603" s="47">
        <v>5388.9635020103897</v>
      </c>
    </row>
    <row r="604" spans="2:7" x14ac:dyDescent="0.25">
      <c r="B604" s="49"/>
      <c r="C604" s="89"/>
      <c r="D604" s="89"/>
      <c r="E604" s="47">
        <v>1808.9100634231099</v>
      </c>
      <c r="F604" s="47">
        <v>985.538748157378</v>
      </c>
      <c r="G604" s="47">
        <v>5427.0283284828001</v>
      </c>
    </row>
    <row r="605" spans="2:7" x14ac:dyDescent="0.25">
      <c r="B605" s="49"/>
      <c r="C605" s="89"/>
      <c r="D605" s="89"/>
      <c r="E605" s="47">
        <v>1825.6046422565901</v>
      </c>
      <c r="F605" s="47">
        <v>985.76535165136897</v>
      </c>
      <c r="G605" s="47">
        <v>5457.3003442060399</v>
      </c>
    </row>
    <row r="606" spans="2:7" x14ac:dyDescent="0.25">
      <c r="B606" s="49"/>
      <c r="C606" s="89"/>
      <c r="D606" s="89"/>
      <c r="E606" s="47">
        <v>1846.06302984999</v>
      </c>
      <c r="F606" s="47">
        <v>985.87864869357202</v>
      </c>
      <c r="G606" s="47">
        <v>5482.75243057425</v>
      </c>
    </row>
    <row r="607" spans="2:7" x14ac:dyDescent="0.25">
      <c r="B607" s="49"/>
      <c r="C607" s="89"/>
      <c r="D607" s="89"/>
      <c r="E607" s="47">
        <v>1870.8257362388099</v>
      </c>
      <c r="F607" s="47">
        <v>985.89810972858595</v>
      </c>
      <c r="G607" s="47">
        <v>5505.2242594949303</v>
      </c>
    </row>
    <row r="608" spans="2:7" x14ac:dyDescent="0.25">
      <c r="B608" s="49"/>
      <c r="C608" s="89"/>
      <c r="D608" s="89"/>
      <c r="E608" s="47">
        <v>1900.40900197663</v>
      </c>
      <c r="F608" s="47">
        <v>985.83592135188599</v>
      </c>
      <c r="G608" s="47">
        <v>5526.01887777908</v>
      </c>
    </row>
    <row r="609" spans="2:7" x14ac:dyDescent="0.25">
      <c r="B609" s="49"/>
      <c r="C609" s="89"/>
      <c r="D609" s="89"/>
      <c r="E609" s="47">
        <v>1935.31307763418</v>
      </c>
      <c r="F609" s="47">
        <v>985.69973027015396</v>
      </c>
      <c r="G609" s="47">
        <v>5546.1040876438501</v>
      </c>
    </row>
    <row r="610" spans="2:7" x14ac:dyDescent="0.25">
      <c r="B610" s="49"/>
      <c r="C610" s="89"/>
      <c r="D610" s="89">
        <v>400</v>
      </c>
      <c r="E610" s="47">
        <v>1781.8344657533801</v>
      </c>
      <c r="F610" s="47">
        <v>1296.58025007074</v>
      </c>
      <c r="G610" s="47">
        <v>5510.8732900768</v>
      </c>
    </row>
    <row r="611" spans="2:7" x14ac:dyDescent="0.25">
      <c r="B611" s="49"/>
      <c r="C611" s="89"/>
      <c r="D611" s="89"/>
      <c r="E611" s="47">
        <v>1790.82607252752</v>
      </c>
      <c r="F611" s="47">
        <v>1298.7391370693799</v>
      </c>
      <c r="G611" s="47">
        <v>5633.20082428977</v>
      </c>
    </row>
    <row r="612" spans="2:7" x14ac:dyDescent="0.25">
      <c r="B612" s="49"/>
      <c r="C612" s="89"/>
      <c r="D612" s="89"/>
      <c r="E612" s="47">
        <v>1800.04787862736</v>
      </c>
      <c r="F612" s="47">
        <v>1300.0913013438601</v>
      </c>
      <c r="G612" s="47">
        <v>5712.8663505964896</v>
      </c>
    </row>
    <row r="613" spans="2:7" x14ac:dyDescent="0.25">
      <c r="B613" s="49"/>
      <c r="C613" s="89"/>
      <c r="D613" s="89"/>
      <c r="E613" s="47">
        <v>1810.9079512728299</v>
      </c>
      <c r="F613" s="47">
        <v>1300.9786801745499</v>
      </c>
      <c r="G613" s="47">
        <v>5769.23901865068</v>
      </c>
    </row>
    <row r="614" spans="2:7" x14ac:dyDescent="0.25">
      <c r="B614" s="49"/>
      <c r="C614" s="89"/>
      <c r="D614" s="89"/>
      <c r="E614" s="47">
        <v>1824.2842967454901</v>
      </c>
      <c r="F614" s="47">
        <v>1301.5668927015299</v>
      </c>
      <c r="G614" s="47">
        <v>5811.8649960377397</v>
      </c>
    </row>
    <row r="615" spans="2:7" x14ac:dyDescent="0.25">
      <c r="B615" s="49"/>
      <c r="C615" s="89"/>
      <c r="D615" s="89"/>
      <c r="E615" s="47">
        <v>1840.85339324038</v>
      </c>
      <c r="F615" s="47">
        <v>1301.94243362773</v>
      </c>
      <c r="G615" s="47">
        <v>5845.9150021476398</v>
      </c>
    </row>
    <row r="616" spans="2:7" x14ac:dyDescent="0.25">
      <c r="B616" s="49"/>
      <c r="C616" s="89"/>
      <c r="D616" s="89"/>
      <c r="E616" s="47">
        <v>1861.1993354461299</v>
      </c>
      <c r="F616" s="47">
        <v>1302.1546152962601</v>
      </c>
      <c r="G616" s="47">
        <v>5874.5057222577998</v>
      </c>
    </row>
    <row r="617" spans="2:7" x14ac:dyDescent="0.25">
      <c r="B617" s="49"/>
      <c r="C617" s="89"/>
      <c r="D617" s="89"/>
      <c r="E617" s="47">
        <v>1885.8576714415001</v>
      </c>
      <c r="F617" s="47">
        <v>1302.23337418508</v>
      </c>
      <c r="G617" s="47">
        <v>5899.68311287284</v>
      </c>
    </row>
    <row r="618" spans="2:7" x14ac:dyDescent="0.25">
      <c r="B618" s="49"/>
      <c r="C618" s="89"/>
      <c r="D618" s="89"/>
      <c r="E618" s="47">
        <v>1915.33909406065</v>
      </c>
      <c r="F618" s="47">
        <v>1302.1972559015001</v>
      </c>
      <c r="G618" s="47">
        <v>5922.8669772308003</v>
      </c>
    </row>
    <row r="619" spans="2:7" x14ac:dyDescent="0.25">
      <c r="B619" s="49"/>
      <c r="C619" s="89"/>
      <c r="D619" s="89"/>
      <c r="E619" s="47">
        <v>1950.1387335752399</v>
      </c>
      <c r="F619" s="47">
        <v>1302.05823821422</v>
      </c>
      <c r="G619" s="47">
        <v>5945.1149788388902</v>
      </c>
    </row>
    <row r="620" spans="2:7" x14ac:dyDescent="0.25">
      <c r="B620" s="49"/>
      <c r="C620" s="89"/>
      <c r="D620" s="89">
        <v>500</v>
      </c>
      <c r="E620" s="47">
        <v>1795.7251181514</v>
      </c>
      <c r="F620" s="47">
        <v>1604.61427900937</v>
      </c>
      <c r="G620" s="47">
        <v>5872.9571250217796</v>
      </c>
    </row>
    <row r="621" spans="2:7" x14ac:dyDescent="0.25">
      <c r="B621" s="49"/>
      <c r="C621" s="89"/>
      <c r="D621" s="89"/>
      <c r="E621" s="47">
        <v>1804.1947663626499</v>
      </c>
      <c r="F621" s="47">
        <v>1607.625149189</v>
      </c>
      <c r="G621" s="47">
        <v>6008.0563180494401</v>
      </c>
    </row>
    <row r="622" spans="2:7" x14ac:dyDescent="0.25">
      <c r="B622" s="49"/>
      <c r="C622" s="89"/>
      <c r="D622" s="89"/>
      <c r="E622" s="47">
        <v>1813.0813204824001</v>
      </c>
      <c r="F622" s="47">
        <v>1609.52625499194</v>
      </c>
      <c r="G622" s="47">
        <v>6096.3633609193503</v>
      </c>
    </row>
    <row r="623" spans="2:7" x14ac:dyDescent="0.25">
      <c r="B623" s="49"/>
      <c r="C623" s="89"/>
      <c r="D623" s="89"/>
      <c r="E623" s="47">
        <v>1823.70402059348</v>
      </c>
      <c r="F623" s="47">
        <v>1610.79309009653</v>
      </c>
      <c r="G623" s="47">
        <v>6159.2059519125096</v>
      </c>
    </row>
    <row r="624" spans="2:7" x14ac:dyDescent="0.25">
      <c r="B624" s="49"/>
      <c r="C624" s="89"/>
      <c r="D624" s="89"/>
      <c r="E624" s="47">
        <v>1836.9042088772601</v>
      </c>
      <c r="F624" s="47">
        <v>1611.65104922655</v>
      </c>
      <c r="G624" s="47">
        <v>6206.8762760578102</v>
      </c>
    </row>
    <row r="625" spans="2:7" x14ac:dyDescent="0.25">
      <c r="B625" s="49"/>
      <c r="C625" s="89"/>
      <c r="D625" s="89"/>
      <c r="E625" s="47">
        <v>1853.33262454549</v>
      </c>
      <c r="F625" s="47">
        <v>1612.21972038429</v>
      </c>
      <c r="G625" s="47">
        <v>6245.0082595532404</v>
      </c>
    </row>
    <row r="626" spans="2:7" x14ac:dyDescent="0.25">
      <c r="B626" s="49"/>
      <c r="C626" s="89"/>
      <c r="D626" s="89"/>
      <c r="E626" s="47">
        <v>1873.55757739827</v>
      </c>
      <c r="F626" s="47">
        <v>1612.56784892974</v>
      </c>
      <c r="G626" s="47">
        <v>6277.0056702316897</v>
      </c>
    </row>
    <row r="627" spans="2:7" x14ac:dyDescent="0.25">
      <c r="B627" s="49"/>
      <c r="C627" s="89"/>
      <c r="D627" s="89"/>
      <c r="E627" s="47">
        <v>1898.1048756187799</v>
      </c>
      <c r="F627" s="47">
        <v>1612.7374481728</v>
      </c>
      <c r="G627" s="47">
        <v>6305.1004600106298</v>
      </c>
    </row>
    <row r="628" spans="2:7" x14ac:dyDescent="0.25">
      <c r="B628" s="49"/>
      <c r="C628" s="89"/>
      <c r="D628" s="89"/>
      <c r="E628" s="47">
        <v>1927.4792691566599</v>
      </c>
      <c r="F628" s="47">
        <v>1612.7549960010799</v>
      </c>
      <c r="G628" s="47">
        <v>6330.8468473779603</v>
      </c>
    </row>
    <row r="629" spans="2:7" x14ac:dyDescent="0.25">
      <c r="B629" s="49"/>
      <c r="C629" s="89"/>
      <c r="D629" s="89"/>
      <c r="E629" s="47">
        <v>1962.1689390034001</v>
      </c>
      <c r="F629" s="47">
        <v>1612.6372349154001</v>
      </c>
      <c r="G629" s="47">
        <v>6355.3713156297299</v>
      </c>
    </row>
    <row r="630" spans="2:7" x14ac:dyDescent="0.25">
      <c r="B630" s="49"/>
      <c r="C630" s="89"/>
      <c r="D630" s="89">
        <v>600</v>
      </c>
      <c r="E630" s="47">
        <v>1807.29331318563</v>
      </c>
      <c r="F630" s="47">
        <v>1906.5693030329501</v>
      </c>
      <c r="G630" s="47">
        <v>6245.8633219216399</v>
      </c>
    </row>
    <row r="631" spans="2:7" x14ac:dyDescent="0.25">
      <c r="B631" s="49"/>
      <c r="C631" s="89"/>
      <c r="D631" s="89"/>
      <c r="E631" s="47">
        <v>1815.21173284627</v>
      </c>
      <c r="F631" s="47">
        <v>1910.5967744258301</v>
      </c>
      <c r="G631" s="47">
        <v>6395.1112003401404</v>
      </c>
    </row>
    <row r="632" spans="2:7" x14ac:dyDescent="0.25">
      <c r="B632" s="49"/>
      <c r="C632" s="89"/>
      <c r="D632" s="89"/>
      <c r="E632" s="47">
        <v>1823.72546944341</v>
      </c>
      <c r="F632" s="47">
        <v>1913.14629620649</v>
      </c>
      <c r="G632" s="47">
        <v>6492.5600514126099</v>
      </c>
    </row>
    <row r="633" spans="2:7" x14ac:dyDescent="0.25">
      <c r="B633" s="49"/>
      <c r="C633" s="89"/>
      <c r="D633" s="89"/>
      <c r="E633" s="47">
        <v>1834.0767323245</v>
      </c>
      <c r="F633" s="47">
        <v>1914.85470760365</v>
      </c>
      <c r="G633" s="47">
        <v>6561.8092385209702</v>
      </c>
    </row>
    <row r="634" spans="2:7" x14ac:dyDescent="0.25">
      <c r="B634" s="49"/>
      <c r="C634" s="89"/>
      <c r="D634" s="89"/>
      <c r="E634" s="47">
        <v>1847.0681136660701</v>
      </c>
      <c r="F634" s="47">
        <v>1916.0293113052601</v>
      </c>
      <c r="G634" s="47">
        <v>6614.4175172622299</v>
      </c>
    </row>
    <row r="635" spans="2:7" x14ac:dyDescent="0.25">
      <c r="B635" s="49"/>
      <c r="C635" s="89"/>
      <c r="D635" s="89"/>
      <c r="E635" s="47">
        <v>1863.3278089837399</v>
      </c>
      <c r="F635" s="47">
        <v>1916.82850899255</v>
      </c>
      <c r="G635" s="47">
        <v>6656.5249178304903</v>
      </c>
    </row>
    <row r="636" spans="2:7" x14ac:dyDescent="0.25">
      <c r="B636" s="49"/>
      <c r="C636" s="89"/>
      <c r="D636" s="89"/>
      <c r="E636" s="47">
        <v>1883.4104225328399</v>
      </c>
      <c r="F636" s="47">
        <v>1917.34552332311</v>
      </c>
      <c r="G636" s="47">
        <v>6691.9019842875496</v>
      </c>
    </row>
    <row r="637" spans="2:7" x14ac:dyDescent="0.25">
      <c r="B637" s="49"/>
      <c r="C637" s="89"/>
      <c r="D637" s="89"/>
      <c r="E637" s="47">
        <v>1907.8311061959</v>
      </c>
      <c r="F637" s="47">
        <v>1917.6349531825299</v>
      </c>
      <c r="G637" s="47">
        <v>6722.9188925682802</v>
      </c>
    </row>
    <row r="638" spans="2:7" x14ac:dyDescent="0.25">
      <c r="B638" s="49"/>
      <c r="C638" s="89"/>
      <c r="D638" s="89"/>
      <c r="E638" s="47">
        <v>1937.08545065833</v>
      </c>
      <c r="F638" s="47">
        <v>1917.73197493616</v>
      </c>
      <c r="G638" s="47">
        <v>6751.2418743885501</v>
      </c>
    </row>
    <row r="639" spans="2:7" x14ac:dyDescent="0.25">
      <c r="B639" s="49"/>
      <c r="C639" s="89"/>
      <c r="D639" s="89"/>
      <c r="E639" s="47">
        <v>1971.6567945527399</v>
      </c>
      <c r="F639" s="47">
        <v>1917.6594766352</v>
      </c>
      <c r="G639" s="47">
        <v>6778.0918998385696</v>
      </c>
    </row>
    <row r="640" spans="2:7" x14ac:dyDescent="0.25">
      <c r="B640" s="49"/>
      <c r="C640" s="89"/>
      <c r="D640" s="89">
        <v>700</v>
      </c>
      <c r="E640" s="47">
        <v>1816.6444288217001</v>
      </c>
      <c r="F640" s="47">
        <v>2202.54256997838</v>
      </c>
      <c r="G640" s="47">
        <v>6627.0983186215399</v>
      </c>
    </row>
    <row r="641" spans="2:7" x14ac:dyDescent="0.25">
      <c r="B641" s="49"/>
      <c r="C641" s="89"/>
      <c r="D641" s="89"/>
      <c r="E641" s="47">
        <v>1823.9517238189201</v>
      </c>
      <c r="F641" s="47">
        <v>2207.7253801859802</v>
      </c>
      <c r="G641" s="47">
        <v>6790.4590052878702</v>
      </c>
    </row>
    <row r="642" spans="2:7" x14ac:dyDescent="0.25">
      <c r="B642" s="49"/>
      <c r="C642" s="89"/>
      <c r="D642" s="89"/>
      <c r="E642" s="47">
        <v>1832.06797507597</v>
      </c>
      <c r="F642" s="47">
        <v>2211.02821929733</v>
      </c>
      <c r="G642" s="47">
        <v>6897.4970388167503</v>
      </c>
    </row>
    <row r="643" spans="2:7" x14ac:dyDescent="0.25">
      <c r="B643" s="49"/>
      <c r="C643" s="89"/>
      <c r="D643" s="89"/>
      <c r="E643" s="47">
        <v>1842.1410176583499</v>
      </c>
      <c r="F643" s="47">
        <v>2213.2677735401298</v>
      </c>
      <c r="G643" s="47">
        <v>6973.9593782624397</v>
      </c>
    </row>
    <row r="644" spans="2:7" x14ac:dyDescent="0.25">
      <c r="B644" s="49"/>
      <c r="C644" s="89"/>
      <c r="D644" s="89"/>
      <c r="E644" s="47">
        <v>1854.9192802289101</v>
      </c>
      <c r="F644" s="47">
        <v>2214.8265475101198</v>
      </c>
      <c r="G644" s="47">
        <v>7032.0825162005804</v>
      </c>
    </row>
    <row r="645" spans="2:7" x14ac:dyDescent="0.25">
      <c r="B645" s="49"/>
      <c r="C645" s="89"/>
      <c r="D645" s="89"/>
      <c r="E645" s="47">
        <v>1871.00529032807</v>
      </c>
      <c r="F645" s="47">
        <v>2215.9090680393201</v>
      </c>
      <c r="G645" s="47">
        <v>7078.5808362114103</v>
      </c>
    </row>
    <row r="646" spans="2:7" x14ac:dyDescent="0.25">
      <c r="B646" s="49"/>
      <c r="C646" s="89"/>
      <c r="D646" s="89"/>
      <c r="E646" s="47">
        <v>1890.93893351</v>
      </c>
      <c r="F646" s="47">
        <v>2216.6347707822702</v>
      </c>
      <c r="G646" s="47">
        <v>7117.5350039107097</v>
      </c>
    </row>
    <row r="647" spans="2:7" x14ac:dyDescent="0.25">
      <c r="B647" s="49"/>
      <c r="C647" s="89"/>
      <c r="D647" s="89"/>
      <c r="E647" s="47">
        <v>1915.22500752733</v>
      </c>
      <c r="F647" s="47">
        <v>2217.07718652324</v>
      </c>
      <c r="G647" s="47">
        <v>7151.60368668515</v>
      </c>
    </row>
    <row r="648" spans="2:7" x14ac:dyDescent="0.25">
      <c r="B648" s="49"/>
      <c r="C648" s="89"/>
      <c r="D648" s="89"/>
      <c r="E648" s="47">
        <v>1944.35358356397</v>
      </c>
      <c r="F648" s="47">
        <v>2217.2830611249801</v>
      </c>
      <c r="G648" s="47">
        <v>7182.6210064634397</v>
      </c>
    </row>
    <row r="649" spans="2:7" x14ac:dyDescent="0.25">
      <c r="B649" s="49"/>
      <c r="C649" s="89"/>
      <c r="D649" s="89"/>
      <c r="E649" s="47">
        <v>1978.8027272116301</v>
      </c>
      <c r="F649" s="47">
        <v>2217.2812872847999</v>
      </c>
      <c r="G649" s="47">
        <v>7211.8695244953096</v>
      </c>
    </row>
    <row r="650" spans="2:7" x14ac:dyDescent="0.25">
      <c r="B650" s="49"/>
      <c r="C650" s="89"/>
      <c r="D650" s="89">
        <v>800</v>
      </c>
      <c r="E650" s="47">
        <v>1824.01123902739</v>
      </c>
      <c r="F650" s="47">
        <v>2492.75124195631</v>
      </c>
      <c r="G650" s="47">
        <v>7018.7554989501796</v>
      </c>
    </row>
    <row r="651" spans="2:7" x14ac:dyDescent="0.25">
      <c r="B651" s="49"/>
      <c r="C651" s="89"/>
      <c r="D651" s="89"/>
      <c r="E651" s="47">
        <v>1830.68811715274</v>
      </c>
      <c r="F651" s="47">
        <v>2499.2862494226401</v>
      </c>
      <c r="G651" s="47">
        <v>7197.7632755660898</v>
      </c>
    </row>
    <row r="652" spans="2:7" x14ac:dyDescent="0.25">
      <c r="B652" s="49"/>
      <c r="C652" s="89"/>
      <c r="D652" s="89"/>
      <c r="E652" s="47">
        <v>1838.37681824782</v>
      </c>
      <c r="F652" s="47">
        <v>2503.4393757344901</v>
      </c>
      <c r="G652" s="47">
        <v>7314.4467091392198</v>
      </c>
    </row>
    <row r="653" spans="2:7" x14ac:dyDescent="0.25">
      <c r="B653" s="49"/>
      <c r="C653" s="89"/>
      <c r="D653" s="89"/>
      <c r="E653" s="47">
        <v>1848.14288200691</v>
      </c>
      <c r="F653" s="47">
        <v>2506.2706780284898</v>
      </c>
      <c r="G653" s="47">
        <v>7397.8366706082697</v>
      </c>
    </row>
    <row r="654" spans="2:7" x14ac:dyDescent="0.25">
      <c r="B654" s="49"/>
      <c r="C654" s="89"/>
      <c r="D654" s="89"/>
      <c r="E654" s="47">
        <v>1860.6863437228001</v>
      </c>
      <c r="F654" s="47">
        <v>2508.2627837237001</v>
      </c>
      <c r="G654" s="47">
        <v>7461.3314420628403</v>
      </c>
    </row>
    <row r="655" spans="2:7" x14ac:dyDescent="0.25">
      <c r="B655" s="49"/>
      <c r="C655" s="89"/>
      <c r="D655" s="89"/>
      <c r="E655" s="47">
        <v>1876.5831255313201</v>
      </c>
      <c r="F655" s="47">
        <v>2509.6702575763902</v>
      </c>
      <c r="G655" s="47">
        <v>7512.1732551720797</v>
      </c>
    </row>
    <row r="656" spans="2:7" x14ac:dyDescent="0.25">
      <c r="B656" s="49"/>
      <c r="C656" s="89"/>
      <c r="D656" s="89"/>
      <c r="E656" s="47">
        <v>1896.3556003515901</v>
      </c>
      <c r="F656" s="47">
        <v>2510.64175237673</v>
      </c>
      <c r="G656" s="47">
        <v>7554.7491609829103</v>
      </c>
    </row>
    <row r="657" spans="2:7" x14ac:dyDescent="0.25">
      <c r="B657" s="49"/>
      <c r="C657" s="89"/>
      <c r="D657" s="89"/>
      <c r="E657" s="47">
        <v>1920.4990836653101</v>
      </c>
      <c r="F657" s="47">
        <v>2511.2686316102299</v>
      </c>
      <c r="G657" s="47">
        <v>7591.90352035466</v>
      </c>
    </row>
    <row r="658" spans="2:7" x14ac:dyDescent="0.25">
      <c r="B658" s="49"/>
      <c r="C658" s="89"/>
      <c r="D658" s="89"/>
      <c r="E658" s="47">
        <v>1949.4953055030501</v>
      </c>
      <c r="F658" s="47">
        <v>2511.6092368443101</v>
      </c>
      <c r="G658" s="47">
        <v>7625.5932881755498</v>
      </c>
    </row>
    <row r="659" spans="2:7" x14ac:dyDescent="0.25">
      <c r="B659" s="49"/>
      <c r="C659" s="89"/>
      <c r="D659" s="89"/>
      <c r="E659" s="47">
        <v>1983.81595278435</v>
      </c>
      <c r="F659" s="47">
        <v>2511.7037065619302</v>
      </c>
      <c r="G659" s="47">
        <v>7657.2839455610401</v>
      </c>
    </row>
    <row r="660" spans="2:7" x14ac:dyDescent="0.25">
      <c r="B660" s="49"/>
      <c r="C660" s="89"/>
      <c r="D660" s="89">
        <v>900</v>
      </c>
      <c r="E660" s="47">
        <v>1829.5114446483101</v>
      </c>
      <c r="F660" s="47">
        <v>2777.2443366959401</v>
      </c>
      <c r="G660" s="47">
        <v>7418.0262126804801</v>
      </c>
    </row>
    <row r="661" spans="2:7" x14ac:dyDescent="0.25">
      <c r="B661" s="49"/>
      <c r="C661" s="89"/>
      <c r="D661" s="89"/>
      <c r="E661" s="47">
        <v>1835.51466366357</v>
      </c>
      <c r="F661" s="47">
        <v>2785.2792529032899</v>
      </c>
      <c r="G661" s="47">
        <v>7612.5187778552099</v>
      </c>
    </row>
    <row r="662" spans="2:7" x14ac:dyDescent="0.25">
      <c r="B662" s="49"/>
      <c r="C662" s="89"/>
      <c r="D662" s="89"/>
      <c r="E662" s="47">
        <v>1842.76391343624</v>
      </c>
      <c r="F662" s="47">
        <v>2790.4319277314898</v>
      </c>
      <c r="G662" s="47">
        <v>7740.1243152508696</v>
      </c>
    </row>
    <row r="663" spans="2:7" x14ac:dyDescent="0.25">
      <c r="B663" s="49"/>
      <c r="C663" s="89"/>
      <c r="D663" s="89"/>
      <c r="E663" s="47">
        <v>1852.21472307519</v>
      </c>
      <c r="F663" s="47">
        <v>2793.9615066134202</v>
      </c>
      <c r="G663" s="47">
        <v>7831.3432250159303</v>
      </c>
    </row>
    <row r="664" spans="2:7" x14ac:dyDescent="0.25">
      <c r="B664" s="49"/>
      <c r="C664" s="89"/>
      <c r="D664" s="89"/>
      <c r="E664" s="47">
        <v>1864.5161068064999</v>
      </c>
      <c r="F664" s="47">
        <v>2796.46293297998</v>
      </c>
      <c r="G664" s="47">
        <v>7900.7526120273296</v>
      </c>
    </row>
    <row r="665" spans="2:7" x14ac:dyDescent="0.25">
      <c r="B665" s="49"/>
      <c r="C665" s="89"/>
      <c r="D665" s="89"/>
      <c r="E665" s="47">
        <v>1880.2165335807099</v>
      </c>
      <c r="F665" s="47">
        <v>2798.2531678938199</v>
      </c>
      <c r="G665" s="47">
        <v>7956.2903149021604</v>
      </c>
    </row>
    <row r="666" spans="2:7" x14ac:dyDescent="0.25">
      <c r="B666" s="49"/>
      <c r="C666" s="89"/>
      <c r="D666" s="89"/>
      <c r="E666" s="47">
        <v>1899.8229886757999</v>
      </c>
      <c r="F666" s="47">
        <v>2799.5162524930201</v>
      </c>
      <c r="G666" s="47">
        <v>8002.72547803202</v>
      </c>
    </row>
    <row r="667" spans="2:7" x14ac:dyDescent="0.25">
      <c r="B667" s="49"/>
      <c r="C667" s="89"/>
      <c r="D667" s="89"/>
      <c r="E667" s="47">
        <v>1923.82045017976</v>
      </c>
      <c r="F667" s="47">
        <v>2800.3655081224802</v>
      </c>
      <c r="G667" s="47">
        <v>8043.1414065196404</v>
      </c>
    </row>
    <row r="668" spans="2:7" x14ac:dyDescent="0.25">
      <c r="B668" s="49"/>
      <c r="C668" s="89"/>
      <c r="D668" s="89"/>
      <c r="E668" s="47">
        <v>1952.6826933115401</v>
      </c>
      <c r="F668" s="47">
        <v>2800.8736255905401</v>
      </c>
      <c r="G668" s="47">
        <v>8079.6541403929896</v>
      </c>
    </row>
    <row r="669" spans="2:7" x14ac:dyDescent="0.25">
      <c r="B669" s="49"/>
      <c r="C669" s="89"/>
      <c r="D669" s="89"/>
      <c r="E669" s="47">
        <v>1986.8752341879799</v>
      </c>
      <c r="F669" s="47">
        <v>2801.08898926846</v>
      </c>
      <c r="G669" s="47">
        <v>8113.7996714006204</v>
      </c>
    </row>
    <row r="670" spans="2:7" x14ac:dyDescent="0.25">
      <c r="B670" s="49"/>
      <c r="C670" s="89"/>
      <c r="D670" s="89">
        <v>1000</v>
      </c>
      <c r="E670" s="47">
        <v>1833.3248225165601</v>
      </c>
      <c r="F670" s="47">
        <v>3056.27012501425</v>
      </c>
      <c r="G670" s="47">
        <v>7827.5481581203803</v>
      </c>
    </row>
    <row r="671" spans="2:7" x14ac:dyDescent="0.25">
      <c r="B671" s="49"/>
      <c r="C671" s="89"/>
      <c r="D671" s="89"/>
      <c r="E671" s="47">
        <v>1838.6292165032801</v>
      </c>
      <c r="F671" s="47">
        <v>3065.9999743497801</v>
      </c>
      <c r="G671" s="47">
        <v>8038.4196394280598</v>
      </c>
    </row>
    <row r="672" spans="2:7" x14ac:dyDescent="0.25">
      <c r="B672" s="49"/>
      <c r="C672" s="89"/>
      <c r="D672" s="89"/>
      <c r="E672" s="47">
        <v>1845.41957936107</v>
      </c>
      <c r="F672" s="47">
        <v>3072.2392916290501</v>
      </c>
      <c r="G672" s="47">
        <v>8176.5128762832601</v>
      </c>
    </row>
    <row r="673" spans="2:7" x14ac:dyDescent="0.25">
      <c r="B673" s="49"/>
      <c r="C673" s="89"/>
      <c r="D673" s="89"/>
      <c r="E673" s="47">
        <v>1854.5384991866499</v>
      </c>
      <c r="F673" s="47">
        <v>3076.5312480955599</v>
      </c>
      <c r="G673" s="47">
        <v>8275.2823354062402</v>
      </c>
    </row>
    <row r="674" spans="2:7" x14ac:dyDescent="0.25">
      <c r="B674" s="49"/>
      <c r="C674" s="89"/>
      <c r="D674" s="89"/>
      <c r="E674" s="47">
        <v>1866.5893208126399</v>
      </c>
      <c r="F674" s="47">
        <v>3079.59290846981</v>
      </c>
      <c r="G674" s="47">
        <v>8350.4517084515792</v>
      </c>
    </row>
    <row r="675" spans="2:7" x14ac:dyDescent="0.25">
      <c r="B675" s="49"/>
      <c r="C675" s="89"/>
      <c r="D675" s="89"/>
      <c r="E675" s="47">
        <v>1882.08485338483</v>
      </c>
      <c r="F675" s="47">
        <v>3081.8098073452802</v>
      </c>
      <c r="G675" s="47">
        <v>8410.6339672150807</v>
      </c>
    </row>
    <row r="676" spans="2:7" x14ac:dyDescent="0.25">
      <c r="B676" s="49"/>
      <c r="C676" s="89"/>
      <c r="D676" s="89"/>
      <c r="E676" s="47">
        <v>1901.5187962989801</v>
      </c>
      <c r="F676" s="47">
        <v>3083.4020869170599</v>
      </c>
      <c r="G676" s="47">
        <v>8460.9181661618095</v>
      </c>
    </row>
    <row r="677" spans="2:7" x14ac:dyDescent="0.25">
      <c r="B677" s="49"/>
      <c r="C677" s="89"/>
      <c r="D677" s="89"/>
      <c r="E677" s="47">
        <v>1925.36530908636</v>
      </c>
      <c r="F677" s="47">
        <v>3084.5070293015501</v>
      </c>
      <c r="G677" s="47">
        <v>8504.6189386726601</v>
      </c>
    </row>
    <row r="678" spans="2:7" x14ac:dyDescent="0.25">
      <c r="B678" s="49"/>
      <c r="C678" s="89"/>
      <c r="D678" s="89"/>
      <c r="E678" s="47">
        <v>1954.0890716471399</v>
      </c>
      <c r="F678" s="47">
        <v>3085.2128319773501</v>
      </c>
      <c r="G678" s="47">
        <v>8544.0016764747506</v>
      </c>
    </row>
    <row r="679" spans="2:7" x14ac:dyDescent="0.25">
      <c r="B679" s="49"/>
      <c r="C679" s="89"/>
      <c r="D679" s="89"/>
      <c r="E679" s="47">
        <v>1988.1520251440299</v>
      </c>
      <c r="F679" s="47">
        <v>3085.57779851645</v>
      </c>
      <c r="G679" s="47">
        <v>8580.6954853114894</v>
      </c>
    </row>
    <row r="680" spans="2:7" x14ac:dyDescent="0.25">
      <c r="B680" s="49"/>
      <c r="C680" s="89"/>
      <c r="D680" s="89">
        <v>1100</v>
      </c>
      <c r="E680" s="47">
        <v>1835.5696638690799</v>
      </c>
      <c r="F680" s="47">
        <v>3329.8120461845601</v>
      </c>
      <c r="G680" s="47">
        <v>8243.8987597688701</v>
      </c>
    </row>
    <row r="681" spans="2:7" x14ac:dyDescent="0.25">
      <c r="B681" s="49"/>
      <c r="C681" s="89"/>
      <c r="D681" s="89"/>
      <c r="E681" s="47">
        <v>1840.1591619610999</v>
      </c>
      <c r="F681" s="47">
        <v>3341.4548778347698</v>
      </c>
      <c r="G681" s="47">
        <v>8472.2452423204395</v>
      </c>
    </row>
    <row r="682" spans="2:7" x14ac:dyDescent="0.25">
      <c r="B682" s="49"/>
      <c r="C682" s="89"/>
      <c r="D682" s="89"/>
      <c r="E682" s="47">
        <v>1846.48024720994</v>
      </c>
      <c r="F682" s="47">
        <v>3348.9485076542701</v>
      </c>
      <c r="G682" s="47">
        <v>8622.0667209411695</v>
      </c>
    </row>
    <row r="683" spans="2:7" x14ac:dyDescent="0.25">
      <c r="B683" s="49"/>
      <c r="C683" s="89"/>
      <c r="D683" s="89"/>
      <c r="E683" s="47">
        <v>1855.2579696713001</v>
      </c>
      <c r="F683" s="47">
        <v>3354.1201757128301</v>
      </c>
      <c r="G683" s="47">
        <v>8729.2128372315092</v>
      </c>
    </row>
    <row r="684" spans="2:7" x14ac:dyDescent="0.25">
      <c r="B684" s="49"/>
      <c r="C684" s="89"/>
      <c r="D684" s="89"/>
      <c r="E684" s="47">
        <v>1867.0480007701999</v>
      </c>
      <c r="F684" s="47">
        <v>3357.8278216426302</v>
      </c>
      <c r="G684" s="47">
        <v>8810.6975987488404</v>
      </c>
    </row>
    <row r="685" spans="2:7" x14ac:dyDescent="0.25">
      <c r="B685" s="49"/>
      <c r="C685" s="89"/>
      <c r="D685" s="89"/>
      <c r="E685" s="47">
        <v>1882.33465024732</v>
      </c>
      <c r="F685" s="47">
        <v>3360.5325008109999</v>
      </c>
      <c r="G685" s="47">
        <v>8875.8208732923395</v>
      </c>
    </row>
    <row r="686" spans="2:7" x14ac:dyDescent="0.25">
      <c r="B686" s="49"/>
      <c r="C686" s="89"/>
      <c r="D686" s="89"/>
      <c r="E686" s="47">
        <v>1901.5895138815199</v>
      </c>
      <c r="F686" s="47">
        <v>3362.5026082681602</v>
      </c>
      <c r="G686" s="47">
        <v>8930.1575736730501</v>
      </c>
    </row>
    <row r="687" spans="2:7" x14ac:dyDescent="0.25">
      <c r="B687" s="49"/>
      <c r="C687" s="89"/>
      <c r="D687" s="89"/>
      <c r="E687" s="47">
        <v>1925.2795555948401</v>
      </c>
      <c r="F687" s="47">
        <v>3363.9019583520599</v>
      </c>
      <c r="G687" s="47">
        <v>8977.2626598502102</v>
      </c>
    </row>
    <row r="688" spans="2:7" x14ac:dyDescent="0.25">
      <c r="B688" s="49"/>
      <c r="C688" s="89"/>
      <c r="D688" s="89"/>
      <c r="E688" s="47">
        <v>1953.86179864724</v>
      </c>
      <c r="F688" s="47">
        <v>3364.8371904094502</v>
      </c>
      <c r="G688" s="47">
        <v>9019.5801030389594</v>
      </c>
    </row>
    <row r="689" spans="2:7" x14ac:dyDescent="0.25">
      <c r="B689" s="49"/>
      <c r="C689" s="89"/>
      <c r="D689" s="89"/>
      <c r="E689" s="47">
        <v>1987.7925536733201</v>
      </c>
      <c r="F689" s="47">
        <v>3365.3788382983798</v>
      </c>
      <c r="G689" s="47">
        <v>9058.8573044300592</v>
      </c>
    </row>
    <row r="690" spans="2:7" x14ac:dyDescent="0.25">
      <c r="B690" s="49"/>
      <c r="C690" s="89"/>
      <c r="D690" s="89">
        <v>1200</v>
      </c>
      <c r="E690" s="47">
        <v>1836.3939172948899</v>
      </c>
      <c r="F690" s="47">
        <v>3598.1571319854402</v>
      </c>
      <c r="G690" s="47">
        <v>8670.2225604231407</v>
      </c>
    </row>
    <row r="691" spans="2:7" x14ac:dyDescent="0.25">
      <c r="B691" s="49"/>
      <c r="C691" s="89"/>
      <c r="D691" s="89"/>
      <c r="E691" s="47">
        <v>1840.2407268470499</v>
      </c>
      <c r="F691" s="47">
        <v>3611.8655176233401</v>
      </c>
      <c r="G691" s="47">
        <v>8915.6950429477401</v>
      </c>
    </row>
    <row r="692" spans="2:7" x14ac:dyDescent="0.25">
      <c r="B692" s="49"/>
      <c r="C692" s="89"/>
      <c r="D692" s="89"/>
      <c r="E692" s="47">
        <v>1846.07164033763</v>
      </c>
      <c r="F692" s="47">
        <v>3620.7031918746902</v>
      </c>
      <c r="G692" s="47">
        <v>9076.7863115964392</v>
      </c>
    </row>
    <row r="693" spans="2:7" x14ac:dyDescent="0.25">
      <c r="B693" s="49"/>
      <c r="C693" s="89"/>
      <c r="D693" s="89"/>
      <c r="E693" s="47">
        <v>1854.49496859909</v>
      </c>
      <c r="F693" s="47">
        <v>3626.8199477691101</v>
      </c>
      <c r="G693" s="47">
        <v>9192.0050409830401</v>
      </c>
    </row>
    <row r="694" spans="2:7" x14ac:dyDescent="0.25">
      <c r="B694" s="49"/>
      <c r="C694" s="89"/>
      <c r="D694" s="89"/>
      <c r="E694" s="47">
        <v>1866.0171322061501</v>
      </c>
      <c r="F694" s="47">
        <v>3631.2274086919701</v>
      </c>
      <c r="G694" s="47">
        <v>9279.6582468932393</v>
      </c>
    </row>
    <row r="695" spans="2:7" x14ac:dyDescent="0.25">
      <c r="B695" s="49"/>
      <c r="C695" s="89"/>
      <c r="D695" s="89"/>
      <c r="E695" s="47">
        <v>1881.0911136106199</v>
      </c>
      <c r="F695" s="47">
        <v>3634.4672030334</v>
      </c>
      <c r="G695" s="47">
        <v>9349.7006591724694</v>
      </c>
    </row>
    <row r="696" spans="2:7" x14ac:dyDescent="0.25">
      <c r="B696" s="49"/>
      <c r="C696" s="89"/>
      <c r="D696" s="89"/>
      <c r="E696" s="47">
        <v>1900.1669435663</v>
      </c>
      <c r="F696" s="47">
        <v>3636.85568220903</v>
      </c>
      <c r="G696" s="47">
        <v>9408.1040047551305</v>
      </c>
    </row>
    <row r="697" spans="2:7" x14ac:dyDescent="0.25">
      <c r="B697" s="49"/>
      <c r="C697" s="89"/>
      <c r="D697" s="89"/>
      <c r="E697" s="47">
        <v>1923.70049471435</v>
      </c>
      <c r="F697" s="47">
        <v>3638.5854979122801</v>
      </c>
      <c r="G697" s="47">
        <v>9458.6596584830004</v>
      </c>
    </row>
    <row r="698" spans="2:7" x14ac:dyDescent="0.25">
      <c r="B698" s="49"/>
      <c r="C698" s="89"/>
      <c r="D698" s="89"/>
      <c r="E698" s="47">
        <v>1952.1418837338899</v>
      </c>
      <c r="F698" s="47">
        <v>3639.7825430103399</v>
      </c>
      <c r="G698" s="47">
        <v>9503.9742758785396</v>
      </c>
    </row>
    <row r="699" spans="2:7" x14ac:dyDescent="0.25">
      <c r="B699" s="49"/>
      <c r="C699" s="89"/>
      <c r="D699" s="89"/>
      <c r="E699" s="47">
        <v>1985.94125322942</v>
      </c>
      <c r="F699" s="47">
        <v>3640.5302096639198</v>
      </c>
      <c r="G699" s="47">
        <v>9545.9036062462801</v>
      </c>
    </row>
    <row r="700" spans="2:7" x14ac:dyDescent="0.25">
      <c r="B700" s="49"/>
      <c r="C700" s="89">
        <v>0</v>
      </c>
      <c r="D700" s="89">
        <v>0</v>
      </c>
      <c r="E700" s="47">
        <v>1793.4382035685001</v>
      </c>
      <c r="F700" s="47">
        <v>0</v>
      </c>
      <c r="G700" s="47">
        <v>4835.0021737477</v>
      </c>
    </row>
    <row r="701" spans="2:7" x14ac:dyDescent="0.25">
      <c r="B701" s="49"/>
      <c r="C701" s="89"/>
      <c r="D701" s="89"/>
      <c r="E701" s="47">
        <v>1802.54758555696</v>
      </c>
      <c r="F701" s="47">
        <v>0</v>
      </c>
      <c r="G701" s="47">
        <v>4843.4306249303199</v>
      </c>
    </row>
    <row r="702" spans="2:7" x14ac:dyDescent="0.25">
      <c r="B702" s="49"/>
      <c r="C702" s="89"/>
      <c r="D702" s="89"/>
      <c r="E702" s="47">
        <v>1811.65696754543</v>
      </c>
      <c r="F702" s="47">
        <v>0</v>
      </c>
      <c r="G702" s="47">
        <v>4851.8590761129299</v>
      </c>
    </row>
    <row r="703" spans="2:7" x14ac:dyDescent="0.25">
      <c r="B703" s="49"/>
      <c r="C703" s="89"/>
      <c r="D703" s="89"/>
      <c r="E703" s="47">
        <v>1822.20087560362</v>
      </c>
      <c r="F703" s="47">
        <v>0</v>
      </c>
      <c r="G703" s="47">
        <v>4859.5513897147503</v>
      </c>
    </row>
    <row r="704" spans="2:7" x14ac:dyDescent="0.25">
      <c r="B704" s="49"/>
      <c r="C704" s="89"/>
      <c r="D704" s="89"/>
      <c r="E704" s="47">
        <v>1833.2229590183799</v>
      </c>
      <c r="F704" s="47">
        <v>0</v>
      </c>
      <c r="G704" s="47">
        <v>4866.9983241229702</v>
      </c>
    </row>
    <row r="705" spans="2:7" x14ac:dyDescent="0.25">
      <c r="B705" s="49"/>
      <c r="C705" s="89"/>
      <c r="D705" s="89"/>
      <c r="E705" s="47">
        <v>1845.31913067245</v>
      </c>
      <c r="F705" s="47">
        <v>0</v>
      </c>
      <c r="G705" s="47">
        <v>4874.2122448372502</v>
      </c>
    </row>
    <row r="706" spans="2:7" x14ac:dyDescent="0.25">
      <c r="B706" s="49"/>
      <c r="C706" s="89"/>
      <c r="D706" s="89"/>
      <c r="E706" s="47">
        <v>1858.48939056581</v>
      </c>
      <c r="F706" s="47">
        <v>0</v>
      </c>
      <c r="G706" s="47">
        <v>4881.1931518575902</v>
      </c>
    </row>
    <row r="707" spans="2:7" x14ac:dyDescent="0.25">
      <c r="B707" s="49"/>
      <c r="C707" s="89"/>
      <c r="D707" s="89"/>
      <c r="E707" s="47">
        <v>1872.2530760116899</v>
      </c>
      <c r="F707" s="47">
        <v>0</v>
      </c>
      <c r="G707" s="47">
        <v>4888.1509521255002</v>
      </c>
    </row>
    <row r="708" spans="2:7" x14ac:dyDescent="0.25">
      <c r="B708" s="49"/>
      <c r="C708" s="89"/>
      <c r="D708" s="89"/>
      <c r="E708" s="47">
        <v>1887.7970381150999</v>
      </c>
      <c r="F708" s="47">
        <v>0</v>
      </c>
      <c r="G708" s="47">
        <v>4895.0394321361</v>
      </c>
    </row>
    <row r="709" spans="2:7" x14ac:dyDescent="0.25">
      <c r="B709" s="49"/>
      <c r="C709" s="89"/>
      <c r="D709" s="89"/>
      <c r="E709" s="47">
        <v>1903.3410002185101</v>
      </c>
      <c r="F709" s="47">
        <v>0</v>
      </c>
      <c r="G709" s="47">
        <v>4901.9279121467098</v>
      </c>
    </row>
    <row r="710" spans="2:7" x14ac:dyDescent="0.25">
      <c r="B710" s="49"/>
      <c r="C710" s="89"/>
      <c r="D710" s="89">
        <v>100</v>
      </c>
      <c r="E710" s="47">
        <v>1782.69791105371</v>
      </c>
      <c r="F710" s="47">
        <v>330.65325839828</v>
      </c>
      <c r="G710" s="47">
        <v>5128.0498675384297</v>
      </c>
    </row>
    <row r="711" spans="2:7" x14ac:dyDescent="0.25">
      <c r="B711" s="49"/>
      <c r="C711" s="89"/>
      <c r="D711" s="89"/>
      <c r="E711" s="47">
        <v>1791.78027479611</v>
      </c>
      <c r="F711" s="47">
        <v>330.72593094349998</v>
      </c>
      <c r="G711" s="47">
        <v>5151.2379118106401</v>
      </c>
    </row>
    <row r="712" spans="2:7" x14ac:dyDescent="0.25">
      <c r="B712" s="49"/>
      <c r="C712" s="89"/>
      <c r="D712" s="89"/>
      <c r="E712" s="47">
        <v>1801.9092269140799</v>
      </c>
      <c r="F712" s="47">
        <v>330.78319383418102</v>
      </c>
      <c r="G712" s="47">
        <v>5172.0417988234403</v>
      </c>
    </row>
    <row r="713" spans="2:7" x14ac:dyDescent="0.25">
      <c r="B713" s="49"/>
      <c r="C713" s="89"/>
      <c r="D713" s="89"/>
      <c r="E713" s="47">
        <v>1813.0847674076299</v>
      </c>
      <c r="F713" s="47">
        <v>330.82504707032501</v>
      </c>
      <c r="G713" s="47">
        <v>5190.4615285768296</v>
      </c>
    </row>
    <row r="714" spans="2:7" x14ac:dyDescent="0.25">
      <c r="B714" s="49"/>
      <c r="C714" s="89"/>
      <c r="D714" s="89"/>
      <c r="E714" s="47">
        <v>1826.75875663282</v>
      </c>
      <c r="F714" s="47">
        <v>330.84289286782399</v>
      </c>
      <c r="G714" s="47">
        <v>5205.9067294115803</v>
      </c>
    </row>
    <row r="715" spans="2:7" x14ac:dyDescent="0.25">
      <c r="B715" s="49"/>
      <c r="C715" s="89"/>
      <c r="D715" s="89"/>
      <c r="E715" s="47">
        <v>1841.86747710391</v>
      </c>
      <c r="F715" s="47">
        <v>330.85082558640602</v>
      </c>
      <c r="G715" s="47">
        <v>5220.4672680706799</v>
      </c>
    </row>
    <row r="716" spans="2:7" x14ac:dyDescent="0.25">
      <c r="B716" s="49"/>
      <c r="C716" s="89"/>
      <c r="D716" s="89"/>
      <c r="E716" s="47">
        <v>1858.4109288209199</v>
      </c>
      <c r="F716" s="47">
        <v>330.84884522607302</v>
      </c>
      <c r="G716" s="47">
        <v>5234.1431445541202</v>
      </c>
    </row>
    <row r="717" spans="2:7" x14ac:dyDescent="0.25">
      <c r="B717" s="49"/>
      <c r="C717" s="89"/>
      <c r="D717" s="89"/>
      <c r="E717" s="47">
        <v>1878.17068663026</v>
      </c>
      <c r="F717" s="47">
        <v>330.82949096096303</v>
      </c>
      <c r="G717" s="47">
        <v>5246.8665523994796</v>
      </c>
    </row>
    <row r="718" spans="2:7" x14ac:dyDescent="0.25">
      <c r="B718" s="49"/>
      <c r="C718" s="89"/>
      <c r="D718" s="89"/>
      <c r="E718" s="47">
        <v>1899.7053788104699</v>
      </c>
      <c r="F718" s="47">
        <v>330.802176764948</v>
      </c>
      <c r="G718" s="47">
        <v>5259.4103550113596</v>
      </c>
    </row>
    <row r="719" spans="2:7" x14ac:dyDescent="0.25">
      <c r="B719" s="49"/>
      <c r="C719" s="89"/>
      <c r="D719" s="89"/>
      <c r="E719" s="47">
        <v>1923.01500536157</v>
      </c>
      <c r="F719" s="47">
        <v>330.76690263802698</v>
      </c>
      <c r="G719" s="47">
        <v>5271.7745523897602</v>
      </c>
    </row>
    <row r="720" spans="2:7" x14ac:dyDescent="0.25">
      <c r="B720" s="49"/>
      <c r="C720" s="89"/>
      <c r="D720" s="89">
        <v>200</v>
      </c>
      <c r="E720" s="47">
        <v>1789.1979988824601</v>
      </c>
      <c r="F720" s="47">
        <v>654.51380010074195</v>
      </c>
      <c r="G720" s="47">
        <v>5446.9956783323896</v>
      </c>
    </row>
    <row r="721" spans="2:7" x14ac:dyDescent="0.25">
      <c r="B721" s="49"/>
      <c r="C721" s="89"/>
      <c r="D721" s="89"/>
      <c r="E721" s="47">
        <v>1797.76661897792</v>
      </c>
      <c r="F721" s="47">
        <v>654.82708605039295</v>
      </c>
      <c r="G721" s="47">
        <v>5487.5789560515304</v>
      </c>
    </row>
    <row r="722" spans="2:7" x14ac:dyDescent="0.25">
      <c r="B722" s="49"/>
      <c r="C722" s="89"/>
      <c r="D722" s="89"/>
      <c r="E722" s="47">
        <v>1807.71296783598</v>
      </c>
      <c r="F722" s="47">
        <v>655.06253942907995</v>
      </c>
      <c r="G722" s="47">
        <v>5521.0655891836795</v>
      </c>
    </row>
    <row r="723" spans="2:7" x14ac:dyDescent="0.25">
      <c r="B723" s="49"/>
      <c r="C723" s="89"/>
      <c r="D723" s="89"/>
      <c r="E723" s="47">
        <v>1819.26622490144</v>
      </c>
      <c r="F723" s="47">
        <v>655.233342648335</v>
      </c>
      <c r="G723" s="47">
        <v>5549.0517154761301</v>
      </c>
    </row>
    <row r="724" spans="2:7" x14ac:dyDescent="0.25">
      <c r="B724" s="49"/>
      <c r="C724" s="89"/>
      <c r="D724" s="89"/>
      <c r="E724" s="47">
        <v>1832.6452661559399</v>
      </c>
      <c r="F724" s="47">
        <v>655.35082100405305</v>
      </c>
      <c r="G724" s="47">
        <v>5572.9273229494001</v>
      </c>
    </row>
    <row r="725" spans="2:7" x14ac:dyDescent="0.25">
      <c r="B725" s="49"/>
      <c r="C725" s="89"/>
      <c r="D725" s="89"/>
      <c r="E725" s="47">
        <v>1848.53247892585</v>
      </c>
      <c r="F725" s="47">
        <v>655.41648722691502</v>
      </c>
      <c r="G725" s="47">
        <v>5593.4346095469</v>
      </c>
    </row>
    <row r="726" spans="2:7" x14ac:dyDescent="0.25">
      <c r="B726" s="49"/>
      <c r="C726" s="89"/>
      <c r="D726" s="89"/>
      <c r="E726" s="47">
        <v>1867.2899300238701</v>
      </c>
      <c r="F726" s="47">
        <v>655.43959348828901</v>
      </c>
      <c r="G726" s="47">
        <v>5611.8650413063697</v>
      </c>
    </row>
    <row r="727" spans="2:7" x14ac:dyDescent="0.25">
      <c r="B727" s="49"/>
      <c r="C727" s="89"/>
      <c r="D727" s="89"/>
      <c r="E727" s="47">
        <v>1888.6687068425499</v>
      </c>
      <c r="F727" s="47">
        <v>655.43103017246301</v>
      </c>
      <c r="G727" s="47">
        <v>5629.1636523365096</v>
      </c>
    </row>
    <row r="728" spans="2:7" x14ac:dyDescent="0.25">
      <c r="B728" s="49"/>
      <c r="C728" s="89"/>
      <c r="D728" s="89"/>
      <c r="E728" s="47">
        <v>1912.8366542704</v>
      </c>
      <c r="F728" s="47">
        <v>655.392920090541</v>
      </c>
      <c r="G728" s="47">
        <v>5645.6989295113999</v>
      </c>
    </row>
    <row r="729" spans="2:7" x14ac:dyDescent="0.25">
      <c r="B729" s="49"/>
      <c r="C729" s="89"/>
      <c r="D729" s="89"/>
      <c r="E729" s="47">
        <v>1939.95949197248</v>
      </c>
      <c r="F729" s="47">
        <v>655.32702356266304</v>
      </c>
      <c r="G729" s="47">
        <v>5661.79901877878</v>
      </c>
    </row>
    <row r="730" spans="2:7" x14ac:dyDescent="0.25">
      <c r="B730" s="49"/>
      <c r="C730" s="89"/>
      <c r="D730" s="89">
        <v>300</v>
      </c>
      <c r="E730" s="47">
        <v>1786.1568592523199</v>
      </c>
      <c r="F730" s="47">
        <v>969.57858535983803</v>
      </c>
      <c r="G730" s="47">
        <v>5615.8582604692401</v>
      </c>
    </row>
    <row r="731" spans="2:7" x14ac:dyDescent="0.25">
      <c r="B731" s="49"/>
      <c r="C731" s="89"/>
      <c r="D731" s="89"/>
      <c r="E731" s="47">
        <v>1794.99966591769</v>
      </c>
      <c r="F731" s="47">
        <v>971.25219688936795</v>
      </c>
      <c r="G731" s="47">
        <v>5741.8998585047902</v>
      </c>
    </row>
    <row r="732" spans="2:7" x14ac:dyDescent="0.25">
      <c r="B732" s="49"/>
      <c r="C732" s="89"/>
      <c r="D732" s="89"/>
      <c r="E732" s="47">
        <v>1804.1322429235199</v>
      </c>
      <c r="F732" s="47">
        <v>972.30331946619799</v>
      </c>
      <c r="G732" s="47">
        <v>5824.1000120758699</v>
      </c>
    </row>
    <row r="733" spans="2:7" x14ac:dyDescent="0.25">
      <c r="B733" s="49"/>
      <c r="C733" s="89"/>
      <c r="D733" s="89"/>
      <c r="E733" s="47">
        <v>1814.92803716092</v>
      </c>
      <c r="F733" s="47">
        <v>972.99786724278999</v>
      </c>
      <c r="G733" s="47">
        <v>5882.4653810104501</v>
      </c>
    </row>
    <row r="734" spans="2:7" x14ac:dyDescent="0.25">
      <c r="B734" s="49"/>
      <c r="C734" s="89"/>
      <c r="D734" s="89"/>
      <c r="E734" s="47">
        <v>1828.25542973898</v>
      </c>
      <c r="F734" s="47">
        <v>973.46128622684705</v>
      </c>
      <c r="G734" s="47">
        <v>5926.6205182741696</v>
      </c>
    </row>
    <row r="735" spans="2:7" x14ac:dyDescent="0.25">
      <c r="B735" s="49"/>
      <c r="C735" s="89"/>
      <c r="D735" s="89"/>
      <c r="E735" s="47">
        <v>1844.78779809353</v>
      </c>
      <c r="F735" s="47">
        <v>973.76094774600199</v>
      </c>
      <c r="G735" s="47">
        <v>5961.9100619131004</v>
      </c>
    </row>
    <row r="736" spans="2:7" x14ac:dyDescent="0.25">
      <c r="B736" s="49"/>
      <c r="C736" s="89"/>
      <c r="D736" s="89"/>
      <c r="E736" s="47">
        <v>1865.1026869950001</v>
      </c>
      <c r="F736" s="47">
        <v>973.93514607398697</v>
      </c>
      <c r="G736" s="47">
        <v>5991.5373886117204</v>
      </c>
    </row>
    <row r="737" spans="2:7" x14ac:dyDescent="0.25">
      <c r="B737" s="49"/>
      <c r="C737" s="89"/>
      <c r="D737" s="89"/>
      <c r="E737" s="47">
        <v>1889.7319728748901</v>
      </c>
      <c r="F737" s="47">
        <v>974.00691371797404</v>
      </c>
      <c r="G737" s="47">
        <v>6017.5861535374197</v>
      </c>
    </row>
    <row r="738" spans="2:7" x14ac:dyDescent="0.25">
      <c r="B738" s="49"/>
      <c r="C738" s="89"/>
      <c r="D738" s="89"/>
      <c r="E738" s="47">
        <v>1919.18429727427</v>
      </c>
      <c r="F738" s="47">
        <v>973.99089915106697</v>
      </c>
      <c r="G738" s="47">
        <v>6041.5265625627699</v>
      </c>
    </row>
    <row r="739" spans="2:7" x14ac:dyDescent="0.25">
      <c r="B739" s="49"/>
      <c r="C739" s="89"/>
      <c r="D739" s="89"/>
      <c r="E739" s="47">
        <v>1953.9530039366</v>
      </c>
      <c r="F739" s="47">
        <v>973.89623069063396</v>
      </c>
      <c r="G739" s="47">
        <v>6064.4249198091802</v>
      </c>
    </row>
    <row r="740" spans="2:7" x14ac:dyDescent="0.25">
      <c r="B740" s="49"/>
      <c r="C740" s="89"/>
      <c r="D740" s="89">
        <v>400</v>
      </c>
      <c r="E740" s="47">
        <v>1799.35938354363</v>
      </c>
      <c r="F740" s="47">
        <v>1279.9611661778099</v>
      </c>
      <c r="G740" s="47">
        <v>5981.48618736341</v>
      </c>
    </row>
    <row r="741" spans="2:7" x14ac:dyDescent="0.25">
      <c r="B741" s="49"/>
      <c r="C741" s="89"/>
      <c r="D741" s="89"/>
      <c r="E741" s="47">
        <v>1807.66506188428</v>
      </c>
      <c r="F741" s="47">
        <v>1282.44454888051</v>
      </c>
      <c r="G741" s="47">
        <v>6120.3966543086699</v>
      </c>
    </row>
    <row r="742" spans="2:7" x14ac:dyDescent="0.25">
      <c r="B742" s="49"/>
      <c r="C742" s="89"/>
      <c r="D742" s="89"/>
      <c r="E742" s="47">
        <v>1816.44255276535</v>
      </c>
      <c r="F742" s="47">
        <v>1284.01518497999</v>
      </c>
      <c r="G742" s="47">
        <v>6211.2426808878299</v>
      </c>
    </row>
    <row r="743" spans="2:7" x14ac:dyDescent="0.25">
      <c r="B743" s="49"/>
      <c r="C743" s="89"/>
      <c r="D743" s="89"/>
      <c r="E743" s="47">
        <v>1826.9922391543801</v>
      </c>
      <c r="F743" s="47">
        <v>1285.0658157857099</v>
      </c>
      <c r="G743" s="47">
        <v>6275.9894274887201</v>
      </c>
    </row>
    <row r="744" spans="2:7" x14ac:dyDescent="0.25">
      <c r="B744" s="49"/>
      <c r="C744" s="89"/>
      <c r="D744" s="89"/>
      <c r="E744" s="47">
        <v>1840.1338042385701</v>
      </c>
      <c r="F744" s="47">
        <v>1285.78062682941</v>
      </c>
      <c r="G744" s="47">
        <v>6325.1147106318904</v>
      </c>
    </row>
    <row r="745" spans="2:7" x14ac:dyDescent="0.25">
      <c r="B745" s="49"/>
      <c r="C745" s="89"/>
      <c r="D745" s="89"/>
      <c r="E745" s="47">
        <v>1856.5137738426099</v>
      </c>
      <c r="F745" s="47">
        <v>1286.25825422916</v>
      </c>
      <c r="G745" s="47">
        <v>6364.4058657334699</v>
      </c>
    </row>
    <row r="746" spans="2:7" x14ac:dyDescent="0.25">
      <c r="B746" s="49"/>
      <c r="C746" s="89"/>
      <c r="D746" s="89"/>
      <c r="E746" s="47">
        <v>1876.69704579007</v>
      </c>
      <c r="F746" s="47">
        <v>1286.5555584911699</v>
      </c>
      <c r="G746" s="47">
        <v>6397.3624054554102</v>
      </c>
    </row>
    <row r="747" spans="2:7" x14ac:dyDescent="0.25">
      <c r="B747" s="49"/>
      <c r="C747" s="89"/>
      <c r="D747" s="89"/>
      <c r="E747" s="47">
        <v>1901.20793675507</v>
      </c>
      <c r="F747" s="47">
        <v>1286.707633021</v>
      </c>
      <c r="G747" s="47">
        <v>6426.2935327190198</v>
      </c>
    </row>
    <row r="748" spans="2:7" x14ac:dyDescent="0.25">
      <c r="B748" s="49"/>
      <c r="C748" s="89"/>
      <c r="D748" s="89"/>
      <c r="E748" s="47">
        <v>1930.54846875928</v>
      </c>
      <c r="F748" s="47">
        <v>1286.7369003726001</v>
      </c>
      <c r="G748" s="47">
        <v>6452.8167550338103</v>
      </c>
    </row>
    <row r="749" spans="2:7" x14ac:dyDescent="0.25">
      <c r="B749" s="49"/>
      <c r="C749" s="89"/>
      <c r="D749" s="89"/>
      <c r="E749" s="47">
        <v>1965.20495327769</v>
      </c>
      <c r="F749" s="47">
        <v>1286.65658968195</v>
      </c>
      <c r="G749" s="47">
        <v>6478.0481356796599</v>
      </c>
    </row>
    <row r="750" spans="2:7" x14ac:dyDescent="0.25">
      <c r="B750" s="49"/>
      <c r="C750" s="89"/>
      <c r="D750" s="89">
        <v>500</v>
      </c>
      <c r="E750" s="47">
        <v>1810.2501637468799</v>
      </c>
      <c r="F750" s="47">
        <v>1584.20944299538</v>
      </c>
      <c r="G750" s="47">
        <v>6356.5183216488003</v>
      </c>
    </row>
    <row r="751" spans="2:7" x14ac:dyDescent="0.25">
      <c r="B751" s="49"/>
      <c r="C751" s="89"/>
      <c r="D751" s="89"/>
      <c r="E751" s="47">
        <v>1817.99359440493</v>
      </c>
      <c r="F751" s="47">
        <v>1587.66618937167</v>
      </c>
      <c r="G751" s="47">
        <v>6509.8712617744604</v>
      </c>
    </row>
    <row r="752" spans="2:7" x14ac:dyDescent="0.25">
      <c r="B752" s="49"/>
      <c r="C752" s="89"/>
      <c r="D752" s="89"/>
      <c r="E752" s="47">
        <v>1826.3949917078601</v>
      </c>
      <c r="F752" s="47">
        <v>1589.8617947656401</v>
      </c>
      <c r="G752" s="47">
        <v>6610.2299303029004</v>
      </c>
    </row>
    <row r="753" spans="2:7" x14ac:dyDescent="0.25">
      <c r="B753" s="49"/>
      <c r="C753" s="89"/>
      <c r="D753" s="89"/>
      <c r="E753" s="47">
        <v>1836.6710689316501</v>
      </c>
      <c r="F753" s="47">
        <v>1591.34118824389</v>
      </c>
      <c r="G753" s="47">
        <v>6681.7741542229996</v>
      </c>
    </row>
    <row r="754" spans="2:7" x14ac:dyDescent="0.25">
      <c r="B754" s="49"/>
      <c r="C754" s="89"/>
      <c r="D754" s="89"/>
      <c r="E754" s="47">
        <v>1849.6056701412101</v>
      </c>
      <c r="F754" s="47">
        <v>1592.3625401730601</v>
      </c>
      <c r="G754" s="47">
        <v>6736.1342225414301</v>
      </c>
    </row>
    <row r="755" spans="2:7" x14ac:dyDescent="0.25">
      <c r="B755" s="49"/>
      <c r="C755" s="89"/>
      <c r="D755" s="89"/>
      <c r="E755" s="47">
        <v>1865.8177999350501</v>
      </c>
      <c r="F755" s="47">
        <v>1593.0619450305801</v>
      </c>
      <c r="G755" s="47">
        <v>6779.6154612350001</v>
      </c>
    </row>
    <row r="756" spans="2:7" x14ac:dyDescent="0.25">
      <c r="B756" s="49"/>
      <c r="C756" s="89"/>
      <c r="D756" s="89"/>
      <c r="E756" s="47">
        <v>1885.85776666417</v>
      </c>
      <c r="F756" s="47">
        <v>1593.5186581432599</v>
      </c>
      <c r="G756" s="47">
        <v>6816.0511156800003</v>
      </c>
    </row>
    <row r="757" spans="2:7" x14ac:dyDescent="0.25">
      <c r="B757" s="49"/>
      <c r="C757" s="89"/>
      <c r="D757" s="89"/>
      <c r="E757" s="47">
        <v>1910.2391907035999</v>
      </c>
      <c r="F757" s="47">
        <v>1593.7811557677301</v>
      </c>
      <c r="G757" s="47">
        <v>6847.93623185259</v>
      </c>
    </row>
    <row r="758" spans="2:7" x14ac:dyDescent="0.25">
      <c r="B758" s="49"/>
      <c r="C758" s="89"/>
      <c r="D758" s="89"/>
      <c r="E758" s="47">
        <v>1939.4558894962199</v>
      </c>
      <c r="F758" s="47">
        <v>1593.8801836155301</v>
      </c>
      <c r="G758" s="47">
        <v>6876.9961737456997</v>
      </c>
    </row>
    <row r="759" spans="2:7" x14ac:dyDescent="0.25">
      <c r="B759" s="49"/>
      <c r="C759" s="89"/>
      <c r="D759" s="89"/>
      <c r="E759" s="47">
        <v>1973.99108534878</v>
      </c>
      <c r="F759" s="47">
        <v>1593.8356682972301</v>
      </c>
      <c r="G759" s="47">
        <v>6904.4879893647903</v>
      </c>
    </row>
    <row r="760" spans="2:7" x14ac:dyDescent="0.25">
      <c r="B760" s="49"/>
      <c r="C760" s="89"/>
      <c r="D760" s="89">
        <v>600</v>
      </c>
      <c r="E760" s="47">
        <v>1819.0082960806101</v>
      </c>
      <c r="F760" s="47">
        <v>1882.4858483843</v>
      </c>
      <c r="G760" s="47">
        <v>6741.1134015837797</v>
      </c>
    </row>
    <row r="761" spans="2:7" x14ac:dyDescent="0.25">
      <c r="B761" s="49"/>
      <c r="C761" s="89"/>
      <c r="D761" s="89"/>
      <c r="E761" s="47">
        <v>1826.1290349870701</v>
      </c>
      <c r="F761" s="47">
        <v>1887.05245204332</v>
      </c>
      <c r="G761" s="47">
        <v>6908.6949164997704</v>
      </c>
    </row>
    <row r="762" spans="2:7" x14ac:dyDescent="0.25">
      <c r="B762" s="49"/>
      <c r="C762" s="89"/>
      <c r="D762" s="89"/>
      <c r="E762" s="47">
        <v>1834.1229123303799</v>
      </c>
      <c r="F762" s="47">
        <v>1889.96669047112</v>
      </c>
      <c r="G762" s="47">
        <v>7018.5640783480203</v>
      </c>
    </row>
    <row r="763" spans="2:7" x14ac:dyDescent="0.25">
      <c r="B763" s="49"/>
      <c r="C763" s="89"/>
      <c r="D763" s="89"/>
      <c r="E763" s="47">
        <v>1844.1072297584799</v>
      </c>
      <c r="F763" s="47">
        <v>1891.94535156855</v>
      </c>
      <c r="G763" s="47">
        <v>7097.0330151585604</v>
      </c>
    </row>
    <row r="764" spans="2:7" x14ac:dyDescent="0.25">
      <c r="B764" s="49"/>
      <c r="C764" s="89"/>
      <c r="D764" s="89"/>
      <c r="E764" s="47">
        <v>1856.8181263152001</v>
      </c>
      <c r="F764" s="47">
        <v>1893.32710881701</v>
      </c>
      <c r="G764" s="47">
        <v>7156.7092418780103</v>
      </c>
    </row>
    <row r="765" spans="2:7" x14ac:dyDescent="0.25">
      <c r="B765" s="49"/>
      <c r="C765" s="89"/>
      <c r="D765" s="89"/>
      <c r="E765" s="47">
        <v>1872.8508264741299</v>
      </c>
      <c r="F765" s="47">
        <v>1894.29340329358</v>
      </c>
      <c r="G765" s="47">
        <v>7204.51727219234</v>
      </c>
    </row>
    <row r="766" spans="2:7" x14ac:dyDescent="0.25">
      <c r="B766" s="49"/>
      <c r="C766" s="89"/>
      <c r="D766" s="89"/>
      <c r="E766" s="47">
        <v>1892.7380725063099</v>
      </c>
      <c r="F766" s="47">
        <v>1894.94747470742</v>
      </c>
      <c r="G766" s="47">
        <v>7244.5619565406696</v>
      </c>
    </row>
    <row r="767" spans="2:7" x14ac:dyDescent="0.25">
      <c r="B767" s="49"/>
      <c r="C767" s="89"/>
      <c r="D767" s="89"/>
      <c r="E767" s="47">
        <v>1916.9836706451699</v>
      </c>
      <c r="F767" s="47">
        <v>1895.3535330538</v>
      </c>
      <c r="G767" s="47">
        <v>7279.5429006039203</v>
      </c>
    </row>
    <row r="768" spans="2:7" x14ac:dyDescent="0.25">
      <c r="B768" s="49"/>
      <c r="C768" s="89"/>
      <c r="D768" s="89"/>
      <c r="E768" s="47">
        <v>1946.07403212075</v>
      </c>
      <c r="F768" s="47">
        <v>1895.5527112876</v>
      </c>
      <c r="G768" s="47">
        <v>7311.3285711897997</v>
      </c>
    </row>
    <row r="769" spans="2:7" x14ac:dyDescent="0.25">
      <c r="B769" s="49"/>
      <c r="C769" s="89"/>
      <c r="D769" s="89"/>
      <c r="E769" s="47">
        <v>1980.4862292139701</v>
      </c>
      <c r="F769" s="47">
        <v>1895.5714155887499</v>
      </c>
      <c r="G769" s="47">
        <v>7341.2586253468498</v>
      </c>
    </row>
    <row r="770" spans="2:7" x14ac:dyDescent="0.25">
      <c r="B770" s="49"/>
      <c r="C770" s="89"/>
      <c r="D770" s="89">
        <v>700</v>
      </c>
      <c r="E770" s="47">
        <v>1825.8058841587499</v>
      </c>
      <c r="F770" s="47">
        <v>2174.9316078964398</v>
      </c>
      <c r="G770" s="47">
        <v>7134.7829260399103</v>
      </c>
    </row>
    <row r="771" spans="2:7" x14ac:dyDescent="0.25">
      <c r="B771" s="49"/>
      <c r="C771" s="89"/>
      <c r="D771" s="89"/>
      <c r="E771" s="47">
        <v>1832.28947556976</v>
      </c>
      <c r="F771" s="47">
        <v>2180.80518908677</v>
      </c>
      <c r="G771" s="47">
        <v>7318.32519379938</v>
      </c>
    </row>
    <row r="772" spans="2:7" x14ac:dyDescent="0.25">
      <c r="B772" s="49"/>
      <c r="C772" s="89"/>
      <c r="D772" s="89"/>
      <c r="E772" s="47">
        <v>1839.85917291501</v>
      </c>
      <c r="F772" s="47">
        <v>2184.5626979168201</v>
      </c>
      <c r="G772" s="47">
        <v>7438.6429570794098</v>
      </c>
    </row>
    <row r="773" spans="2:7" x14ac:dyDescent="0.25">
      <c r="B773" s="49"/>
      <c r="C773" s="89"/>
      <c r="D773" s="89"/>
      <c r="E773" s="47">
        <v>1849.5351980610501</v>
      </c>
      <c r="F773" s="47">
        <v>2187.1259654788601</v>
      </c>
      <c r="G773" s="47">
        <v>7524.5530796124503</v>
      </c>
    </row>
    <row r="774" spans="2:7" x14ac:dyDescent="0.25">
      <c r="B774" s="49"/>
      <c r="C774" s="89"/>
      <c r="D774" s="89"/>
      <c r="E774" s="47">
        <v>1862.0064016270201</v>
      </c>
      <c r="F774" s="47">
        <v>2188.92237838957</v>
      </c>
      <c r="G774" s="47">
        <v>7589.5978795859701</v>
      </c>
    </row>
    <row r="775" spans="2:7" x14ac:dyDescent="0.25">
      <c r="B775" s="49"/>
      <c r="C775" s="89"/>
      <c r="D775" s="89"/>
      <c r="E775" s="47">
        <v>1877.8453534791599</v>
      </c>
      <c r="F775" s="47">
        <v>2190.1970974717201</v>
      </c>
      <c r="G775" s="47">
        <v>7641.69555497698</v>
      </c>
    </row>
    <row r="776" spans="2:7" x14ac:dyDescent="0.25">
      <c r="B776" s="49"/>
      <c r="C776" s="89"/>
      <c r="D776" s="89"/>
      <c r="E776" s="47">
        <v>1897.5685535222799</v>
      </c>
      <c r="F776" s="47">
        <v>2191.0842225463998</v>
      </c>
      <c r="G776" s="47">
        <v>7685.3498963334396</v>
      </c>
    </row>
    <row r="777" spans="2:7" x14ac:dyDescent="0.25">
      <c r="B777" s="49"/>
      <c r="C777" s="89"/>
      <c r="D777" s="89"/>
      <c r="E777" s="47">
        <v>1921.6682280975299</v>
      </c>
      <c r="F777" s="47">
        <v>2191.6646622589301</v>
      </c>
      <c r="G777" s="47">
        <v>7723.4317327755098</v>
      </c>
    </row>
    <row r="778" spans="2:7" x14ac:dyDescent="0.25">
      <c r="B778" s="49"/>
      <c r="C778" s="89"/>
      <c r="D778" s="89"/>
      <c r="E778" s="47">
        <v>1950.62429983984</v>
      </c>
      <c r="F778" s="47">
        <v>2191.99082721677</v>
      </c>
      <c r="G778" s="47">
        <v>7757.9376397573496</v>
      </c>
    </row>
    <row r="779" spans="2:7" x14ac:dyDescent="0.25">
      <c r="B779" s="49"/>
      <c r="C779" s="89"/>
      <c r="D779" s="89"/>
      <c r="E779" s="47">
        <v>1984.90821233267</v>
      </c>
      <c r="F779" s="47">
        <v>2192.09696995999</v>
      </c>
      <c r="G779" s="47">
        <v>7790.3065707403002</v>
      </c>
    </row>
    <row r="780" spans="2:7" x14ac:dyDescent="0.25">
      <c r="B780" s="49"/>
      <c r="C780" s="89"/>
      <c r="D780" s="89">
        <v>800</v>
      </c>
      <c r="E780" s="47">
        <v>1830.80005360313</v>
      </c>
      <c r="F780" s="47">
        <v>2461.6814941274602</v>
      </c>
      <c r="G780" s="47">
        <v>7537.1755897606899</v>
      </c>
    </row>
    <row r="781" spans="2:7" x14ac:dyDescent="0.25">
      <c r="B781" s="49"/>
      <c r="C781" s="89"/>
      <c r="D781" s="89"/>
      <c r="E781" s="47">
        <v>1836.5975645450701</v>
      </c>
      <c r="F781" s="47">
        <v>2469.0058402745099</v>
      </c>
      <c r="G781" s="47">
        <v>7736.3118345186404</v>
      </c>
    </row>
    <row r="782" spans="2:7" x14ac:dyDescent="0.25">
      <c r="B782" s="49"/>
      <c r="C782" s="89"/>
      <c r="D782" s="89"/>
      <c r="E782" s="47">
        <v>1843.7170298552901</v>
      </c>
      <c r="F782" s="47">
        <v>2473.7049369196902</v>
      </c>
      <c r="G782" s="47">
        <v>7866.9528820720298</v>
      </c>
    </row>
    <row r="783" spans="2:7" x14ac:dyDescent="0.25">
      <c r="B783" s="49"/>
      <c r="C783" s="89"/>
      <c r="D783" s="89"/>
      <c r="E783" s="47">
        <v>1853.06962706378</v>
      </c>
      <c r="F783" s="47">
        <v>2476.9296179164598</v>
      </c>
      <c r="G783" s="47">
        <v>7960.3965399778199</v>
      </c>
    </row>
    <row r="784" spans="2:7" x14ac:dyDescent="0.25">
      <c r="B784" s="49"/>
      <c r="C784" s="89"/>
      <c r="D784" s="89"/>
      <c r="E784" s="47">
        <v>1865.29767305881</v>
      </c>
      <c r="F784" s="47">
        <v>2479.21941956921</v>
      </c>
      <c r="G784" s="47">
        <v>8031.4974082823001</v>
      </c>
    </row>
    <row r="785" spans="2:7" x14ac:dyDescent="0.25">
      <c r="B785" s="49"/>
      <c r="C785" s="89"/>
      <c r="D785" s="89"/>
      <c r="E785" s="47">
        <v>1880.9417880788201</v>
      </c>
      <c r="F785" s="47">
        <v>2480.8632456302398</v>
      </c>
      <c r="G785" s="47">
        <v>8088.3760403142596</v>
      </c>
    </row>
    <row r="786" spans="2:7" x14ac:dyDescent="0.25">
      <c r="B786" s="49"/>
      <c r="C786" s="89"/>
      <c r="D786" s="89"/>
      <c r="E786" s="47">
        <v>1900.49794213583</v>
      </c>
      <c r="F786" s="47">
        <v>2482.0300513642101</v>
      </c>
      <c r="G786" s="47">
        <v>8135.9338075485102</v>
      </c>
    </row>
    <row r="787" spans="2:7" x14ac:dyDescent="0.25">
      <c r="B787" s="49"/>
      <c r="C787" s="89"/>
      <c r="D787" s="89"/>
      <c r="E787" s="47">
        <v>1924.4502343681099</v>
      </c>
      <c r="F787" s="47">
        <v>2482.82349757978</v>
      </c>
      <c r="G787" s="47">
        <v>8177.3308984137102</v>
      </c>
    </row>
    <row r="788" spans="2:7" x14ac:dyDescent="0.25">
      <c r="B788" s="49"/>
      <c r="C788" s="89"/>
      <c r="D788" s="89"/>
      <c r="E788" s="47">
        <v>1953.2706741248601</v>
      </c>
      <c r="F788" s="47">
        <v>2483.3090974509901</v>
      </c>
      <c r="G788" s="47">
        <v>8214.7055944637395</v>
      </c>
    </row>
    <row r="789" spans="2:7" x14ac:dyDescent="0.25">
      <c r="B789" s="49"/>
      <c r="C789" s="89"/>
      <c r="D789" s="89"/>
      <c r="E789" s="47">
        <v>1987.4246736391301</v>
      </c>
      <c r="F789" s="47">
        <v>2483.5307089767002</v>
      </c>
      <c r="G789" s="47">
        <v>8249.6163140887493</v>
      </c>
    </row>
    <row r="790" spans="2:7" x14ac:dyDescent="0.25">
      <c r="B790" s="49"/>
      <c r="C790" s="89"/>
      <c r="D790" s="89">
        <v>900</v>
      </c>
      <c r="E790" s="47">
        <v>1834.13674821728</v>
      </c>
      <c r="F790" s="47">
        <v>2742.8919683751501</v>
      </c>
      <c r="G790" s="47">
        <v>7948.65995665228</v>
      </c>
    </row>
    <row r="791" spans="2:7" x14ac:dyDescent="0.25">
      <c r="B791" s="49"/>
      <c r="C791" s="89"/>
      <c r="D791" s="89"/>
      <c r="E791" s="47">
        <v>1839.23732599097</v>
      </c>
      <c r="F791" s="47">
        <v>2751.8942027042699</v>
      </c>
      <c r="G791" s="47">
        <v>8165.12849568824</v>
      </c>
    </row>
    <row r="792" spans="2:7" x14ac:dyDescent="0.25">
      <c r="B792" s="49"/>
      <c r="C792" s="89"/>
      <c r="D792" s="89"/>
      <c r="E792" s="47">
        <v>1845.8912332515299</v>
      </c>
      <c r="F792" s="47">
        <v>2757.66256371195</v>
      </c>
      <c r="G792" s="47">
        <v>8306.7027686888196</v>
      </c>
    </row>
    <row r="793" spans="2:7" x14ac:dyDescent="0.25">
      <c r="B793" s="49"/>
      <c r="C793" s="89"/>
      <c r="D793" s="89"/>
      <c r="E793" s="47">
        <v>1854.91111206648</v>
      </c>
      <c r="F793" s="47">
        <v>2761.6237994493799</v>
      </c>
      <c r="G793" s="47">
        <v>8407.7030074606391</v>
      </c>
    </row>
    <row r="794" spans="2:7" x14ac:dyDescent="0.25">
      <c r="B794" s="49"/>
      <c r="C794" s="89"/>
      <c r="D794" s="89"/>
      <c r="E794" s="47">
        <v>1866.8824520749799</v>
      </c>
      <c r="F794" s="47">
        <v>2764.4555200566301</v>
      </c>
      <c r="G794" s="47">
        <v>8484.5966360763105</v>
      </c>
    </row>
    <row r="795" spans="2:7" x14ac:dyDescent="0.25">
      <c r="B795" s="49"/>
      <c r="C795" s="89"/>
      <c r="D795" s="89"/>
      <c r="E795" s="47">
        <v>1882.32050582594</v>
      </c>
      <c r="F795" s="47">
        <v>2766.5095201589602</v>
      </c>
      <c r="G795" s="47">
        <v>8546.1122210547692</v>
      </c>
    </row>
    <row r="796" spans="2:7" x14ac:dyDescent="0.25">
      <c r="B796" s="49"/>
      <c r="C796" s="89"/>
      <c r="D796" s="89"/>
      <c r="E796" s="47">
        <v>1901.70607426938</v>
      </c>
      <c r="F796" s="47">
        <v>2767.9909908642599</v>
      </c>
      <c r="G796" s="47">
        <v>8597.4936036681993</v>
      </c>
    </row>
    <row r="797" spans="2:7" x14ac:dyDescent="0.25">
      <c r="B797" s="49"/>
      <c r="C797" s="89"/>
      <c r="D797" s="89"/>
      <c r="E797" s="47">
        <v>1925.5050859882599</v>
      </c>
      <c r="F797" s="47">
        <v>2769.0287413200999</v>
      </c>
      <c r="G797" s="47">
        <v>8642.1718164906706</v>
      </c>
    </row>
    <row r="798" spans="2:7" x14ac:dyDescent="0.25">
      <c r="B798" s="49"/>
      <c r="C798" s="89"/>
      <c r="D798" s="89"/>
      <c r="E798" s="47">
        <v>1954.18593473804</v>
      </c>
      <c r="F798" s="47">
        <v>2769.7020721303102</v>
      </c>
      <c r="G798" s="47">
        <v>8682.4137781956106</v>
      </c>
    </row>
    <row r="799" spans="2:7" x14ac:dyDescent="0.25">
      <c r="B799" s="49"/>
      <c r="C799" s="89"/>
      <c r="D799" s="89"/>
      <c r="E799" s="47">
        <v>1988.2089965483999</v>
      </c>
      <c r="F799" s="47">
        <v>2770.0647099755602</v>
      </c>
      <c r="G799" s="47">
        <v>8719.8767167584192</v>
      </c>
    </row>
    <row r="800" spans="2:7" x14ac:dyDescent="0.25">
      <c r="B800" s="49"/>
      <c r="C800" s="89"/>
      <c r="D800" s="89">
        <v>1000</v>
      </c>
      <c r="E800" s="47">
        <v>1835.9566118970199</v>
      </c>
      <c r="F800" s="47">
        <v>3018.6459056908998</v>
      </c>
      <c r="G800" s="47">
        <v>8367.9447280693694</v>
      </c>
    </row>
    <row r="801" spans="2:7" x14ac:dyDescent="0.25">
      <c r="B801" s="49"/>
      <c r="C801" s="89"/>
      <c r="D801" s="89"/>
      <c r="E801" s="47">
        <v>1840.33178187818</v>
      </c>
      <c r="F801" s="47">
        <v>3029.4743365250802</v>
      </c>
      <c r="G801" s="47">
        <v>8601.2725290601993</v>
      </c>
    </row>
    <row r="802" spans="2:7" x14ac:dyDescent="0.25">
      <c r="B802" s="49"/>
      <c r="C802" s="89"/>
      <c r="D802" s="89"/>
      <c r="E802" s="47">
        <v>1846.50642064613</v>
      </c>
      <c r="F802" s="47">
        <v>3036.4480043642502</v>
      </c>
      <c r="G802" s="47">
        <v>8754.3816843573804</v>
      </c>
    </row>
    <row r="803" spans="2:7" x14ac:dyDescent="0.25">
      <c r="B803" s="49"/>
      <c r="C803" s="89"/>
      <c r="D803" s="89"/>
      <c r="E803" s="47">
        <v>1855.1854677947199</v>
      </c>
      <c r="F803" s="47">
        <v>3041.2645254405202</v>
      </c>
      <c r="G803" s="47">
        <v>8863.8773908952608</v>
      </c>
    </row>
    <row r="804" spans="2:7" x14ac:dyDescent="0.25">
      <c r="B804" s="49"/>
      <c r="C804" s="89"/>
      <c r="D804" s="89"/>
      <c r="E804" s="47">
        <v>1866.8906456478601</v>
      </c>
      <c r="F804" s="47">
        <v>3044.7249573694498</v>
      </c>
      <c r="G804" s="47">
        <v>8947.1907394138507</v>
      </c>
    </row>
    <row r="805" spans="2:7" x14ac:dyDescent="0.25">
      <c r="B805" s="49"/>
      <c r="C805" s="89"/>
      <c r="D805" s="89"/>
      <c r="E805" s="47">
        <v>1882.11546758482</v>
      </c>
      <c r="F805" s="47">
        <v>3047.2544816494001</v>
      </c>
      <c r="G805" s="47">
        <v>9013.7579504611404</v>
      </c>
    </row>
    <row r="806" spans="2:7" x14ac:dyDescent="0.25">
      <c r="B806" s="49"/>
      <c r="C806" s="89"/>
      <c r="D806" s="89"/>
      <c r="E806" s="47">
        <v>1901.3231805679</v>
      </c>
      <c r="F806" s="47">
        <v>3049.1018357784801</v>
      </c>
      <c r="G806" s="47">
        <v>9069.2469661952</v>
      </c>
    </row>
    <row r="807" spans="2:7" x14ac:dyDescent="0.25">
      <c r="B807" s="49"/>
      <c r="C807" s="89"/>
      <c r="D807" s="89"/>
      <c r="E807" s="47">
        <v>1924.9666534416799</v>
      </c>
      <c r="F807" s="47">
        <v>3050.4234860900401</v>
      </c>
      <c r="G807" s="47">
        <v>9117.3600177740409</v>
      </c>
    </row>
    <row r="808" spans="2:7" x14ac:dyDescent="0.25">
      <c r="B808" s="49"/>
      <c r="C808" s="89"/>
      <c r="D808" s="89"/>
      <c r="E808" s="47">
        <v>1953.5046004952901</v>
      </c>
      <c r="F808" s="47">
        <v>3051.3177523322502</v>
      </c>
      <c r="G808" s="47">
        <v>9160.5717506565106</v>
      </c>
    </row>
    <row r="809" spans="2:7" x14ac:dyDescent="0.25">
      <c r="B809" s="49"/>
      <c r="C809" s="89"/>
      <c r="D809" s="89"/>
      <c r="E809" s="47">
        <v>1987.39406832489</v>
      </c>
      <c r="F809" s="47">
        <v>3051.8496771355499</v>
      </c>
      <c r="G809" s="47">
        <v>9200.6497559586696</v>
      </c>
    </row>
    <row r="810" spans="2:7" x14ac:dyDescent="0.25">
      <c r="B810" s="49"/>
      <c r="C810" s="89"/>
      <c r="D810" s="89">
        <v>1100</v>
      </c>
      <c r="E810" s="47">
        <v>1836.3820042697801</v>
      </c>
      <c r="F810" s="47">
        <v>3289.1283281619999</v>
      </c>
      <c r="G810" s="47">
        <v>8796.2066196652904</v>
      </c>
    </row>
    <row r="811" spans="2:7" x14ac:dyDescent="0.25">
      <c r="B811" s="49"/>
      <c r="C811" s="89"/>
      <c r="D811" s="89"/>
      <c r="E811" s="47">
        <v>1840.00443696964</v>
      </c>
      <c r="F811" s="47">
        <v>3302.01924526414</v>
      </c>
      <c r="G811" s="47">
        <v>9047.7395355649405</v>
      </c>
    </row>
    <row r="812" spans="2:7" x14ac:dyDescent="0.25">
      <c r="B812" s="49"/>
      <c r="C812" s="89"/>
      <c r="D812" s="89"/>
      <c r="E812" s="47">
        <v>1845.6847212125499</v>
      </c>
      <c r="F812" s="47">
        <v>3310.3013482157598</v>
      </c>
      <c r="G812" s="47">
        <v>9212.1821156216592</v>
      </c>
    </row>
    <row r="813" spans="2:7" x14ac:dyDescent="0.25">
      <c r="B813" s="49"/>
      <c r="C813" s="89"/>
      <c r="D813" s="89"/>
      <c r="E813" s="47">
        <v>1854.0140918808299</v>
      </c>
      <c r="F813" s="47">
        <v>3316.0360072809799</v>
      </c>
      <c r="G813" s="47">
        <v>9329.7764170288992</v>
      </c>
    </row>
    <row r="814" spans="2:7" x14ac:dyDescent="0.25">
      <c r="B814" s="49"/>
      <c r="C814" s="89"/>
      <c r="D814" s="89"/>
      <c r="E814" s="47">
        <v>1865.4509829972901</v>
      </c>
      <c r="F814" s="47">
        <v>3320.1752801809798</v>
      </c>
      <c r="G814" s="47">
        <v>9419.2630591075304</v>
      </c>
    </row>
    <row r="815" spans="2:7" x14ac:dyDescent="0.25">
      <c r="B815" s="49"/>
      <c r="C815" s="89"/>
      <c r="D815" s="89"/>
      <c r="E815" s="47">
        <v>1880.4609177208299</v>
      </c>
      <c r="F815" s="47">
        <v>3323.2234620142299</v>
      </c>
      <c r="G815" s="47">
        <v>9490.7584505752493</v>
      </c>
    </row>
    <row r="816" spans="2:7" x14ac:dyDescent="0.25">
      <c r="B816" s="49"/>
      <c r="C816" s="89"/>
      <c r="D816" s="89"/>
      <c r="E816" s="47">
        <v>1899.4888096411901</v>
      </c>
      <c r="F816" s="47">
        <v>3325.4754451541298</v>
      </c>
      <c r="G816" s="47">
        <v>9550.3242304017695</v>
      </c>
    </row>
    <row r="817" spans="2:7" x14ac:dyDescent="0.25">
      <c r="B817" s="49"/>
      <c r="C817" s="89"/>
      <c r="D817" s="89"/>
      <c r="E817" s="47">
        <v>1922.9764251642</v>
      </c>
      <c r="F817" s="47">
        <v>3327.1152824629899</v>
      </c>
      <c r="G817" s="47">
        <v>9601.8827828843896</v>
      </c>
    </row>
    <row r="818" spans="2:7" x14ac:dyDescent="0.25">
      <c r="B818" s="49"/>
      <c r="C818" s="89"/>
      <c r="D818" s="89"/>
      <c r="E818" s="47">
        <v>1951.3729818711599</v>
      </c>
      <c r="F818" s="47">
        <v>3328.2610140141201</v>
      </c>
      <c r="G818" s="47">
        <v>9648.0908103326892</v>
      </c>
    </row>
    <row r="819" spans="2:7" x14ac:dyDescent="0.25">
      <c r="B819" s="49"/>
      <c r="C819" s="89"/>
      <c r="D819" s="89"/>
      <c r="E819" s="47">
        <v>1985.13102969852</v>
      </c>
      <c r="F819" s="47">
        <v>3328.9900507511102</v>
      </c>
      <c r="G819" s="47">
        <v>9690.8248963733004</v>
      </c>
    </row>
    <row r="820" spans="2:7" x14ac:dyDescent="0.25">
      <c r="B820" s="49"/>
      <c r="C820" s="89"/>
      <c r="D820" s="89">
        <v>1200</v>
      </c>
      <c r="E820" s="47">
        <v>1835.51862739336</v>
      </c>
      <c r="F820" s="47">
        <v>3554.2920392841802</v>
      </c>
      <c r="G820" s="47">
        <v>9230.1488266083907</v>
      </c>
    </row>
    <row r="821" spans="2:7" x14ac:dyDescent="0.25">
      <c r="B821" s="49"/>
      <c r="C821" s="89"/>
      <c r="D821" s="89"/>
      <c r="E821" s="47">
        <v>1838.37937654232</v>
      </c>
      <c r="F821" s="47">
        <v>3569.4686239410798</v>
      </c>
      <c r="G821" s="47">
        <v>9500.6750324663808</v>
      </c>
    </row>
    <row r="822" spans="2:7" x14ac:dyDescent="0.25">
      <c r="B822" s="49"/>
      <c r="C822" s="89"/>
      <c r="D822" s="89"/>
      <c r="E822" s="47">
        <v>1843.55873395192</v>
      </c>
      <c r="F822" s="47">
        <v>3579.2617297694401</v>
      </c>
      <c r="G822" s="47">
        <v>9678.0611770133601</v>
      </c>
    </row>
    <row r="823" spans="2:7" x14ac:dyDescent="0.25">
      <c r="B823" s="49"/>
      <c r="C823" s="89"/>
      <c r="D823" s="89"/>
      <c r="E823" s="47">
        <v>1851.52541476128</v>
      </c>
      <c r="F823" s="47">
        <v>3586.0551166830001</v>
      </c>
      <c r="G823" s="47">
        <v>9804.8241950024494</v>
      </c>
    </row>
    <row r="824" spans="2:7" x14ac:dyDescent="0.25">
      <c r="B824" s="49"/>
      <c r="C824" s="89"/>
      <c r="D824" s="89"/>
      <c r="E824" s="47">
        <v>1862.6874753910799</v>
      </c>
      <c r="F824" s="47">
        <v>3590.9731442429302</v>
      </c>
      <c r="G824" s="47">
        <v>9901.1744793764701</v>
      </c>
    </row>
    <row r="825" spans="2:7" x14ac:dyDescent="0.25">
      <c r="B825" s="49"/>
      <c r="C825" s="89"/>
      <c r="D825" s="89"/>
      <c r="E825" s="47">
        <v>1877.4761900644701</v>
      </c>
      <c r="F825" s="47">
        <v>3594.6133305644598</v>
      </c>
      <c r="G825" s="47">
        <v>9978.0347271907503</v>
      </c>
    </row>
    <row r="826" spans="2:7" x14ac:dyDescent="0.25">
      <c r="B826" s="49"/>
      <c r="C826" s="89"/>
      <c r="D826" s="89"/>
      <c r="E826" s="47">
        <v>1896.3200011229001</v>
      </c>
      <c r="F826" s="47">
        <v>3597.32542879017</v>
      </c>
      <c r="G826" s="47">
        <v>10041.9474071817</v>
      </c>
    </row>
    <row r="827" spans="2:7" x14ac:dyDescent="0.25">
      <c r="B827" s="49"/>
      <c r="C827" s="89"/>
      <c r="D827" s="89"/>
      <c r="E827" s="47">
        <v>1919.6492384085</v>
      </c>
      <c r="F827" s="47">
        <v>3599.3187231463398</v>
      </c>
      <c r="G827" s="47">
        <v>10096.9747877138</v>
      </c>
    </row>
    <row r="828" spans="2:7" x14ac:dyDescent="0.25">
      <c r="B828" s="49"/>
      <c r="C828" s="89"/>
      <c r="D828" s="89"/>
      <c r="E828" s="47">
        <v>1947.90319305923</v>
      </c>
      <c r="F828" s="47">
        <v>3600.74389791661</v>
      </c>
      <c r="G828" s="47">
        <v>10146.1518197156</v>
      </c>
    </row>
    <row r="829" spans="2:7" x14ac:dyDescent="0.25">
      <c r="B829" s="49"/>
      <c r="C829" s="89"/>
      <c r="D829" s="89"/>
      <c r="E829" s="47">
        <v>1981.5294703550901</v>
      </c>
      <c r="F829" s="47">
        <v>3601.6946088460199</v>
      </c>
      <c r="G829" s="47">
        <v>10191.5133198562</v>
      </c>
    </row>
    <row r="830" spans="2:7" x14ac:dyDescent="0.25">
      <c r="B830" s="49"/>
      <c r="C830" s="89">
        <v>5</v>
      </c>
      <c r="D830" s="89">
        <v>0</v>
      </c>
      <c r="E830" s="47">
        <v>1818.4671898127301</v>
      </c>
      <c r="F830" s="47">
        <v>0</v>
      </c>
      <c r="G830" s="47">
        <v>5300.49693553216</v>
      </c>
    </row>
    <row r="831" spans="2:7" x14ac:dyDescent="0.25">
      <c r="B831" s="49"/>
      <c r="C831" s="89"/>
      <c r="D831" s="89"/>
      <c r="E831" s="47">
        <v>1827.57513323476</v>
      </c>
      <c r="F831" s="47">
        <v>0</v>
      </c>
      <c r="G831" s="47">
        <v>5311.2249913415599</v>
      </c>
    </row>
    <row r="832" spans="2:7" x14ac:dyDescent="0.25">
      <c r="B832" s="49"/>
      <c r="C832" s="89"/>
      <c r="D832" s="89"/>
      <c r="E832" s="47">
        <v>1836.6830766568</v>
      </c>
      <c r="F832" s="47">
        <v>0</v>
      </c>
      <c r="G832" s="47">
        <v>5321.9530471509597</v>
      </c>
    </row>
    <row r="833" spans="2:7" x14ac:dyDescent="0.25">
      <c r="B833" s="49"/>
      <c r="C833" s="89"/>
      <c r="D833" s="89"/>
      <c r="E833" s="47">
        <v>1847.22480010256</v>
      </c>
      <c r="F833" s="47">
        <v>0</v>
      </c>
      <c r="G833" s="47">
        <v>5331.7423679575904</v>
      </c>
    </row>
    <row r="834" spans="2:7" x14ac:dyDescent="0.25">
      <c r="B834" s="49"/>
      <c r="C834" s="89"/>
      <c r="D834" s="89"/>
      <c r="E834" s="47">
        <v>1858.24445022291</v>
      </c>
      <c r="F834" s="47">
        <v>0</v>
      </c>
      <c r="G834" s="47">
        <v>5341.2187770966402</v>
      </c>
    </row>
    <row r="835" spans="2:7" x14ac:dyDescent="0.25">
      <c r="B835" s="49"/>
      <c r="C835" s="89"/>
      <c r="D835" s="89"/>
      <c r="E835" s="47">
        <v>1870.3354353100201</v>
      </c>
      <c r="F835" s="47">
        <v>0</v>
      </c>
      <c r="G835" s="47">
        <v>5350.3522548040301</v>
      </c>
    </row>
    <row r="836" spans="2:7" x14ac:dyDescent="0.25">
      <c r="B836" s="49"/>
      <c r="C836" s="89"/>
      <c r="D836" s="89"/>
      <c r="E836" s="47">
        <v>1883.4977553639001</v>
      </c>
      <c r="F836" s="47">
        <v>0</v>
      </c>
      <c r="G836" s="47">
        <v>5359.1428010797599</v>
      </c>
    </row>
    <row r="837" spans="2:7" x14ac:dyDescent="0.25">
      <c r="B837" s="49"/>
      <c r="C837" s="89"/>
      <c r="D837" s="89"/>
      <c r="E837" s="47">
        <v>1897.2531152799199</v>
      </c>
      <c r="F837" s="47">
        <v>0</v>
      </c>
      <c r="G837" s="47">
        <v>5367.87208374683</v>
      </c>
    </row>
    <row r="838" spans="2:7" x14ac:dyDescent="0.25">
      <c r="B838" s="49"/>
      <c r="C838" s="89"/>
      <c r="D838" s="89"/>
      <c r="E838" s="47">
        <v>1912.78759478231</v>
      </c>
      <c r="F838" s="47">
        <v>0</v>
      </c>
      <c r="G838" s="47">
        <v>5376.4175755879596</v>
      </c>
    </row>
    <row r="839" spans="2:7" x14ac:dyDescent="0.25">
      <c r="B839" s="49"/>
      <c r="C839" s="89"/>
      <c r="D839" s="89"/>
      <c r="E839" s="47">
        <v>1928.32207428471</v>
      </c>
      <c r="F839" s="47">
        <v>0</v>
      </c>
      <c r="G839" s="47">
        <v>5384.9630674290902</v>
      </c>
    </row>
    <row r="840" spans="2:7" x14ac:dyDescent="0.25">
      <c r="B840" s="49"/>
      <c r="C840" s="89"/>
      <c r="D840" s="89">
        <v>100</v>
      </c>
      <c r="E840" s="47">
        <v>1804.8197336297001</v>
      </c>
      <c r="F840" s="47">
        <v>326.53477726747798</v>
      </c>
      <c r="G840" s="47">
        <v>5610.4942982922403</v>
      </c>
    </row>
    <row r="841" spans="2:7" x14ac:dyDescent="0.25">
      <c r="B841" s="49"/>
      <c r="C841" s="89"/>
      <c r="D841" s="89"/>
      <c r="E841" s="47">
        <v>1813.7828622972099</v>
      </c>
      <c r="F841" s="47">
        <v>326.626608462273</v>
      </c>
      <c r="G841" s="47">
        <v>5637.6371533841902</v>
      </c>
    </row>
    <row r="842" spans="2:7" x14ac:dyDescent="0.25">
      <c r="B842" s="49"/>
      <c r="C842" s="89"/>
      <c r="D842" s="89"/>
      <c r="E842" s="47">
        <v>1823.8056066470201</v>
      </c>
      <c r="F842" s="47">
        <v>326.70128390803399</v>
      </c>
      <c r="G842" s="47">
        <v>5662.0373691124796</v>
      </c>
    </row>
    <row r="843" spans="2:7" x14ac:dyDescent="0.25">
      <c r="B843" s="49"/>
      <c r="C843" s="89"/>
      <c r="D843" s="89"/>
      <c r="E843" s="47">
        <v>1834.8879666791399</v>
      </c>
      <c r="F843" s="47">
        <v>326.75880360476299</v>
      </c>
      <c r="G843" s="47">
        <v>5683.6949454771102</v>
      </c>
    </row>
    <row r="844" spans="2:7" x14ac:dyDescent="0.25">
      <c r="B844" s="49"/>
      <c r="C844" s="89"/>
      <c r="D844" s="89"/>
      <c r="E844" s="47">
        <v>1848.4840855617999</v>
      </c>
      <c r="F844" s="47">
        <v>326.78994964925698</v>
      </c>
      <c r="G844" s="47">
        <v>5701.8900970636396</v>
      </c>
    </row>
    <row r="845" spans="2:7" x14ac:dyDescent="0.25">
      <c r="B845" s="49"/>
      <c r="C845" s="89"/>
      <c r="D845" s="89"/>
      <c r="E845" s="47">
        <v>1863.5174385448499</v>
      </c>
      <c r="F845" s="47">
        <v>326.81030660824001</v>
      </c>
      <c r="G845" s="47">
        <v>5719.0171168186898</v>
      </c>
    </row>
    <row r="846" spans="2:7" x14ac:dyDescent="0.25">
      <c r="B846" s="49"/>
      <c r="C846" s="89"/>
      <c r="D846" s="89"/>
      <c r="E846" s="47">
        <v>1879.9880256283</v>
      </c>
      <c r="F846" s="47">
        <v>326.81987448170901</v>
      </c>
      <c r="G846" s="47">
        <v>5735.07600474225</v>
      </c>
    </row>
    <row r="847" spans="2:7" x14ac:dyDescent="0.25">
      <c r="B847" s="49"/>
      <c r="C847" s="89"/>
      <c r="D847" s="89"/>
      <c r="E847" s="47">
        <v>1899.6730291306001</v>
      </c>
      <c r="F847" s="47">
        <v>326.81071538783601</v>
      </c>
      <c r="G847" s="47">
        <v>5749.8938722577504</v>
      </c>
    </row>
    <row r="848" spans="2:7" x14ac:dyDescent="0.25">
      <c r="B848" s="49"/>
      <c r="C848" s="89"/>
      <c r="D848" s="89"/>
      <c r="E848" s="47">
        <v>1921.1305839674801</v>
      </c>
      <c r="F848" s="47">
        <v>326.79311106217199</v>
      </c>
      <c r="G848" s="47">
        <v>5764.4271134383498</v>
      </c>
    </row>
    <row r="849" spans="2:7" x14ac:dyDescent="0.25">
      <c r="B849" s="49"/>
      <c r="C849" s="89"/>
      <c r="D849" s="89"/>
      <c r="E849" s="47">
        <v>1944.3606901389501</v>
      </c>
      <c r="F849" s="47">
        <v>326.76706150471603</v>
      </c>
      <c r="G849" s="47">
        <v>5778.6757282840399</v>
      </c>
    </row>
    <row r="850" spans="2:7" x14ac:dyDescent="0.25">
      <c r="B850" s="49"/>
      <c r="C850" s="89"/>
      <c r="D850" s="89">
        <v>200</v>
      </c>
      <c r="E850" s="47">
        <v>1807.9927851925599</v>
      </c>
      <c r="F850" s="47">
        <v>646.37030772569801</v>
      </c>
      <c r="G850" s="47">
        <v>5936.35481191897</v>
      </c>
    </row>
    <row r="851" spans="2:7" x14ac:dyDescent="0.25">
      <c r="B851" s="49"/>
      <c r="C851" s="89"/>
      <c r="D851" s="89"/>
      <c r="E851" s="47">
        <v>1816.3384258784699</v>
      </c>
      <c r="F851" s="47">
        <v>646.74466110344304</v>
      </c>
      <c r="G851" s="47">
        <v>5983.2113607301999</v>
      </c>
    </row>
    <row r="852" spans="2:7" x14ac:dyDescent="0.25">
      <c r="B852" s="49"/>
      <c r="C852" s="89"/>
      <c r="D852" s="89"/>
      <c r="E852" s="47">
        <v>1826.09977171736</v>
      </c>
      <c r="F852" s="47">
        <v>647.03124214402203</v>
      </c>
      <c r="G852" s="47">
        <v>6021.9517273431502</v>
      </c>
    </row>
    <row r="853" spans="2:7" x14ac:dyDescent="0.25">
      <c r="B853" s="49"/>
      <c r="C853" s="89"/>
      <c r="D853" s="89"/>
      <c r="E853" s="47">
        <v>1837.4978907033601</v>
      </c>
      <c r="F853" s="47">
        <v>647.24533256504799</v>
      </c>
      <c r="G853" s="47">
        <v>6054.3873029406705</v>
      </c>
    </row>
    <row r="854" spans="2:7" x14ac:dyDescent="0.25">
      <c r="B854" s="49"/>
      <c r="C854" s="89"/>
      <c r="D854" s="89"/>
      <c r="E854" s="47">
        <v>1850.7440925609801</v>
      </c>
      <c r="F854" s="47">
        <v>647.40006205325403</v>
      </c>
      <c r="G854" s="47">
        <v>6082.0925550662896</v>
      </c>
    </row>
    <row r="855" spans="2:7" x14ac:dyDescent="0.25">
      <c r="B855" s="49"/>
      <c r="C855" s="89"/>
      <c r="D855" s="89"/>
      <c r="E855" s="47">
        <v>1866.51486296082</v>
      </c>
      <c r="F855" s="47">
        <v>647.49767942202095</v>
      </c>
      <c r="G855" s="47">
        <v>6105.8824114496201</v>
      </c>
    </row>
    <row r="856" spans="2:7" x14ac:dyDescent="0.25">
      <c r="B856" s="49"/>
      <c r="C856" s="89"/>
      <c r="D856" s="89"/>
      <c r="E856" s="47">
        <v>1885.1645147926899</v>
      </c>
      <c r="F856" s="47">
        <v>647.54892939610704</v>
      </c>
      <c r="G856" s="47">
        <v>6127.1995920762902</v>
      </c>
    </row>
    <row r="857" spans="2:7" x14ac:dyDescent="0.25">
      <c r="B857" s="49"/>
      <c r="C857" s="89"/>
      <c r="D857" s="89"/>
      <c r="E857" s="47">
        <v>1906.4380121413999</v>
      </c>
      <c r="F857" s="47">
        <v>647.56599852278896</v>
      </c>
      <c r="G857" s="47">
        <v>6147.1210258173196</v>
      </c>
    </row>
    <row r="858" spans="2:7" x14ac:dyDescent="0.25">
      <c r="B858" s="49"/>
      <c r="C858" s="89"/>
      <c r="D858" s="89"/>
      <c r="E858" s="47">
        <v>1930.5010418376901</v>
      </c>
      <c r="F858" s="47">
        <v>647.55144941797801</v>
      </c>
      <c r="G858" s="47">
        <v>6166.0598837752004</v>
      </c>
    </row>
    <row r="859" spans="2:7" x14ac:dyDescent="0.25">
      <c r="B859" s="49"/>
      <c r="C859" s="89"/>
      <c r="D859" s="89"/>
      <c r="E859" s="47">
        <v>1957.51784250637</v>
      </c>
      <c r="F859" s="47">
        <v>647.507454012474</v>
      </c>
      <c r="G859" s="47">
        <v>6184.3866165118097</v>
      </c>
    </row>
    <row r="860" spans="2:7" x14ac:dyDescent="0.25">
      <c r="B860" s="49"/>
      <c r="C860" s="89"/>
      <c r="D860" s="89">
        <v>300</v>
      </c>
      <c r="E860" s="47">
        <v>1802.80257105956</v>
      </c>
      <c r="F860" s="47">
        <v>957.19048818178806</v>
      </c>
      <c r="G860" s="47">
        <v>6091.0663991076499</v>
      </c>
    </row>
    <row r="861" spans="2:7" x14ac:dyDescent="0.25">
      <c r="B861" s="49"/>
      <c r="C861" s="89"/>
      <c r="D861" s="89"/>
      <c r="E861" s="47">
        <v>1810.9380932865799</v>
      </c>
      <c r="F861" s="47">
        <v>959.10976699618197</v>
      </c>
      <c r="G861" s="47">
        <v>6233.8339434894797</v>
      </c>
    </row>
    <row r="862" spans="2:7" x14ac:dyDescent="0.25">
      <c r="B862" s="49"/>
      <c r="C862" s="89"/>
      <c r="D862" s="89"/>
      <c r="E862" s="47">
        <v>1819.6058217797699</v>
      </c>
      <c r="F862" s="47">
        <v>960.32560821223501</v>
      </c>
      <c r="G862" s="47">
        <v>6327.2572355417096</v>
      </c>
    </row>
    <row r="863" spans="2:7" x14ac:dyDescent="0.25">
      <c r="B863" s="49"/>
      <c r="C863" s="89"/>
      <c r="D863" s="89"/>
      <c r="E863" s="47">
        <v>1830.0730503961599</v>
      </c>
      <c r="F863" s="47">
        <v>961.140574460685</v>
      </c>
      <c r="G863" s="47">
        <v>6393.8375254721605</v>
      </c>
    </row>
    <row r="864" spans="2:7" x14ac:dyDescent="0.25">
      <c r="B864" s="49"/>
      <c r="C864" s="89"/>
      <c r="D864" s="89"/>
      <c r="E864" s="47">
        <v>1843.15387042305</v>
      </c>
      <c r="F864" s="47">
        <v>961.69793864968801</v>
      </c>
      <c r="G864" s="47">
        <v>6444.4104224761004</v>
      </c>
    </row>
    <row r="865" spans="2:7" x14ac:dyDescent="0.25">
      <c r="B865" s="49"/>
      <c r="C865" s="89"/>
      <c r="D865" s="89"/>
      <c r="E865" s="47">
        <v>1859.4862560261599</v>
      </c>
      <c r="F865" s="47">
        <v>962.07384568168595</v>
      </c>
      <c r="G865" s="47">
        <v>6484.9087779743104</v>
      </c>
    </row>
    <row r="866" spans="2:7" x14ac:dyDescent="0.25">
      <c r="B866" s="49"/>
      <c r="C866" s="89"/>
      <c r="D866" s="89"/>
      <c r="E866" s="47">
        <v>1879.62899222802</v>
      </c>
      <c r="F866" s="47">
        <v>962.31184580305705</v>
      </c>
      <c r="G866" s="47">
        <v>6518.8905556892896</v>
      </c>
    </row>
    <row r="867" spans="2:7" x14ac:dyDescent="0.25">
      <c r="B867" s="49"/>
      <c r="C867" s="89"/>
      <c r="D867" s="89"/>
      <c r="E867" s="47">
        <v>1904.1028911968499</v>
      </c>
      <c r="F867" s="47">
        <v>962.43875238036105</v>
      </c>
      <c r="G867" s="47">
        <v>6548.6966705874902</v>
      </c>
    </row>
    <row r="868" spans="2:7" x14ac:dyDescent="0.25">
      <c r="B868" s="49"/>
      <c r="C868" s="89"/>
      <c r="D868" s="89"/>
      <c r="E868" s="47">
        <v>1933.4077239967801</v>
      </c>
      <c r="F868" s="47">
        <v>962.47153027506397</v>
      </c>
      <c r="G868" s="47">
        <v>6575.9530617741602</v>
      </c>
    </row>
    <row r="869" spans="2:7" x14ac:dyDescent="0.25">
      <c r="B869" s="49"/>
      <c r="C869" s="89"/>
      <c r="D869" s="89"/>
      <c r="E869" s="47">
        <v>1968.0280431106301</v>
      </c>
      <c r="F869" s="47">
        <v>962.42097319821903</v>
      </c>
      <c r="G869" s="47">
        <v>6601.8358291527402</v>
      </c>
    </row>
    <row r="870" spans="2:7" x14ac:dyDescent="0.25">
      <c r="B870" s="49"/>
      <c r="C870" s="89"/>
      <c r="D870" s="89">
        <v>400</v>
      </c>
      <c r="E870" s="47">
        <v>1813.0278961194799</v>
      </c>
      <c r="F870" s="47">
        <v>1263.71051526574</v>
      </c>
      <c r="G870" s="47">
        <v>6468.1574960989201</v>
      </c>
    </row>
    <row r="871" spans="2:7" x14ac:dyDescent="0.25">
      <c r="B871" s="49"/>
      <c r="C871" s="89"/>
      <c r="D871" s="89"/>
      <c r="E871" s="47">
        <v>1820.5912161143201</v>
      </c>
      <c r="F871" s="47">
        <v>1266.55677947001</v>
      </c>
      <c r="G871" s="47">
        <v>6625.63479019636</v>
      </c>
    </row>
    <row r="872" spans="2:7" x14ac:dyDescent="0.25">
      <c r="B872" s="49"/>
      <c r="C872" s="89"/>
      <c r="D872" s="89"/>
      <c r="E872" s="47">
        <v>1828.87721040822</v>
      </c>
      <c r="F872" s="47">
        <v>1268.3677818353001</v>
      </c>
      <c r="G872" s="47">
        <v>6728.7793957996901</v>
      </c>
    </row>
    <row r="873" spans="2:7" x14ac:dyDescent="0.25">
      <c r="B873" s="49"/>
      <c r="C873" s="89"/>
      <c r="D873" s="89"/>
      <c r="E873" s="47">
        <v>1839.0705330691501</v>
      </c>
      <c r="F873" s="47">
        <v>1269.5910891921999</v>
      </c>
      <c r="G873" s="47">
        <v>6802.3584078681297</v>
      </c>
    </row>
    <row r="874" spans="2:7" x14ac:dyDescent="0.25">
      <c r="B874" s="49"/>
      <c r="C874" s="89"/>
      <c r="D874" s="89"/>
      <c r="E874" s="47">
        <v>1851.9403088357701</v>
      </c>
      <c r="F874" s="47">
        <v>1270.4380048788</v>
      </c>
      <c r="G874" s="47">
        <v>6858.2415516000001</v>
      </c>
    </row>
    <row r="875" spans="2:7" x14ac:dyDescent="0.25">
      <c r="B875" s="49"/>
      <c r="C875" s="89"/>
      <c r="D875" s="89"/>
      <c r="E875" s="47">
        <v>1868.10080188744</v>
      </c>
      <c r="F875" s="47">
        <v>1271.02154722612</v>
      </c>
      <c r="G875" s="47">
        <v>6902.9494786914302</v>
      </c>
    </row>
    <row r="876" spans="2:7" x14ac:dyDescent="0.25">
      <c r="B876" s="49"/>
      <c r="C876" s="89"/>
      <c r="D876" s="89"/>
      <c r="E876" s="47">
        <v>1888.0976305239501</v>
      </c>
      <c r="F876" s="47">
        <v>1271.4079990830701</v>
      </c>
      <c r="G876" s="47">
        <v>6940.46379730014</v>
      </c>
    </row>
    <row r="877" spans="2:7" x14ac:dyDescent="0.25">
      <c r="B877" s="49"/>
      <c r="C877" s="89"/>
      <c r="D877" s="89"/>
      <c r="E877" s="47">
        <v>1912.4406471945499</v>
      </c>
      <c r="F877" s="47">
        <v>1271.6362379705199</v>
      </c>
      <c r="G877" s="47">
        <v>6973.2812795303898</v>
      </c>
    </row>
    <row r="878" spans="2:7" x14ac:dyDescent="0.25">
      <c r="B878" s="49"/>
      <c r="C878" s="89"/>
      <c r="D878" s="89"/>
      <c r="E878" s="47">
        <v>1941.6215979443</v>
      </c>
      <c r="F878" s="47">
        <v>1271.73159512864</v>
      </c>
      <c r="G878" s="47">
        <v>7003.1643684310802</v>
      </c>
    </row>
    <row r="879" spans="2:7" x14ac:dyDescent="0.25">
      <c r="B879" s="49"/>
      <c r="C879" s="89"/>
      <c r="D879" s="89"/>
      <c r="E879" s="47">
        <v>1976.12146765231</v>
      </c>
      <c r="F879" s="47">
        <v>1271.71047473009</v>
      </c>
      <c r="G879" s="47">
        <v>7031.3926352935696</v>
      </c>
    </row>
    <row r="880" spans="2:7" x14ac:dyDescent="0.25">
      <c r="B880" s="49"/>
      <c r="C880" s="89"/>
      <c r="D880" s="89">
        <v>500</v>
      </c>
      <c r="E880" s="47">
        <v>1821.2061596948799</v>
      </c>
      <c r="F880" s="47">
        <v>1564.2587031057701</v>
      </c>
      <c r="G880" s="47">
        <v>6856.1232474333001</v>
      </c>
    </row>
    <row r="881" spans="2:7" x14ac:dyDescent="0.25">
      <c r="B881" s="49"/>
      <c r="C881" s="89"/>
      <c r="D881" s="89"/>
      <c r="E881" s="47">
        <v>1828.1379330801301</v>
      </c>
      <c r="F881" s="47">
        <v>1568.16917381759</v>
      </c>
      <c r="G881" s="47">
        <v>7027.9858379129701</v>
      </c>
    </row>
    <row r="882" spans="2:7" x14ac:dyDescent="0.25">
      <c r="B882" s="49"/>
      <c r="C882" s="89"/>
      <c r="D882" s="89"/>
      <c r="E882" s="47">
        <v>1836.00647222918</v>
      </c>
      <c r="F882" s="47">
        <v>1570.6661827856401</v>
      </c>
      <c r="G882" s="47">
        <v>7140.6459621815302</v>
      </c>
    </row>
    <row r="883" spans="2:7" x14ac:dyDescent="0.25">
      <c r="B883" s="49"/>
      <c r="C883" s="89"/>
      <c r="D883" s="89"/>
      <c r="E883" s="47">
        <v>1845.90130865988</v>
      </c>
      <c r="F883" s="47">
        <v>1572.36575471886</v>
      </c>
      <c r="G883" s="47">
        <v>7221.1837887743004</v>
      </c>
    </row>
    <row r="884" spans="2:7" x14ac:dyDescent="0.25">
      <c r="B884" s="49"/>
      <c r="C884" s="89"/>
      <c r="D884" s="89"/>
      <c r="E884" s="47">
        <v>1858.5434739187699</v>
      </c>
      <c r="F884" s="47">
        <v>1573.55608665763</v>
      </c>
      <c r="G884" s="47">
        <v>7282.4463587710097</v>
      </c>
    </row>
    <row r="885" spans="2:7" x14ac:dyDescent="0.25">
      <c r="B885" s="49"/>
      <c r="C885" s="89"/>
      <c r="D885" s="89"/>
      <c r="E885" s="47">
        <v>1874.5209552189999</v>
      </c>
      <c r="F885" s="47">
        <v>1574.39160162079</v>
      </c>
      <c r="G885" s="47">
        <v>7331.48830937409</v>
      </c>
    </row>
    <row r="886" spans="2:7" x14ac:dyDescent="0.25">
      <c r="B886" s="49"/>
      <c r="C886" s="89"/>
      <c r="D886" s="89"/>
      <c r="E886" s="47">
        <v>1894.36150377895</v>
      </c>
      <c r="F886" s="47">
        <v>1574.96192345089</v>
      </c>
      <c r="G886" s="47">
        <v>7372.5622648588496</v>
      </c>
    </row>
    <row r="887" spans="2:7" x14ac:dyDescent="0.25">
      <c r="B887" s="49"/>
      <c r="C887" s="89"/>
      <c r="D887" s="89"/>
      <c r="E887" s="47">
        <v>1918.56538742507</v>
      </c>
      <c r="F887" s="47">
        <v>1575.32301072674</v>
      </c>
      <c r="G887" s="47">
        <v>7408.46854700327</v>
      </c>
    </row>
    <row r="888" spans="2:7" x14ac:dyDescent="0.25">
      <c r="B888" s="49"/>
      <c r="C888" s="89"/>
      <c r="D888" s="89"/>
      <c r="E888" s="47">
        <v>1947.61752742115</v>
      </c>
      <c r="F888" s="47">
        <v>1575.50926409064</v>
      </c>
      <c r="G888" s="47">
        <v>7441.0795065689999</v>
      </c>
    </row>
    <row r="889" spans="2:7" x14ac:dyDescent="0.25">
      <c r="B889" s="49"/>
      <c r="C889" s="89"/>
      <c r="D889" s="89"/>
      <c r="E889" s="47">
        <v>1981.9917117774301</v>
      </c>
      <c r="F889" s="47">
        <v>1575.54311721567</v>
      </c>
      <c r="G889" s="47">
        <v>7471.7500189872599</v>
      </c>
    </row>
    <row r="890" spans="2:7" x14ac:dyDescent="0.25">
      <c r="B890" s="49"/>
      <c r="C890" s="89"/>
      <c r="D890" s="89">
        <v>600</v>
      </c>
      <c r="E890" s="47">
        <v>1827.4479994042599</v>
      </c>
      <c r="F890" s="47">
        <v>1858.9207888339399</v>
      </c>
      <c r="G890" s="47">
        <v>7251.73444580861</v>
      </c>
    </row>
    <row r="891" spans="2:7" x14ac:dyDescent="0.25">
      <c r="B891" s="49"/>
      <c r="C891" s="89"/>
      <c r="D891" s="89"/>
      <c r="E891" s="47">
        <v>1833.7359820976001</v>
      </c>
      <c r="F891" s="47">
        <v>1864.08789988891</v>
      </c>
      <c r="G891" s="47">
        <v>7439.78686467638</v>
      </c>
    </row>
    <row r="892" spans="2:7" x14ac:dyDescent="0.25">
      <c r="B892" s="49"/>
      <c r="C892" s="89"/>
      <c r="D892" s="89"/>
      <c r="E892" s="47">
        <v>1841.1734690099299</v>
      </c>
      <c r="F892" s="47">
        <v>1867.39722492801</v>
      </c>
      <c r="G892" s="47">
        <v>7563.1166555312802</v>
      </c>
    </row>
    <row r="893" spans="2:7" x14ac:dyDescent="0.25">
      <c r="B893" s="49"/>
      <c r="C893" s="89"/>
      <c r="D893" s="89"/>
      <c r="E893" s="47">
        <v>1850.7564049515699</v>
      </c>
      <c r="F893" s="47">
        <v>1869.6592271224999</v>
      </c>
      <c r="G893" s="47">
        <v>7651.2369688773497</v>
      </c>
    </row>
    <row r="894" spans="2:7" x14ac:dyDescent="0.25">
      <c r="B894" s="49"/>
      <c r="C894" s="89"/>
      <c r="D894" s="89"/>
      <c r="E894" s="47">
        <v>1863.1580310035499</v>
      </c>
      <c r="F894" s="47">
        <v>1871.2570058132801</v>
      </c>
      <c r="G894" s="47">
        <v>7718.2686109179003</v>
      </c>
    </row>
    <row r="895" spans="2:7" x14ac:dyDescent="0.25">
      <c r="B895" s="49"/>
      <c r="C895" s="89"/>
      <c r="D895" s="89"/>
      <c r="E895" s="47">
        <v>1878.9409624063101</v>
      </c>
      <c r="F895" s="47">
        <v>1872.3942604642</v>
      </c>
      <c r="G895" s="47">
        <v>7771.8933064458297</v>
      </c>
    </row>
    <row r="896" spans="2:7" x14ac:dyDescent="0.25">
      <c r="B896" s="49"/>
      <c r="C896" s="89"/>
      <c r="D896" s="89"/>
      <c r="E896" s="47">
        <v>1898.6173486959599</v>
      </c>
      <c r="F896" s="47">
        <v>1873.1894652067001</v>
      </c>
      <c r="G896" s="47">
        <v>7816.73572345906</v>
      </c>
    </row>
    <row r="897" spans="2:7" x14ac:dyDescent="0.25">
      <c r="B897" s="49"/>
      <c r="C897" s="89"/>
      <c r="D897" s="89"/>
      <c r="E897" s="47">
        <v>1922.6759230743901</v>
      </c>
      <c r="F897" s="47">
        <v>1873.7155005966499</v>
      </c>
      <c r="G897" s="47">
        <v>7855.7882997265997</v>
      </c>
    </row>
    <row r="898" spans="2:7" x14ac:dyDescent="0.25">
      <c r="B898" s="49"/>
      <c r="C898" s="89"/>
      <c r="D898" s="89"/>
      <c r="E898" s="47">
        <v>1951.5926075587299</v>
      </c>
      <c r="F898" s="47">
        <v>1874.0202493132199</v>
      </c>
      <c r="G898" s="47">
        <v>7891.1485853603299</v>
      </c>
    </row>
    <row r="899" spans="2:7" x14ac:dyDescent="0.25">
      <c r="B899" s="49"/>
      <c r="C899" s="89"/>
      <c r="D899" s="89"/>
      <c r="E899" s="47">
        <v>1985.8375780889601</v>
      </c>
      <c r="F899" s="47">
        <v>1874.1336070034099</v>
      </c>
      <c r="G899" s="47">
        <v>7924.2733466911995</v>
      </c>
    </row>
    <row r="900" spans="2:7" x14ac:dyDescent="0.25">
      <c r="B900" s="49"/>
      <c r="C900" s="89"/>
      <c r="D900" s="89">
        <v>700</v>
      </c>
      <c r="E900" s="47">
        <v>1831.94685382793</v>
      </c>
      <c r="F900" s="47">
        <v>2147.8989138341599</v>
      </c>
      <c r="G900" s="47">
        <v>7657.2643552814698</v>
      </c>
    </row>
    <row r="901" spans="2:7" x14ac:dyDescent="0.25">
      <c r="B901" s="49"/>
      <c r="C901" s="89"/>
      <c r="D901" s="89"/>
      <c r="E901" s="47">
        <v>1837.54097523686</v>
      </c>
      <c r="F901" s="47">
        <v>2154.46780282895</v>
      </c>
      <c r="G901" s="47">
        <v>7861.0664331096896</v>
      </c>
    </row>
    <row r="902" spans="2:7" x14ac:dyDescent="0.25">
      <c r="B902" s="49"/>
      <c r="C902" s="89"/>
      <c r="D902" s="89"/>
      <c r="E902" s="47">
        <v>1844.5219104565499</v>
      </c>
      <c r="F902" s="47">
        <v>2158.6853659153398</v>
      </c>
      <c r="G902" s="47">
        <v>7994.7890323793799</v>
      </c>
    </row>
    <row r="903" spans="2:7" x14ac:dyDescent="0.25">
      <c r="B903" s="49"/>
      <c r="C903" s="89"/>
      <c r="D903" s="89"/>
      <c r="E903" s="47">
        <v>1853.78140877433</v>
      </c>
      <c r="F903" s="47">
        <v>2161.5818540125902</v>
      </c>
      <c r="G903" s="47">
        <v>8090.4173449142199</v>
      </c>
    </row>
    <row r="904" spans="2:7" x14ac:dyDescent="0.25">
      <c r="B904" s="49"/>
      <c r="C904" s="89"/>
      <c r="D904" s="89"/>
      <c r="E904" s="47">
        <v>1865.9338044640299</v>
      </c>
      <c r="F904" s="47">
        <v>2163.6438791007499</v>
      </c>
      <c r="G904" s="47">
        <v>8163.2205172567201</v>
      </c>
    </row>
    <row r="905" spans="2:7" x14ac:dyDescent="0.25">
      <c r="B905" s="49"/>
      <c r="C905" s="89"/>
      <c r="D905" s="89"/>
      <c r="E905" s="47">
        <v>1881.5160081311201</v>
      </c>
      <c r="F905" s="47">
        <v>2165.1297015318501</v>
      </c>
      <c r="G905" s="47">
        <v>8221.4814341225392</v>
      </c>
    </row>
    <row r="906" spans="2:7" x14ac:dyDescent="0.25">
      <c r="B906" s="49"/>
      <c r="C906" s="89"/>
      <c r="D906" s="89"/>
      <c r="E906" s="47">
        <v>1901.02271508128</v>
      </c>
      <c r="F906" s="47">
        <v>2166.1894928862298</v>
      </c>
      <c r="G906" s="47">
        <v>8270.1710682664307</v>
      </c>
    </row>
    <row r="907" spans="2:7" x14ac:dyDescent="0.25">
      <c r="B907" s="49"/>
      <c r="C907" s="89"/>
      <c r="D907" s="89"/>
      <c r="E907" s="47">
        <v>1924.9325308341899</v>
      </c>
      <c r="F907" s="47">
        <v>2166.9160632212902</v>
      </c>
      <c r="G907" s="47">
        <v>8312.5084799668493</v>
      </c>
    </row>
    <row r="908" spans="2:7" x14ac:dyDescent="0.25">
      <c r="B908" s="49"/>
      <c r="C908" s="89"/>
      <c r="D908" s="89"/>
      <c r="E908" s="47">
        <v>1953.7145496118101</v>
      </c>
      <c r="F908" s="47">
        <v>2167.3687543067699</v>
      </c>
      <c r="G908" s="47">
        <v>8350.69044424811</v>
      </c>
    </row>
    <row r="909" spans="2:7" x14ac:dyDescent="0.25">
      <c r="B909" s="49"/>
      <c r="C909" s="89"/>
      <c r="D909" s="89"/>
      <c r="E909" s="47">
        <v>1987.8294480879999</v>
      </c>
      <c r="F909" s="47">
        <v>2167.5891064519801</v>
      </c>
      <c r="G909" s="47">
        <v>8386.3669743405007</v>
      </c>
    </row>
    <row r="910" spans="2:7" x14ac:dyDescent="0.25">
      <c r="B910" s="49"/>
      <c r="C910" s="89"/>
      <c r="D910" s="89">
        <v>800</v>
      </c>
      <c r="E910" s="47">
        <v>1834.8216441125201</v>
      </c>
      <c r="F910" s="47">
        <v>2431.2732722564101</v>
      </c>
      <c r="G910" s="47">
        <v>8070.6376173409099</v>
      </c>
    </row>
    <row r="911" spans="2:7" x14ac:dyDescent="0.25">
      <c r="B911" s="49"/>
      <c r="C911" s="89"/>
      <c r="D911" s="89"/>
      <c r="E911" s="47">
        <v>1839.7104310206601</v>
      </c>
      <c r="F911" s="47">
        <v>2439.4672329516502</v>
      </c>
      <c r="G911" s="47">
        <v>8292.0034605271994</v>
      </c>
    </row>
    <row r="912" spans="2:7" x14ac:dyDescent="0.25">
      <c r="B912" s="49"/>
      <c r="C912" s="89"/>
      <c r="D912" s="89"/>
      <c r="E912" s="47">
        <v>1846.2258182286801</v>
      </c>
      <c r="F912" s="47">
        <v>2444.7375088591398</v>
      </c>
      <c r="G912" s="47">
        <v>8437.2388745492299</v>
      </c>
    </row>
    <row r="913" spans="2:7" x14ac:dyDescent="0.25">
      <c r="B913" s="49"/>
      <c r="C913" s="89"/>
      <c r="D913" s="89"/>
      <c r="E913" s="47">
        <v>1855.14826818702</v>
      </c>
      <c r="F913" s="47">
        <v>2448.3679612291398</v>
      </c>
      <c r="G913" s="47">
        <v>8541.0496600346105</v>
      </c>
    </row>
    <row r="914" spans="2:7" x14ac:dyDescent="0.25">
      <c r="B914" s="49"/>
      <c r="C914" s="89"/>
      <c r="D914" s="89"/>
      <c r="E914" s="47">
        <v>1867.0453985914901</v>
      </c>
      <c r="F914" s="47">
        <v>2450.9537988037901</v>
      </c>
      <c r="G914" s="47">
        <v>8619.6986814804004</v>
      </c>
    </row>
    <row r="915" spans="2:7" x14ac:dyDescent="0.25">
      <c r="B915" s="49"/>
      <c r="C915" s="89"/>
      <c r="D915" s="89"/>
      <c r="E915" s="47">
        <v>1882.4186804613701</v>
      </c>
      <c r="F915" s="47">
        <v>2452.8339643244999</v>
      </c>
      <c r="G915" s="47">
        <v>8682.5974489937707</v>
      </c>
    </row>
    <row r="916" spans="2:7" x14ac:dyDescent="0.25">
      <c r="B916" s="49"/>
      <c r="C916" s="89"/>
      <c r="D916" s="89"/>
      <c r="E916" s="47">
        <v>1901.7507085264201</v>
      </c>
      <c r="F916" s="47">
        <v>2454.1959506497301</v>
      </c>
      <c r="G916" s="47">
        <v>8735.1266052991596</v>
      </c>
    </row>
    <row r="917" spans="2:7" x14ac:dyDescent="0.25">
      <c r="B917" s="49"/>
      <c r="C917" s="89"/>
      <c r="D917" s="89"/>
      <c r="E917" s="47">
        <v>1925.5070948431901</v>
      </c>
      <c r="F917" s="47">
        <v>2455.1548844653798</v>
      </c>
      <c r="G917" s="47">
        <v>8780.7335876555208</v>
      </c>
    </row>
    <row r="918" spans="2:7" x14ac:dyDescent="0.25">
      <c r="B918" s="49"/>
      <c r="C918" s="89"/>
      <c r="D918" s="89"/>
      <c r="E918" s="47">
        <v>1954.1492427994301</v>
      </c>
      <c r="F918" s="47">
        <v>2455.7850400339098</v>
      </c>
      <c r="G918" s="47">
        <v>8821.7793343959493</v>
      </c>
    </row>
    <row r="919" spans="2:7" x14ac:dyDescent="0.25">
      <c r="B919" s="49"/>
      <c r="C919" s="89"/>
      <c r="D919" s="89"/>
      <c r="E919" s="47">
        <v>1988.1329824976499</v>
      </c>
      <c r="F919" s="47">
        <v>2456.1366204096798</v>
      </c>
      <c r="G919" s="47">
        <v>8859.9818099977801</v>
      </c>
    </row>
    <row r="920" spans="2:7" x14ac:dyDescent="0.25">
      <c r="B920" s="49"/>
      <c r="C920" s="89"/>
      <c r="D920" s="89">
        <v>900</v>
      </c>
      <c r="E920" s="47">
        <v>1836.2188624492701</v>
      </c>
      <c r="F920" s="47">
        <v>2709.2115434153902</v>
      </c>
      <c r="G920" s="47">
        <v>8492.8346347425704</v>
      </c>
    </row>
    <row r="921" spans="2:7" x14ac:dyDescent="0.25">
      <c r="B921" s="49"/>
      <c r="C921" s="89"/>
      <c r="D921" s="89"/>
      <c r="E921" s="47">
        <v>1840.3769226755201</v>
      </c>
      <c r="F921" s="47">
        <v>2719.17885417856</v>
      </c>
      <c r="G921" s="47">
        <v>8731.1904502340694</v>
      </c>
    </row>
    <row r="922" spans="2:7" x14ac:dyDescent="0.25">
      <c r="B922" s="49"/>
      <c r="C922" s="89"/>
      <c r="D922" s="89"/>
      <c r="E922" s="47">
        <v>1846.4109735342299</v>
      </c>
      <c r="F922" s="47">
        <v>2725.6006493238401</v>
      </c>
      <c r="G922" s="47">
        <v>8887.6006754577302</v>
      </c>
    </row>
    <row r="923" spans="2:7" x14ac:dyDescent="0.25">
      <c r="B923" s="49"/>
      <c r="C923" s="89"/>
      <c r="D923" s="89"/>
      <c r="E923" s="47">
        <v>1854.9821856257299</v>
      </c>
      <c r="F923" s="47">
        <v>2730.04030608124</v>
      </c>
      <c r="G923" s="47">
        <v>8999.4679675461994</v>
      </c>
    </row>
    <row r="924" spans="2:7" x14ac:dyDescent="0.25">
      <c r="B924" s="49"/>
      <c r="C924" s="89"/>
      <c r="D924" s="89"/>
      <c r="E924" s="47">
        <v>1866.6164940725901</v>
      </c>
      <c r="F924" s="47">
        <v>2733.23280288367</v>
      </c>
      <c r="G924" s="47">
        <v>9084.5576517631107</v>
      </c>
    </row>
    <row r="925" spans="2:7" x14ac:dyDescent="0.25">
      <c r="B925" s="49"/>
      <c r="C925" s="89"/>
      <c r="D925" s="89"/>
      <c r="E925" s="47">
        <v>1881.7739127432801</v>
      </c>
      <c r="F925" s="47">
        <v>2735.5741922102502</v>
      </c>
      <c r="G925" s="47">
        <v>9152.5912248392397</v>
      </c>
    </row>
    <row r="926" spans="2:7" x14ac:dyDescent="0.25">
      <c r="B926" s="49"/>
      <c r="C926" s="89"/>
      <c r="D926" s="89"/>
      <c r="E926" s="47">
        <v>1900.92526060509</v>
      </c>
      <c r="F926" s="47">
        <v>2737.2910583888902</v>
      </c>
      <c r="G926" s="47">
        <v>9209.3075372187504</v>
      </c>
    </row>
    <row r="927" spans="2:7" x14ac:dyDescent="0.25">
      <c r="B927" s="49"/>
      <c r="C927" s="89"/>
      <c r="D927" s="89"/>
      <c r="E927" s="47">
        <v>1924.52565723679</v>
      </c>
      <c r="F927" s="47">
        <v>2738.52445700507</v>
      </c>
      <c r="G927" s="47">
        <v>9258.4164042534794</v>
      </c>
    </row>
    <row r="928" spans="2:7" x14ac:dyDescent="0.25">
      <c r="B928" s="49"/>
      <c r="C928" s="89"/>
      <c r="D928" s="89"/>
      <c r="E928" s="47">
        <v>1953.0263207774899</v>
      </c>
      <c r="F928" s="47">
        <v>2739.36659308348</v>
      </c>
      <c r="G928" s="47">
        <v>9302.47329815185</v>
      </c>
    </row>
    <row r="929" spans="2:7" x14ac:dyDescent="0.25">
      <c r="B929" s="49"/>
      <c r="C929" s="89"/>
      <c r="D929" s="89"/>
      <c r="E929" s="47">
        <v>1986.8787148988899</v>
      </c>
      <c r="F929" s="47">
        <v>2739.8791444728499</v>
      </c>
      <c r="G929" s="47">
        <v>9343.3147473523495</v>
      </c>
    </row>
    <row r="930" spans="2:7" x14ac:dyDescent="0.25">
      <c r="B930" s="49"/>
      <c r="C930" s="89"/>
      <c r="D930" s="89">
        <v>1000</v>
      </c>
      <c r="E930" s="47">
        <v>1836.25547179051</v>
      </c>
      <c r="F930" s="47">
        <v>2981.79189593006</v>
      </c>
      <c r="G930" s="47">
        <v>8922.5719681007304</v>
      </c>
    </row>
    <row r="931" spans="2:7" x14ac:dyDescent="0.25">
      <c r="B931" s="49"/>
      <c r="C931" s="89"/>
      <c r="D931" s="89"/>
      <c r="E931" s="47">
        <v>1839.65301980258</v>
      </c>
      <c r="F931" s="47">
        <v>2993.8071526987001</v>
      </c>
      <c r="G931" s="47">
        <v>9180.1835263047906</v>
      </c>
    </row>
    <row r="932" spans="2:7" x14ac:dyDescent="0.25">
      <c r="B932" s="49"/>
      <c r="C932" s="89"/>
      <c r="D932" s="89"/>
      <c r="E932" s="47">
        <v>1845.1926579813301</v>
      </c>
      <c r="F932" s="47">
        <v>3001.5232548429999</v>
      </c>
      <c r="G932" s="47">
        <v>9348.4626445038593</v>
      </c>
    </row>
    <row r="933" spans="2:7" x14ac:dyDescent="0.25">
      <c r="B933" s="49"/>
      <c r="C933" s="89"/>
      <c r="D933" s="89"/>
      <c r="E933" s="47">
        <v>1853.4102234013601</v>
      </c>
      <c r="F933" s="47">
        <v>3006.85562556178</v>
      </c>
      <c r="G933" s="47">
        <v>9468.48036852314</v>
      </c>
    </row>
    <row r="934" spans="2:7" x14ac:dyDescent="0.25">
      <c r="B934" s="49"/>
      <c r="C934" s="89"/>
      <c r="D934" s="89"/>
      <c r="E934" s="47">
        <v>1864.7756733690201</v>
      </c>
      <c r="F934" s="47">
        <v>3010.7064857176201</v>
      </c>
      <c r="G934" s="47">
        <v>9559.7661122916506</v>
      </c>
    </row>
    <row r="935" spans="2:7" x14ac:dyDescent="0.25">
      <c r="B935" s="49"/>
      <c r="C935" s="89"/>
      <c r="D935" s="89"/>
      <c r="E935" s="47">
        <v>1879.7189448910699</v>
      </c>
      <c r="F935" s="47">
        <v>3013.5489658526899</v>
      </c>
      <c r="G935" s="47">
        <v>9632.7155194313309</v>
      </c>
    </row>
    <row r="936" spans="2:7" x14ac:dyDescent="0.25">
      <c r="B936" s="49"/>
      <c r="C936" s="89"/>
      <c r="D936" s="89"/>
      <c r="E936" s="47">
        <v>1898.69005187012</v>
      </c>
      <c r="F936" s="47">
        <v>3015.6556194004002</v>
      </c>
      <c r="G936" s="47">
        <v>9693.4895884643993</v>
      </c>
    </row>
    <row r="937" spans="2:7" x14ac:dyDescent="0.25">
      <c r="B937" s="49"/>
      <c r="C937" s="89"/>
      <c r="D937" s="89"/>
      <c r="E937" s="47">
        <v>1922.1321689198801</v>
      </c>
      <c r="F937" s="47">
        <v>3017.1955908130799</v>
      </c>
      <c r="G937" s="47">
        <v>9746.0506377601996</v>
      </c>
    </row>
    <row r="938" spans="2:7" x14ac:dyDescent="0.25">
      <c r="B938" s="49"/>
      <c r="C938" s="89"/>
      <c r="D938" s="89"/>
      <c r="E938" s="47">
        <v>1950.4913179467801</v>
      </c>
      <c r="F938" s="47">
        <v>3018.2784906894399</v>
      </c>
      <c r="G938" s="47">
        <v>9793.1012890617603</v>
      </c>
    </row>
    <row r="939" spans="2:7" x14ac:dyDescent="0.25">
      <c r="B939" s="49"/>
      <c r="C939" s="89"/>
      <c r="D939" s="89"/>
      <c r="E939" s="47">
        <v>1984.2121770173201</v>
      </c>
      <c r="F939" s="47">
        <v>3018.9786171659798</v>
      </c>
      <c r="G939" s="47">
        <v>9836.5942477027693</v>
      </c>
    </row>
    <row r="940" spans="2:7" x14ac:dyDescent="0.25">
      <c r="B940" s="49"/>
      <c r="C940" s="89"/>
      <c r="D940" s="89">
        <v>1100</v>
      </c>
      <c r="E940" s="47">
        <v>1835.0414995220401</v>
      </c>
      <c r="F940" s="47">
        <v>3249.0987468019598</v>
      </c>
      <c r="G940" s="47">
        <v>9359.18535498645</v>
      </c>
    </row>
    <row r="941" spans="2:7" x14ac:dyDescent="0.25">
      <c r="B941" s="49"/>
      <c r="C941" s="89"/>
      <c r="D941" s="89"/>
      <c r="E941" s="47">
        <v>1837.6738104099099</v>
      </c>
      <c r="F941" s="47">
        <v>3263.3015802682999</v>
      </c>
      <c r="G941" s="47">
        <v>9635.1142877904804</v>
      </c>
    </row>
    <row r="942" spans="2:7" x14ac:dyDescent="0.25">
      <c r="B942" s="49"/>
      <c r="C942" s="89"/>
      <c r="D942" s="89"/>
      <c r="E942" s="47">
        <v>1842.70885953427</v>
      </c>
      <c r="F942" s="47">
        <v>3272.4689446709699</v>
      </c>
      <c r="G942" s="47">
        <v>9816.0395663739691</v>
      </c>
    </row>
    <row r="943" spans="2:7" x14ac:dyDescent="0.25">
      <c r="B943" s="49"/>
      <c r="C943" s="89"/>
      <c r="D943" s="89"/>
      <c r="E943" s="47">
        <v>1850.5613062125799</v>
      </c>
      <c r="F943" s="47">
        <v>3278.8335578046599</v>
      </c>
      <c r="G943" s="47">
        <v>9945.3470480873093</v>
      </c>
    </row>
    <row r="944" spans="2:7" x14ac:dyDescent="0.25">
      <c r="B944" s="49"/>
      <c r="C944" s="89"/>
      <c r="D944" s="89"/>
      <c r="E944" s="47">
        <v>1861.6488885464501</v>
      </c>
      <c r="F944" s="47">
        <v>3283.4446583930899</v>
      </c>
      <c r="G944" s="47">
        <v>10043.6138889212</v>
      </c>
    </row>
    <row r="945" spans="2:7" x14ac:dyDescent="0.25">
      <c r="B945" s="49"/>
      <c r="C945" s="89"/>
      <c r="D945" s="89"/>
      <c r="E945" s="47">
        <v>1876.37084242732</v>
      </c>
      <c r="F945" s="47">
        <v>3286.86496589233</v>
      </c>
      <c r="G945" s="47">
        <v>10122.0229710563</v>
      </c>
    </row>
    <row r="946" spans="2:7" x14ac:dyDescent="0.25">
      <c r="B946" s="49"/>
      <c r="C946" s="89"/>
      <c r="D946" s="89"/>
      <c r="E946" s="47">
        <v>1895.15646510123</v>
      </c>
      <c r="F946" s="47">
        <v>3289.4200699838998</v>
      </c>
      <c r="G946" s="47">
        <v>10187.2135739965</v>
      </c>
    </row>
    <row r="947" spans="2:7" x14ac:dyDescent="0.25">
      <c r="B947" s="49"/>
      <c r="C947" s="89"/>
      <c r="D947" s="89"/>
      <c r="E947" s="47">
        <v>1918.4386012375501</v>
      </c>
      <c r="F947" s="47">
        <v>3291.3125014269299</v>
      </c>
      <c r="G947" s="47">
        <v>10243.4562195577</v>
      </c>
    </row>
    <row r="948" spans="2:7" x14ac:dyDescent="0.25">
      <c r="B948" s="49"/>
      <c r="C948" s="89"/>
      <c r="D948" s="89"/>
      <c r="E948" s="47">
        <v>1946.6547869240101</v>
      </c>
      <c r="F948" s="47">
        <v>3292.6735725879198</v>
      </c>
      <c r="G948" s="47">
        <v>10293.6529241875</v>
      </c>
    </row>
    <row r="949" spans="2:7" x14ac:dyDescent="0.25">
      <c r="B949" s="49"/>
      <c r="C949" s="89"/>
      <c r="D949" s="89"/>
      <c r="E949" s="47">
        <v>1980.24208131605</v>
      </c>
      <c r="F949" s="47">
        <v>3293.5925998422799</v>
      </c>
      <c r="G949" s="47">
        <v>10339.8958073538</v>
      </c>
    </row>
    <row r="950" spans="2:7" x14ac:dyDescent="0.25">
      <c r="B950" s="49"/>
      <c r="C950" s="89"/>
      <c r="D950" s="89">
        <v>1200</v>
      </c>
      <c r="E950" s="47">
        <v>1832.6788526043799</v>
      </c>
      <c r="F950" s="47">
        <v>3511.3322935469</v>
      </c>
      <c r="G950" s="47">
        <v>9804.3033436620299</v>
      </c>
    </row>
    <row r="951" spans="2:7" x14ac:dyDescent="0.25">
      <c r="B951" s="49"/>
      <c r="C951" s="89"/>
      <c r="D951" s="89"/>
      <c r="E951" s="47">
        <v>1834.52820389403</v>
      </c>
      <c r="F951" s="47">
        <v>3527.9478236908199</v>
      </c>
      <c r="G951" s="47">
        <v>10099.3435994963</v>
      </c>
    </row>
    <row r="952" spans="2:7" x14ac:dyDescent="0.25">
      <c r="B952" s="49"/>
      <c r="C952" s="89"/>
      <c r="D952" s="89"/>
      <c r="E952" s="47">
        <v>1839.0488587356999</v>
      </c>
      <c r="F952" s="47">
        <v>3538.6681163786702</v>
      </c>
      <c r="G952" s="47">
        <v>10292.519145419799</v>
      </c>
    </row>
    <row r="953" spans="2:7" x14ac:dyDescent="0.25">
      <c r="B953" s="49"/>
      <c r="C953" s="89"/>
      <c r="D953" s="89"/>
      <c r="E953" s="47">
        <v>1846.5361747371701</v>
      </c>
      <c r="F953" s="47">
        <v>3546.1245996001298</v>
      </c>
      <c r="G953" s="47">
        <v>10430.5668664776</v>
      </c>
    </row>
    <row r="954" spans="2:7" x14ac:dyDescent="0.25">
      <c r="B954" s="49"/>
      <c r="C954" s="89"/>
      <c r="D954" s="89"/>
      <c r="E954" s="47">
        <v>1857.3437118491499</v>
      </c>
      <c r="F954" s="47">
        <v>3551.5435839432698</v>
      </c>
      <c r="G954" s="47">
        <v>10535.449457049401</v>
      </c>
    </row>
    <row r="955" spans="2:7" x14ac:dyDescent="0.25">
      <c r="B955" s="49"/>
      <c r="C955" s="89"/>
      <c r="D955" s="89"/>
      <c r="E955" s="47">
        <v>1871.84027953228</v>
      </c>
      <c r="F955" s="47">
        <v>3555.5831754391502</v>
      </c>
      <c r="G955" s="47">
        <v>10619.1039108327</v>
      </c>
    </row>
    <row r="956" spans="2:7" x14ac:dyDescent="0.25">
      <c r="B956" s="49"/>
      <c r="C956" s="89"/>
      <c r="D956" s="89"/>
      <c r="E956" s="47">
        <v>1890.4377092814</v>
      </c>
      <c r="F956" s="47">
        <v>3558.62438652419</v>
      </c>
      <c r="G956" s="47">
        <v>10688.610063611701</v>
      </c>
    </row>
    <row r="957" spans="2:7" x14ac:dyDescent="0.25">
      <c r="B957" s="49"/>
      <c r="C957" s="89"/>
      <c r="D957" s="89"/>
      <c r="E957" s="47">
        <v>1913.55880584892</v>
      </c>
      <c r="F957" s="47">
        <v>3560.9032191677602</v>
      </c>
      <c r="G957" s="47">
        <v>10748.4954844858</v>
      </c>
    </row>
    <row r="958" spans="2:7" x14ac:dyDescent="0.25">
      <c r="B958" s="49"/>
      <c r="C958" s="89"/>
      <c r="D958" s="89"/>
      <c r="E958" s="47">
        <v>1941.63155154693</v>
      </c>
      <c r="F958" s="47">
        <v>3562.5733119901402</v>
      </c>
      <c r="G958" s="47">
        <v>10801.837152075101</v>
      </c>
    </row>
    <row r="959" spans="2:7" x14ac:dyDescent="0.25">
      <c r="B959" s="49"/>
      <c r="C959" s="89"/>
      <c r="D959" s="89"/>
      <c r="E959" s="47">
        <v>1975.08276116154</v>
      </c>
      <c r="F959" s="47">
        <v>3563.7402542298901</v>
      </c>
      <c r="G959" s="47">
        <v>10850.862026753601</v>
      </c>
    </row>
    <row r="960" spans="2:7" x14ac:dyDescent="0.25">
      <c r="B960" s="49"/>
      <c r="C960" s="89">
        <v>10</v>
      </c>
      <c r="D960" s="89">
        <v>0</v>
      </c>
      <c r="E960" s="47">
        <v>1839.17177753177</v>
      </c>
      <c r="F960" s="47">
        <v>0</v>
      </c>
      <c r="G960" s="47">
        <v>5798.6308002633796</v>
      </c>
    </row>
    <row r="961" spans="2:7" x14ac:dyDescent="0.25">
      <c r="B961" s="49"/>
      <c r="C961" s="89"/>
      <c r="D961" s="89"/>
      <c r="E961" s="47">
        <v>1848.22124291349</v>
      </c>
      <c r="F961" s="47">
        <v>0</v>
      </c>
      <c r="G961" s="47">
        <v>5811.1762464214598</v>
      </c>
    </row>
    <row r="962" spans="2:7" x14ac:dyDescent="0.25">
      <c r="B962" s="49"/>
      <c r="C962" s="89"/>
      <c r="D962" s="89"/>
      <c r="E962" s="47">
        <v>1857.2707082952099</v>
      </c>
      <c r="F962" s="47">
        <v>0</v>
      </c>
      <c r="G962" s="47">
        <v>5823.7216925795401</v>
      </c>
    </row>
    <row r="963" spans="2:7" x14ac:dyDescent="0.25">
      <c r="B963" s="49"/>
      <c r="C963" s="89"/>
      <c r="D963" s="89"/>
      <c r="E963" s="47">
        <v>1867.7572398776999</v>
      </c>
      <c r="F963" s="47">
        <v>0</v>
      </c>
      <c r="G963" s="47">
        <v>5835.1459636810596</v>
      </c>
    </row>
    <row r="964" spans="2:7" x14ac:dyDescent="0.25">
      <c r="B964" s="49"/>
      <c r="C964" s="89"/>
      <c r="D964" s="89"/>
      <c r="E964" s="47">
        <v>1878.7227935271201</v>
      </c>
      <c r="F964" s="47">
        <v>0</v>
      </c>
      <c r="G964" s="47">
        <v>5846.1965097637303</v>
      </c>
    </row>
    <row r="965" spans="2:7" x14ac:dyDescent="0.25">
      <c r="B965" s="49"/>
      <c r="C965" s="89"/>
      <c r="D965" s="89"/>
      <c r="E965" s="47">
        <v>1890.76004228894</v>
      </c>
      <c r="F965" s="47">
        <v>0</v>
      </c>
      <c r="G965" s="47">
        <v>5856.8124076702798</v>
      </c>
    </row>
    <row r="966" spans="2:7" x14ac:dyDescent="0.25">
      <c r="B966" s="49"/>
      <c r="C966" s="89"/>
      <c r="D966" s="89"/>
      <c r="E966" s="47">
        <v>1903.8689861631599</v>
      </c>
      <c r="F966" s="47">
        <v>0</v>
      </c>
      <c r="G966" s="47">
        <v>5866.9936574007197</v>
      </c>
    </row>
    <row r="967" spans="2:7" x14ac:dyDescent="0.25">
      <c r="B967" s="49"/>
      <c r="C967" s="89"/>
      <c r="D967" s="89"/>
      <c r="E967" s="47">
        <v>1917.56870899858</v>
      </c>
      <c r="F967" s="47">
        <v>0</v>
      </c>
      <c r="G967" s="47">
        <v>5877.0725613778804</v>
      </c>
    </row>
    <row r="968" spans="2:7" x14ac:dyDescent="0.25">
      <c r="B968" s="49"/>
      <c r="C968" s="89"/>
      <c r="D968" s="89"/>
      <c r="E968" s="47">
        <v>1933.0407687176</v>
      </c>
      <c r="F968" s="47">
        <v>0</v>
      </c>
      <c r="G968" s="47">
        <v>5886.8444280952299</v>
      </c>
    </row>
    <row r="969" spans="2:7" x14ac:dyDescent="0.25">
      <c r="B969" s="49"/>
      <c r="C969" s="89"/>
      <c r="D969" s="89"/>
      <c r="E969" s="47">
        <v>1948.5128284366201</v>
      </c>
      <c r="F969" s="47">
        <v>0</v>
      </c>
      <c r="G969" s="47">
        <v>5896.6162948125802</v>
      </c>
    </row>
    <row r="970" spans="2:7" x14ac:dyDescent="0.25">
      <c r="B970" s="49"/>
      <c r="C970" s="89"/>
      <c r="D970" s="89">
        <v>100</v>
      </c>
      <c r="E970" s="47">
        <v>1822.30362635289</v>
      </c>
      <c r="F970" s="47">
        <v>322.52508953635299</v>
      </c>
      <c r="G970" s="47">
        <v>6111.8316057058601</v>
      </c>
    </row>
    <row r="971" spans="2:7" x14ac:dyDescent="0.25">
      <c r="B971" s="49"/>
      <c r="C971" s="89"/>
      <c r="D971" s="89"/>
      <c r="E971" s="47">
        <v>1831.11734375528</v>
      </c>
      <c r="F971" s="47">
        <v>322.63745338865999</v>
      </c>
      <c r="G971" s="47">
        <v>6143.1934901019204</v>
      </c>
    </row>
    <row r="972" spans="2:7" x14ac:dyDescent="0.25">
      <c r="B972" s="49"/>
      <c r="C972" s="89"/>
      <c r="D972" s="89"/>
      <c r="E972" s="47">
        <v>1841.0061043780599</v>
      </c>
      <c r="F972" s="47">
        <v>322.73072994498898</v>
      </c>
      <c r="G972" s="47">
        <v>6171.4170984902503</v>
      </c>
    </row>
    <row r="973" spans="2:7" x14ac:dyDescent="0.25">
      <c r="B973" s="49"/>
      <c r="C973" s="89"/>
      <c r="D973" s="89"/>
      <c r="E973" s="47">
        <v>1851.9699082212401</v>
      </c>
      <c r="F973" s="47">
        <v>322.80491920533802</v>
      </c>
      <c r="G973" s="47">
        <v>6196.5024308708498</v>
      </c>
    </row>
    <row r="974" spans="2:7" x14ac:dyDescent="0.25">
      <c r="B974" s="49"/>
      <c r="C974" s="89"/>
      <c r="D974" s="89"/>
      <c r="E974" s="47">
        <v>1865.46405788984</v>
      </c>
      <c r="F974" s="47">
        <v>322.85005460653599</v>
      </c>
      <c r="G974" s="47">
        <v>6217.5720283044002</v>
      </c>
    </row>
    <row r="975" spans="2:7" x14ac:dyDescent="0.25">
      <c r="B975" s="49"/>
      <c r="C975" s="89"/>
      <c r="D975" s="89"/>
      <c r="E975" s="47">
        <v>1880.39871596649</v>
      </c>
      <c r="F975" s="47">
        <v>322.88337778642801</v>
      </c>
      <c r="G975" s="47">
        <v>6237.3595282565102</v>
      </c>
    </row>
    <row r="976" spans="2:7" x14ac:dyDescent="0.25">
      <c r="B976" s="49"/>
      <c r="C976" s="89"/>
      <c r="D976" s="89"/>
      <c r="E976" s="47">
        <v>1896.77388245118</v>
      </c>
      <c r="F976" s="47">
        <v>322.90488874501602</v>
      </c>
      <c r="G976" s="47">
        <v>6255.8649307271799</v>
      </c>
    </row>
    <row r="977" spans="2:7" x14ac:dyDescent="0.25">
      <c r="B977" s="49"/>
      <c r="C977" s="89"/>
      <c r="D977" s="89"/>
      <c r="E977" s="47">
        <v>1916.3663070784401</v>
      </c>
      <c r="F977" s="47">
        <v>322.90625678353001</v>
      </c>
      <c r="G977" s="47">
        <v>6272.8316947742296</v>
      </c>
    </row>
    <row r="978" spans="2:7" x14ac:dyDescent="0.25">
      <c r="B978" s="49"/>
      <c r="C978" s="89"/>
      <c r="D978" s="89"/>
      <c r="E978" s="47">
        <v>1937.7304277742701</v>
      </c>
      <c r="F978" s="47">
        <v>322.89865200430597</v>
      </c>
      <c r="G978" s="47">
        <v>6289.4012243596599</v>
      </c>
    </row>
    <row r="979" spans="2:7" x14ac:dyDescent="0.25">
      <c r="B979" s="49"/>
      <c r="C979" s="89"/>
      <c r="D979" s="89"/>
      <c r="E979" s="47">
        <v>1960.8662445386401</v>
      </c>
      <c r="F979" s="47">
        <v>322.882074407343</v>
      </c>
      <c r="G979" s="47">
        <v>6305.5735194834697</v>
      </c>
    </row>
    <row r="980" spans="2:7" x14ac:dyDescent="0.25">
      <c r="B980" s="49"/>
      <c r="C980" s="89"/>
      <c r="D980" s="89">
        <v>200</v>
      </c>
      <c r="E980" s="47">
        <v>1822.5693319091499</v>
      </c>
      <c r="F980" s="47">
        <v>638.43852959730395</v>
      </c>
      <c r="G980" s="47">
        <v>6444.3618005434801</v>
      </c>
    </row>
    <row r="981" spans="2:7" x14ac:dyDescent="0.25">
      <c r="B981" s="49"/>
      <c r="C981" s="89"/>
      <c r="D981" s="89"/>
      <c r="E981" s="47">
        <v>1830.64770030148</v>
      </c>
      <c r="F981" s="47">
        <v>638.875673557205</v>
      </c>
      <c r="G981" s="47">
        <v>6497.63443416675</v>
      </c>
    </row>
    <row r="982" spans="2:7" x14ac:dyDescent="0.25">
      <c r="B982" s="49"/>
      <c r="C982" s="89"/>
      <c r="D982" s="89"/>
      <c r="E982" s="47">
        <v>1840.1880818490399</v>
      </c>
      <c r="F982" s="47">
        <v>639.21492962031198</v>
      </c>
      <c r="G982" s="47">
        <v>6541.7602114176798</v>
      </c>
    </row>
    <row r="983" spans="2:7" x14ac:dyDescent="0.25">
      <c r="B983" s="49"/>
      <c r="C983" s="89"/>
      <c r="D983" s="89"/>
      <c r="E983" s="47">
        <v>1851.4007302082</v>
      </c>
      <c r="F983" s="47">
        <v>639.47369491109703</v>
      </c>
      <c r="G983" s="47">
        <v>6578.7650514137104</v>
      </c>
    </row>
    <row r="984" spans="2:7" x14ac:dyDescent="0.25">
      <c r="B984" s="49"/>
      <c r="C984" s="89"/>
      <c r="D984" s="89"/>
      <c r="E984" s="47">
        <v>1864.48762581557</v>
      </c>
      <c r="F984" s="47">
        <v>639.66692232029095</v>
      </c>
      <c r="G984" s="47">
        <v>6610.4083091474004</v>
      </c>
    </row>
    <row r="985" spans="2:7" x14ac:dyDescent="0.25">
      <c r="B985" s="49"/>
      <c r="C985" s="89"/>
      <c r="D985" s="89"/>
      <c r="E985" s="47">
        <v>1880.1203125162201</v>
      </c>
      <c r="F985" s="47">
        <v>639.797607348768</v>
      </c>
      <c r="G985" s="47">
        <v>6637.5796309548396</v>
      </c>
    </row>
    <row r="986" spans="2:7" x14ac:dyDescent="0.25">
      <c r="B986" s="49"/>
      <c r="C986" s="89"/>
      <c r="D986" s="89"/>
      <c r="E986" s="47">
        <v>1898.64400288365</v>
      </c>
      <c r="F986" s="47">
        <v>639.87819581578105</v>
      </c>
      <c r="G986" s="47">
        <v>6661.8938874550404</v>
      </c>
    </row>
    <row r="987" spans="2:7" x14ac:dyDescent="0.25">
      <c r="B987" s="49"/>
      <c r="C987" s="89"/>
      <c r="D987" s="89"/>
      <c r="E987" s="47">
        <v>1919.7978646223801</v>
      </c>
      <c r="F987" s="47">
        <v>639.92223809105303</v>
      </c>
      <c r="G987" s="47">
        <v>6684.5673691710599</v>
      </c>
    </row>
    <row r="988" spans="2:7" x14ac:dyDescent="0.25">
      <c r="B988" s="49"/>
      <c r="C988" s="89"/>
      <c r="D988" s="89"/>
      <c r="E988" s="47">
        <v>1943.74454249822</v>
      </c>
      <c r="F988" s="47">
        <v>639.93263975008097</v>
      </c>
      <c r="G988" s="47">
        <v>6706.0468694532101</v>
      </c>
    </row>
    <row r="989" spans="2:7" x14ac:dyDescent="0.25">
      <c r="B989" s="49"/>
      <c r="C989" s="89"/>
      <c r="D989" s="89"/>
      <c r="E989" s="47">
        <v>1970.6451280414799</v>
      </c>
      <c r="F989" s="47">
        <v>639.91180880255695</v>
      </c>
      <c r="G989" s="47">
        <v>6726.7250359625295</v>
      </c>
    </row>
    <row r="990" spans="2:7" x14ac:dyDescent="0.25">
      <c r="B990" s="49"/>
      <c r="C990" s="89"/>
      <c r="D990" s="89">
        <v>300</v>
      </c>
      <c r="E990" s="47">
        <v>1815.63081545918</v>
      </c>
      <c r="F990" s="47">
        <v>945.05633935217395</v>
      </c>
      <c r="G990" s="47">
        <v>6580.7865487076097</v>
      </c>
    </row>
    <row r="991" spans="2:7" x14ac:dyDescent="0.25">
      <c r="B991" s="49"/>
      <c r="C991" s="89"/>
      <c r="D991" s="89"/>
      <c r="E991" s="47">
        <v>1823.0128126634099</v>
      </c>
      <c r="F991" s="47">
        <v>947.25236065085301</v>
      </c>
      <c r="G991" s="47">
        <v>6742.4346570225698</v>
      </c>
    </row>
    <row r="992" spans="2:7" x14ac:dyDescent="0.25">
      <c r="B992" s="49"/>
      <c r="C992" s="89"/>
      <c r="D992" s="89"/>
      <c r="E992" s="47">
        <v>1831.17872736241</v>
      </c>
      <c r="F992" s="47">
        <v>948.651285174137</v>
      </c>
      <c r="G992" s="47">
        <v>6848.3457398855699</v>
      </c>
    </row>
    <row r="993" spans="2:7" x14ac:dyDescent="0.25">
      <c r="B993" s="49"/>
      <c r="C993" s="89"/>
      <c r="D993" s="89"/>
      <c r="E993" s="47">
        <v>1841.28682774086</v>
      </c>
      <c r="F993" s="47">
        <v>949.59853929477595</v>
      </c>
      <c r="G993" s="47">
        <v>6923.9523132598597</v>
      </c>
    </row>
    <row r="994" spans="2:7" x14ac:dyDescent="0.25">
      <c r="B994" s="49"/>
      <c r="C994" s="89"/>
      <c r="D994" s="89"/>
      <c r="E994" s="47">
        <v>1854.0919326552801</v>
      </c>
      <c r="F994" s="47">
        <v>950.25719396611305</v>
      </c>
      <c r="G994" s="47">
        <v>6981.4358692051601</v>
      </c>
    </row>
    <row r="995" spans="2:7" x14ac:dyDescent="0.25">
      <c r="B995" s="49"/>
      <c r="C995" s="89"/>
      <c r="D995" s="89"/>
      <c r="E995" s="47">
        <v>1870.20031860733</v>
      </c>
      <c r="F995" s="47">
        <v>950.71374124631802</v>
      </c>
      <c r="G995" s="47">
        <v>7027.4320196911804</v>
      </c>
    </row>
    <row r="996" spans="2:7" x14ac:dyDescent="0.25">
      <c r="B996" s="49"/>
      <c r="C996" s="89"/>
      <c r="D996" s="89"/>
      <c r="E996" s="47">
        <v>1890.15178962812</v>
      </c>
      <c r="F996" s="47">
        <v>951.01863474274205</v>
      </c>
      <c r="G996" s="47">
        <v>7065.9695446556398</v>
      </c>
    </row>
    <row r="997" spans="2:7" x14ac:dyDescent="0.25">
      <c r="B997" s="49"/>
      <c r="C997" s="89"/>
      <c r="D997" s="89"/>
      <c r="E997" s="47">
        <v>1914.4547692779299</v>
      </c>
      <c r="F997" s="47">
        <v>951.20272549409299</v>
      </c>
      <c r="G997" s="47">
        <v>7099.66357660837</v>
      </c>
    </row>
    <row r="998" spans="2:7" x14ac:dyDescent="0.25">
      <c r="B998" s="49"/>
      <c r="C998" s="89"/>
      <c r="D998" s="89"/>
      <c r="E998" s="47">
        <v>1943.59862983418</v>
      </c>
      <c r="F998" s="47">
        <v>951.28554992033105</v>
      </c>
      <c r="G998" s="47">
        <v>7130.3124458129696</v>
      </c>
    </row>
    <row r="999" spans="2:7" x14ac:dyDescent="0.25">
      <c r="B999" s="49"/>
      <c r="C999" s="89"/>
      <c r="D999" s="89"/>
      <c r="E999" s="47">
        <v>1978.0620786537299</v>
      </c>
      <c r="F999" s="47">
        <v>951.28035056100998</v>
      </c>
      <c r="G999" s="47">
        <v>7159.26006755249</v>
      </c>
    </row>
    <row r="1000" spans="2:7" x14ac:dyDescent="0.25">
      <c r="B1000" s="49"/>
      <c r="C1000" s="89"/>
      <c r="D1000" s="89">
        <v>400</v>
      </c>
      <c r="E1000" s="47">
        <v>1823.23353151693</v>
      </c>
      <c r="F1000" s="47">
        <v>1247.8352399653099</v>
      </c>
      <c r="G1000" s="47">
        <v>6971.6093935254803</v>
      </c>
    </row>
    <row r="1001" spans="2:7" x14ac:dyDescent="0.25">
      <c r="B1001" s="49"/>
      <c r="C1001" s="89"/>
      <c r="D1001" s="89"/>
      <c r="E1001" s="47">
        <v>1829.98157302546</v>
      </c>
      <c r="F1001" s="47">
        <v>1251.05776362146</v>
      </c>
      <c r="G1001" s="47">
        <v>7148.2969979741902</v>
      </c>
    </row>
    <row r="1002" spans="2:7" x14ac:dyDescent="0.25">
      <c r="B1002" s="49"/>
      <c r="C1002" s="89"/>
      <c r="D1002" s="89"/>
      <c r="E1002" s="47">
        <v>1837.72252898084</v>
      </c>
      <c r="F1002" s="47">
        <v>1253.1115618956501</v>
      </c>
      <c r="G1002" s="47">
        <v>7263.8207783852004</v>
      </c>
    </row>
    <row r="1003" spans="2:7" x14ac:dyDescent="0.25">
      <c r="B1003" s="49"/>
      <c r="C1003" s="89"/>
      <c r="D1003" s="89"/>
      <c r="E1003" s="47">
        <v>1847.5265647118599</v>
      </c>
      <c r="F1003" s="47">
        <v>1254.51078691727</v>
      </c>
      <c r="G1003" s="47">
        <v>7346.3742219823698</v>
      </c>
    </row>
    <row r="1004" spans="2:7" x14ac:dyDescent="0.25">
      <c r="B1004" s="49"/>
      <c r="C1004" s="89"/>
      <c r="D1004" s="89"/>
      <c r="E1004" s="47">
        <v>1860.09904084033</v>
      </c>
      <c r="F1004" s="47">
        <v>1255.49378277959</v>
      </c>
      <c r="G1004" s="47">
        <v>7409.2029951695804</v>
      </c>
    </row>
    <row r="1005" spans="2:7" x14ac:dyDescent="0.25">
      <c r="B1005" s="49"/>
      <c r="C1005" s="89"/>
      <c r="D1005" s="89"/>
      <c r="E1005" s="47">
        <v>1876.0196685328101</v>
      </c>
      <c r="F1005" s="47">
        <v>1256.1875536026901</v>
      </c>
      <c r="G1005" s="47">
        <v>7459.5379897151997</v>
      </c>
    </row>
    <row r="1006" spans="2:7" x14ac:dyDescent="0.25">
      <c r="B1006" s="49"/>
      <c r="C1006" s="89"/>
      <c r="D1006" s="89"/>
      <c r="E1006" s="47">
        <v>1895.8119552181399</v>
      </c>
      <c r="F1006" s="47">
        <v>1256.6650572634101</v>
      </c>
      <c r="G1006" s="47">
        <v>7501.6947374156098</v>
      </c>
    </row>
    <row r="1007" spans="2:7" x14ac:dyDescent="0.25">
      <c r="B1007" s="49"/>
      <c r="C1007" s="89"/>
      <c r="D1007" s="89"/>
      <c r="E1007" s="47">
        <v>1919.9729902833501</v>
      </c>
      <c r="F1007" s="47">
        <v>1256.97148804363</v>
      </c>
      <c r="G1007" s="47">
        <v>7538.4933566957498</v>
      </c>
    </row>
    <row r="1008" spans="2:7" x14ac:dyDescent="0.25">
      <c r="B1008" s="49"/>
      <c r="C1008" s="89"/>
      <c r="D1008" s="89"/>
      <c r="E1008" s="47">
        <v>1948.9850135901499</v>
      </c>
      <c r="F1008" s="47">
        <v>1257.13560386473</v>
      </c>
      <c r="G1008" s="47">
        <v>7571.8693765307498</v>
      </c>
    </row>
    <row r="1009" spans="2:7" x14ac:dyDescent="0.25">
      <c r="B1009" s="49"/>
      <c r="C1009" s="89"/>
      <c r="D1009" s="89"/>
      <c r="E1009" s="47">
        <v>1983.32185752493</v>
      </c>
      <c r="F1009" s="47">
        <v>1257.17627949741</v>
      </c>
      <c r="G1009" s="47">
        <v>7603.2268943651397</v>
      </c>
    </row>
    <row r="1010" spans="2:7" x14ac:dyDescent="0.25">
      <c r="B1010" s="49"/>
      <c r="C1010" s="89"/>
      <c r="D1010" s="89">
        <v>500</v>
      </c>
      <c r="E1010" s="47">
        <v>1828.9431661690301</v>
      </c>
      <c r="F1010" s="47">
        <v>1544.7035115573201</v>
      </c>
      <c r="G1010" s="47">
        <v>7369.6042455105198</v>
      </c>
    </row>
    <row r="1011" spans="2:7" x14ac:dyDescent="0.25">
      <c r="B1011" s="49"/>
      <c r="C1011" s="89"/>
      <c r="D1011" s="89"/>
      <c r="E1011" s="47">
        <v>1835.0287600301499</v>
      </c>
      <c r="F1011" s="47">
        <v>1549.12118968046</v>
      </c>
      <c r="G1011" s="47">
        <v>7562.2133586722002</v>
      </c>
    </row>
    <row r="1012" spans="2:7" x14ac:dyDescent="0.25">
      <c r="B1012" s="49"/>
      <c r="C1012" s="89"/>
      <c r="D1012" s="89"/>
      <c r="E1012" s="47">
        <v>1842.33376389878</v>
      </c>
      <c r="F1012" s="47">
        <v>1551.9531961172399</v>
      </c>
      <c r="G1012" s="47">
        <v>7688.5718759100801</v>
      </c>
    </row>
    <row r="1013" spans="2:7" x14ac:dyDescent="0.25">
      <c r="B1013" s="49"/>
      <c r="C1013" s="89"/>
      <c r="D1013" s="89"/>
      <c r="E1013" s="47">
        <v>1851.8219081421601</v>
      </c>
      <c r="F1013" s="47">
        <v>1553.8923748291099</v>
      </c>
      <c r="G1013" s="47">
        <v>7778.90425937086</v>
      </c>
    </row>
    <row r="1014" spans="2:7" x14ac:dyDescent="0.25">
      <c r="B1014" s="49"/>
      <c r="C1014" s="89"/>
      <c r="D1014" s="89"/>
      <c r="E1014" s="47">
        <v>1864.15356668044</v>
      </c>
      <c r="F1014" s="47">
        <v>1555.26454664008</v>
      </c>
      <c r="G1014" s="47">
        <v>7847.5983942555204</v>
      </c>
    </row>
    <row r="1015" spans="2:7" x14ac:dyDescent="0.25">
      <c r="B1015" s="49"/>
      <c r="C1015" s="89"/>
      <c r="D1015" s="89"/>
      <c r="E1015" s="47">
        <v>1879.87843915079</v>
      </c>
      <c r="F1015" s="47">
        <v>1556.2454269284699</v>
      </c>
      <c r="G1015" s="47">
        <v>7902.5773625225502</v>
      </c>
    </row>
    <row r="1016" spans="2:7" x14ac:dyDescent="0.25">
      <c r="B1016" s="49"/>
      <c r="C1016" s="89"/>
      <c r="D1016" s="89"/>
      <c r="E1016" s="47">
        <v>1899.50475621894</v>
      </c>
      <c r="F1016" s="47">
        <v>1556.93618342573</v>
      </c>
      <c r="G1016" s="47">
        <v>7948.5657441883104</v>
      </c>
    </row>
    <row r="1017" spans="2:7" x14ac:dyDescent="0.25">
      <c r="B1017" s="49"/>
      <c r="C1017" s="89"/>
      <c r="D1017" s="89"/>
      <c r="E1017" s="47">
        <v>1923.51918777624</v>
      </c>
      <c r="F1017" s="47">
        <v>1557.39870717964</v>
      </c>
      <c r="G1017" s="47">
        <v>7988.6031944632196</v>
      </c>
    </row>
    <row r="1018" spans="2:7" x14ac:dyDescent="0.25">
      <c r="B1018" s="49"/>
      <c r="C1018" s="89"/>
      <c r="D1018" s="89"/>
      <c r="E1018" s="47">
        <v>1952.39644222841</v>
      </c>
      <c r="F1018" s="47">
        <v>1557.67291762068</v>
      </c>
      <c r="G1018" s="47">
        <v>8024.7869019206501</v>
      </c>
    </row>
    <row r="1019" spans="2:7" x14ac:dyDescent="0.25">
      <c r="B1019" s="49"/>
      <c r="C1019" s="89"/>
      <c r="D1019" s="89"/>
      <c r="E1019" s="47">
        <v>1986.6050656049899</v>
      </c>
      <c r="F1019" s="47">
        <v>1557.7851341473599</v>
      </c>
      <c r="G1019" s="47">
        <v>8058.6318037479696</v>
      </c>
    </row>
    <row r="1020" spans="2:7" x14ac:dyDescent="0.25">
      <c r="B1020" s="49"/>
      <c r="C1020" s="89"/>
      <c r="D1020" s="89">
        <v>600</v>
      </c>
      <c r="E1020" s="47">
        <v>1832.9544486855</v>
      </c>
      <c r="F1020" s="47">
        <v>1835.88120100531</v>
      </c>
      <c r="G1020" s="47">
        <v>7778.2843484000196</v>
      </c>
    </row>
    <row r="1021" spans="2:7" x14ac:dyDescent="0.25">
      <c r="B1021" s="49"/>
      <c r="C1021" s="89"/>
      <c r="D1021" s="89"/>
      <c r="E1021" s="47">
        <v>1838.34090650248</v>
      </c>
      <c r="F1021" s="47">
        <v>1841.64965222051</v>
      </c>
      <c r="G1021" s="47">
        <v>7986.7752075898097</v>
      </c>
    </row>
    <row r="1022" spans="2:7" x14ac:dyDescent="0.25">
      <c r="B1022" s="49"/>
      <c r="C1022" s="89"/>
      <c r="D1022" s="89"/>
      <c r="E1022" s="47">
        <v>1845.18903024166</v>
      </c>
      <c r="F1022" s="47">
        <v>1845.35550876254</v>
      </c>
      <c r="G1022" s="47">
        <v>8123.5870098474998</v>
      </c>
    </row>
    <row r="1023" spans="2:7" x14ac:dyDescent="0.25">
      <c r="B1023" s="49"/>
      <c r="C1023" s="89"/>
      <c r="D1023" s="89"/>
      <c r="E1023" s="47">
        <v>1854.3468313835699</v>
      </c>
      <c r="F1023" s="47">
        <v>1847.9042177158799</v>
      </c>
      <c r="G1023" s="47">
        <v>8221.45625321222</v>
      </c>
    </row>
    <row r="1024" spans="2:7" x14ac:dyDescent="0.25">
      <c r="B1024" s="49"/>
      <c r="C1024" s="89"/>
      <c r="D1024" s="89"/>
      <c r="E1024" s="47">
        <v>1866.42642493227</v>
      </c>
      <c r="F1024" s="47">
        <v>1849.7211752918299</v>
      </c>
      <c r="G1024" s="47">
        <v>8295.9433964717791</v>
      </c>
    </row>
    <row r="1025" spans="2:7" x14ac:dyDescent="0.25">
      <c r="B1025" s="49"/>
      <c r="C1025" s="89"/>
      <c r="D1025" s="89"/>
      <c r="E1025" s="47">
        <v>1881.95083277605</v>
      </c>
      <c r="F1025" s="47">
        <v>1851.0338764242799</v>
      </c>
      <c r="G1025" s="47">
        <v>8355.5354056651795</v>
      </c>
    </row>
    <row r="1026" spans="2:7" x14ac:dyDescent="0.25">
      <c r="B1026" s="49"/>
      <c r="C1026" s="89"/>
      <c r="D1026" s="89"/>
      <c r="E1026" s="47">
        <v>1901.4050226294401</v>
      </c>
      <c r="F1026" s="47">
        <v>1851.9760338417</v>
      </c>
      <c r="G1026" s="47">
        <v>8405.3709858602597</v>
      </c>
    </row>
    <row r="1027" spans="2:7" x14ac:dyDescent="0.25">
      <c r="B1027" s="49"/>
      <c r="C1027" s="89"/>
      <c r="D1027" s="89"/>
      <c r="E1027" s="47">
        <v>1925.26801918257</v>
      </c>
      <c r="F1027" s="47">
        <v>1852.62779512917</v>
      </c>
      <c r="G1027" s="47">
        <v>8448.6906421556596</v>
      </c>
    </row>
    <row r="1028" spans="2:7" x14ac:dyDescent="0.25">
      <c r="B1028" s="49"/>
      <c r="C1028" s="89"/>
      <c r="D1028" s="89"/>
      <c r="E1028" s="47">
        <v>1954.00763914493</v>
      </c>
      <c r="F1028" s="47">
        <v>1853.04156829675</v>
      </c>
      <c r="G1028" s="47">
        <v>8487.7445483542706</v>
      </c>
    </row>
    <row r="1029" spans="2:7" x14ac:dyDescent="0.25">
      <c r="B1029" s="49"/>
      <c r="C1029" s="89"/>
      <c r="D1029" s="89"/>
      <c r="E1029" s="47">
        <v>1988.0860334650599</v>
      </c>
      <c r="F1029" s="47">
        <v>1853.2519025208201</v>
      </c>
      <c r="G1029" s="47">
        <v>8524.1466985227507</v>
      </c>
    </row>
    <row r="1030" spans="2:7" x14ac:dyDescent="0.25">
      <c r="B1030" s="49"/>
      <c r="C1030" s="89"/>
      <c r="D1030" s="89">
        <v>700</v>
      </c>
      <c r="E1030" s="47">
        <v>1835.3778795180599</v>
      </c>
      <c r="F1030" s="47">
        <v>2121.3994893568702</v>
      </c>
      <c r="G1030" s="47">
        <v>8193.4591279067299</v>
      </c>
    </row>
    <row r="1031" spans="2:7" x14ac:dyDescent="0.25">
      <c r="B1031" s="49"/>
      <c r="C1031" s="89"/>
      <c r="D1031" s="89"/>
      <c r="E1031" s="47">
        <v>1840.0551394300301</v>
      </c>
      <c r="F1031" s="47">
        <v>2128.7389662078799</v>
      </c>
      <c r="G1031" s="47">
        <v>8419.7765318066995</v>
      </c>
    </row>
    <row r="1032" spans="2:7" x14ac:dyDescent="0.25">
      <c r="B1032" s="49"/>
      <c r="C1032" s="89"/>
      <c r="D1032" s="89"/>
      <c r="E1032" s="47">
        <v>1846.43285239335</v>
      </c>
      <c r="F1032" s="47">
        <v>2133.46176000274</v>
      </c>
      <c r="G1032" s="47">
        <v>8568.2593107819703</v>
      </c>
    </row>
    <row r="1033" spans="2:7" x14ac:dyDescent="0.25">
      <c r="B1033" s="49"/>
      <c r="C1033" s="89"/>
      <c r="D1033" s="89"/>
      <c r="E1033" s="47">
        <v>1855.2521092330001</v>
      </c>
      <c r="F1033" s="47">
        <v>2136.7197985140201</v>
      </c>
      <c r="G1033" s="47">
        <v>8674.4425606912901</v>
      </c>
    </row>
    <row r="1034" spans="2:7" x14ac:dyDescent="0.25">
      <c r="B1034" s="49"/>
      <c r="C1034" s="89"/>
      <c r="D1034" s="89"/>
      <c r="E1034" s="47">
        <v>1867.07191204731</v>
      </c>
      <c r="F1034" s="47">
        <v>2139.0540468879699</v>
      </c>
      <c r="G1034" s="47">
        <v>8755.1919481530404</v>
      </c>
    </row>
    <row r="1035" spans="2:7" x14ac:dyDescent="0.25">
      <c r="B1035" s="49"/>
      <c r="C1035" s="89"/>
      <c r="D1035" s="89"/>
      <c r="E1035" s="47">
        <v>1882.3872398547001</v>
      </c>
      <c r="F1035" s="47">
        <v>2140.7545181380801</v>
      </c>
      <c r="G1035" s="47">
        <v>8819.7143879641098</v>
      </c>
    </row>
    <row r="1036" spans="2:7" x14ac:dyDescent="0.25">
      <c r="B1036" s="49"/>
      <c r="C1036" s="89"/>
      <c r="D1036" s="89"/>
      <c r="E1036" s="47">
        <v>1901.66568558941</v>
      </c>
      <c r="F1036" s="47">
        <v>2141.99136932174</v>
      </c>
      <c r="G1036" s="47">
        <v>8873.5618109872194</v>
      </c>
    </row>
    <row r="1037" spans="2:7" x14ac:dyDescent="0.25">
      <c r="B1037" s="49"/>
      <c r="C1037" s="89"/>
      <c r="D1037" s="89"/>
      <c r="E1037" s="47">
        <v>1925.37231747908</v>
      </c>
      <c r="F1037" s="47">
        <v>2142.86822516556</v>
      </c>
      <c r="G1037" s="47">
        <v>8920.2686681122395</v>
      </c>
    </row>
    <row r="1038" spans="2:7" x14ac:dyDescent="0.25">
      <c r="B1038" s="49"/>
      <c r="C1038" s="89"/>
      <c r="D1038" s="89"/>
      <c r="E1038" s="47">
        <v>1953.97000763499</v>
      </c>
      <c r="F1038" s="47">
        <v>2143.4495537862999</v>
      </c>
      <c r="G1038" s="47">
        <v>8962.1814142981693</v>
      </c>
    </row>
    <row r="1039" spans="2:7" x14ac:dyDescent="0.25">
      <c r="B1039" s="49"/>
      <c r="C1039" s="89"/>
      <c r="D1039" s="89"/>
      <c r="E1039" s="47">
        <v>1987.9153321498</v>
      </c>
      <c r="F1039" s="47">
        <v>2143.7825132115299</v>
      </c>
      <c r="G1039" s="47">
        <v>9001.1165315491999</v>
      </c>
    </row>
    <row r="1040" spans="2:7" x14ac:dyDescent="0.25">
      <c r="B1040" s="49"/>
      <c r="C1040" s="89"/>
      <c r="D1040" s="89">
        <v>800</v>
      </c>
      <c r="E1040" s="47">
        <v>1836.3686031714301</v>
      </c>
      <c r="F1040" s="47">
        <v>2401.4959126707199</v>
      </c>
      <c r="G1040" s="47">
        <v>8618.5922344507107</v>
      </c>
    </row>
    <row r="1041" spans="2:7" x14ac:dyDescent="0.25">
      <c r="B1041" s="49"/>
      <c r="C1041" s="89"/>
      <c r="D1041" s="89"/>
      <c r="E1041" s="47">
        <v>1840.3072708340801</v>
      </c>
      <c r="F1041" s="47">
        <v>2410.55347823996</v>
      </c>
      <c r="G1041" s="47">
        <v>8861.9911479130606</v>
      </c>
    </row>
    <row r="1042" spans="2:7" x14ac:dyDescent="0.25">
      <c r="B1042" s="49"/>
      <c r="C1042" s="89"/>
      <c r="D1042" s="89"/>
      <c r="E1042" s="47">
        <v>1846.19171030659</v>
      </c>
      <c r="F1042" s="47">
        <v>2416.3920936552699</v>
      </c>
      <c r="G1042" s="47">
        <v>9021.7214869907202</v>
      </c>
    </row>
    <row r="1043" spans="2:7" x14ac:dyDescent="0.25">
      <c r="B1043" s="49"/>
      <c r="C1043" s="89"/>
      <c r="D1043" s="89"/>
      <c r="E1043" s="47">
        <v>1854.6620019161701</v>
      </c>
      <c r="F1043" s="47">
        <v>2420.43134539422</v>
      </c>
      <c r="G1043" s="47">
        <v>9135.9598419205504</v>
      </c>
    </row>
    <row r="1044" spans="2:7" x14ac:dyDescent="0.25">
      <c r="B1044" s="49"/>
      <c r="C1044" s="89"/>
      <c r="D1044" s="89"/>
      <c r="E1044" s="47">
        <v>1866.2121979425699</v>
      </c>
      <c r="F1044" s="47">
        <v>2423.3410726316602</v>
      </c>
      <c r="G1044" s="47">
        <v>9222.8808075885299</v>
      </c>
    </row>
    <row r="1045" spans="2:7" x14ac:dyDescent="0.25">
      <c r="B1045" s="49"/>
      <c r="C1045" s="89"/>
      <c r="D1045" s="89"/>
      <c r="E1045" s="47">
        <v>1881.3134370773701</v>
      </c>
      <c r="F1045" s="47">
        <v>2425.4776765113402</v>
      </c>
      <c r="G1045" s="47">
        <v>9292.3313018230801</v>
      </c>
    </row>
    <row r="1046" spans="2:7" x14ac:dyDescent="0.25">
      <c r="B1046" s="49"/>
      <c r="C1046" s="89"/>
      <c r="D1046" s="89"/>
      <c r="E1046" s="47">
        <v>1900.41393239325</v>
      </c>
      <c r="F1046" s="47">
        <v>2427.0500726155801</v>
      </c>
      <c r="G1046" s="47">
        <v>9350.2287970175603</v>
      </c>
    </row>
    <row r="1047" spans="2:7" x14ac:dyDescent="0.25">
      <c r="B1047" s="49"/>
      <c r="C1047" s="89"/>
      <c r="D1047" s="89"/>
      <c r="E1047" s="47">
        <v>1923.9647146772099</v>
      </c>
      <c r="F1047" s="47">
        <v>2428.1875717566099</v>
      </c>
      <c r="G1047" s="47">
        <v>9400.3835356407599</v>
      </c>
    </row>
    <row r="1048" spans="2:7" x14ac:dyDescent="0.25">
      <c r="B1048" s="49"/>
      <c r="C1048" s="89"/>
      <c r="D1048" s="89"/>
      <c r="E1048" s="47">
        <v>1952.4212827429401</v>
      </c>
      <c r="F1048" s="47">
        <v>2428.9716603062798</v>
      </c>
      <c r="G1048" s="47">
        <v>9445.3422907785698</v>
      </c>
    </row>
    <row r="1049" spans="2:7" x14ac:dyDescent="0.25">
      <c r="B1049" s="49"/>
      <c r="C1049" s="89"/>
      <c r="D1049" s="89"/>
      <c r="E1049" s="47">
        <v>1986.2350127186401</v>
      </c>
      <c r="F1049" s="47">
        <v>2429.4580840158001</v>
      </c>
      <c r="G1049" s="47">
        <v>9486.96592267495</v>
      </c>
    </row>
    <row r="1050" spans="2:7" x14ac:dyDescent="0.25">
      <c r="B1050" s="49"/>
      <c r="C1050" s="89"/>
      <c r="D1050" s="89">
        <v>900</v>
      </c>
      <c r="E1050" s="47">
        <v>1836.0248550225001</v>
      </c>
      <c r="F1050" s="47">
        <v>2676.1577703972698</v>
      </c>
      <c r="G1050" s="47">
        <v>9049.7236232830801</v>
      </c>
    </row>
    <row r="1051" spans="2:7" x14ac:dyDescent="0.25">
      <c r="B1051" s="49"/>
      <c r="C1051" s="89"/>
      <c r="D1051" s="89"/>
      <c r="E1051" s="47">
        <v>1839.2014607988799</v>
      </c>
      <c r="F1051" s="47">
        <v>2687.2063575605398</v>
      </c>
      <c r="G1051" s="47">
        <v>9312.6691380131706</v>
      </c>
    </row>
    <row r="1052" spans="2:7" x14ac:dyDescent="0.25">
      <c r="B1052" s="49"/>
      <c r="C1052" s="89"/>
      <c r="D1052" s="89"/>
      <c r="E1052" s="47">
        <v>1844.5863075182399</v>
      </c>
      <c r="F1052" s="47">
        <v>2694.3325818205899</v>
      </c>
      <c r="G1052" s="47">
        <v>9485.0902516822807</v>
      </c>
    </row>
    <row r="1053" spans="2:7" x14ac:dyDescent="0.25">
      <c r="B1053" s="49"/>
      <c r="C1053" s="89"/>
      <c r="D1053" s="89"/>
      <c r="E1053" s="47">
        <v>1852.7014251258399</v>
      </c>
      <c r="F1053" s="47">
        <v>2699.26159661252</v>
      </c>
      <c r="G1053" s="47">
        <v>9608.0755642968106</v>
      </c>
    </row>
    <row r="1054" spans="2:7" x14ac:dyDescent="0.25">
      <c r="B1054" s="49"/>
      <c r="C1054" s="89"/>
      <c r="D1054" s="89"/>
      <c r="E1054" s="47">
        <v>1863.98148484987</v>
      </c>
      <c r="F1054" s="47">
        <v>2702.80875757481</v>
      </c>
      <c r="G1054" s="47">
        <v>9701.2018177309892</v>
      </c>
    </row>
    <row r="1055" spans="2:7" x14ac:dyDescent="0.25">
      <c r="B1055" s="49"/>
      <c r="C1055" s="89"/>
      <c r="D1055" s="89"/>
      <c r="E1055" s="47">
        <v>1878.8648988017901</v>
      </c>
      <c r="F1055" s="47">
        <v>2705.4299373796198</v>
      </c>
      <c r="G1055" s="47">
        <v>9775.5803335997698</v>
      </c>
    </row>
    <row r="1056" spans="2:7" x14ac:dyDescent="0.25">
      <c r="B1056" s="49"/>
      <c r="C1056" s="89"/>
      <c r="D1056" s="89"/>
      <c r="E1056" s="47">
        <v>1897.7855529870701</v>
      </c>
      <c r="F1056" s="47">
        <v>2707.3775721831998</v>
      </c>
      <c r="G1056" s="47">
        <v>9837.5257516960701</v>
      </c>
    </row>
    <row r="1057" spans="2:7" x14ac:dyDescent="0.25">
      <c r="B1057" s="49"/>
      <c r="C1057" s="89"/>
      <c r="D1057" s="89"/>
      <c r="E1057" s="47">
        <v>1921.17757184775</v>
      </c>
      <c r="F1057" s="47">
        <v>2708.8089028437798</v>
      </c>
      <c r="G1057" s="47">
        <v>9891.1102950276309</v>
      </c>
    </row>
    <row r="1058" spans="2:7" x14ac:dyDescent="0.25">
      <c r="B1058" s="49"/>
      <c r="C1058" s="89"/>
      <c r="D1058" s="89"/>
      <c r="E1058" s="47">
        <v>1949.49199649408</v>
      </c>
      <c r="F1058" s="47">
        <v>2709.8230873604298</v>
      </c>
      <c r="G1058" s="47">
        <v>9939.0530832278891</v>
      </c>
    </row>
    <row r="1059" spans="2:7" x14ac:dyDescent="0.25">
      <c r="B1059" s="49"/>
      <c r="C1059" s="89"/>
      <c r="D1059" s="89"/>
      <c r="E1059" s="47">
        <v>1983.17345181882</v>
      </c>
      <c r="F1059" s="47">
        <v>2710.4877012820398</v>
      </c>
      <c r="G1059" s="47">
        <v>9983.3234362472995</v>
      </c>
    </row>
    <row r="1060" spans="2:7" x14ac:dyDescent="0.25">
      <c r="B1060" s="49"/>
      <c r="C1060" s="89"/>
      <c r="D1060" s="89">
        <v>1000</v>
      </c>
      <c r="E1060" s="47">
        <v>1834.46109970311</v>
      </c>
      <c r="F1060" s="47">
        <v>2945.5826560154601</v>
      </c>
      <c r="G1060" s="47">
        <v>9488.9859793446194</v>
      </c>
    </row>
    <row r="1061" spans="2:7" x14ac:dyDescent="0.25">
      <c r="B1061" s="49"/>
      <c r="C1061" s="89"/>
      <c r="D1061" s="89"/>
      <c r="E1061" s="47">
        <v>1836.8682866909101</v>
      </c>
      <c r="F1061" s="47">
        <v>2958.7598432988498</v>
      </c>
      <c r="G1061" s="47">
        <v>9770.3419857646895</v>
      </c>
    </row>
    <row r="1062" spans="2:7" x14ac:dyDescent="0.25">
      <c r="B1062" s="49"/>
      <c r="C1062" s="89"/>
      <c r="D1062" s="89"/>
      <c r="E1062" s="47">
        <v>1841.74908855012</v>
      </c>
      <c r="F1062" s="47">
        <v>2967.2690609670999</v>
      </c>
      <c r="G1062" s="47">
        <v>9954.8441810063305</v>
      </c>
    </row>
    <row r="1063" spans="2:7" x14ac:dyDescent="0.25">
      <c r="B1063" s="49"/>
      <c r="C1063" s="89"/>
      <c r="D1063" s="89"/>
      <c r="E1063" s="47">
        <v>1849.50292465338</v>
      </c>
      <c r="F1063" s="47">
        <v>2973.1791256002898</v>
      </c>
      <c r="G1063" s="47">
        <v>10086.693151664</v>
      </c>
    </row>
    <row r="1064" spans="2:7" x14ac:dyDescent="0.25">
      <c r="B1064" s="49"/>
      <c r="C1064" s="89"/>
      <c r="D1064" s="89"/>
      <c r="E1064" s="47">
        <v>1860.50234855909</v>
      </c>
      <c r="F1064" s="47">
        <v>2977.4667047565999</v>
      </c>
      <c r="G1064" s="47">
        <v>10186.9091052451</v>
      </c>
    </row>
    <row r="1065" spans="2:7" x14ac:dyDescent="0.25">
      <c r="B1065" s="49"/>
      <c r="C1065" s="89"/>
      <c r="D1065" s="89"/>
      <c r="E1065" s="47">
        <v>1875.1628352263799</v>
      </c>
      <c r="F1065" s="47">
        <v>2980.6506887095902</v>
      </c>
      <c r="G1065" s="47">
        <v>10266.8448934848</v>
      </c>
    </row>
    <row r="1066" spans="2:7" x14ac:dyDescent="0.25">
      <c r="B1066" s="49"/>
      <c r="C1066" s="89"/>
      <c r="D1066" s="89"/>
      <c r="E1066" s="47">
        <v>1893.8977619925899</v>
      </c>
      <c r="F1066" s="47">
        <v>2983.0349938726099</v>
      </c>
      <c r="G1066" s="47">
        <v>10333.2935153816</v>
      </c>
    </row>
    <row r="1067" spans="2:7" x14ac:dyDescent="0.25">
      <c r="B1067" s="49"/>
      <c r="C1067" s="89"/>
      <c r="D1067" s="89"/>
      <c r="E1067" s="47">
        <v>1917.12869022105</v>
      </c>
      <c r="F1067" s="47">
        <v>2984.8085910579898</v>
      </c>
      <c r="G1067" s="47">
        <v>10390.618212025</v>
      </c>
    </row>
    <row r="1068" spans="2:7" x14ac:dyDescent="0.25">
      <c r="B1068" s="49"/>
      <c r="C1068" s="89"/>
      <c r="D1068" s="89"/>
      <c r="E1068" s="47">
        <v>1945.29851483074</v>
      </c>
      <c r="F1068" s="47">
        <v>2986.0922667568402</v>
      </c>
      <c r="G1068" s="47">
        <v>10441.7557538289</v>
      </c>
    </row>
    <row r="1069" spans="2:7" x14ac:dyDescent="0.25">
      <c r="B1069" s="49"/>
      <c r="C1069" s="89"/>
      <c r="D1069" s="89"/>
      <c r="E1069" s="47">
        <v>1978.8469629649801</v>
      </c>
      <c r="F1069" s="47">
        <v>2986.9675482205398</v>
      </c>
      <c r="G1069" s="47">
        <v>10488.8076713111</v>
      </c>
    </row>
    <row r="1070" spans="2:7" x14ac:dyDescent="0.25">
      <c r="B1070" s="49"/>
      <c r="C1070" s="89"/>
      <c r="D1070" s="89">
        <v>1100</v>
      </c>
      <c r="E1070" s="47">
        <v>1831.77885271839</v>
      </c>
      <c r="F1070" s="47">
        <v>3209.8781011482101</v>
      </c>
      <c r="G1070" s="47">
        <v>9936.0263382615303</v>
      </c>
    </row>
    <row r="1071" spans="2:7" x14ac:dyDescent="0.25">
      <c r="B1071" s="49"/>
      <c r="C1071" s="89"/>
      <c r="D1071" s="89"/>
      <c r="E1071" s="47">
        <v>1833.39408348912</v>
      </c>
      <c r="F1071" s="47">
        <v>3225.4386943150598</v>
      </c>
      <c r="G1071" s="47">
        <v>10237.2106545797</v>
      </c>
    </row>
    <row r="1072" spans="2:7" x14ac:dyDescent="0.25">
      <c r="B1072" s="49"/>
      <c r="C1072" s="89"/>
      <c r="D1072" s="89"/>
      <c r="E1072" s="47">
        <v>1837.76062004247</v>
      </c>
      <c r="F1072" s="47">
        <v>3235.4647289306299</v>
      </c>
      <c r="G1072" s="47">
        <v>10434.085138902399</v>
      </c>
    </row>
    <row r="1073" spans="2:7" x14ac:dyDescent="0.25">
      <c r="B1073" s="49"/>
      <c r="C1073" s="89"/>
      <c r="D1073" s="89"/>
      <c r="E1073" s="47">
        <v>1845.1450451972501</v>
      </c>
      <c r="F1073" s="47">
        <v>3242.4393335415498</v>
      </c>
      <c r="G1073" s="47">
        <v>10574.729034596599</v>
      </c>
    </row>
    <row r="1074" spans="2:7" x14ac:dyDescent="0.25">
      <c r="B1074" s="49"/>
      <c r="C1074" s="89"/>
      <c r="D1074" s="89"/>
      <c r="E1074" s="47">
        <v>1855.86047197229</v>
      </c>
      <c r="F1074" s="47">
        <v>3247.5127922993402</v>
      </c>
      <c r="G1074" s="47">
        <v>10681.572985098501</v>
      </c>
    </row>
    <row r="1075" spans="2:7" x14ac:dyDescent="0.25">
      <c r="B1075" s="49"/>
      <c r="C1075" s="89"/>
      <c r="D1075" s="89"/>
      <c r="E1075" s="47">
        <v>1870.29704918825</v>
      </c>
      <c r="F1075" s="47">
        <v>3251.2981445227001</v>
      </c>
      <c r="G1075" s="47">
        <v>10766.761612181101</v>
      </c>
    </row>
    <row r="1076" spans="2:7" x14ac:dyDescent="0.25">
      <c r="B1076" s="49"/>
      <c r="C1076" s="89"/>
      <c r="D1076" s="89"/>
      <c r="E1076" s="47">
        <v>1888.84315574435</v>
      </c>
      <c r="F1076" s="47">
        <v>3254.1533472522401</v>
      </c>
      <c r="G1076" s="47">
        <v>10837.521253512499</v>
      </c>
    </row>
    <row r="1077" spans="2:7" x14ac:dyDescent="0.25">
      <c r="B1077" s="49"/>
      <c r="C1077" s="89"/>
      <c r="D1077" s="89"/>
      <c r="E1077" s="47">
        <v>1911.9111179875599</v>
      </c>
      <c r="F1077" s="47">
        <v>3256.3008270627502</v>
      </c>
      <c r="G1077" s="47">
        <v>10898.487460940099</v>
      </c>
    </row>
    <row r="1078" spans="2:7" x14ac:dyDescent="0.25">
      <c r="B1078" s="49"/>
      <c r="C1078" s="89"/>
      <c r="D1078" s="89"/>
      <c r="E1078" s="47">
        <v>1939.9370825001899</v>
      </c>
      <c r="F1078" s="47">
        <v>3257.8825473772499</v>
      </c>
      <c r="G1078" s="47">
        <v>10952.766304851501</v>
      </c>
    </row>
    <row r="1079" spans="2:7" x14ac:dyDescent="0.25">
      <c r="B1079" s="49"/>
      <c r="C1079" s="89"/>
      <c r="D1079" s="89"/>
      <c r="E1079" s="47">
        <v>1973.35450342274</v>
      </c>
      <c r="F1079" s="47">
        <v>3258.9949694648699</v>
      </c>
      <c r="G1079" s="47">
        <v>11002.5843836609</v>
      </c>
    </row>
    <row r="1080" spans="2:7" x14ac:dyDescent="0.25">
      <c r="B1080" s="49"/>
      <c r="C1080" s="89"/>
      <c r="D1080" s="89">
        <v>1200</v>
      </c>
      <c r="E1080" s="47">
        <v>1828.06264750369</v>
      </c>
      <c r="F1080" s="47">
        <v>3469.14557407865</v>
      </c>
      <c r="G1080" s="47">
        <v>10390.517430043299</v>
      </c>
    </row>
    <row r="1081" spans="2:7" x14ac:dyDescent="0.25">
      <c r="B1081" s="49"/>
      <c r="C1081" s="89"/>
      <c r="D1081" s="89"/>
      <c r="E1081" s="47">
        <v>1828.87038782883</v>
      </c>
      <c r="F1081" s="47">
        <v>3487.2601008536499</v>
      </c>
      <c r="G1081" s="47">
        <v>10711.1055673065</v>
      </c>
    </row>
    <row r="1082" spans="2:7" x14ac:dyDescent="0.25">
      <c r="B1082" s="49"/>
      <c r="C1082" s="89"/>
      <c r="D1082" s="89"/>
      <c r="E1082" s="47">
        <v>1832.70511542381</v>
      </c>
      <c r="F1082" s="47">
        <v>3498.97401885709</v>
      </c>
      <c r="G1082" s="47">
        <v>10921.219888764699</v>
      </c>
    </row>
    <row r="1083" spans="2:7" x14ac:dyDescent="0.25">
      <c r="B1083" s="49"/>
      <c r="C1083" s="89"/>
      <c r="D1083" s="89"/>
      <c r="E1083" s="47">
        <v>1839.7137323908701</v>
      </c>
      <c r="F1083" s="47">
        <v>3507.1347275414701</v>
      </c>
      <c r="G1083" s="47">
        <v>11071.279606959801</v>
      </c>
    </row>
    <row r="1084" spans="2:7" x14ac:dyDescent="0.25">
      <c r="B1084" s="49"/>
      <c r="C1084" s="89"/>
      <c r="D1084" s="89"/>
      <c r="E1084" s="47">
        <v>1850.1427757358399</v>
      </c>
      <c r="F1084" s="47">
        <v>3513.0857105432601</v>
      </c>
      <c r="G1084" s="47">
        <v>11185.2213993155</v>
      </c>
    </row>
    <row r="1085" spans="2:7" x14ac:dyDescent="0.25">
      <c r="B1085" s="49"/>
      <c r="C1085" s="89"/>
      <c r="D1085" s="89"/>
      <c r="E1085" s="47">
        <v>1864.3517815707901</v>
      </c>
      <c r="F1085" s="47">
        <v>3517.5418875517498</v>
      </c>
      <c r="G1085" s="47">
        <v>11275.9777417653</v>
      </c>
    </row>
    <row r="1086" spans="2:7" x14ac:dyDescent="0.25">
      <c r="B1086" s="49"/>
      <c r="C1086" s="89"/>
      <c r="D1086" s="89"/>
      <c r="E1086" s="47">
        <v>1882.7079607703899</v>
      </c>
      <c r="F1086" s="47">
        <v>3520.9209880211602</v>
      </c>
      <c r="G1086" s="47">
        <v>11351.2370592157</v>
      </c>
    </row>
    <row r="1087" spans="2:7" x14ac:dyDescent="0.25">
      <c r="B1087" s="49"/>
      <c r="C1087" s="89"/>
      <c r="D1087" s="89"/>
      <c r="E1087" s="47">
        <v>1905.61558230999</v>
      </c>
      <c r="F1087" s="47">
        <v>3523.4794188883998</v>
      </c>
      <c r="G1087" s="47">
        <v>11415.8707745145</v>
      </c>
    </row>
    <row r="1088" spans="2:7" x14ac:dyDescent="0.25">
      <c r="B1088" s="49"/>
      <c r="C1088" s="89"/>
      <c r="D1088" s="89"/>
      <c r="E1088" s="47">
        <v>1933.50006185286</v>
      </c>
      <c r="F1088" s="47">
        <v>3525.3887747887302</v>
      </c>
      <c r="G1088" s="47">
        <v>11473.270822411499</v>
      </c>
    </row>
    <row r="1089" spans="2:7" x14ac:dyDescent="0.25">
      <c r="B1089" s="49"/>
      <c r="C1089" s="89"/>
      <c r="D1089" s="89"/>
      <c r="E1089" s="47">
        <v>1966.78734778734</v>
      </c>
      <c r="F1089" s="47">
        <v>3526.7645079418098</v>
      </c>
      <c r="G1089" s="47">
        <v>11525.837656548299</v>
      </c>
    </row>
    <row r="1090" spans="2:7" x14ac:dyDescent="0.25">
      <c r="B1090" s="49"/>
      <c r="C1090" s="89">
        <v>15</v>
      </c>
      <c r="D1090" s="89">
        <v>0</v>
      </c>
      <c r="E1090" s="47">
        <v>1855.2399285742499</v>
      </c>
      <c r="F1090" s="47">
        <v>0</v>
      </c>
      <c r="G1090" s="47">
        <v>6315.4953977281102</v>
      </c>
    </row>
    <row r="1091" spans="2:7" x14ac:dyDescent="0.25">
      <c r="B1091" s="49"/>
      <c r="C1091" s="89"/>
      <c r="D1091" s="89"/>
      <c r="E1091" s="47">
        <v>1864.2178416561201</v>
      </c>
      <c r="F1091" s="47">
        <v>0</v>
      </c>
      <c r="G1091" s="47">
        <v>6329.9670569547197</v>
      </c>
    </row>
    <row r="1092" spans="2:7" x14ac:dyDescent="0.25">
      <c r="B1092" s="49"/>
      <c r="C1092" s="89"/>
      <c r="D1092" s="89"/>
      <c r="E1092" s="47">
        <v>1873.19575473798</v>
      </c>
      <c r="F1092" s="47">
        <v>0</v>
      </c>
      <c r="G1092" s="47">
        <v>6344.4387161813402</v>
      </c>
    </row>
    <row r="1093" spans="2:7" x14ac:dyDescent="0.25">
      <c r="B1093" s="49"/>
      <c r="C1093" s="89"/>
      <c r="D1093" s="89"/>
      <c r="E1093" s="47">
        <v>1883.61539926302</v>
      </c>
      <c r="F1093" s="47">
        <v>0</v>
      </c>
      <c r="G1093" s="47">
        <v>6357.5842994117202</v>
      </c>
    </row>
    <row r="1094" spans="2:7" x14ac:dyDescent="0.25">
      <c r="B1094" s="49"/>
      <c r="C1094" s="89"/>
      <c r="D1094" s="89"/>
      <c r="E1094" s="47">
        <v>1894.5156209357699</v>
      </c>
      <c r="F1094" s="47">
        <v>0</v>
      </c>
      <c r="G1094" s="47">
        <v>6370.2878573100197</v>
      </c>
    </row>
    <row r="1095" spans="2:7" x14ac:dyDescent="0.25">
      <c r="B1095" s="49"/>
      <c r="C1095" s="89"/>
      <c r="D1095" s="89"/>
      <c r="E1095" s="47">
        <v>1906.48870467297</v>
      </c>
      <c r="F1095" s="47">
        <v>0</v>
      </c>
      <c r="G1095" s="47">
        <v>6382.4556086475905</v>
      </c>
    </row>
    <row r="1096" spans="2:7" x14ac:dyDescent="0.25">
      <c r="B1096" s="49"/>
      <c r="C1096" s="89"/>
      <c r="D1096" s="89"/>
      <c r="E1096" s="47">
        <v>1919.5346504746201</v>
      </c>
      <c r="F1096" s="47">
        <v>0</v>
      </c>
      <c r="G1096" s="47">
        <v>6394.0875534244296</v>
      </c>
    </row>
    <row r="1097" spans="2:7" x14ac:dyDescent="0.25">
      <c r="B1097" s="49"/>
      <c r="C1097" s="89"/>
      <c r="D1097" s="89"/>
      <c r="E1097" s="47">
        <v>1933.17131339767</v>
      </c>
      <c r="F1097" s="47">
        <v>0</v>
      </c>
      <c r="G1097" s="47">
        <v>6405.5812889492699</v>
      </c>
    </row>
    <row r="1098" spans="2:7" x14ac:dyDescent="0.25">
      <c r="B1098" s="49"/>
      <c r="C1098" s="89"/>
      <c r="D1098" s="89"/>
      <c r="E1098" s="47">
        <v>1948.58012768495</v>
      </c>
      <c r="F1098" s="47">
        <v>0</v>
      </c>
      <c r="G1098" s="47">
        <v>6416.66039671815</v>
      </c>
    </row>
    <row r="1099" spans="2:7" x14ac:dyDescent="0.25">
      <c r="B1099" s="49"/>
      <c r="C1099" s="89"/>
      <c r="D1099" s="89"/>
      <c r="E1099" s="47">
        <v>1963.9889419722199</v>
      </c>
      <c r="F1099" s="47">
        <v>0</v>
      </c>
      <c r="G1099" s="47">
        <v>6427.73950448703</v>
      </c>
    </row>
    <row r="1100" spans="2:7" x14ac:dyDescent="0.25">
      <c r="B1100" s="49"/>
      <c r="C1100" s="89"/>
      <c r="D1100" s="89">
        <v>100</v>
      </c>
      <c r="E1100" s="47">
        <v>1835.6376311634899</v>
      </c>
      <c r="F1100" s="47">
        <v>318.62564229756202</v>
      </c>
      <c r="G1100" s="47">
        <v>6632.8076721321804</v>
      </c>
    </row>
    <row r="1101" spans="2:7" x14ac:dyDescent="0.25">
      <c r="B1101" s="49"/>
      <c r="C1101" s="89"/>
      <c r="D1101" s="89"/>
      <c r="E1101" s="47">
        <v>1844.27606232076</v>
      </c>
      <c r="F1101" s="47">
        <v>318.75948890707502</v>
      </c>
      <c r="G1101" s="47">
        <v>6668.5667475075197</v>
      </c>
    </row>
    <row r="1102" spans="2:7" x14ac:dyDescent="0.25">
      <c r="B1102" s="49"/>
      <c r="C1102" s="89"/>
      <c r="D1102" s="89"/>
      <c r="E1102" s="47">
        <v>1854.0055129239799</v>
      </c>
      <c r="F1102" s="47">
        <v>318.872013348481</v>
      </c>
      <c r="G1102" s="47">
        <v>6700.7280930461902</v>
      </c>
    </row>
    <row r="1103" spans="2:7" x14ac:dyDescent="0.25">
      <c r="B1103" s="49"/>
      <c r="C1103" s="89"/>
      <c r="D1103" s="89"/>
      <c r="E1103" s="47">
        <v>1864.8259829731401</v>
      </c>
      <c r="F1103" s="47">
        <v>318.96321562178002</v>
      </c>
      <c r="G1103" s="47">
        <v>6729.2917087481701</v>
      </c>
    </row>
    <row r="1104" spans="2:7" x14ac:dyDescent="0.25">
      <c r="B1104" s="49"/>
      <c r="C1104" s="89"/>
      <c r="D1104" s="89"/>
      <c r="E1104" s="47">
        <v>1878.1970163830699</v>
      </c>
      <c r="F1104" s="47">
        <v>319.02252639931999</v>
      </c>
      <c r="G1104" s="47">
        <v>6753.2561710604496</v>
      </c>
    </row>
    <row r="1105" spans="2:7" x14ac:dyDescent="0.25">
      <c r="B1105" s="49"/>
      <c r="C1105" s="89"/>
      <c r="D1105" s="89"/>
      <c r="E1105" s="47">
        <v>1893.0147362467701</v>
      </c>
      <c r="F1105" s="47">
        <v>319.06905367803603</v>
      </c>
      <c r="G1105" s="47">
        <v>6775.7381806908998</v>
      </c>
    </row>
    <row r="1106" spans="2:7" x14ac:dyDescent="0.25">
      <c r="B1106" s="49"/>
      <c r="C1106" s="89"/>
      <c r="D1106" s="89"/>
      <c r="E1106" s="47">
        <v>1909.2791425642499</v>
      </c>
      <c r="F1106" s="47">
        <v>319.10279745792798</v>
      </c>
      <c r="G1106" s="47">
        <v>6796.7377376395198</v>
      </c>
    </row>
    <row r="1107" spans="2:7" x14ac:dyDescent="0.25">
      <c r="B1107" s="49"/>
      <c r="C1107" s="89"/>
      <c r="D1107" s="89"/>
      <c r="E1107" s="47">
        <v>1928.7673259995499</v>
      </c>
      <c r="F1107" s="47">
        <v>319.11498037917301</v>
      </c>
      <c r="G1107" s="47">
        <v>6815.9039252687598</v>
      </c>
    </row>
    <row r="1108" spans="2:7" x14ac:dyDescent="0.25">
      <c r="B1108" s="49"/>
      <c r="C1108" s="89"/>
      <c r="D1108" s="89"/>
      <c r="E1108" s="47">
        <v>1950.02795799923</v>
      </c>
      <c r="F1108" s="47">
        <v>319.11766716265299</v>
      </c>
      <c r="G1108" s="47">
        <v>6834.56262068668</v>
      </c>
    </row>
    <row r="1109" spans="2:7" x14ac:dyDescent="0.25">
      <c r="B1109" s="49"/>
      <c r="C1109" s="89"/>
      <c r="D1109" s="89"/>
      <c r="E1109" s="47">
        <v>1973.0610385632899</v>
      </c>
      <c r="F1109" s="47">
        <v>319.11085780836697</v>
      </c>
      <c r="G1109" s="47">
        <v>6852.7138238932503</v>
      </c>
    </row>
    <row r="1110" spans="2:7" x14ac:dyDescent="0.25">
      <c r="B1110" s="49"/>
      <c r="C1110" s="89"/>
      <c r="D1110" s="89">
        <v>200</v>
      </c>
      <c r="E1110" s="47">
        <v>1833.30404213716</v>
      </c>
      <c r="F1110" s="47">
        <v>630.69594406176702</v>
      </c>
      <c r="G1110" s="47">
        <v>6968.9678435171199</v>
      </c>
    </row>
    <row r="1111" spans="2:7" x14ac:dyDescent="0.25">
      <c r="B1111" s="49"/>
      <c r="C1111" s="89"/>
      <c r="D1111" s="89"/>
      <c r="E1111" s="47">
        <v>1841.0980706513999</v>
      </c>
      <c r="F1111" s="47">
        <v>631.20268009634196</v>
      </c>
      <c r="G1111" s="47">
        <v>7029.36224176839</v>
      </c>
    </row>
    <row r="1112" spans="2:7" x14ac:dyDescent="0.25">
      <c r="B1112" s="49"/>
      <c r="C1112" s="89"/>
      <c r="D1112" s="89"/>
      <c r="E1112" s="47">
        <v>1850.40187821677</v>
      </c>
      <c r="F1112" s="47">
        <v>631.59983804775095</v>
      </c>
      <c r="G1112" s="47">
        <v>7079.4134915783798</v>
      </c>
    </row>
    <row r="1113" spans="2:7" x14ac:dyDescent="0.25">
      <c r="B1113" s="49"/>
      <c r="C1113" s="89"/>
      <c r="D1113" s="89"/>
      <c r="E1113" s="47">
        <v>1861.41492171503</v>
      </c>
      <c r="F1113" s="47">
        <v>631.90730400088603</v>
      </c>
      <c r="G1113" s="47">
        <v>7121.4016568534598</v>
      </c>
    </row>
    <row r="1114" spans="2:7" x14ac:dyDescent="0.25">
      <c r="B1114" s="49"/>
      <c r="C1114" s="89"/>
      <c r="D1114" s="89"/>
      <c r="E1114" s="47">
        <v>1874.32972656939</v>
      </c>
      <c r="F1114" s="47">
        <v>632.14219313770298</v>
      </c>
      <c r="G1114" s="47">
        <v>7157.3068140674504</v>
      </c>
    </row>
    <row r="1115" spans="2:7" x14ac:dyDescent="0.25">
      <c r="B1115" s="49"/>
      <c r="C1115" s="89"/>
      <c r="D1115" s="89"/>
      <c r="E1115" s="47">
        <v>1889.81250506079</v>
      </c>
      <c r="F1115" s="47">
        <v>632.30850749667002</v>
      </c>
      <c r="G1115" s="47">
        <v>7188.1205241821999</v>
      </c>
    </row>
    <row r="1116" spans="2:7" x14ac:dyDescent="0.25">
      <c r="B1116" s="49"/>
      <c r="C1116" s="89"/>
      <c r="D1116" s="89"/>
      <c r="E1116" s="47">
        <v>1908.1993446307399</v>
      </c>
      <c r="F1116" s="47">
        <v>632.420157136336</v>
      </c>
      <c r="G1116" s="47">
        <v>7215.6046762074202</v>
      </c>
    </row>
    <row r="1117" spans="2:7" x14ac:dyDescent="0.25">
      <c r="B1117" s="49"/>
      <c r="C1117" s="89"/>
      <c r="D1117" s="89"/>
      <c r="E1117" s="47">
        <v>1929.2227766405799</v>
      </c>
      <c r="F1117" s="47">
        <v>632.49224363433996</v>
      </c>
      <c r="G1117" s="47">
        <v>7241.1340319237297</v>
      </c>
    </row>
    <row r="1118" spans="2:7" x14ac:dyDescent="0.25">
      <c r="B1118" s="49"/>
      <c r="C1118" s="89"/>
      <c r="D1118" s="89"/>
      <c r="E1118" s="47">
        <v>1953.0431466136399</v>
      </c>
      <c r="F1118" s="47">
        <v>632.52819506399396</v>
      </c>
      <c r="G1118" s="47">
        <v>7265.2087099485398</v>
      </c>
    </row>
    <row r="1119" spans="2:7" x14ac:dyDescent="0.25">
      <c r="B1119" s="49"/>
      <c r="C1119" s="89"/>
      <c r="D1119" s="89"/>
      <c r="E1119" s="47">
        <v>1979.8197697570299</v>
      </c>
      <c r="F1119" s="47">
        <v>632.53090698861001</v>
      </c>
      <c r="G1119" s="47">
        <v>7288.2714499208296</v>
      </c>
    </row>
    <row r="1120" spans="2:7" x14ac:dyDescent="0.25">
      <c r="B1120" s="49"/>
      <c r="C1120" s="89"/>
      <c r="D1120" s="89">
        <v>300</v>
      </c>
      <c r="E1120" s="47">
        <v>1825.0905657416599</v>
      </c>
      <c r="F1120" s="47">
        <v>933.20206548028898</v>
      </c>
      <c r="G1120" s="47">
        <v>7087.2551407678302</v>
      </c>
    </row>
    <row r="1121" spans="2:7" x14ac:dyDescent="0.25">
      <c r="B1121" s="49"/>
      <c r="C1121" s="89"/>
      <c r="D1121" s="89"/>
      <c r="E1121" s="47">
        <v>1831.6539791519699</v>
      </c>
      <c r="F1121" s="47">
        <v>935.69240017114998</v>
      </c>
      <c r="G1121" s="47">
        <v>7268.9670774945898</v>
      </c>
    </row>
    <row r="1122" spans="2:7" x14ac:dyDescent="0.25">
      <c r="B1122" s="49"/>
      <c r="C1122" s="89"/>
      <c r="D1122" s="89"/>
      <c r="E1122" s="47">
        <v>1839.2758776166399</v>
      </c>
      <c r="F1122" s="47">
        <v>937.28408222523797</v>
      </c>
      <c r="G1122" s="47">
        <v>7388.0116916929901</v>
      </c>
    </row>
    <row r="1123" spans="2:7" x14ac:dyDescent="0.25">
      <c r="B1123" s="49"/>
      <c r="C1123" s="89"/>
      <c r="D1123" s="89"/>
      <c r="E1123" s="47">
        <v>1848.9860377326399</v>
      </c>
      <c r="F1123" s="47">
        <v>938.364170105124</v>
      </c>
      <c r="G1123" s="47">
        <v>7472.6481996120601</v>
      </c>
    </row>
    <row r="1124" spans="2:7" x14ac:dyDescent="0.25">
      <c r="B1124" s="49"/>
      <c r="C1124" s="89"/>
      <c r="D1124" s="89"/>
      <c r="E1124" s="47">
        <v>1861.48667623647</v>
      </c>
      <c r="F1124" s="47">
        <v>939.12473670413704</v>
      </c>
      <c r="G1124" s="47">
        <v>7537.0604620480999</v>
      </c>
    </row>
    <row r="1125" spans="2:7" x14ac:dyDescent="0.25">
      <c r="B1125" s="49"/>
      <c r="C1125" s="89"/>
      <c r="D1125" s="89"/>
      <c r="E1125" s="47">
        <v>1877.34934266298</v>
      </c>
      <c r="F1125" s="47">
        <v>939.663317608586</v>
      </c>
      <c r="G1125" s="47">
        <v>7588.6333416056696</v>
      </c>
    </row>
    <row r="1126" spans="2:7" x14ac:dyDescent="0.25">
      <c r="B1126" s="49"/>
      <c r="C1126" s="89"/>
      <c r="D1126" s="89"/>
      <c r="E1126" s="47">
        <v>1897.09315587375</v>
      </c>
      <c r="F1126" s="47">
        <v>940.03668818801304</v>
      </c>
      <c r="G1126" s="47">
        <v>7631.8237969845204</v>
      </c>
    </row>
    <row r="1127" spans="2:7" x14ac:dyDescent="0.25">
      <c r="B1127" s="49"/>
      <c r="C1127" s="89"/>
      <c r="D1127" s="89"/>
      <c r="E1127" s="47">
        <v>1921.2107656148301</v>
      </c>
      <c r="F1127" s="47">
        <v>940.28014827502795</v>
      </c>
      <c r="G1127" s="47">
        <v>7669.5471881519397</v>
      </c>
    </row>
    <row r="1128" spans="2:7" x14ac:dyDescent="0.25">
      <c r="B1128" s="49"/>
      <c r="C1128" s="89"/>
      <c r="D1128" s="89"/>
      <c r="E1128" s="47">
        <v>1950.18277830897</v>
      </c>
      <c r="F1128" s="47">
        <v>940.41532605657198</v>
      </c>
      <c r="G1128" s="47">
        <v>7703.7417979133597</v>
      </c>
    </row>
    <row r="1129" spans="2:7" x14ac:dyDescent="0.25">
      <c r="B1129" s="49"/>
      <c r="C1129" s="89"/>
      <c r="D1129" s="89"/>
      <c r="E1129" s="47">
        <v>1984.48103339363</v>
      </c>
      <c r="F1129" s="47">
        <v>940.45671444742504</v>
      </c>
      <c r="G1129" s="47">
        <v>7735.83373727041</v>
      </c>
    </row>
    <row r="1130" spans="2:7" x14ac:dyDescent="0.25">
      <c r="B1130" s="49"/>
      <c r="C1130" s="89"/>
      <c r="D1130" s="89">
        <v>400</v>
      </c>
      <c r="E1130" s="47">
        <v>1830.2909616960301</v>
      </c>
      <c r="F1130" s="47">
        <v>1232.2645216891499</v>
      </c>
      <c r="G1130" s="47">
        <v>7488.3712703380897</v>
      </c>
    </row>
    <row r="1131" spans="2:7" x14ac:dyDescent="0.25">
      <c r="B1131" s="49"/>
      <c r="C1131" s="89"/>
      <c r="D1131" s="89"/>
      <c r="E1131" s="47">
        <v>1836.1727377009299</v>
      </c>
      <c r="F1131" s="47">
        <v>1235.8894247364301</v>
      </c>
      <c r="G1131" s="47">
        <v>7685.6078135549797</v>
      </c>
    </row>
    <row r="1132" spans="2:7" x14ac:dyDescent="0.25">
      <c r="B1132" s="49"/>
      <c r="C1132" s="89"/>
      <c r="D1132" s="89"/>
      <c r="E1132" s="47">
        <v>1843.3448243297</v>
      </c>
      <c r="F1132" s="47">
        <v>1238.2146703113201</v>
      </c>
      <c r="G1132" s="47">
        <v>7815.0080221506096</v>
      </c>
    </row>
    <row r="1133" spans="2:7" x14ac:dyDescent="0.25">
      <c r="B1133" s="49"/>
      <c r="C1133" s="89"/>
      <c r="D1133" s="89"/>
      <c r="E1133" s="47">
        <v>1852.7384927826599</v>
      </c>
      <c r="F1133" s="47">
        <v>1239.80902196374</v>
      </c>
      <c r="G1133" s="47">
        <v>7907.5351182191098</v>
      </c>
    </row>
    <row r="1134" spans="2:7" x14ac:dyDescent="0.25">
      <c r="B1134" s="49"/>
      <c r="C1134" s="89"/>
      <c r="D1134" s="89"/>
      <c r="E1134" s="47">
        <v>1864.9957681967901</v>
      </c>
      <c r="F1134" s="47">
        <v>1240.94062069661</v>
      </c>
      <c r="G1134" s="47">
        <v>7977.9571898963904</v>
      </c>
    </row>
    <row r="1135" spans="2:7" x14ac:dyDescent="0.25">
      <c r="B1135" s="49"/>
      <c r="C1135" s="89"/>
      <c r="D1135" s="89"/>
      <c r="E1135" s="47">
        <v>1880.6623846769101</v>
      </c>
      <c r="F1135" s="47">
        <v>1241.7518339308101</v>
      </c>
      <c r="G1135" s="47">
        <v>8034.2889037027799</v>
      </c>
    </row>
    <row r="1136" spans="2:7" x14ac:dyDescent="0.25">
      <c r="B1136" s="49"/>
      <c r="C1136" s="89"/>
      <c r="D1136" s="89"/>
      <c r="E1136" s="47">
        <v>1900.24138625763</v>
      </c>
      <c r="F1136" s="47">
        <v>1242.3257971222299</v>
      </c>
      <c r="G1136" s="47">
        <v>8081.3668537425101</v>
      </c>
    </row>
    <row r="1137" spans="2:7" x14ac:dyDescent="0.25">
      <c r="B1137" s="49"/>
      <c r="C1137" s="89"/>
      <c r="D1137" s="89"/>
      <c r="E1137" s="47">
        <v>1924.21224985974</v>
      </c>
      <c r="F1137" s="47">
        <v>1242.71437522058</v>
      </c>
      <c r="G1137" s="47">
        <v>8122.3488989980196</v>
      </c>
    </row>
    <row r="1138" spans="2:7" x14ac:dyDescent="0.25">
      <c r="B1138" s="49"/>
      <c r="C1138" s="89"/>
      <c r="D1138" s="89"/>
      <c r="E1138" s="47">
        <v>1953.04832756722</v>
      </c>
      <c r="F1138" s="47">
        <v>1242.95066506485</v>
      </c>
      <c r="G1138" s="47">
        <v>8159.3925642797103</v>
      </c>
    </row>
    <row r="1139" spans="2:7" x14ac:dyDescent="0.25">
      <c r="B1139" s="49"/>
      <c r="C1139" s="89"/>
      <c r="D1139" s="89"/>
      <c r="E1139" s="47">
        <v>1987.2177686180901</v>
      </c>
      <c r="F1139" s="47">
        <v>1243.05565402907</v>
      </c>
      <c r="G1139" s="47">
        <v>8194.0088189413691</v>
      </c>
    </row>
    <row r="1140" spans="2:7" x14ac:dyDescent="0.25">
      <c r="B1140" s="49"/>
      <c r="C1140" s="89"/>
      <c r="D1140" s="89">
        <v>500</v>
      </c>
      <c r="E1140" s="47">
        <v>1833.8212622931301</v>
      </c>
      <c r="F1140" s="47">
        <v>1525.5858464016601</v>
      </c>
      <c r="G1140" s="47">
        <v>7899.06546096702</v>
      </c>
    </row>
    <row r="1141" spans="2:7" x14ac:dyDescent="0.25">
      <c r="B1141" s="49"/>
      <c r="C1141" s="89"/>
      <c r="D1141" s="89"/>
      <c r="E1141" s="47">
        <v>1839.00772846942</v>
      </c>
      <c r="F1141" s="47">
        <v>1530.53584558237</v>
      </c>
      <c r="G1141" s="47">
        <v>8113.4383828237997</v>
      </c>
    </row>
    <row r="1142" spans="2:7" x14ac:dyDescent="0.25">
      <c r="B1142" s="49"/>
      <c r="C1142" s="89"/>
      <c r="D1142" s="89"/>
      <c r="E1142" s="47">
        <v>1845.7140568745899</v>
      </c>
      <c r="F1142" s="47">
        <v>1533.70097683166</v>
      </c>
      <c r="G1142" s="47">
        <v>8253.3842551357702</v>
      </c>
    </row>
    <row r="1143" spans="2:7" x14ac:dyDescent="0.25">
      <c r="B1143" s="49"/>
      <c r="C1143" s="89"/>
      <c r="D1143" s="89"/>
      <c r="E1143" s="47">
        <v>1854.7775252255201</v>
      </c>
      <c r="F1143" s="47">
        <v>1535.87888335966</v>
      </c>
      <c r="G1143" s="47">
        <v>8353.4577338764902</v>
      </c>
    </row>
    <row r="1144" spans="2:7" x14ac:dyDescent="0.25">
      <c r="B1144" s="49"/>
      <c r="C1144" s="89"/>
      <c r="D1144" s="89"/>
      <c r="E1144" s="47">
        <v>1866.7782936308699</v>
      </c>
      <c r="F1144" s="47">
        <v>1537.43526318826</v>
      </c>
      <c r="G1144" s="47">
        <v>8429.6655061654892</v>
      </c>
    </row>
    <row r="1145" spans="2:7" x14ac:dyDescent="0.25">
      <c r="B1145" s="49"/>
      <c r="C1145" s="89"/>
      <c r="D1145" s="89"/>
      <c r="E1145" s="47">
        <v>1882.2396596522501</v>
      </c>
      <c r="F1145" s="47">
        <v>1538.56305423145</v>
      </c>
      <c r="G1145" s="47">
        <v>8490.6372179950795</v>
      </c>
    </row>
    <row r="1146" spans="2:7" x14ac:dyDescent="0.25">
      <c r="B1146" s="49"/>
      <c r="C1146" s="89"/>
      <c r="D1146" s="89"/>
      <c r="E1146" s="47">
        <v>1901.6456424042201</v>
      </c>
      <c r="F1146" s="47">
        <v>1539.3750866351199</v>
      </c>
      <c r="G1146" s="47">
        <v>8541.5702074586297</v>
      </c>
    </row>
    <row r="1147" spans="2:7" x14ac:dyDescent="0.25">
      <c r="B1147" s="49"/>
      <c r="C1147" s="89"/>
      <c r="D1147" s="89"/>
      <c r="E1147" s="47">
        <v>1925.46652909103</v>
      </c>
      <c r="F1147" s="47">
        <v>1539.94097460188</v>
      </c>
      <c r="G1147" s="47">
        <v>8585.8168911391003</v>
      </c>
    </row>
    <row r="1148" spans="2:7" x14ac:dyDescent="0.25">
      <c r="B1148" s="49"/>
      <c r="C1148" s="89"/>
      <c r="D1148" s="89"/>
      <c r="E1148" s="47">
        <v>1954.1643441500901</v>
      </c>
      <c r="F1148" s="47">
        <v>1540.30660565074</v>
      </c>
      <c r="G1148" s="47">
        <v>8625.7161244996896</v>
      </c>
    </row>
    <row r="1149" spans="2:7" x14ac:dyDescent="0.25">
      <c r="B1149" s="49"/>
      <c r="C1149" s="89"/>
      <c r="D1149" s="89"/>
      <c r="E1149" s="47">
        <v>1988.2018568615099</v>
      </c>
      <c r="F1149" s="47">
        <v>1540.50088230444</v>
      </c>
      <c r="G1149" s="47">
        <v>8662.8871894577405</v>
      </c>
    </row>
    <row r="1150" spans="2:7" x14ac:dyDescent="0.25">
      <c r="B1150" s="49"/>
      <c r="C1150" s="89"/>
      <c r="D1150" s="89">
        <v>600</v>
      </c>
      <c r="E1150" s="47">
        <v>1835.8130132660999</v>
      </c>
      <c r="F1150" s="47">
        <v>1813.2575525811999</v>
      </c>
      <c r="G1150" s="47">
        <v>8317.1493567646394</v>
      </c>
    </row>
    <row r="1151" spans="2:7" x14ac:dyDescent="0.25">
      <c r="B1151" s="49"/>
      <c r="C1151" s="89"/>
      <c r="D1151" s="89"/>
      <c r="E1151" s="47">
        <v>1840.2757620582599</v>
      </c>
      <c r="F1151" s="47">
        <v>1819.69464318371</v>
      </c>
      <c r="G1151" s="47">
        <v>8548.4368675980004</v>
      </c>
    </row>
    <row r="1152" spans="2:7" x14ac:dyDescent="0.25">
      <c r="B1152" s="49"/>
      <c r="C1152" s="89"/>
      <c r="D1152" s="89"/>
      <c r="E1152" s="47">
        <v>1846.50985191066</v>
      </c>
      <c r="F1152" s="47">
        <v>1823.8393212702999</v>
      </c>
      <c r="G1152" s="47">
        <v>8700.2028980307095</v>
      </c>
    </row>
    <row r="1153" spans="2:7" x14ac:dyDescent="0.25">
      <c r="B1153" s="49"/>
      <c r="C1153" s="89"/>
      <c r="D1153" s="89"/>
      <c r="E1153" s="47">
        <v>1855.2312347821101</v>
      </c>
      <c r="F1153" s="47">
        <v>1826.70082849865</v>
      </c>
      <c r="G1153" s="47">
        <v>8808.7329255350705</v>
      </c>
    </row>
    <row r="1154" spans="2:7" x14ac:dyDescent="0.25">
      <c r="B1154" s="49"/>
      <c r="C1154" s="89"/>
      <c r="D1154" s="89"/>
      <c r="E1154" s="47">
        <v>1866.9710056987201</v>
      </c>
      <c r="F1154" s="47">
        <v>1828.7552391112799</v>
      </c>
      <c r="G1154" s="47">
        <v>8891.3053257710999</v>
      </c>
    </row>
    <row r="1155" spans="2:7" x14ac:dyDescent="0.25">
      <c r="B1155" s="49"/>
      <c r="C1155" s="89"/>
      <c r="D1155" s="89"/>
      <c r="E1155" s="47">
        <v>1882.21857814491</v>
      </c>
      <c r="F1155" s="47">
        <v>1830.25578147136</v>
      </c>
      <c r="G1155" s="47">
        <v>8957.2861756107504</v>
      </c>
    </row>
    <row r="1156" spans="2:7" x14ac:dyDescent="0.25">
      <c r="B1156" s="49"/>
      <c r="C1156" s="89"/>
      <c r="D1156" s="89"/>
      <c r="E1156" s="47">
        <v>1901.4457604070601</v>
      </c>
      <c r="F1156" s="47">
        <v>1831.35040563699</v>
      </c>
      <c r="G1156" s="47">
        <v>9012.3054503637195</v>
      </c>
    </row>
    <row r="1157" spans="2:7" x14ac:dyDescent="0.25">
      <c r="B1157" s="49"/>
      <c r="C1157" s="89"/>
      <c r="D1157" s="89"/>
      <c r="E1157" s="47">
        <v>1925.11116009232</v>
      </c>
      <c r="F1157" s="47">
        <v>1832.1306022593601</v>
      </c>
      <c r="G1157" s="47">
        <v>9059.9861193546803</v>
      </c>
    </row>
    <row r="1158" spans="2:7" x14ac:dyDescent="0.25">
      <c r="B1158" s="49"/>
      <c r="C1158" s="89"/>
      <c r="D1158" s="89"/>
      <c r="E1158" s="47">
        <v>1953.6685432033601</v>
      </c>
      <c r="F1158" s="47">
        <v>1832.65600695132</v>
      </c>
      <c r="G1158" s="47">
        <v>9102.8211229054796</v>
      </c>
    </row>
    <row r="1159" spans="2:7" x14ac:dyDescent="0.25">
      <c r="B1159" s="49"/>
      <c r="C1159" s="89"/>
      <c r="D1159" s="89"/>
      <c r="E1159" s="47">
        <v>1987.57230960074</v>
      </c>
      <c r="F1159" s="47">
        <v>1832.96614880836</v>
      </c>
      <c r="G1159" s="47">
        <v>9142.5934623897792</v>
      </c>
    </row>
    <row r="1160" spans="2:7" x14ac:dyDescent="0.25">
      <c r="B1160" s="49"/>
      <c r="C1160" s="89"/>
      <c r="D1160" s="89">
        <v>700</v>
      </c>
      <c r="E1160" s="47">
        <v>1836.39957734829</v>
      </c>
      <c r="F1160" s="47">
        <v>2095.47101711908</v>
      </c>
      <c r="G1160" s="47">
        <v>8744.7791750065808</v>
      </c>
    </row>
    <row r="1161" spans="2:7" x14ac:dyDescent="0.25">
      <c r="B1161" s="49"/>
      <c r="C1161" s="89"/>
      <c r="D1161" s="89"/>
      <c r="E1161" s="47">
        <v>1840.11357880233</v>
      </c>
      <c r="F1161" s="47">
        <v>2103.5844417101198</v>
      </c>
      <c r="G1161" s="47">
        <v>8993.6719183243895</v>
      </c>
    </row>
    <row r="1162" spans="2:7" x14ac:dyDescent="0.25">
      <c r="B1162" s="49"/>
      <c r="C1162" s="89"/>
      <c r="D1162" s="89"/>
      <c r="E1162" s="47">
        <v>1845.8557423515001</v>
      </c>
      <c r="F1162" s="47">
        <v>2108.8078046175201</v>
      </c>
      <c r="G1162" s="47">
        <v>9156.7445867630995</v>
      </c>
    </row>
    <row r="1163" spans="2:7" x14ac:dyDescent="0.25">
      <c r="B1163" s="49"/>
      <c r="C1163" s="89"/>
      <c r="D1163" s="89"/>
      <c r="E1163" s="47">
        <v>1854.2237264043199</v>
      </c>
      <c r="F1163" s="47">
        <v>2112.4239563136798</v>
      </c>
      <c r="G1163" s="47">
        <v>9273.3687341345194</v>
      </c>
    </row>
    <row r="1164" spans="2:7" x14ac:dyDescent="0.25">
      <c r="B1164" s="49"/>
      <c r="C1164" s="89"/>
      <c r="D1164" s="89"/>
      <c r="E1164" s="47">
        <v>1865.69766380841</v>
      </c>
      <c r="F1164" s="47">
        <v>2115.0318906654502</v>
      </c>
      <c r="G1164" s="47">
        <v>9362.0966927441405</v>
      </c>
    </row>
    <row r="1165" spans="2:7" x14ac:dyDescent="0.25">
      <c r="B1165" s="49"/>
      <c r="C1165" s="89"/>
      <c r="D1165" s="89"/>
      <c r="E1165" s="47">
        <v>1880.73085795783</v>
      </c>
      <c r="F1165" s="47">
        <v>2116.9517736821699</v>
      </c>
      <c r="G1165" s="47">
        <v>9433.0111847191802</v>
      </c>
    </row>
    <row r="1166" spans="2:7" x14ac:dyDescent="0.25">
      <c r="B1166" s="49"/>
      <c r="C1166" s="89"/>
      <c r="D1166" s="89"/>
      <c r="E1166" s="47">
        <v>1899.7784298783399</v>
      </c>
      <c r="F1166" s="47">
        <v>2118.3686278229702</v>
      </c>
      <c r="G1166" s="47">
        <v>9492.1031831039109</v>
      </c>
    </row>
    <row r="1167" spans="2:7" x14ac:dyDescent="0.25">
      <c r="B1167" s="49"/>
      <c r="C1167" s="89"/>
      <c r="D1167" s="89"/>
      <c r="E1167" s="47">
        <v>1923.287467485</v>
      </c>
      <c r="F1167" s="47">
        <v>2119.3975368635001</v>
      </c>
      <c r="G1167" s="47">
        <v>9543.2380477203806</v>
      </c>
    </row>
    <row r="1168" spans="2:7" x14ac:dyDescent="0.25">
      <c r="B1168" s="49"/>
      <c r="C1168" s="89"/>
      <c r="D1168" s="89"/>
      <c r="E1168" s="47">
        <v>1951.7044088428599</v>
      </c>
      <c r="F1168" s="47">
        <v>2120.1134433686898</v>
      </c>
      <c r="G1168" s="47">
        <v>9589.0647111014005</v>
      </c>
    </row>
    <row r="1169" spans="2:7" x14ac:dyDescent="0.25">
      <c r="B1169" s="49"/>
      <c r="C1169" s="89"/>
      <c r="D1169" s="89"/>
      <c r="E1169" s="47">
        <v>1985.4761035425399</v>
      </c>
      <c r="F1169" s="47">
        <v>2120.5669396846301</v>
      </c>
      <c r="G1169" s="47">
        <v>9631.4949300589997</v>
      </c>
    </row>
    <row r="1170" spans="2:7" x14ac:dyDescent="0.25">
      <c r="B1170" s="49"/>
      <c r="C1170" s="89"/>
      <c r="D1170" s="89">
        <v>800</v>
      </c>
      <c r="E1170" s="47">
        <v>1835.6856752716601</v>
      </c>
      <c r="F1170" s="47">
        <v>2372.21306999628</v>
      </c>
      <c r="G1170" s="47">
        <v>9177.6461473987492</v>
      </c>
    </row>
    <row r="1171" spans="2:7" x14ac:dyDescent="0.25">
      <c r="B1171" s="49"/>
      <c r="C1171" s="89"/>
      <c r="D1171" s="89"/>
      <c r="E1171" s="47">
        <v>1838.6375133419699</v>
      </c>
      <c r="F1171" s="47">
        <v>2382.2444629545898</v>
      </c>
      <c r="G1171" s="47">
        <v>9445.96632012191</v>
      </c>
    </row>
    <row r="1172" spans="2:7" x14ac:dyDescent="0.25">
      <c r="B1172" s="49"/>
      <c r="C1172" s="89"/>
      <c r="D1172" s="89"/>
      <c r="E1172" s="47">
        <v>1843.8795331474701</v>
      </c>
      <c r="F1172" s="47">
        <v>2388.7166373646301</v>
      </c>
      <c r="G1172" s="47">
        <v>9621.9097698804198</v>
      </c>
    </row>
    <row r="1173" spans="2:7" x14ac:dyDescent="0.25">
      <c r="B1173" s="49"/>
      <c r="C1173" s="89"/>
      <c r="D1173" s="89"/>
      <c r="E1173" s="47">
        <v>1851.8852371077101</v>
      </c>
      <c r="F1173" s="47">
        <v>2393.2055714724102</v>
      </c>
      <c r="G1173" s="47">
        <v>9747.6480298986608</v>
      </c>
    </row>
    <row r="1174" spans="2:7" x14ac:dyDescent="0.25">
      <c r="B1174" s="49"/>
      <c r="C1174" s="89"/>
      <c r="D1174" s="89"/>
      <c r="E1174" s="47">
        <v>1863.0863502350501</v>
      </c>
      <c r="F1174" s="47">
        <v>2396.4525967894401</v>
      </c>
      <c r="G1174" s="47">
        <v>9843.1943707782102</v>
      </c>
    </row>
    <row r="1175" spans="2:7" x14ac:dyDescent="0.25">
      <c r="B1175" s="49"/>
      <c r="C1175" s="89"/>
      <c r="D1175" s="89"/>
      <c r="E1175" s="47">
        <v>1877.8985746969199</v>
      </c>
      <c r="F1175" s="47">
        <v>2398.8523899587699</v>
      </c>
      <c r="G1175" s="47">
        <v>9919.3602399567008</v>
      </c>
    </row>
    <row r="1176" spans="2:7" x14ac:dyDescent="0.25">
      <c r="B1176" s="49"/>
      <c r="C1176" s="89"/>
      <c r="D1176" s="89"/>
      <c r="E1176" s="47">
        <v>1896.7639482382299</v>
      </c>
      <c r="F1176" s="47">
        <v>2400.6307113469002</v>
      </c>
      <c r="G1176" s="47">
        <v>9982.5039968235196</v>
      </c>
    </row>
    <row r="1177" spans="2:7" x14ac:dyDescent="0.25">
      <c r="B1177" s="49"/>
      <c r="C1177" s="89"/>
      <c r="D1177" s="89"/>
      <c r="E1177" s="47">
        <v>1920.11520887811</v>
      </c>
      <c r="F1177" s="47">
        <v>2401.9412895758701</v>
      </c>
      <c r="G1177" s="47">
        <v>10037.066572822199</v>
      </c>
    </row>
    <row r="1178" spans="2:7" x14ac:dyDescent="0.25">
      <c r="B1178" s="49"/>
      <c r="C1178" s="89"/>
      <c r="D1178" s="89"/>
      <c r="E1178" s="47">
        <v>1948.3897992429199</v>
      </c>
      <c r="F1178" s="47">
        <v>2402.87647971154</v>
      </c>
      <c r="G1178" s="47">
        <v>10085.866550536401</v>
      </c>
    </row>
    <row r="1179" spans="2:7" x14ac:dyDescent="0.25">
      <c r="B1179" s="49"/>
      <c r="C1179" s="89"/>
      <c r="D1179" s="89"/>
      <c r="E1179" s="47">
        <v>1982.02914814828</v>
      </c>
      <c r="F1179" s="47">
        <v>2403.4984494618898</v>
      </c>
      <c r="G1179" s="47">
        <v>10130.926045787901</v>
      </c>
    </row>
    <row r="1180" spans="2:7" x14ac:dyDescent="0.25">
      <c r="B1180" s="49"/>
      <c r="C1180" s="89"/>
      <c r="D1180" s="89">
        <v>900</v>
      </c>
      <c r="E1180" s="47">
        <v>1833.78643902622</v>
      </c>
      <c r="F1180" s="47">
        <v>2643.7322322106002</v>
      </c>
      <c r="G1180" s="47">
        <v>9619.5727523220103</v>
      </c>
    </row>
    <row r="1181" spans="2:7" x14ac:dyDescent="0.25">
      <c r="B1181" s="49"/>
      <c r="C1181" s="89"/>
      <c r="D1181" s="89"/>
      <c r="E1181" s="47">
        <v>1835.96262465261</v>
      </c>
      <c r="F1181" s="47">
        <v>2655.83133690046</v>
      </c>
      <c r="G1181" s="47">
        <v>9906.3662726648708</v>
      </c>
    </row>
    <row r="1182" spans="2:7" x14ac:dyDescent="0.25">
      <c r="B1182" s="49"/>
      <c r="C1182" s="89"/>
      <c r="D1182" s="89"/>
      <c r="E1182" s="47">
        <v>1840.6976393065099</v>
      </c>
      <c r="F1182" s="47">
        <v>2663.64806789258</v>
      </c>
      <c r="G1182" s="47">
        <v>10094.469725847801</v>
      </c>
    </row>
    <row r="1183" spans="2:7" x14ac:dyDescent="0.25">
      <c r="B1183" s="49"/>
      <c r="C1183" s="89"/>
      <c r="D1183" s="89"/>
      <c r="E1183" s="47">
        <v>1848.3381662592101</v>
      </c>
      <c r="F1183" s="47">
        <v>2669.0801596989099</v>
      </c>
      <c r="G1183" s="47">
        <v>10228.879613286599</v>
      </c>
    </row>
    <row r="1184" spans="2:7" x14ac:dyDescent="0.25">
      <c r="B1184" s="49"/>
      <c r="C1184" s="89"/>
      <c r="D1184" s="89"/>
      <c r="E1184" s="47">
        <v>1859.26345319129</v>
      </c>
      <c r="F1184" s="47">
        <v>2673.02356696486</v>
      </c>
      <c r="G1184" s="47">
        <v>10331.021571417101</v>
      </c>
    </row>
    <row r="1185" spans="2:7" x14ac:dyDescent="0.25">
      <c r="B1185" s="49"/>
      <c r="C1185" s="89"/>
      <c r="D1185" s="89"/>
      <c r="E1185" s="47">
        <v>1873.8526501103599</v>
      </c>
      <c r="F1185" s="47">
        <v>2675.95783457365</v>
      </c>
      <c r="G1185" s="47">
        <v>10412.5112669593</v>
      </c>
    </row>
    <row r="1186" spans="2:7" x14ac:dyDescent="0.25">
      <c r="B1186" s="49"/>
      <c r="C1186" s="89"/>
      <c r="D1186" s="89"/>
      <c r="E1186" s="47">
        <v>1892.5297910106301</v>
      </c>
      <c r="F1186" s="47">
        <v>2678.1598595681598</v>
      </c>
      <c r="G1186" s="47">
        <v>10480.2307361286</v>
      </c>
    </row>
    <row r="1187" spans="2:7" x14ac:dyDescent="0.25">
      <c r="B1187" s="49"/>
      <c r="C1187" s="89"/>
      <c r="D1187" s="89"/>
      <c r="E1187" s="47">
        <v>1915.71907976342</v>
      </c>
      <c r="F1187" s="47">
        <v>2679.8022249594101</v>
      </c>
      <c r="G1187" s="47">
        <v>10538.6047139603</v>
      </c>
    </row>
    <row r="1188" spans="2:7" x14ac:dyDescent="0.25">
      <c r="B1188" s="49"/>
      <c r="C1188" s="89"/>
      <c r="D1188" s="89"/>
      <c r="E1188" s="47">
        <v>1943.84636069419</v>
      </c>
      <c r="F1188" s="47">
        <v>2680.9981319782601</v>
      </c>
      <c r="G1188" s="47">
        <v>10590.6604830082</v>
      </c>
    </row>
    <row r="1189" spans="2:7" x14ac:dyDescent="0.25">
      <c r="B1189" s="49"/>
      <c r="C1189" s="89"/>
      <c r="D1189" s="89"/>
      <c r="E1189" s="47">
        <v>1977.3514024850899</v>
      </c>
      <c r="F1189" s="47">
        <v>2681.8227915100701</v>
      </c>
      <c r="G1189" s="47">
        <v>10638.542873902101</v>
      </c>
    </row>
    <row r="1190" spans="2:7" x14ac:dyDescent="0.25">
      <c r="B1190" s="49"/>
      <c r="C1190" s="89"/>
      <c r="D1190" s="89">
        <v>1000</v>
      </c>
      <c r="E1190" s="47">
        <v>1830.79793689145</v>
      </c>
      <c r="F1190" s="47">
        <v>2910.0707973502399</v>
      </c>
      <c r="G1190" s="47">
        <v>10068.5042484643</v>
      </c>
    </row>
    <row r="1191" spans="2:7" x14ac:dyDescent="0.25">
      <c r="B1191" s="49"/>
      <c r="C1191" s="89"/>
      <c r="D1191" s="89"/>
      <c r="E1191" s="47">
        <v>1832.17597099765</v>
      </c>
      <c r="F1191" s="47">
        <v>2924.4933886450399</v>
      </c>
      <c r="G1191" s="47">
        <v>10375.339632187801</v>
      </c>
    </row>
    <row r="1192" spans="2:7" x14ac:dyDescent="0.25">
      <c r="B1192" s="49"/>
      <c r="C1192" s="89"/>
      <c r="D1192" s="89"/>
      <c r="E1192" s="47">
        <v>1836.38549127593</v>
      </c>
      <c r="F1192" s="47">
        <v>2933.8148949290298</v>
      </c>
      <c r="G1192" s="47">
        <v>10576.4602184247</v>
      </c>
    </row>
    <row r="1193" spans="2:7" x14ac:dyDescent="0.25">
      <c r="B1193" s="49"/>
      <c r="C1193" s="89"/>
      <c r="D1193" s="89"/>
      <c r="E1193" s="47">
        <v>1843.6512397757299</v>
      </c>
      <c r="F1193" s="47">
        <v>2940.2828214844699</v>
      </c>
      <c r="G1193" s="47">
        <v>10719.698024281301</v>
      </c>
    </row>
    <row r="1194" spans="2:7" x14ac:dyDescent="0.25">
      <c r="B1194" s="49"/>
      <c r="C1194" s="89"/>
      <c r="D1194" s="89"/>
      <c r="E1194" s="47">
        <v>1854.29440027028</v>
      </c>
      <c r="F1194" s="47">
        <v>2944.99056176772</v>
      </c>
      <c r="G1194" s="47">
        <v>10828.501902088899</v>
      </c>
    </row>
    <row r="1195" spans="2:7" x14ac:dyDescent="0.25">
      <c r="B1195" s="49"/>
      <c r="C1195" s="89"/>
      <c r="D1195" s="89"/>
      <c r="E1195" s="47">
        <v>1868.6568271042499</v>
      </c>
      <c r="F1195" s="47">
        <v>2948.5083587485501</v>
      </c>
      <c r="G1195" s="47">
        <v>10915.247252617401</v>
      </c>
    </row>
    <row r="1196" spans="2:7" x14ac:dyDescent="0.25">
      <c r="B1196" s="49"/>
      <c r="C1196" s="89"/>
      <c r="D1196" s="89"/>
      <c r="E1196" s="47">
        <v>1887.14762100596</v>
      </c>
      <c r="F1196" s="47">
        <v>2951.1661167909301</v>
      </c>
      <c r="G1196" s="47">
        <v>10987.274239554799</v>
      </c>
    </row>
    <row r="1197" spans="2:7" x14ac:dyDescent="0.25">
      <c r="B1197" s="49"/>
      <c r="C1197" s="89"/>
      <c r="D1197" s="89"/>
      <c r="E1197" s="47">
        <v>1910.1775580686599</v>
      </c>
      <c r="F1197" s="47">
        <v>2953.16898445993</v>
      </c>
      <c r="G1197" s="47">
        <v>11049.279410941699</v>
      </c>
    </row>
    <row r="1198" spans="2:7" x14ac:dyDescent="0.25">
      <c r="B1198" s="49"/>
      <c r="C1198" s="89"/>
      <c r="D1198" s="89"/>
      <c r="E1198" s="47">
        <v>1938.16034982582</v>
      </c>
      <c r="F1198" s="47">
        <v>2954.6522357141998</v>
      </c>
      <c r="G1198" s="47">
        <v>11104.480455142901</v>
      </c>
    </row>
    <row r="1199" spans="2:7" x14ac:dyDescent="0.25">
      <c r="B1199" s="49"/>
      <c r="C1199" s="89"/>
      <c r="D1199" s="89"/>
      <c r="E1199" s="47">
        <v>1971.53458394632</v>
      </c>
      <c r="F1199" s="47">
        <v>2955.70430521254</v>
      </c>
      <c r="G1199" s="47">
        <v>11155.124334476501</v>
      </c>
    </row>
    <row r="1200" spans="2:7" x14ac:dyDescent="0.25">
      <c r="B1200" s="49"/>
      <c r="C1200" s="89"/>
      <c r="D1200" s="89">
        <v>1100</v>
      </c>
      <c r="E1200" s="47">
        <v>1826.7847354882899</v>
      </c>
      <c r="F1200" s="47">
        <v>3171.39009886136</v>
      </c>
      <c r="G1200" s="47">
        <v>10525.430645554299</v>
      </c>
    </row>
    <row r="1201" spans="2:7" x14ac:dyDescent="0.25">
      <c r="B1201" s="49"/>
      <c r="C1201" s="89"/>
      <c r="D1201" s="89"/>
      <c r="E1201" s="47">
        <v>1827.35574766994</v>
      </c>
      <c r="F1201" s="47">
        <v>3188.3049210300101</v>
      </c>
      <c r="G1201" s="47">
        <v>10851.777864969699</v>
      </c>
    </row>
    <row r="1202" spans="2:7" x14ac:dyDescent="0.25">
      <c r="B1202" s="49"/>
      <c r="C1202" s="89"/>
      <c r="D1202" s="89"/>
      <c r="E1202" s="47">
        <v>1831.0400806612799</v>
      </c>
      <c r="F1202" s="47">
        <v>3199.2450352840501</v>
      </c>
      <c r="G1202" s="47">
        <v>11065.657243243801</v>
      </c>
    </row>
    <row r="1203" spans="2:7" x14ac:dyDescent="0.25">
      <c r="B1203" s="49"/>
      <c r="C1203" s="89"/>
      <c r="D1203" s="89"/>
      <c r="E1203" s="47">
        <v>1837.9267075755699</v>
      </c>
      <c r="F1203" s="47">
        <v>3206.8693555852201</v>
      </c>
      <c r="G1203" s="47">
        <v>11218.3764351952</v>
      </c>
    </row>
    <row r="1204" spans="2:7" x14ac:dyDescent="0.25">
      <c r="B1204" s="49"/>
      <c r="C1204" s="89"/>
      <c r="D1204" s="89"/>
      <c r="E1204" s="47">
        <v>1848.28306992943</v>
      </c>
      <c r="F1204" s="47">
        <v>3212.43196669288</v>
      </c>
      <c r="G1204" s="47">
        <v>11334.3257359459</v>
      </c>
    </row>
    <row r="1205" spans="2:7" x14ac:dyDescent="0.25">
      <c r="B1205" s="49"/>
      <c r="C1205" s="89"/>
      <c r="D1205" s="89"/>
      <c r="E1205" s="47">
        <v>1862.4171614817801</v>
      </c>
      <c r="F1205" s="47">
        <v>3216.60359044196</v>
      </c>
      <c r="G1205" s="47">
        <v>11426.6876600819</v>
      </c>
    </row>
    <row r="1206" spans="2:7" x14ac:dyDescent="0.25">
      <c r="B1206" s="49"/>
      <c r="C1206" s="89"/>
      <c r="D1206" s="89"/>
      <c r="E1206" s="47">
        <v>1880.7200638413401</v>
      </c>
      <c r="F1206" s="47">
        <v>3219.7721433411298</v>
      </c>
      <c r="G1206" s="47">
        <v>11503.268451259401</v>
      </c>
    </row>
    <row r="1207" spans="2:7" x14ac:dyDescent="0.25">
      <c r="B1207" s="49"/>
      <c r="C1207" s="89"/>
      <c r="D1207" s="89"/>
      <c r="E1207" s="47">
        <v>1903.58725094288</v>
      </c>
      <c r="F1207" s="47">
        <v>3222.1791414712002</v>
      </c>
      <c r="G1207" s="47">
        <v>11569.056450080599</v>
      </c>
    </row>
    <row r="1208" spans="2:7" x14ac:dyDescent="0.25">
      <c r="B1208" s="49"/>
      <c r="C1208" s="89"/>
      <c r="D1208" s="89"/>
      <c r="E1208" s="47">
        <v>1931.42163203173</v>
      </c>
      <c r="F1208" s="47">
        <v>3223.98589293135</v>
      </c>
      <c r="G1208" s="47">
        <v>11627.500687437199</v>
      </c>
    </row>
    <row r="1209" spans="2:7" x14ac:dyDescent="0.25">
      <c r="B1209" s="49"/>
      <c r="C1209" s="89"/>
      <c r="D1209" s="89"/>
      <c r="E1209" s="47">
        <v>1964.6645833842399</v>
      </c>
      <c r="F1209" s="47">
        <v>3225.2956817263698</v>
      </c>
      <c r="G1209" s="47">
        <v>11680.9664066266</v>
      </c>
    </row>
    <row r="1210" spans="2:7" x14ac:dyDescent="0.25">
      <c r="B1210" s="49"/>
      <c r="C1210" s="89"/>
      <c r="D1210" s="89">
        <v>1200</v>
      </c>
      <c r="E1210" s="47">
        <v>1821.8317518767899</v>
      </c>
      <c r="F1210" s="47">
        <v>3427.7212750573599</v>
      </c>
      <c r="G1210" s="47">
        <v>10988.749258956699</v>
      </c>
    </row>
    <row r="1211" spans="2:7" x14ac:dyDescent="0.25">
      <c r="B1211" s="49"/>
      <c r="C1211" s="89"/>
      <c r="D1211" s="89"/>
      <c r="E1211" s="47">
        <v>1821.5753022042099</v>
      </c>
      <c r="F1211" s="47">
        <v>3447.4447898045401</v>
      </c>
      <c r="G1211" s="47">
        <v>11336.808358456599</v>
      </c>
    </row>
    <row r="1212" spans="2:7" x14ac:dyDescent="0.25">
      <c r="B1212" s="49"/>
      <c r="C1212" s="89"/>
      <c r="D1212" s="89"/>
      <c r="E1212" s="47">
        <v>1824.7309174925499</v>
      </c>
      <c r="F1212" s="47">
        <v>3460.1352287878299</v>
      </c>
      <c r="G1212" s="47">
        <v>11563.565380981599</v>
      </c>
    </row>
    <row r="1213" spans="2:7" x14ac:dyDescent="0.25">
      <c r="B1213" s="49"/>
      <c r="C1213" s="89"/>
      <c r="D1213" s="89"/>
      <c r="E1213" s="47">
        <v>1831.23926481784</v>
      </c>
      <c r="F1213" s="47">
        <v>3468.9924403822902</v>
      </c>
      <c r="G1213" s="47">
        <v>11725.481241822599</v>
      </c>
    </row>
    <row r="1214" spans="2:7" x14ac:dyDescent="0.25">
      <c r="B1214" s="49"/>
      <c r="C1214" s="89"/>
      <c r="D1214" s="89"/>
      <c r="E1214" s="47">
        <v>1841.30864462215</v>
      </c>
      <c r="F1214" s="47">
        <v>3475.46633270755</v>
      </c>
      <c r="G1214" s="47">
        <v>11848.3385889397</v>
      </c>
    </row>
    <row r="1215" spans="2:7" x14ac:dyDescent="0.25">
      <c r="B1215" s="49"/>
      <c r="C1215" s="89"/>
      <c r="D1215" s="89"/>
      <c r="E1215" s="47">
        <v>1855.2156844244901</v>
      </c>
      <c r="F1215" s="47">
        <v>3480.3367073357699</v>
      </c>
      <c r="G1215" s="47">
        <v>11946.141665462301</v>
      </c>
    </row>
    <row r="1216" spans="2:7" x14ac:dyDescent="0.25">
      <c r="B1216" s="49"/>
      <c r="C1216" s="89"/>
      <c r="D1216" s="89"/>
      <c r="E1216" s="47">
        <v>1873.3315944906001</v>
      </c>
      <c r="F1216" s="47">
        <v>3484.0541921702002</v>
      </c>
      <c r="G1216" s="47">
        <v>12027.163774975499</v>
      </c>
    </row>
    <row r="1217" spans="2:7" x14ac:dyDescent="0.25">
      <c r="B1217" s="49"/>
      <c r="C1217" s="89"/>
      <c r="D1217" s="89"/>
      <c r="E1217" s="47">
        <v>1896.0313657775901</v>
      </c>
      <c r="F1217" s="47">
        <v>3486.9014975576301</v>
      </c>
      <c r="G1217" s="47">
        <v>12096.7147428973</v>
      </c>
    </row>
    <row r="1218" spans="2:7" x14ac:dyDescent="0.25">
      <c r="B1218" s="49"/>
      <c r="C1218" s="89"/>
      <c r="D1218" s="89"/>
      <c r="E1218" s="47">
        <v>1923.7240630982801</v>
      </c>
      <c r="F1218" s="47">
        <v>3489.0616238991201</v>
      </c>
      <c r="G1218" s="47">
        <v>12158.3733193468</v>
      </c>
    </row>
    <row r="1219" spans="2:7" x14ac:dyDescent="0.25">
      <c r="B1219" s="49"/>
      <c r="C1219" s="89"/>
      <c r="D1219" s="89"/>
      <c r="E1219" s="47">
        <v>1956.8378772395499</v>
      </c>
      <c r="F1219" s="47">
        <v>3490.6566519419898</v>
      </c>
      <c r="G1219" s="47">
        <v>12214.6590998137</v>
      </c>
    </row>
    <row r="1220" spans="2:7" x14ac:dyDescent="0.25">
      <c r="B1220" s="49"/>
      <c r="C1220" s="89">
        <v>20</v>
      </c>
      <c r="D1220" s="89">
        <v>0</v>
      </c>
      <c r="E1220" s="47">
        <v>1867.1905203396</v>
      </c>
      <c r="F1220" s="47">
        <v>0</v>
      </c>
      <c r="G1220" s="47">
        <v>6852.4279146260096</v>
      </c>
    </row>
    <row r="1221" spans="2:7" x14ac:dyDescent="0.25">
      <c r="B1221" s="49"/>
      <c r="C1221" s="89"/>
      <c r="D1221" s="89"/>
      <c r="E1221" s="47">
        <v>1876.08556238753</v>
      </c>
      <c r="F1221" s="47">
        <v>0</v>
      </c>
      <c r="G1221" s="47">
        <v>6868.8895345066103</v>
      </c>
    </row>
    <row r="1222" spans="2:7" x14ac:dyDescent="0.25">
      <c r="B1222" s="49"/>
      <c r="C1222" s="89"/>
      <c r="D1222" s="89"/>
      <c r="E1222" s="47">
        <v>1884.98060443545</v>
      </c>
      <c r="F1222" s="47">
        <v>0</v>
      </c>
      <c r="G1222" s="47">
        <v>6885.35115438721</v>
      </c>
    </row>
    <row r="1223" spans="2:7" x14ac:dyDescent="0.25">
      <c r="B1223" s="49"/>
      <c r="C1223" s="89"/>
      <c r="D1223" s="89"/>
      <c r="E1223" s="47">
        <v>1895.32410591606</v>
      </c>
      <c r="F1223" s="47">
        <v>0</v>
      </c>
      <c r="G1223" s="47">
        <v>6900.27996552274</v>
      </c>
    </row>
    <row r="1224" spans="2:7" x14ac:dyDescent="0.25">
      <c r="B1224" s="49"/>
      <c r="C1224" s="89"/>
      <c r="D1224" s="89"/>
      <c r="E1224" s="47">
        <v>1906.1504272075499</v>
      </c>
      <c r="F1224" s="47">
        <v>0</v>
      </c>
      <c r="G1224" s="47">
        <v>6914.69784040991</v>
      </c>
    </row>
    <row r="1225" spans="2:7" x14ac:dyDescent="0.25">
      <c r="B1225" s="49"/>
      <c r="C1225" s="89"/>
      <c r="D1225" s="89"/>
      <c r="E1225" s="47">
        <v>1918.0515790583099</v>
      </c>
      <c r="F1225" s="47">
        <v>0</v>
      </c>
      <c r="G1225" s="47">
        <v>6928.47748913752</v>
      </c>
    </row>
    <row r="1226" spans="2:7" x14ac:dyDescent="0.25">
      <c r="B1226" s="49"/>
      <c r="C1226" s="89"/>
      <c r="D1226" s="89"/>
      <c r="E1226" s="47">
        <v>1931.0275614683401</v>
      </c>
      <c r="F1226" s="47">
        <v>0</v>
      </c>
      <c r="G1226" s="47">
        <v>6941.6189117055601</v>
      </c>
    </row>
    <row r="1227" spans="2:7" x14ac:dyDescent="0.25">
      <c r="B1227" s="49"/>
      <c r="C1227" s="89"/>
      <c r="D1227" s="89"/>
      <c r="E1227" s="47">
        <v>1944.59450227</v>
      </c>
      <c r="F1227" s="47">
        <v>0</v>
      </c>
      <c r="G1227" s="47">
        <v>6954.5802632063496</v>
      </c>
    </row>
    <row r="1228" spans="2:7" x14ac:dyDescent="0.25">
      <c r="B1228" s="49"/>
      <c r="C1228" s="89"/>
      <c r="D1228" s="89"/>
      <c r="E1228" s="47">
        <v>1959.93431824654</v>
      </c>
      <c r="F1228" s="47">
        <v>0</v>
      </c>
      <c r="G1228" s="47">
        <v>6967.0014015053703</v>
      </c>
    </row>
    <row r="1229" spans="2:7" x14ac:dyDescent="0.25">
      <c r="B1229" s="49"/>
      <c r="C1229" s="89"/>
      <c r="D1229" s="89"/>
      <c r="E1229" s="47">
        <v>1975.27413422309</v>
      </c>
      <c r="F1229" s="47">
        <v>0</v>
      </c>
      <c r="G1229" s="47">
        <v>6979.42253980439</v>
      </c>
    </row>
    <row r="1230" spans="2:7" x14ac:dyDescent="0.25">
      <c r="B1230" s="49"/>
      <c r="C1230" s="89"/>
      <c r="D1230" s="89">
        <v>100</v>
      </c>
      <c r="E1230" s="47">
        <v>1845.18857435479</v>
      </c>
      <c r="F1230" s="47">
        <v>314.82020820124097</v>
      </c>
      <c r="G1230" s="47">
        <v>7170.3120432841697</v>
      </c>
    </row>
    <row r="1231" spans="2:7" x14ac:dyDescent="0.25">
      <c r="B1231" s="49"/>
      <c r="C1231" s="89"/>
      <c r="D1231" s="89"/>
      <c r="E1231" s="47">
        <v>1853.63574132077</v>
      </c>
      <c r="F1231" s="47">
        <v>314.97685805174399</v>
      </c>
      <c r="G1231" s="47">
        <v>7210.7339017921504</v>
      </c>
    </row>
    <row r="1232" spans="2:7" x14ac:dyDescent="0.25">
      <c r="B1232" s="49"/>
      <c r="C1232" s="89"/>
      <c r="D1232" s="89"/>
      <c r="E1232" s="47">
        <v>1863.1925788247099</v>
      </c>
      <c r="F1232" s="47">
        <v>315.11006129671898</v>
      </c>
      <c r="G1232" s="47">
        <v>7247.12439859804</v>
      </c>
    </row>
    <row r="1233" spans="2:7" x14ac:dyDescent="0.25">
      <c r="B1233" s="49"/>
      <c r="C1233" s="89"/>
      <c r="D1233" s="89"/>
      <c r="E1233" s="47">
        <v>1873.8590868666299</v>
      </c>
      <c r="F1233" s="47">
        <v>315.21981793616499</v>
      </c>
      <c r="G1233" s="47">
        <v>7279.4835337018203</v>
      </c>
    </row>
    <row r="1234" spans="2:7" x14ac:dyDescent="0.25">
      <c r="B1234" s="49"/>
      <c r="C1234" s="89"/>
      <c r="D1234" s="89"/>
      <c r="E1234" s="47">
        <v>1887.09909105926</v>
      </c>
      <c r="F1234" s="47">
        <v>315.29449743311898</v>
      </c>
      <c r="G1234" s="47">
        <v>7306.5887546394097</v>
      </c>
    </row>
    <row r="1235" spans="2:7" x14ac:dyDescent="0.25">
      <c r="B1235" s="49"/>
      <c r="C1235" s="89"/>
      <c r="D1235" s="89"/>
      <c r="E1235" s="47">
        <v>1901.79285601794</v>
      </c>
      <c r="F1235" s="47">
        <v>315.35525573170497</v>
      </c>
      <c r="G1235" s="47">
        <v>7331.97668854925</v>
      </c>
    </row>
    <row r="1236" spans="2:7" x14ac:dyDescent="0.25">
      <c r="B1236" s="49"/>
      <c r="C1236" s="89"/>
      <c r="D1236" s="89"/>
      <c r="E1236" s="47">
        <v>1917.9403817426901</v>
      </c>
      <c r="F1236" s="47">
        <v>315.40209283192098</v>
      </c>
      <c r="G1236" s="47">
        <v>7355.6473354313503</v>
      </c>
    </row>
    <row r="1237" spans="2:7" x14ac:dyDescent="0.25">
      <c r="B1237" s="49"/>
      <c r="C1237" s="89"/>
      <c r="D1237" s="89"/>
      <c r="E1237" s="47">
        <v>1937.31864443317</v>
      </c>
      <c r="F1237" s="47">
        <v>315.425729283615</v>
      </c>
      <c r="G1237" s="47">
        <v>7377.1432433079699</v>
      </c>
    </row>
    <row r="1238" spans="2:7" x14ac:dyDescent="0.25">
      <c r="B1238" s="49"/>
      <c r="C1238" s="89"/>
      <c r="D1238" s="89"/>
      <c r="E1238" s="47">
        <v>1958.4711180028</v>
      </c>
      <c r="F1238" s="47">
        <v>315.43934210494803</v>
      </c>
      <c r="G1238" s="47">
        <v>7398.0214268326499</v>
      </c>
    </row>
    <row r="1239" spans="2:7" x14ac:dyDescent="0.25">
      <c r="B1239" s="49"/>
      <c r="C1239" s="89"/>
      <c r="D1239" s="89"/>
      <c r="E1239" s="47">
        <v>1981.39780245158</v>
      </c>
      <c r="F1239" s="47">
        <v>315.44293129592</v>
      </c>
      <c r="G1239" s="47">
        <v>7418.2818860053903</v>
      </c>
    </row>
    <row r="1240" spans="2:7" x14ac:dyDescent="0.25">
      <c r="B1240" s="49"/>
      <c r="C1240" s="89"/>
      <c r="D1240" s="89">
        <v>200</v>
      </c>
      <c r="E1240" s="47">
        <v>1840.65505171107</v>
      </c>
      <c r="F1240" s="47">
        <v>623.15719206614995</v>
      </c>
      <c r="G1240" s="47">
        <v>7512.1373767105597</v>
      </c>
    </row>
    <row r="1241" spans="2:7" x14ac:dyDescent="0.25">
      <c r="B1241" s="49"/>
      <c r="C1241" s="89"/>
      <c r="D1241" s="89"/>
      <c r="E1241" s="47">
        <v>1848.13847400592</v>
      </c>
      <c r="F1241" s="47">
        <v>623.73671958192597</v>
      </c>
      <c r="G1241" s="47">
        <v>7579.9690780804904</v>
      </c>
    </row>
    <row r="1242" spans="2:7" x14ac:dyDescent="0.25">
      <c r="B1242" s="49"/>
      <c r="C1242" s="89"/>
      <c r="D1242" s="89"/>
      <c r="E1242" s="47">
        <v>1857.1829458283901</v>
      </c>
      <c r="F1242" s="47">
        <v>624.19440547133297</v>
      </c>
      <c r="G1242" s="47">
        <v>7636.2037116033698</v>
      </c>
    </row>
    <row r="1243" spans="2:7" x14ac:dyDescent="0.25">
      <c r="B1243" s="49"/>
      <c r="C1243" s="89"/>
      <c r="D1243" s="89"/>
      <c r="E1243" s="47">
        <v>1867.9765797774501</v>
      </c>
      <c r="F1243" s="47">
        <v>624.55269411360405</v>
      </c>
      <c r="G1243" s="47">
        <v>7683.3823436771399</v>
      </c>
    </row>
    <row r="1244" spans="2:7" x14ac:dyDescent="0.25">
      <c r="B1244" s="49"/>
      <c r="C1244" s="89"/>
      <c r="D1244" s="89"/>
      <c r="E1244" s="47">
        <v>1880.7020050363401</v>
      </c>
      <c r="F1244" s="47">
        <v>624.83078847329898</v>
      </c>
      <c r="G1244" s="47">
        <v>7723.69747659124</v>
      </c>
    </row>
    <row r="1245" spans="2:7" x14ac:dyDescent="0.25">
      <c r="B1245" s="49"/>
      <c r="C1245" s="89"/>
      <c r="D1245" s="89"/>
      <c r="E1245" s="47">
        <v>1896.02023962978</v>
      </c>
      <c r="F1245" s="47">
        <v>625.03300191025198</v>
      </c>
      <c r="G1245" s="47">
        <v>7758.1690090294496</v>
      </c>
    </row>
    <row r="1246" spans="2:7" x14ac:dyDescent="0.25">
      <c r="B1246" s="49"/>
      <c r="C1246" s="89"/>
      <c r="D1246" s="89"/>
      <c r="E1246" s="47">
        <v>1914.2588920911101</v>
      </c>
      <c r="F1246" s="47">
        <v>625.17582223920294</v>
      </c>
      <c r="G1246" s="47">
        <v>7788.8244767844399</v>
      </c>
    </row>
    <row r="1247" spans="2:7" x14ac:dyDescent="0.25">
      <c r="B1247" s="49"/>
      <c r="C1247" s="89"/>
      <c r="D1247" s="89"/>
      <c r="E1247" s="47">
        <v>1935.14310141448</v>
      </c>
      <c r="F1247" s="47">
        <v>625.27617117913803</v>
      </c>
      <c r="G1247" s="47">
        <v>7817.2249415659599</v>
      </c>
    </row>
    <row r="1248" spans="2:7" x14ac:dyDescent="0.25">
      <c r="B1248" s="49"/>
      <c r="C1248" s="89"/>
      <c r="D1248" s="89"/>
      <c r="E1248" s="47">
        <v>1958.8305987789699</v>
      </c>
      <c r="F1248" s="47">
        <v>625.33803411342103</v>
      </c>
      <c r="G1248" s="47">
        <v>7843.92725139301</v>
      </c>
    </row>
    <row r="1249" spans="2:7" x14ac:dyDescent="0.25">
      <c r="B1249" s="49"/>
      <c r="C1249" s="89"/>
      <c r="D1249" s="89"/>
      <c r="E1249" s="47">
        <v>1985.47852771365</v>
      </c>
      <c r="F1249" s="47">
        <v>625.36475554172603</v>
      </c>
      <c r="G1249" s="47">
        <v>7869.4197841957002</v>
      </c>
    </row>
    <row r="1250" spans="2:7" x14ac:dyDescent="0.25">
      <c r="B1250" s="49"/>
      <c r="C1250" s="89"/>
      <c r="D1250" s="89">
        <v>300</v>
      </c>
      <c r="E1250" s="47">
        <v>1831.49572641595</v>
      </c>
      <c r="F1250" s="47">
        <v>921.58980775310204</v>
      </c>
      <c r="G1250" s="47">
        <v>7608.0790282663102</v>
      </c>
    </row>
    <row r="1251" spans="2:7" x14ac:dyDescent="0.25">
      <c r="B1251" s="49"/>
      <c r="C1251" s="89"/>
      <c r="D1251" s="89"/>
      <c r="E1251" s="47">
        <v>1837.1722518767201</v>
      </c>
      <c r="F1251" s="47">
        <v>924.37694139298605</v>
      </c>
      <c r="G1251" s="47">
        <v>7809.9689884528798</v>
      </c>
    </row>
    <row r="1252" spans="2:7" x14ac:dyDescent="0.25">
      <c r="B1252" s="49"/>
      <c r="C1252" s="89"/>
      <c r="D1252" s="89"/>
      <c r="E1252" s="47">
        <v>1844.20998929849</v>
      </c>
      <c r="F1252" s="47">
        <v>926.16594396119604</v>
      </c>
      <c r="G1252" s="47">
        <v>7942.4334923777997</v>
      </c>
    </row>
    <row r="1253" spans="2:7" x14ac:dyDescent="0.25">
      <c r="B1253" s="49"/>
      <c r="C1253" s="89"/>
      <c r="D1253" s="89"/>
      <c r="E1253" s="47">
        <v>1853.50695628006</v>
      </c>
      <c r="F1253" s="47">
        <v>927.39420435106501</v>
      </c>
      <c r="G1253" s="47">
        <v>8037.1702694792502</v>
      </c>
    </row>
    <row r="1254" spans="2:7" x14ac:dyDescent="0.25">
      <c r="B1254" s="49"/>
      <c r="C1254" s="89"/>
      <c r="D1254" s="89"/>
      <c r="E1254" s="47">
        <v>1865.6933117773301</v>
      </c>
      <c r="F1254" s="47">
        <v>928.267295593467</v>
      </c>
      <c r="G1254" s="47">
        <v>8109.25245344411</v>
      </c>
    </row>
    <row r="1255" spans="2:7" x14ac:dyDescent="0.25">
      <c r="B1255" s="49"/>
      <c r="C1255" s="89"/>
      <c r="D1255" s="89"/>
      <c r="E1255" s="47">
        <v>1881.2985285944501</v>
      </c>
      <c r="F1255" s="47">
        <v>928.89607983168105</v>
      </c>
      <c r="G1255" s="47">
        <v>8166.9688947058003</v>
      </c>
    </row>
    <row r="1256" spans="2:7" x14ac:dyDescent="0.25">
      <c r="B1256" s="49"/>
      <c r="C1256" s="89"/>
      <c r="D1256" s="89"/>
      <c r="E1256" s="47">
        <v>1900.82547125006</v>
      </c>
      <c r="F1256" s="47">
        <v>929.34368423916897</v>
      </c>
      <c r="G1256" s="47">
        <v>8215.2108411844492</v>
      </c>
    </row>
    <row r="1257" spans="2:7" x14ac:dyDescent="0.25">
      <c r="B1257" s="49"/>
      <c r="C1257" s="89"/>
      <c r="D1257" s="89"/>
      <c r="E1257" s="47">
        <v>1924.75225500479</v>
      </c>
      <c r="F1257" s="47">
        <v>929.64934254386696</v>
      </c>
      <c r="G1257" s="47">
        <v>8257.1586049114103</v>
      </c>
    </row>
    <row r="1258" spans="2:7" x14ac:dyDescent="0.25">
      <c r="B1258" s="49"/>
      <c r="C1258" s="89"/>
      <c r="D1258" s="89"/>
      <c r="E1258" s="47">
        <v>1953.5498311481999</v>
      </c>
      <c r="F1258" s="47">
        <v>929.83851059409403</v>
      </c>
      <c r="G1258" s="47">
        <v>8295.0123039504106</v>
      </c>
    </row>
    <row r="1259" spans="2:7" x14ac:dyDescent="0.25">
      <c r="B1259" s="49"/>
      <c r="C1259" s="89"/>
      <c r="D1259" s="89"/>
      <c r="E1259" s="47">
        <v>1987.6825748799099</v>
      </c>
      <c r="F1259" s="47">
        <v>929.92783918463294</v>
      </c>
      <c r="G1259" s="47">
        <v>8330.3438450003596</v>
      </c>
    </row>
    <row r="1260" spans="2:7" x14ac:dyDescent="0.25">
      <c r="B1260" s="49"/>
      <c r="C1260" s="89"/>
      <c r="D1260" s="89">
        <v>400</v>
      </c>
      <c r="E1260" s="47">
        <v>1834.5561412847501</v>
      </c>
      <c r="F1260" s="47">
        <v>1217.03463750019</v>
      </c>
      <c r="G1260" s="47">
        <v>8020.6863898630199</v>
      </c>
    </row>
    <row r="1261" spans="2:7" x14ac:dyDescent="0.25">
      <c r="B1261" s="49"/>
      <c r="C1261" s="89"/>
      <c r="D1261" s="89"/>
      <c r="E1261" s="47">
        <v>1839.53201215486</v>
      </c>
      <c r="F1261" s="47">
        <v>1221.09232163108</v>
      </c>
      <c r="G1261" s="47">
        <v>8240.0476682700591</v>
      </c>
    </row>
    <row r="1262" spans="2:7" x14ac:dyDescent="0.25">
      <c r="B1262" s="49"/>
      <c r="C1262" s="89"/>
      <c r="D1262" s="89"/>
      <c r="E1262" s="47">
        <v>1846.1069133989899</v>
      </c>
      <c r="F1262" s="47">
        <v>1223.70137741488</v>
      </c>
      <c r="G1262" s="47">
        <v>8383.9541261252998</v>
      </c>
    </row>
    <row r="1263" spans="2:7" x14ac:dyDescent="0.25">
      <c r="B1263" s="49"/>
      <c r="C1263" s="89"/>
      <c r="D1263" s="89"/>
      <c r="E1263" s="47">
        <v>1855.0662748464499</v>
      </c>
      <c r="F1263" s="47">
        <v>1225.4917170414999</v>
      </c>
      <c r="G1263" s="47">
        <v>8486.47898503137</v>
      </c>
    </row>
    <row r="1264" spans="2:7" x14ac:dyDescent="0.25">
      <c r="B1264" s="49"/>
      <c r="C1264" s="89"/>
      <c r="D1264" s="89"/>
      <c r="E1264" s="47">
        <v>1866.99557601484</v>
      </c>
      <c r="F1264" s="47">
        <v>1226.76968167276</v>
      </c>
      <c r="G1264" s="47">
        <v>8564.3642872750206</v>
      </c>
    </row>
    <row r="1265" spans="2:7" x14ac:dyDescent="0.25">
      <c r="B1265" s="49"/>
      <c r="C1265" s="89"/>
      <c r="D1265" s="89"/>
      <c r="E1265" s="47">
        <v>1882.3960496391901</v>
      </c>
      <c r="F1265" s="47">
        <v>1227.6985456222999</v>
      </c>
      <c r="G1265" s="47">
        <v>8626.6928462504602</v>
      </c>
    </row>
    <row r="1266" spans="2:7" x14ac:dyDescent="0.25">
      <c r="B1266" s="49"/>
      <c r="C1266" s="89"/>
      <c r="D1266" s="89"/>
      <c r="E1266" s="47">
        <v>1901.74759152856</v>
      </c>
      <c r="F1266" s="47">
        <v>1228.37074663161</v>
      </c>
      <c r="G1266" s="47">
        <v>8678.7735066928708</v>
      </c>
    </row>
    <row r="1267" spans="2:7" x14ac:dyDescent="0.25">
      <c r="B1267" s="49"/>
      <c r="C1267" s="89"/>
      <c r="D1267" s="89"/>
      <c r="E1267" s="47">
        <v>1925.52167131749</v>
      </c>
      <c r="F1267" s="47">
        <v>1228.8427799022199</v>
      </c>
      <c r="G1267" s="47">
        <v>8724.0023591590707</v>
      </c>
    </row>
    <row r="1268" spans="2:7" x14ac:dyDescent="0.25">
      <c r="B1268" s="49"/>
      <c r="C1268" s="89"/>
      <c r="D1268" s="89"/>
      <c r="E1268" s="47">
        <v>1954.17959753882</v>
      </c>
      <c r="F1268" s="47">
        <v>1229.15139174555</v>
      </c>
      <c r="G1268" s="47">
        <v>8764.7195402240704</v>
      </c>
    </row>
    <row r="1269" spans="2:7" x14ac:dyDescent="0.25">
      <c r="B1269" s="49"/>
      <c r="C1269" s="89"/>
      <c r="D1269" s="89"/>
      <c r="E1269" s="47">
        <v>1988.18107236796</v>
      </c>
      <c r="F1269" s="47">
        <v>1229.32090316528</v>
      </c>
      <c r="G1269" s="47">
        <v>8802.6051262773799</v>
      </c>
    </row>
    <row r="1270" spans="2:7" x14ac:dyDescent="0.25">
      <c r="B1270" s="49"/>
      <c r="C1270" s="89"/>
      <c r="D1270" s="89">
        <v>500</v>
      </c>
      <c r="E1270" s="47">
        <v>1836.124889206</v>
      </c>
      <c r="F1270" s="47">
        <v>1506.83332432201</v>
      </c>
      <c r="G1270" s="47">
        <v>8441.6934863287897</v>
      </c>
    </row>
    <row r="1271" spans="2:7" x14ac:dyDescent="0.25">
      <c r="B1271" s="49"/>
      <c r="C1271" s="89"/>
      <c r="D1271" s="89"/>
      <c r="E1271" s="47">
        <v>1840.37193666487</v>
      </c>
      <c r="F1271" s="47">
        <v>1512.3203209006499</v>
      </c>
      <c r="G1271" s="47">
        <v>8677.9922555827106</v>
      </c>
    </row>
    <row r="1272" spans="2:7" x14ac:dyDescent="0.25">
      <c r="B1272" s="49"/>
      <c r="C1272" s="89"/>
      <c r="D1272" s="89"/>
      <c r="E1272" s="47">
        <v>1846.4674643056101</v>
      </c>
      <c r="F1272" s="47">
        <v>1515.8547252547901</v>
      </c>
      <c r="G1272" s="47">
        <v>8833.0474356529303</v>
      </c>
    </row>
    <row r="1273" spans="2:7" x14ac:dyDescent="0.25">
      <c r="B1273" s="49"/>
      <c r="C1273" s="89"/>
      <c r="D1273" s="89"/>
      <c r="E1273" s="47">
        <v>1855.07838305532</v>
      </c>
      <c r="F1273" s="47">
        <v>1518.29767699996</v>
      </c>
      <c r="G1273" s="47">
        <v>8943.9529140080103</v>
      </c>
    </row>
    <row r="1274" spans="2:7" x14ac:dyDescent="0.25">
      <c r="B1274" s="49"/>
      <c r="C1274" s="89"/>
      <c r="D1274" s="89"/>
      <c r="E1274" s="47">
        <v>1866.7419178851301</v>
      </c>
      <c r="F1274" s="47">
        <v>1520.0535477752401</v>
      </c>
      <c r="G1274" s="47">
        <v>9028.3166892727295</v>
      </c>
    </row>
    <row r="1275" spans="2:7" x14ac:dyDescent="0.25">
      <c r="B1275" s="49"/>
      <c r="C1275" s="89"/>
      <c r="D1275" s="89"/>
      <c r="E1275" s="47">
        <v>1881.93134673228</v>
      </c>
      <c r="F1275" s="47">
        <v>1521.3390960315</v>
      </c>
      <c r="G1275" s="47">
        <v>9095.7335016264606</v>
      </c>
    </row>
    <row r="1276" spans="2:7" x14ac:dyDescent="0.25">
      <c r="B1276" s="49"/>
      <c r="C1276" s="89"/>
      <c r="D1276" s="89"/>
      <c r="E1276" s="47">
        <v>1901.10214676488</v>
      </c>
      <c r="F1276" s="47">
        <v>1522.2810186931099</v>
      </c>
      <c r="G1276" s="47">
        <v>9151.9630270868292</v>
      </c>
    </row>
    <row r="1277" spans="2:7" x14ac:dyDescent="0.25">
      <c r="B1277" s="49"/>
      <c r="C1277" s="89"/>
      <c r="D1277" s="89"/>
      <c r="E1277" s="47">
        <v>1924.7185573945101</v>
      </c>
      <c r="F1277" s="47">
        <v>1522.95648524904</v>
      </c>
      <c r="G1277" s="47">
        <v>9200.6726261571093</v>
      </c>
    </row>
    <row r="1278" spans="2:7" x14ac:dyDescent="0.25">
      <c r="B1278" s="49"/>
      <c r="C1278" s="89"/>
      <c r="D1278" s="89"/>
      <c r="E1278" s="47">
        <v>1953.2351750918299</v>
      </c>
      <c r="F1278" s="47">
        <v>1523.4158543604101</v>
      </c>
      <c r="G1278" s="47">
        <v>9244.3840734547994</v>
      </c>
    </row>
    <row r="1279" spans="2:7" x14ac:dyDescent="0.25">
      <c r="B1279" s="49"/>
      <c r="C1279" s="89"/>
      <c r="D1279" s="89"/>
      <c r="E1279" s="47">
        <v>1987.1043359284799</v>
      </c>
      <c r="F1279" s="47">
        <v>1523.69267275983</v>
      </c>
      <c r="G1279" s="47">
        <v>9284.9042040627901</v>
      </c>
    </row>
    <row r="1280" spans="2:7" x14ac:dyDescent="0.25">
      <c r="B1280" s="49"/>
      <c r="C1280" s="89"/>
      <c r="D1280" s="89">
        <v>600</v>
      </c>
      <c r="E1280" s="47">
        <v>1836.3222255606099</v>
      </c>
      <c r="F1280" s="47">
        <v>1791.1133918251801</v>
      </c>
      <c r="G1280" s="47">
        <v>8870.8437793646208</v>
      </c>
    </row>
    <row r="1281" spans="2:7" x14ac:dyDescent="0.25">
      <c r="B1281" s="49"/>
      <c r="C1281" s="89"/>
      <c r="D1281" s="89"/>
      <c r="E1281" s="47">
        <v>1839.8104043081901</v>
      </c>
      <c r="F1281" s="47">
        <v>1798.25756639985</v>
      </c>
      <c r="G1281" s="47">
        <v>9126.2406980920096</v>
      </c>
    </row>
    <row r="1282" spans="2:7" x14ac:dyDescent="0.25">
      <c r="B1282" s="49"/>
      <c r="C1282" s="89"/>
      <c r="D1282" s="89"/>
      <c r="E1282" s="47">
        <v>1845.4079769111299</v>
      </c>
      <c r="F1282" s="47">
        <v>1802.8331663015599</v>
      </c>
      <c r="G1282" s="47">
        <v>9292.6615649498108</v>
      </c>
    </row>
    <row r="1283" spans="2:7" x14ac:dyDescent="0.25">
      <c r="B1283" s="49"/>
      <c r="C1283" s="89"/>
      <c r="D1283" s="89"/>
      <c r="E1283" s="47">
        <v>1853.6692042992699</v>
      </c>
      <c r="F1283" s="47">
        <v>1806.0035560500401</v>
      </c>
      <c r="G1283" s="47">
        <v>9411.69263795603</v>
      </c>
    </row>
    <row r="1284" spans="2:7" x14ac:dyDescent="0.25">
      <c r="B1284" s="49"/>
      <c r="C1284" s="89"/>
      <c r="D1284" s="89"/>
      <c r="E1284" s="47">
        <v>1865.06387926708</v>
      </c>
      <c r="F1284" s="47">
        <v>1808.29253211225</v>
      </c>
      <c r="G1284" s="47">
        <v>9502.2435046418195</v>
      </c>
    </row>
    <row r="1285" spans="2:7" x14ac:dyDescent="0.25">
      <c r="B1285" s="49"/>
      <c r="C1285" s="89"/>
      <c r="D1285" s="89"/>
      <c r="E1285" s="47">
        <v>1880.03979200455</v>
      </c>
      <c r="F1285" s="47">
        <v>1809.9797658770999</v>
      </c>
      <c r="G1285" s="47">
        <v>9574.5772139261899</v>
      </c>
    </row>
    <row r="1286" spans="2:7" x14ac:dyDescent="0.25">
      <c r="B1286" s="49"/>
      <c r="C1286" s="89"/>
      <c r="D1286" s="89"/>
      <c r="E1286" s="47">
        <v>1899.0297611460101</v>
      </c>
      <c r="F1286" s="47">
        <v>1811.22982088242</v>
      </c>
      <c r="G1286" s="47">
        <v>9634.8757330824901</v>
      </c>
    </row>
    <row r="1287" spans="2:7" x14ac:dyDescent="0.25">
      <c r="B1287" s="49"/>
      <c r="C1287" s="89"/>
      <c r="D1287" s="89"/>
      <c r="E1287" s="47">
        <v>1922.4894926811601</v>
      </c>
      <c r="F1287" s="47">
        <v>1812.1420477063</v>
      </c>
      <c r="G1287" s="47">
        <v>9687.0371810651504</v>
      </c>
    </row>
    <row r="1288" spans="2:7" x14ac:dyDescent="0.25">
      <c r="B1288" s="49"/>
      <c r="C1288" s="89"/>
      <c r="D1288" s="89"/>
      <c r="E1288" s="47">
        <v>1950.8639546294501</v>
      </c>
      <c r="F1288" s="47">
        <v>1812.7816706605299</v>
      </c>
      <c r="G1288" s="47">
        <v>9733.7440738973601</v>
      </c>
    </row>
    <row r="1289" spans="2:7" x14ac:dyDescent="0.25">
      <c r="B1289" s="49"/>
      <c r="C1289" s="89"/>
      <c r="D1289" s="89"/>
      <c r="E1289" s="47">
        <v>1984.6007945205099</v>
      </c>
      <c r="F1289" s="47">
        <v>1813.1923018038899</v>
      </c>
      <c r="G1289" s="47">
        <v>9776.9176234360893</v>
      </c>
    </row>
    <row r="1290" spans="2:7" x14ac:dyDescent="0.25">
      <c r="B1290" s="49"/>
      <c r="C1290" s="89"/>
      <c r="D1290" s="89">
        <v>700</v>
      </c>
      <c r="E1290" s="47">
        <v>1835.2501669675501</v>
      </c>
      <c r="F1290" s="47">
        <v>2069.9459495239698</v>
      </c>
      <c r="G1290" s="47">
        <v>9306.3640167769408</v>
      </c>
    </row>
    <row r="1291" spans="2:7" x14ac:dyDescent="0.25">
      <c r="B1291" s="49"/>
      <c r="C1291" s="89"/>
      <c r="D1291" s="89"/>
      <c r="E1291" s="47">
        <v>1837.97793994322</v>
      </c>
      <c r="F1291" s="47">
        <v>2078.9084337736299</v>
      </c>
      <c r="G1291" s="47">
        <v>9580.0865020806705</v>
      </c>
    </row>
    <row r="1292" spans="2:7" x14ac:dyDescent="0.25">
      <c r="B1292" s="49"/>
      <c r="C1292" s="89"/>
      <c r="D1292" s="89"/>
      <c r="E1292" s="47">
        <v>1843.0669003969299</v>
      </c>
      <c r="F1292" s="47">
        <v>2084.6925328890402</v>
      </c>
      <c r="G1292" s="47">
        <v>9759.5555822357601</v>
      </c>
    </row>
    <row r="1293" spans="2:7" x14ac:dyDescent="0.25">
      <c r="B1293" s="49"/>
      <c r="C1293" s="89"/>
      <c r="D1293" s="89"/>
      <c r="E1293" s="47">
        <v>1850.96711689872</v>
      </c>
      <c r="F1293" s="47">
        <v>2088.7069743187399</v>
      </c>
      <c r="G1293" s="47">
        <v>9887.8226974856207</v>
      </c>
    </row>
    <row r="1294" spans="2:7" x14ac:dyDescent="0.25">
      <c r="B1294" s="49"/>
      <c r="C1294" s="89"/>
      <c r="D1294" s="89"/>
      <c r="E1294" s="47">
        <v>1862.0841526475299</v>
      </c>
      <c r="F1294" s="47">
        <v>2091.6146456001102</v>
      </c>
      <c r="G1294" s="47">
        <v>9985.3083595607895</v>
      </c>
    </row>
    <row r="1295" spans="2:7" x14ac:dyDescent="0.25">
      <c r="B1295" s="49"/>
      <c r="C1295" s="89"/>
      <c r="D1295" s="89"/>
      <c r="E1295" s="47">
        <v>1876.83885200287</v>
      </c>
      <c r="F1295" s="47">
        <v>2093.7687507268301</v>
      </c>
      <c r="G1295" s="47">
        <v>10063.0667774433</v>
      </c>
    </row>
    <row r="1296" spans="2:7" x14ac:dyDescent="0.25">
      <c r="B1296" s="49"/>
      <c r="C1296" s="89"/>
      <c r="D1296" s="89"/>
      <c r="E1296" s="47">
        <v>1895.6441178340001</v>
      </c>
      <c r="F1296" s="47">
        <v>2095.3773266990202</v>
      </c>
      <c r="G1296" s="47">
        <v>10127.748025975099</v>
      </c>
    </row>
    <row r="1297" spans="2:7" x14ac:dyDescent="0.25">
      <c r="B1297" s="49"/>
      <c r="C1297" s="89"/>
      <c r="D1297" s="89"/>
      <c r="E1297" s="47">
        <v>1918.9436619488899</v>
      </c>
      <c r="F1297" s="47">
        <v>2096.5671096206001</v>
      </c>
      <c r="G1297" s="47">
        <v>10183.5673727548</v>
      </c>
    </row>
    <row r="1298" spans="2:7" x14ac:dyDescent="0.25">
      <c r="B1298" s="49"/>
      <c r="C1298" s="89"/>
      <c r="D1298" s="89"/>
      <c r="E1298" s="47">
        <v>1947.1749142418</v>
      </c>
      <c r="F1298" s="47">
        <v>2097.42072417497</v>
      </c>
      <c r="G1298" s="47">
        <v>10233.3983349684</v>
      </c>
    </row>
    <row r="1299" spans="2:7" x14ac:dyDescent="0.25">
      <c r="B1299" s="49"/>
      <c r="C1299" s="89"/>
      <c r="D1299" s="89"/>
      <c r="E1299" s="47">
        <v>1980.77978199015</v>
      </c>
      <c r="F1299" s="47">
        <v>2097.9937084145699</v>
      </c>
      <c r="G1299" s="47">
        <v>10279.298029849</v>
      </c>
    </row>
    <row r="1300" spans="2:7" x14ac:dyDescent="0.25">
      <c r="B1300" s="49"/>
      <c r="C1300" s="89"/>
      <c r="D1300" s="89">
        <v>800</v>
      </c>
      <c r="E1300" s="47">
        <v>1833.0163071972399</v>
      </c>
      <c r="F1300" s="47">
        <v>2343.5247742548099</v>
      </c>
      <c r="G1300" s="47">
        <v>9750.6695548030202</v>
      </c>
    </row>
    <row r="1301" spans="2:7" x14ac:dyDescent="0.25">
      <c r="B1301" s="49"/>
      <c r="C1301" s="89"/>
      <c r="D1301" s="89"/>
      <c r="E1301" s="47">
        <v>1834.96484958669</v>
      </c>
      <c r="F1301" s="47">
        <v>2354.5036539282801</v>
      </c>
      <c r="G1301" s="47">
        <v>10043.198061253301</v>
      </c>
    </row>
    <row r="1302" spans="2:7" x14ac:dyDescent="0.25">
      <c r="B1302" s="49"/>
      <c r="C1302" s="89"/>
      <c r="D1302" s="89"/>
      <c r="E1302" s="47">
        <v>1839.5440481763801</v>
      </c>
      <c r="F1302" s="47">
        <v>2361.5929736121798</v>
      </c>
      <c r="G1302" s="47">
        <v>10234.9012510458</v>
      </c>
    </row>
    <row r="1303" spans="2:7" x14ac:dyDescent="0.25">
      <c r="B1303" s="49"/>
      <c r="C1303" s="89"/>
      <c r="D1303" s="89"/>
      <c r="E1303" s="47">
        <v>1847.08035456737</v>
      </c>
      <c r="F1303" s="47">
        <v>2366.5222455063099</v>
      </c>
      <c r="G1303" s="47">
        <v>10371.8874304201</v>
      </c>
    </row>
    <row r="1304" spans="2:7" x14ac:dyDescent="0.25">
      <c r="B1304" s="49"/>
      <c r="C1304" s="89"/>
      <c r="D1304" s="89"/>
      <c r="E1304" s="47">
        <v>1857.91736059509</v>
      </c>
      <c r="F1304" s="47">
        <v>2370.1041892727699</v>
      </c>
      <c r="G1304" s="47">
        <v>10475.9825579311</v>
      </c>
    </row>
    <row r="1305" spans="2:7" x14ac:dyDescent="0.25">
      <c r="B1305" s="49"/>
      <c r="C1305" s="89"/>
      <c r="D1305" s="89"/>
      <c r="E1305" s="47">
        <v>1872.4485062572301</v>
      </c>
      <c r="F1305" s="47">
        <v>2372.77169561952</v>
      </c>
      <c r="G1305" s="47">
        <v>10558.99084042</v>
      </c>
    </row>
    <row r="1306" spans="2:7" x14ac:dyDescent="0.25">
      <c r="B1306" s="49"/>
      <c r="C1306" s="89"/>
      <c r="D1306" s="89"/>
      <c r="E1306" s="47">
        <v>1891.06527798914</v>
      </c>
      <c r="F1306" s="47">
        <v>2374.7792324975799</v>
      </c>
      <c r="G1306" s="47">
        <v>10627.985984871801</v>
      </c>
    </row>
    <row r="1307" spans="2:7" x14ac:dyDescent="0.25">
      <c r="B1307" s="49"/>
      <c r="C1307" s="89"/>
      <c r="D1307" s="89"/>
      <c r="E1307" s="47">
        <v>1914.2024533316701</v>
      </c>
      <c r="F1307" s="47">
        <v>2376.2818081887499</v>
      </c>
      <c r="G1307" s="47">
        <v>10687.4446796459</v>
      </c>
    </row>
    <row r="1308" spans="2:7" x14ac:dyDescent="0.25">
      <c r="B1308" s="49"/>
      <c r="C1308" s="89"/>
      <c r="D1308" s="89"/>
      <c r="E1308" s="47">
        <v>1942.2897139966699</v>
      </c>
      <c r="F1308" s="47">
        <v>2377.3810125775599</v>
      </c>
      <c r="G1308" s="47">
        <v>10740.423279368701</v>
      </c>
    </row>
    <row r="1309" spans="2:7" x14ac:dyDescent="0.25">
      <c r="B1309" s="49"/>
      <c r="C1309" s="89"/>
      <c r="D1309" s="89"/>
      <c r="E1309" s="47">
        <v>1975.76270382492</v>
      </c>
      <c r="F1309" s="47">
        <v>2378.1449091396298</v>
      </c>
      <c r="G1309" s="47">
        <v>10789.0949553185</v>
      </c>
    </row>
    <row r="1310" spans="2:7" x14ac:dyDescent="0.25">
      <c r="B1310" s="49"/>
      <c r="C1310" s="89"/>
      <c r="D1310" s="89">
        <v>900</v>
      </c>
      <c r="E1310" s="47">
        <v>1829.7195691263601</v>
      </c>
      <c r="F1310" s="47">
        <v>2611.8966969332701</v>
      </c>
      <c r="G1310" s="47">
        <v>10201.6757054725</v>
      </c>
    </row>
    <row r="1311" spans="2:7" x14ac:dyDescent="0.25">
      <c r="B1311" s="49"/>
      <c r="C1311" s="89"/>
      <c r="D1311" s="89"/>
      <c r="E1311" s="47">
        <v>1830.8668003888599</v>
      </c>
      <c r="F1311" s="47">
        <v>2625.12826038199</v>
      </c>
      <c r="G1311" s="47">
        <v>10514.221942448499</v>
      </c>
    </row>
    <row r="1312" spans="2:7" x14ac:dyDescent="0.25">
      <c r="B1312" s="49"/>
      <c r="C1312" s="89"/>
      <c r="D1312" s="89"/>
      <c r="E1312" s="47">
        <v>1834.9163205310099</v>
      </c>
      <c r="F1312" s="47">
        <v>2633.6812894631298</v>
      </c>
      <c r="G1312" s="47">
        <v>10719.0544005354</v>
      </c>
    </row>
    <row r="1313" spans="2:7" x14ac:dyDescent="0.25">
      <c r="B1313" s="49"/>
      <c r="C1313" s="89"/>
      <c r="D1313" s="89"/>
      <c r="E1313" s="47">
        <v>1842.07445705131</v>
      </c>
      <c r="F1313" s="47">
        <v>2639.6372864068599</v>
      </c>
      <c r="G1313" s="47">
        <v>10865.372512308601</v>
      </c>
    </row>
    <row r="1314" spans="2:7" x14ac:dyDescent="0.25">
      <c r="B1314" s="49"/>
      <c r="C1314" s="89"/>
      <c r="D1314" s="89"/>
      <c r="E1314" s="47">
        <v>1852.6272723817101</v>
      </c>
      <c r="F1314" s="47">
        <v>2643.9660696665401</v>
      </c>
      <c r="G1314" s="47">
        <v>10976.2581554231</v>
      </c>
    </row>
    <row r="1315" spans="2:7" x14ac:dyDescent="0.25">
      <c r="B1315" s="49"/>
      <c r="C1315" s="89"/>
      <c r="D1315" s="89"/>
      <c r="E1315" s="47">
        <v>1866.93596687525</v>
      </c>
      <c r="F1315" s="47">
        <v>2647.1989389967198</v>
      </c>
      <c r="G1315" s="47">
        <v>11064.530102012999</v>
      </c>
    </row>
    <row r="1316" spans="2:7" x14ac:dyDescent="0.25">
      <c r="B1316" s="49"/>
      <c r="C1316" s="89"/>
      <c r="D1316" s="89"/>
      <c r="E1316" s="47">
        <v>1885.3664379822901</v>
      </c>
      <c r="F1316" s="47">
        <v>2649.6473674425001</v>
      </c>
      <c r="G1316" s="47">
        <v>11137.8326275951</v>
      </c>
    </row>
    <row r="1317" spans="2:7" x14ac:dyDescent="0.25">
      <c r="B1317" s="49"/>
      <c r="C1317" s="89"/>
      <c r="D1317" s="89"/>
      <c r="E1317" s="47">
        <v>1908.34258541959</v>
      </c>
      <c r="F1317" s="47">
        <v>2651.4978238457202</v>
      </c>
      <c r="G1317" s="47">
        <v>11200.917322862</v>
      </c>
    </row>
    <row r="1318" spans="2:7" x14ac:dyDescent="0.25">
      <c r="B1318" s="49"/>
      <c r="C1318" s="89"/>
      <c r="D1318" s="89"/>
      <c r="E1318" s="47">
        <v>1936.28744854396</v>
      </c>
      <c r="F1318" s="47">
        <v>2652.8724644914901</v>
      </c>
      <c r="G1318" s="47">
        <v>11257.0199179667</v>
      </c>
    </row>
    <row r="1319" spans="2:7" x14ac:dyDescent="0.25">
      <c r="B1319" s="49"/>
      <c r="C1319" s="89"/>
      <c r="D1319" s="89"/>
      <c r="E1319" s="47">
        <v>1969.63069025698</v>
      </c>
      <c r="F1319" s="47">
        <v>2653.8536157485601</v>
      </c>
      <c r="G1319" s="47">
        <v>11308.443783676799</v>
      </c>
    </row>
    <row r="1320" spans="2:7" x14ac:dyDescent="0.25">
      <c r="B1320" s="49"/>
      <c r="C1320" s="89"/>
      <c r="D1320" s="89">
        <v>1000</v>
      </c>
      <c r="E1320" s="47">
        <v>1825.4184136850999</v>
      </c>
      <c r="F1320" s="47">
        <v>2875.2458187501702</v>
      </c>
      <c r="G1320" s="47">
        <v>10661.041312188499</v>
      </c>
    </row>
    <row r="1321" spans="2:7" x14ac:dyDescent="0.25">
      <c r="B1321" s="49"/>
      <c r="C1321" s="89"/>
      <c r="D1321" s="89"/>
      <c r="E1321" s="47">
        <v>1825.75371820756</v>
      </c>
      <c r="F1321" s="47">
        <v>2890.90625008194</v>
      </c>
      <c r="G1321" s="47">
        <v>10993.1834776614</v>
      </c>
    </row>
    <row r="1322" spans="2:7" x14ac:dyDescent="0.25">
      <c r="B1322" s="49"/>
      <c r="C1322" s="89"/>
      <c r="D1322" s="89"/>
      <c r="E1322" s="47">
        <v>1829.27934833624</v>
      </c>
      <c r="F1322" s="47">
        <v>2901.0364766139601</v>
      </c>
      <c r="G1322" s="47">
        <v>11210.835448685</v>
      </c>
    </row>
    <row r="1323" spans="2:7" x14ac:dyDescent="0.25">
      <c r="B1323" s="49"/>
      <c r="C1323" s="89"/>
      <c r="D1323" s="89"/>
      <c r="E1323" s="47">
        <v>1836.06420248926</v>
      </c>
      <c r="F1323" s="47">
        <v>2908.0983610225198</v>
      </c>
      <c r="G1323" s="47">
        <v>11366.2338872174</v>
      </c>
    </row>
    <row r="1324" spans="2:7" x14ac:dyDescent="0.25">
      <c r="B1324" s="49"/>
      <c r="C1324" s="89"/>
      <c r="D1324" s="89"/>
      <c r="E1324" s="47">
        <v>1846.3315448809501</v>
      </c>
      <c r="F1324" s="47">
        <v>2913.25453281419</v>
      </c>
      <c r="G1324" s="47">
        <v>11484.207495492599</v>
      </c>
    </row>
    <row r="1325" spans="2:7" x14ac:dyDescent="0.25">
      <c r="B1325" s="49"/>
      <c r="C1325" s="89"/>
      <c r="D1325" s="89"/>
      <c r="E1325" s="47">
        <v>1860.4082316000199</v>
      </c>
      <c r="F1325" s="47">
        <v>2917.1239830638601</v>
      </c>
      <c r="G1325" s="47">
        <v>11578.1517606254</v>
      </c>
    </row>
    <row r="1326" spans="2:7" x14ac:dyDescent="0.25">
      <c r="B1326" s="49"/>
      <c r="C1326" s="89"/>
      <c r="D1326" s="89"/>
      <c r="E1326" s="47">
        <v>1878.64745526211</v>
      </c>
      <c r="F1326" s="47">
        <v>2920.0693902442199</v>
      </c>
      <c r="G1326" s="47">
        <v>11656.051426362301</v>
      </c>
    </row>
    <row r="1327" spans="2:7" x14ac:dyDescent="0.25">
      <c r="B1327" s="49"/>
      <c r="C1327" s="89"/>
      <c r="D1327" s="89"/>
      <c r="E1327" s="47">
        <v>1901.4622659194899</v>
      </c>
      <c r="F1327" s="47">
        <v>2922.31304076677</v>
      </c>
      <c r="G1327" s="47">
        <v>11722.9684582138</v>
      </c>
    </row>
    <row r="1328" spans="2:7" x14ac:dyDescent="0.25">
      <c r="B1328" s="49"/>
      <c r="C1328" s="89"/>
      <c r="D1328" s="89"/>
      <c r="E1328" s="47">
        <v>1929.2647792494899</v>
      </c>
      <c r="F1328" s="47">
        <v>2924.00000315733</v>
      </c>
      <c r="G1328" s="47">
        <v>11782.326776432001</v>
      </c>
    </row>
    <row r="1329" spans="2:7" x14ac:dyDescent="0.25">
      <c r="B1329" s="49"/>
      <c r="C1329" s="89"/>
      <c r="D1329" s="89"/>
      <c r="E1329" s="47">
        <v>1962.47193587524</v>
      </c>
      <c r="F1329" s="47">
        <v>2925.2307510792898</v>
      </c>
      <c r="G1329" s="47">
        <v>11836.609126586</v>
      </c>
    </row>
    <row r="1330" spans="2:7" x14ac:dyDescent="0.25">
      <c r="B1330" s="49"/>
      <c r="C1330" s="89"/>
      <c r="D1330" s="89">
        <v>1100</v>
      </c>
      <c r="E1330" s="47">
        <v>1820.21970907949</v>
      </c>
      <c r="F1330" s="47">
        <v>3133.5307454855101</v>
      </c>
      <c r="G1330" s="47">
        <v>11125.538295332</v>
      </c>
    </row>
    <row r="1331" spans="2:7" x14ac:dyDescent="0.25">
      <c r="B1331" s="49"/>
      <c r="C1331" s="89"/>
      <c r="D1331" s="89"/>
      <c r="E1331" s="47">
        <v>1819.71152592882</v>
      </c>
      <c r="F1331" s="47">
        <v>3151.9579616759402</v>
      </c>
      <c r="G1331" s="47">
        <v>11480.0655586925</v>
      </c>
    </row>
    <row r="1332" spans="2:7" x14ac:dyDescent="0.25">
      <c r="B1332" s="49"/>
      <c r="C1332" s="89"/>
      <c r="D1332" s="89"/>
      <c r="E1332" s="47">
        <v>1822.6980935018601</v>
      </c>
      <c r="F1332" s="47">
        <v>3163.82958039292</v>
      </c>
      <c r="G1332" s="47">
        <v>11711.271691469999</v>
      </c>
    </row>
    <row r="1333" spans="2:7" x14ac:dyDescent="0.25">
      <c r="B1333" s="49"/>
      <c r="C1333" s="89"/>
      <c r="D1333" s="89"/>
      <c r="E1333" s="47">
        <v>1829.1046871917499</v>
      </c>
      <c r="F1333" s="47">
        <v>3172.0937861192601</v>
      </c>
      <c r="G1333" s="47">
        <v>11875.892692334</v>
      </c>
    </row>
    <row r="1334" spans="2:7" x14ac:dyDescent="0.25">
      <c r="B1334" s="49"/>
      <c r="C1334" s="89"/>
      <c r="D1334" s="89"/>
      <c r="E1334" s="47">
        <v>1839.08576607699</v>
      </c>
      <c r="F1334" s="47">
        <v>3178.1387359824298</v>
      </c>
      <c r="G1334" s="47">
        <v>12000.801413544499</v>
      </c>
    </row>
    <row r="1335" spans="2:7" x14ac:dyDescent="0.25">
      <c r="B1335" s="49"/>
      <c r="C1335" s="89"/>
      <c r="D1335" s="89"/>
      <c r="E1335" s="47">
        <v>1852.9316840164399</v>
      </c>
      <c r="F1335" s="47">
        <v>3182.6886937928898</v>
      </c>
      <c r="G1335" s="47">
        <v>12100.1965186372</v>
      </c>
    </row>
    <row r="1336" spans="2:7" x14ac:dyDescent="0.25">
      <c r="B1336" s="49"/>
      <c r="C1336" s="89"/>
      <c r="D1336" s="89"/>
      <c r="E1336" s="47">
        <v>1870.98397065566</v>
      </c>
      <c r="F1336" s="47">
        <v>3186.1676553841899</v>
      </c>
      <c r="G1336" s="47">
        <v>12182.5350871261</v>
      </c>
    </row>
    <row r="1337" spans="2:7" x14ac:dyDescent="0.25">
      <c r="B1337" s="49"/>
      <c r="C1337" s="89"/>
      <c r="D1337" s="89"/>
      <c r="E1337" s="47">
        <v>1893.6394711841499</v>
      </c>
      <c r="F1337" s="47">
        <v>3188.8362121944301</v>
      </c>
      <c r="G1337" s="47">
        <v>12253.1743761526</v>
      </c>
    </row>
    <row r="1338" spans="2:7" x14ac:dyDescent="0.25">
      <c r="B1338" s="49"/>
      <c r="C1338" s="89"/>
      <c r="D1338" s="89"/>
      <c r="E1338" s="47">
        <v>1921.3002943722499</v>
      </c>
      <c r="F1338" s="47">
        <v>3190.8652866675702</v>
      </c>
      <c r="G1338" s="47">
        <v>12315.748018377701</v>
      </c>
    </row>
    <row r="1339" spans="2:7" x14ac:dyDescent="0.25">
      <c r="B1339" s="49"/>
      <c r="C1339" s="89"/>
      <c r="D1339" s="89"/>
      <c r="E1339" s="47">
        <v>1954.3693143821199</v>
      </c>
      <c r="F1339" s="47">
        <v>3192.3728905702801</v>
      </c>
      <c r="G1339" s="47">
        <v>12372.8704876635</v>
      </c>
    </row>
    <row r="1340" spans="2:7" x14ac:dyDescent="0.25">
      <c r="B1340" s="49"/>
      <c r="C1340" s="89"/>
      <c r="D1340" s="89">
        <v>1200</v>
      </c>
      <c r="E1340" s="47">
        <v>1814.17940511336</v>
      </c>
      <c r="F1340" s="47">
        <v>3386.9156429180098</v>
      </c>
      <c r="G1340" s="47">
        <v>11596.632810826</v>
      </c>
    </row>
    <row r="1341" spans="2:7" x14ac:dyDescent="0.25">
      <c r="B1341" s="49"/>
      <c r="C1341" s="89"/>
      <c r="D1341" s="89"/>
      <c r="E1341" s="47">
        <v>1812.8408027282501</v>
      </c>
      <c r="F1341" s="47">
        <v>3408.2309272226598</v>
      </c>
      <c r="G1341" s="47">
        <v>11971.8424809224</v>
      </c>
    </row>
    <row r="1342" spans="2:7" x14ac:dyDescent="0.25">
      <c r="B1342" s="49"/>
      <c r="C1342" s="89"/>
      <c r="D1342" s="89"/>
      <c r="E1342" s="47">
        <v>1815.2753922331999</v>
      </c>
      <c r="F1342" s="47">
        <v>3422.0237911640202</v>
      </c>
      <c r="G1342" s="47">
        <v>12217.4290373125</v>
      </c>
    </row>
    <row r="1343" spans="2:7" x14ac:dyDescent="0.25">
      <c r="B1343" s="49"/>
      <c r="C1343" s="89"/>
      <c r="D1343" s="89"/>
      <c r="E1343" s="47">
        <v>1821.2813193893501</v>
      </c>
      <c r="F1343" s="47">
        <v>3431.6533547315198</v>
      </c>
      <c r="G1343" s="47">
        <v>12392.539253008499</v>
      </c>
    </row>
    <row r="1344" spans="2:7" x14ac:dyDescent="0.25">
      <c r="B1344" s="49"/>
      <c r="C1344" s="89"/>
      <c r="D1344" s="89"/>
      <c r="E1344" s="47">
        <v>1830.96053689366</v>
      </c>
      <c r="F1344" s="47">
        <v>3438.7056271833198</v>
      </c>
      <c r="G1344" s="47">
        <v>12525.264797050901</v>
      </c>
    </row>
    <row r="1345" spans="2:7" x14ac:dyDescent="0.25">
      <c r="B1345" s="49"/>
      <c r="C1345" s="89"/>
      <c r="D1345" s="89"/>
      <c r="E1345" s="47">
        <v>1844.56127806675</v>
      </c>
      <c r="F1345" s="47">
        <v>3444.0262888666598</v>
      </c>
      <c r="G1345" s="47">
        <v>12630.7483552256</v>
      </c>
    </row>
    <row r="1346" spans="2:7" x14ac:dyDescent="0.25">
      <c r="B1346" s="49"/>
      <c r="C1346" s="89"/>
      <c r="D1346" s="89"/>
      <c r="E1346" s="47">
        <v>1862.4220154680099</v>
      </c>
      <c r="F1346" s="47">
        <v>3448.09283972701</v>
      </c>
      <c r="G1346" s="47">
        <v>12717.7085708631</v>
      </c>
    </row>
    <row r="1347" spans="2:7" x14ac:dyDescent="0.25">
      <c r="B1347" s="49"/>
      <c r="C1347" s="89"/>
      <c r="D1347" s="89"/>
      <c r="E1347" s="47">
        <v>1884.91669123104</v>
      </c>
      <c r="F1347" s="47">
        <v>3451.2222331727799</v>
      </c>
      <c r="G1347" s="47">
        <v>12792.059362915699</v>
      </c>
    </row>
    <row r="1348" spans="2:7" x14ac:dyDescent="0.25">
      <c r="B1348" s="49"/>
      <c r="C1348" s="89"/>
      <c r="D1348" s="89"/>
      <c r="E1348" s="47">
        <v>1912.4248191101599</v>
      </c>
      <c r="F1348" s="47">
        <v>3453.6247868348601</v>
      </c>
      <c r="G1348" s="47">
        <v>12857.8355497065</v>
      </c>
    </row>
    <row r="1349" spans="2:7" x14ac:dyDescent="0.25">
      <c r="B1349" s="49"/>
      <c r="C1349" s="89"/>
      <c r="D1349" s="89"/>
      <c r="E1349" s="47">
        <v>1945.3646114440201</v>
      </c>
      <c r="F1349" s="47">
        <v>3455.4334693906499</v>
      </c>
      <c r="G1349" s="47">
        <v>12917.7401283499</v>
      </c>
    </row>
    <row r="1350" spans="2:7" x14ac:dyDescent="0.25">
      <c r="B1350" s="49"/>
      <c r="C1350" s="89">
        <v>25</v>
      </c>
      <c r="D1350" s="89">
        <v>0</v>
      </c>
      <c r="E1350" s="47">
        <v>1875.4276629036699</v>
      </c>
      <c r="F1350" s="47">
        <v>0</v>
      </c>
      <c r="G1350" s="47">
        <v>7407.0661593198902</v>
      </c>
    </row>
    <row r="1351" spans="2:7" x14ac:dyDescent="0.25">
      <c r="B1351" s="49"/>
      <c r="C1351" s="89"/>
      <c r="D1351" s="89"/>
      <c r="E1351" s="47">
        <v>1884.2332447638901</v>
      </c>
      <c r="F1351" s="47">
        <v>0</v>
      </c>
      <c r="G1351" s="47">
        <v>7425.6155929790002</v>
      </c>
    </row>
    <row r="1352" spans="2:7" x14ac:dyDescent="0.25">
      <c r="B1352" s="49"/>
      <c r="C1352" s="89"/>
      <c r="D1352" s="89"/>
      <c r="E1352" s="47">
        <v>1893.03882662411</v>
      </c>
      <c r="F1352" s="47">
        <v>0</v>
      </c>
      <c r="G1352" s="47">
        <v>7444.1650266381002</v>
      </c>
    </row>
    <row r="1353" spans="2:7" x14ac:dyDescent="0.25">
      <c r="B1353" s="49"/>
      <c r="C1353" s="89"/>
      <c r="D1353" s="89"/>
      <c r="E1353" s="47">
        <v>1903.2997576724699</v>
      </c>
      <c r="F1353" s="47">
        <v>0</v>
      </c>
      <c r="G1353" s="47">
        <v>7460.9494440280796</v>
      </c>
    </row>
    <row r="1354" spans="2:7" x14ac:dyDescent="0.25">
      <c r="B1354" s="49"/>
      <c r="C1354" s="89"/>
      <c r="D1354" s="89"/>
      <c r="E1354" s="47">
        <v>1914.04580511687</v>
      </c>
      <c r="F1354" s="47">
        <v>0</v>
      </c>
      <c r="G1354" s="47">
        <v>7477.1455226616899</v>
      </c>
    </row>
    <row r="1355" spans="2:7" x14ac:dyDescent="0.25">
      <c r="B1355" s="49"/>
      <c r="C1355" s="89"/>
      <c r="D1355" s="89"/>
      <c r="E1355" s="47">
        <v>1925.8695193983399</v>
      </c>
      <c r="F1355" s="47">
        <v>0</v>
      </c>
      <c r="G1355" s="47">
        <v>7492.5912655677503</v>
      </c>
    </row>
    <row r="1356" spans="2:7" x14ac:dyDescent="0.25">
      <c r="B1356" s="49"/>
      <c r="C1356" s="89"/>
      <c r="D1356" s="89"/>
      <c r="E1356" s="47">
        <v>1938.7709005168699</v>
      </c>
      <c r="F1356" s="47">
        <v>0</v>
      </c>
      <c r="G1356" s="47">
        <v>7507.2866727462797</v>
      </c>
    </row>
    <row r="1357" spans="2:7" x14ac:dyDescent="0.25">
      <c r="B1357" s="49"/>
      <c r="C1357" s="89"/>
      <c r="D1357" s="89"/>
      <c r="E1357" s="47">
        <v>1952.2638331642599</v>
      </c>
      <c r="F1357" s="47">
        <v>0</v>
      </c>
      <c r="G1357" s="47">
        <v>7521.7615122862999</v>
      </c>
    </row>
    <row r="1358" spans="2:7" x14ac:dyDescent="0.25">
      <c r="B1358" s="49"/>
      <c r="C1358" s="89"/>
      <c r="D1358" s="89"/>
      <c r="E1358" s="47">
        <v>1967.53142039821</v>
      </c>
      <c r="F1358" s="47">
        <v>0</v>
      </c>
      <c r="G1358" s="47">
        <v>7535.5746489107896</v>
      </c>
    </row>
    <row r="1359" spans="2:7" x14ac:dyDescent="0.25">
      <c r="B1359" s="49"/>
      <c r="C1359" s="89"/>
      <c r="D1359" s="89"/>
      <c r="E1359" s="47">
        <v>1982.7990076321701</v>
      </c>
      <c r="F1359" s="47">
        <v>0</v>
      </c>
      <c r="G1359" s="47">
        <v>7549.3877855352803</v>
      </c>
    </row>
    <row r="1360" spans="2:7" x14ac:dyDescent="0.25">
      <c r="B1360" s="49"/>
      <c r="C1360" s="89"/>
      <c r="D1360" s="89">
        <v>100</v>
      </c>
      <c r="E1360" s="47">
        <v>1851.40435278466</v>
      </c>
      <c r="F1360" s="47">
        <v>311.11763476054102</v>
      </c>
      <c r="G1360" s="47">
        <v>7726.6237207348204</v>
      </c>
    </row>
    <row r="1361" spans="2:7" x14ac:dyDescent="0.25">
      <c r="B1361" s="49"/>
      <c r="C1361" s="89"/>
      <c r="D1361" s="89"/>
      <c r="E1361" s="47">
        <v>1859.6448191184199</v>
      </c>
      <c r="F1361" s="47">
        <v>311.29835798652601</v>
      </c>
      <c r="G1361" s="47">
        <v>7771.9637740452899</v>
      </c>
    </row>
    <row r="1362" spans="2:7" x14ac:dyDescent="0.25">
      <c r="B1362" s="49"/>
      <c r="C1362" s="89"/>
      <c r="D1362" s="89"/>
      <c r="E1362" s="47">
        <v>1869.0148585382201</v>
      </c>
      <c r="F1362" s="47">
        <v>311.45316991255299</v>
      </c>
      <c r="G1362" s="47">
        <v>7812.7678175906804</v>
      </c>
    </row>
    <row r="1363" spans="2:7" x14ac:dyDescent="0.25">
      <c r="B1363" s="49"/>
      <c r="C1363" s="89"/>
      <c r="D1363" s="89"/>
      <c r="E1363" s="47">
        <v>1879.51447104406</v>
      </c>
      <c r="F1363" s="47">
        <v>311.58207053862202</v>
      </c>
      <c r="G1363" s="47">
        <v>7849.0358513709898</v>
      </c>
    </row>
    <row r="1364" spans="2:7" x14ac:dyDescent="0.25">
      <c r="B1364" s="49"/>
      <c r="C1364" s="89"/>
      <c r="D1364" s="89"/>
      <c r="E1364" s="47">
        <v>1892.61242727738</v>
      </c>
      <c r="F1364" s="47">
        <v>311.67264558733098</v>
      </c>
      <c r="G1364" s="47">
        <v>7879.3836190723096</v>
      </c>
    </row>
    <row r="1365" spans="2:7" x14ac:dyDescent="0.25">
      <c r="B1365" s="49"/>
      <c r="C1365" s="89"/>
      <c r="D1365" s="89"/>
      <c r="E1365" s="47">
        <v>1907.17203576723</v>
      </c>
      <c r="F1365" s="47">
        <v>311.74814591804198</v>
      </c>
      <c r="G1365" s="47">
        <v>7907.7766465878904</v>
      </c>
    </row>
    <row r="1366" spans="2:7" x14ac:dyDescent="0.25">
      <c r="B1366" s="49"/>
      <c r="C1366" s="89"/>
      <c r="D1366" s="89"/>
      <c r="E1366" s="47">
        <v>1923.19329651361</v>
      </c>
      <c r="F1366" s="47">
        <v>311.80857153075698</v>
      </c>
      <c r="G1366" s="47">
        <v>7934.2149339177404</v>
      </c>
    </row>
    <row r="1367" spans="2:7" x14ac:dyDescent="0.25">
      <c r="B1367" s="49"/>
      <c r="C1367" s="89"/>
      <c r="D1367" s="89"/>
      <c r="E1367" s="47">
        <v>1942.4553104071899</v>
      </c>
      <c r="F1367" s="47">
        <v>311.84404844303702</v>
      </c>
      <c r="G1367" s="47">
        <v>7958.1169087152803</v>
      </c>
    </row>
    <row r="1368" spans="2:7" x14ac:dyDescent="0.25">
      <c r="B1368" s="49"/>
      <c r="C1368" s="89"/>
      <c r="D1368" s="89"/>
      <c r="E1368" s="47">
        <v>1963.49400072514</v>
      </c>
      <c r="F1368" s="47">
        <v>311.86878780421802</v>
      </c>
      <c r="G1368" s="47">
        <v>7981.2520323304698</v>
      </c>
    </row>
    <row r="1369" spans="2:7" x14ac:dyDescent="0.25">
      <c r="B1369" s="49"/>
      <c r="C1369" s="89"/>
      <c r="D1369" s="89"/>
      <c r="E1369" s="47">
        <v>1986.3093674674701</v>
      </c>
      <c r="F1369" s="47">
        <v>311.88278961430098</v>
      </c>
      <c r="G1369" s="47">
        <v>8003.6203047633298</v>
      </c>
    </row>
    <row r="1370" spans="2:7" x14ac:dyDescent="0.25">
      <c r="B1370" s="49"/>
      <c r="C1370" s="89"/>
      <c r="D1370" s="89">
        <v>200</v>
      </c>
      <c r="E1370" s="47">
        <v>1844.9338149883699</v>
      </c>
      <c r="F1370" s="47">
        <v>615.79098922173102</v>
      </c>
      <c r="G1370" s="47">
        <v>8070.8341869433598</v>
      </c>
    </row>
    <row r="1371" spans="2:7" x14ac:dyDescent="0.25">
      <c r="B1371" s="49"/>
      <c r="C1371" s="89"/>
      <c r="D1371" s="89"/>
      <c r="E1371" s="47">
        <v>1852.08824335245</v>
      </c>
      <c r="F1371" s="47">
        <v>616.44478591138204</v>
      </c>
      <c r="G1371" s="47">
        <v>8146.2432946941799</v>
      </c>
    </row>
    <row r="1372" spans="2:7" x14ac:dyDescent="0.25">
      <c r="B1372" s="49"/>
      <c r="C1372" s="89"/>
      <c r="D1372" s="89"/>
      <c r="E1372" s="47">
        <v>1860.85964244258</v>
      </c>
      <c r="F1372" s="47">
        <v>616.96434002898695</v>
      </c>
      <c r="G1372" s="47">
        <v>8208.7910336447603</v>
      </c>
    </row>
    <row r="1373" spans="2:7" x14ac:dyDescent="0.25">
      <c r="B1373" s="49"/>
      <c r="C1373" s="89"/>
      <c r="D1373" s="89"/>
      <c r="E1373" s="47">
        <v>1871.4241137373999</v>
      </c>
      <c r="F1373" s="47">
        <v>617.37461844107895</v>
      </c>
      <c r="G1373" s="47">
        <v>8261.2750763774802</v>
      </c>
    </row>
    <row r="1374" spans="2:7" x14ac:dyDescent="0.25">
      <c r="B1374" s="49"/>
      <c r="C1374" s="89"/>
      <c r="D1374" s="89"/>
      <c r="E1374" s="47">
        <v>1883.9537161650701</v>
      </c>
      <c r="F1374" s="47">
        <v>617.69711535617705</v>
      </c>
      <c r="G1374" s="47">
        <v>8306.1213135369508</v>
      </c>
    </row>
    <row r="1375" spans="2:7" x14ac:dyDescent="0.25">
      <c r="B1375" s="49"/>
      <c r="C1375" s="89"/>
      <c r="D1375" s="89"/>
      <c r="E1375" s="47">
        <v>1899.1038340755399</v>
      </c>
      <c r="F1375" s="47">
        <v>617.93755270288705</v>
      </c>
      <c r="G1375" s="47">
        <v>8344.4939068390595</v>
      </c>
    </row>
    <row r="1376" spans="2:7" x14ac:dyDescent="0.25">
      <c r="B1376" s="49"/>
      <c r="C1376" s="89"/>
      <c r="D1376" s="89"/>
      <c r="E1376" s="47">
        <v>1917.18901089265</v>
      </c>
      <c r="F1376" s="47">
        <v>618.11422134263398</v>
      </c>
      <c r="G1376" s="47">
        <v>8378.5997838783405</v>
      </c>
    </row>
    <row r="1377" spans="2:7" x14ac:dyDescent="0.25">
      <c r="B1377" s="49"/>
      <c r="C1377" s="89"/>
      <c r="D1377" s="89"/>
      <c r="E1377" s="47">
        <v>1937.9293277425299</v>
      </c>
      <c r="F1377" s="47">
        <v>618.24524004753698</v>
      </c>
      <c r="G1377" s="47">
        <v>8410.12235408382</v>
      </c>
    </row>
    <row r="1378" spans="2:7" x14ac:dyDescent="0.25">
      <c r="B1378" s="49"/>
      <c r="C1378" s="89"/>
      <c r="D1378" s="89"/>
      <c r="E1378" s="47">
        <v>1961.48035110765</v>
      </c>
      <c r="F1378" s="47">
        <v>618.33499214329197</v>
      </c>
      <c r="G1378" s="47">
        <v>8439.6587058924306</v>
      </c>
    </row>
    <row r="1379" spans="2:7" x14ac:dyDescent="0.25">
      <c r="B1379" s="49"/>
      <c r="C1379" s="89"/>
      <c r="D1379" s="89"/>
      <c r="E1379" s="47">
        <v>1987.9969591077599</v>
      </c>
      <c r="F1379" s="47">
        <v>618.38724362308199</v>
      </c>
      <c r="G1379" s="47">
        <v>8467.7398631901906</v>
      </c>
    </row>
    <row r="1380" spans="2:7" x14ac:dyDescent="0.25">
      <c r="B1380" s="49"/>
      <c r="C1380" s="89"/>
      <c r="D1380" s="89">
        <v>300</v>
      </c>
      <c r="E1380" s="47">
        <v>1839.9314566353701</v>
      </c>
      <c r="F1380" s="47">
        <v>913.32984149353001</v>
      </c>
      <c r="G1380" s="47">
        <v>8367.4539274135295</v>
      </c>
    </row>
    <row r="1381" spans="2:7" x14ac:dyDescent="0.25">
      <c r="B1381" s="49"/>
      <c r="C1381" s="89"/>
      <c r="D1381" s="89"/>
      <c r="E1381" s="47">
        <v>1845.6485258878099</v>
      </c>
      <c r="F1381" s="47">
        <v>915.11169082188303</v>
      </c>
      <c r="G1381" s="47">
        <v>8498.2584117180104</v>
      </c>
    </row>
    <row r="1382" spans="2:7" x14ac:dyDescent="0.25">
      <c r="B1382" s="49"/>
      <c r="C1382" s="89"/>
      <c r="D1382" s="89"/>
      <c r="E1382" s="47">
        <v>1853.2570055771</v>
      </c>
      <c r="F1382" s="47">
        <v>916.409297333376</v>
      </c>
      <c r="G1382" s="47">
        <v>8596.4397800874103</v>
      </c>
    </row>
    <row r="1383" spans="2:7" x14ac:dyDescent="0.25">
      <c r="B1383" s="49"/>
      <c r="C1383" s="89"/>
      <c r="D1383" s="89"/>
      <c r="E1383" s="47">
        <v>1863.1261657806999</v>
      </c>
      <c r="F1383" s="47">
        <v>917.37614112606695</v>
      </c>
      <c r="G1383" s="47">
        <v>8673.1623257236206</v>
      </c>
    </row>
    <row r="1384" spans="2:7" x14ac:dyDescent="0.25">
      <c r="B1384" s="49"/>
      <c r="C1384" s="89"/>
      <c r="D1384" s="89"/>
      <c r="E1384" s="47">
        <v>1875.59757342325</v>
      </c>
      <c r="F1384" s="47">
        <v>918.10609492275205</v>
      </c>
      <c r="G1384" s="47">
        <v>8735.3526744873907</v>
      </c>
    </row>
    <row r="1385" spans="2:7" x14ac:dyDescent="0.25">
      <c r="B1385" s="49"/>
      <c r="C1385" s="89"/>
      <c r="D1385" s="89"/>
      <c r="E1385" s="47">
        <v>1890.99402654393</v>
      </c>
      <c r="F1385" s="47">
        <v>918.65739373232304</v>
      </c>
      <c r="G1385" s="47">
        <v>8787.4018751047897</v>
      </c>
    </row>
    <row r="1386" spans="2:7" x14ac:dyDescent="0.25">
      <c r="B1386" s="49"/>
      <c r="C1386" s="89"/>
      <c r="D1386" s="89"/>
      <c r="E1386" s="47">
        <v>1909.6272762368901</v>
      </c>
      <c r="F1386" s="47">
        <v>919.06911986563705</v>
      </c>
      <c r="G1386" s="47">
        <v>8832.3374228619705</v>
      </c>
    </row>
    <row r="1387" spans="2:7" x14ac:dyDescent="0.25">
      <c r="B1387" s="49"/>
      <c r="C1387" s="89"/>
      <c r="D1387" s="89"/>
      <c r="E1387" s="47">
        <v>1931.8044745206901</v>
      </c>
      <c r="F1387" s="47">
        <v>919.36873077351197</v>
      </c>
      <c r="G1387" s="47">
        <v>8872.3610907311304</v>
      </c>
    </row>
    <row r="1388" spans="2:7" x14ac:dyDescent="0.25">
      <c r="B1388" s="49"/>
      <c r="C1388" s="89"/>
      <c r="D1388" s="89"/>
      <c r="E1388" s="47">
        <v>1957.8325019328299</v>
      </c>
      <c r="F1388" s="47">
        <v>919.57393486744695</v>
      </c>
      <c r="G1388" s="47">
        <v>8908.9853976472896</v>
      </c>
    </row>
    <row r="1389" spans="2:7" x14ac:dyDescent="0.25">
      <c r="B1389" s="49"/>
      <c r="C1389" s="89"/>
      <c r="D1389" s="89"/>
      <c r="E1389" s="47">
        <v>1988.0185441856199</v>
      </c>
      <c r="F1389" s="47">
        <v>919.69699817674405</v>
      </c>
      <c r="G1389" s="47">
        <v>8943.3384994320895</v>
      </c>
    </row>
    <row r="1390" spans="2:7" x14ac:dyDescent="0.25">
      <c r="B1390" s="49"/>
      <c r="C1390" s="89"/>
      <c r="D1390" s="89">
        <v>400</v>
      </c>
      <c r="E1390" s="47">
        <v>1836.3220277856401</v>
      </c>
      <c r="F1390" s="47">
        <v>1202.11314894315</v>
      </c>
      <c r="G1390" s="47">
        <v>8567.0989786703303</v>
      </c>
    </row>
    <row r="1391" spans="2:7" x14ac:dyDescent="0.25">
      <c r="B1391" s="49"/>
      <c r="C1391" s="89"/>
      <c r="D1391" s="89"/>
      <c r="E1391" s="47">
        <v>1840.3509400463599</v>
      </c>
      <c r="F1391" s="47">
        <v>1206.60142481759</v>
      </c>
      <c r="G1391" s="47">
        <v>8808.4319977163996</v>
      </c>
    </row>
    <row r="1392" spans="2:7" x14ac:dyDescent="0.25">
      <c r="B1392" s="49"/>
      <c r="C1392" s="89"/>
      <c r="D1392" s="89"/>
      <c r="E1392" s="47">
        <v>1846.2941479957699</v>
      </c>
      <c r="F1392" s="47">
        <v>1209.49413594778</v>
      </c>
      <c r="G1392" s="47">
        <v>8966.8054433686393</v>
      </c>
    </row>
    <row r="1393" spans="2:7" x14ac:dyDescent="0.25">
      <c r="B1393" s="49"/>
      <c r="C1393" s="89"/>
      <c r="D1393" s="89"/>
      <c r="E1393" s="47">
        <v>1854.8103931313899</v>
      </c>
      <c r="F1393" s="47">
        <v>1211.4944845042901</v>
      </c>
      <c r="G1393" s="47">
        <v>9080.0633338662701</v>
      </c>
    </row>
    <row r="1394" spans="2:7" x14ac:dyDescent="0.25">
      <c r="B1394" s="49"/>
      <c r="C1394" s="89"/>
      <c r="D1394" s="89"/>
      <c r="E1394" s="47">
        <v>1866.39028799628</v>
      </c>
      <c r="F1394" s="47">
        <v>1212.9349761572701</v>
      </c>
      <c r="G1394" s="47">
        <v>9166.2492155334694</v>
      </c>
    </row>
    <row r="1395" spans="2:7" x14ac:dyDescent="0.25">
      <c r="B1395" s="49"/>
      <c r="C1395" s="89"/>
      <c r="D1395" s="89"/>
      <c r="E1395" s="47">
        <v>1881.51444413994</v>
      </c>
      <c r="F1395" s="47">
        <v>1213.9919805868601</v>
      </c>
      <c r="G1395" s="47">
        <v>9235.1214828616994</v>
      </c>
    </row>
    <row r="1396" spans="2:7" x14ac:dyDescent="0.25">
      <c r="B1396" s="49"/>
      <c r="C1396" s="89"/>
      <c r="D1396" s="89"/>
      <c r="E1396" s="47">
        <v>1900.63811132364</v>
      </c>
      <c r="F1396" s="47">
        <v>1214.7685265141899</v>
      </c>
      <c r="G1396" s="47">
        <v>9292.5281913691506</v>
      </c>
    </row>
    <row r="1397" spans="2:7" x14ac:dyDescent="0.25">
      <c r="B1397" s="49"/>
      <c r="C1397" s="89"/>
      <c r="D1397" s="89"/>
      <c r="E1397" s="47">
        <v>1924.21105666371</v>
      </c>
      <c r="F1397" s="47">
        <v>1215.3285474725201</v>
      </c>
      <c r="G1397" s="47">
        <v>9342.2401820676296</v>
      </c>
    </row>
    <row r="1398" spans="2:7" x14ac:dyDescent="0.25">
      <c r="B1398" s="49"/>
      <c r="C1398" s="89"/>
      <c r="D1398" s="89"/>
      <c r="E1398" s="47">
        <v>1952.6831048512699</v>
      </c>
      <c r="F1398" s="47">
        <v>1215.7136858122899</v>
      </c>
      <c r="G1398" s="47">
        <v>9386.8467818236404</v>
      </c>
    </row>
    <row r="1399" spans="2:7" x14ac:dyDescent="0.25">
      <c r="B1399" s="49"/>
      <c r="C1399" s="89"/>
      <c r="D1399" s="89"/>
      <c r="E1399" s="47">
        <v>1986.5108798490601</v>
      </c>
      <c r="F1399" s="47">
        <v>1215.95088555029</v>
      </c>
      <c r="G1399" s="47">
        <v>9428.1643382788207</v>
      </c>
    </row>
    <row r="1400" spans="2:7" x14ac:dyDescent="0.25">
      <c r="B1400" s="49"/>
      <c r="C1400" s="89"/>
      <c r="D1400" s="89">
        <v>500</v>
      </c>
      <c r="E1400" s="47">
        <v>1836.13078711087</v>
      </c>
      <c r="F1400" s="47">
        <v>1488.4442479858101</v>
      </c>
      <c r="G1400" s="47">
        <v>8997.6654145133907</v>
      </c>
    </row>
    <row r="1401" spans="2:7" x14ac:dyDescent="0.25">
      <c r="B1401" s="49"/>
      <c r="C1401" s="89"/>
      <c r="D1401" s="89"/>
      <c r="E1401" s="47">
        <v>1839.3979783422201</v>
      </c>
      <c r="F1401" s="47">
        <v>1494.5289653717</v>
      </c>
      <c r="G1401" s="47">
        <v>9258.4286030104904</v>
      </c>
    </row>
    <row r="1402" spans="2:7" x14ac:dyDescent="0.25">
      <c r="B1402" s="49"/>
      <c r="C1402" s="89"/>
      <c r="D1402" s="89"/>
      <c r="E1402" s="47">
        <v>1844.8445698957801</v>
      </c>
      <c r="F1402" s="47">
        <v>1498.4529296401099</v>
      </c>
      <c r="G1402" s="47">
        <v>9429.4190254878304</v>
      </c>
    </row>
    <row r="1403" spans="2:7" x14ac:dyDescent="0.25">
      <c r="B1403" s="49"/>
      <c r="C1403" s="89"/>
      <c r="D1403" s="89"/>
      <c r="E1403" s="47">
        <v>1853.0062233568401</v>
      </c>
      <c r="F1403" s="47">
        <v>1501.15524036901</v>
      </c>
      <c r="G1403" s="47">
        <v>9550.9183311031793</v>
      </c>
    </row>
    <row r="1404" spans="2:7" x14ac:dyDescent="0.25">
      <c r="B1404" s="49"/>
      <c r="C1404" s="89"/>
      <c r="D1404" s="89"/>
      <c r="E1404" s="47">
        <v>1864.3183822255301</v>
      </c>
      <c r="F1404" s="47">
        <v>1503.1075793478601</v>
      </c>
      <c r="G1404" s="47">
        <v>9643.2971972149899</v>
      </c>
    </row>
    <row r="1405" spans="2:7" x14ac:dyDescent="0.25">
      <c r="B1405" s="49"/>
      <c r="C1405" s="89"/>
      <c r="D1405" s="89"/>
      <c r="E1405" s="47">
        <v>1879.22633360346</v>
      </c>
      <c r="F1405" s="47">
        <v>1504.5495769296599</v>
      </c>
      <c r="G1405" s="47">
        <v>9717.0950620583098</v>
      </c>
    </row>
    <row r="1406" spans="2:7" x14ac:dyDescent="0.25">
      <c r="B1406" s="49"/>
      <c r="C1406" s="89"/>
      <c r="D1406" s="89"/>
      <c r="E1406" s="47">
        <v>1898.16811462429</v>
      </c>
      <c r="F1406" s="47">
        <v>1505.6197239701601</v>
      </c>
      <c r="G1406" s="47">
        <v>9778.5560301904807</v>
      </c>
    </row>
    <row r="1407" spans="2:7" x14ac:dyDescent="0.25">
      <c r="B1407" s="49"/>
      <c r="C1407" s="89"/>
      <c r="D1407" s="89"/>
      <c r="E1407" s="47">
        <v>1921.58472830285</v>
      </c>
      <c r="F1407" s="47">
        <v>1506.4040504448001</v>
      </c>
      <c r="G1407" s="47">
        <v>9831.7022832784405</v>
      </c>
    </row>
    <row r="1408" spans="2:7" x14ac:dyDescent="0.25">
      <c r="B1408" s="49"/>
      <c r="C1408" s="89"/>
      <c r="D1408" s="89"/>
      <c r="E1408" s="47">
        <v>1949.9140199501201</v>
      </c>
      <c r="F1408" s="47">
        <v>1506.95902371385</v>
      </c>
      <c r="G1408" s="47">
        <v>9879.2995650091798</v>
      </c>
    </row>
    <row r="1409" spans="2:7" x14ac:dyDescent="0.25">
      <c r="B1409" s="49"/>
      <c r="C1409" s="89"/>
      <c r="D1409" s="89"/>
      <c r="E1409" s="47">
        <v>1983.60935405841</v>
      </c>
      <c r="F1409" s="47">
        <v>1507.32078168621</v>
      </c>
      <c r="G1409" s="47">
        <v>9923.2655213993894</v>
      </c>
    </row>
    <row r="1410" spans="2:7" x14ac:dyDescent="0.25">
      <c r="B1410" s="49"/>
      <c r="C1410" s="89"/>
      <c r="D1410" s="89">
        <v>600</v>
      </c>
      <c r="E1410" s="47">
        <v>1834.70880996305</v>
      </c>
      <c r="F1410" s="47">
        <v>1769.3432640926701</v>
      </c>
      <c r="G1410" s="47">
        <v>9435.84517809717</v>
      </c>
    </row>
    <row r="1411" spans="2:7" x14ac:dyDescent="0.25">
      <c r="B1411" s="49"/>
      <c r="C1411" s="89"/>
      <c r="D1411" s="89"/>
      <c r="E1411" s="47">
        <v>1837.20871812428</v>
      </c>
      <c r="F1411" s="47">
        <v>1777.1844690426201</v>
      </c>
      <c r="G1411" s="47">
        <v>9714.9839052994503</v>
      </c>
    </row>
    <row r="1412" spans="2:7" x14ac:dyDescent="0.25">
      <c r="B1412" s="49"/>
      <c r="C1412" s="89"/>
      <c r="D1412" s="89"/>
      <c r="E1412" s="47">
        <v>1842.15199157091</v>
      </c>
      <c r="F1412" s="47">
        <v>1782.2469986942499</v>
      </c>
      <c r="G1412" s="47">
        <v>9898.0227789724304</v>
      </c>
    </row>
    <row r="1413" spans="2:7" x14ac:dyDescent="0.25">
      <c r="B1413" s="49"/>
      <c r="C1413" s="89"/>
      <c r="D1413" s="89"/>
      <c r="E1413" s="47">
        <v>1849.94776954341</v>
      </c>
      <c r="F1413" s="47">
        <v>1785.7625211293</v>
      </c>
      <c r="G1413" s="47">
        <v>10028.831121421301</v>
      </c>
    </row>
    <row r="1414" spans="2:7" x14ac:dyDescent="0.25">
      <c r="B1414" s="49"/>
      <c r="C1414" s="89"/>
      <c r="D1414" s="89"/>
      <c r="E1414" s="47">
        <v>1860.9826679007199</v>
      </c>
      <c r="F1414" s="47">
        <v>1788.31162547856</v>
      </c>
      <c r="G1414" s="47">
        <v>10128.250570877401</v>
      </c>
    </row>
    <row r="1415" spans="2:7" x14ac:dyDescent="0.25">
      <c r="B1415" s="49"/>
      <c r="C1415" s="89"/>
      <c r="D1415" s="89"/>
      <c r="E1415" s="47">
        <v>1875.6673083952701</v>
      </c>
      <c r="F1415" s="47">
        <v>1790.2039006585601</v>
      </c>
      <c r="G1415" s="47">
        <v>10207.5679381311</v>
      </c>
    </row>
    <row r="1416" spans="2:7" x14ac:dyDescent="0.25">
      <c r="B1416" s="49"/>
      <c r="C1416" s="89"/>
      <c r="D1416" s="89"/>
      <c r="E1416" s="47">
        <v>1894.4239403998799</v>
      </c>
      <c r="F1416" s="47">
        <v>1791.61920300154</v>
      </c>
      <c r="G1416" s="47">
        <v>10273.496092179301</v>
      </c>
    </row>
    <row r="1417" spans="2:7" x14ac:dyDescent="0.25">
      <c r="B1417" s="49"/>
      <c r="C1417" s="89"/>
      <c r="D1417" s="89"/>
      <c r="E1417" s="47">
        <v>1917.6799012860899</v>
      </c>
      <c r="F1417" s="47">
        <v>1792.66975620172</v>
      </c>
      <c r="G1417" s="47">
        <v>10330.362523276999</v>
      </c>
    </row>
    <row r="1418" spans="2:7" x14ac:dyDescent="0.25">
      <c r="B1418" s="49"/>
      <c r="C1418" s="89"/>
      <c r="D1418" s="89"/>
      <c r="E1418" s="47">
        <v>1945.8652497462599</v>
      </c>
      <c r="F1418" s="47">
        <v>1793.4291615990201</v>
      </c>
      <c r="G1418" s="47">
        <v>10381.132360170501</v>
      </c>
    </row>
    <row r="1419" spans="2:7" x14ac:dyDescent="0.25">
      <c r="B1419" s="49"/>
      <c r="C1419" s="89"/>
      <c r="D1419" s="89"/>
      <c r="E1419" s="47">
        <v>1979.42779016389</v>
      </c>
      <c r="F1419" s="47">
        <v>1793.9449383389699</v>
      </c>
      <c r="G1419" s="47">
        <v>10427.865028808301</v>
      </c>
    </row>
    <row r="1420" spans="2:7" x14ac:dyDescent="0.25">
      <c r="B1420" s="49"/>
      <c r="C1420" s="89"/>
      <c r="D1420" s="89">
        <v>700</v>
      </c>
      <c r="E1420" s="47">
        <v>1832.15733034083</v>
      </c>
      <c r="F1420" s="47">
        <v>2044.9461306670401</v>
      </c>
      <c r="G1420" s="47">
        <v>9882.1091227000306</v>
      </c>
    </row>
    <row r="1421" spans="2:7" x14ac:dyDescent="0.25">
      <c r="B1421" s="49"/>
      <c r="C1421" s="89"/>
      <c r="D1421" s="89"/>
      <c r="E1421" s="47">
        <v>1833.86683699729</v>
      </c>
      <c r="F1421" s="47">
        <v>2054.7639479674099</v>
      </c>
      <c r="G1421" s="47">
        <v>10180.822533753801</v>
      </c>
    </row>
    <row r="1422" spans="2:7" x14ac:dyDescent="0.25">
      <c r="B1422" s="49"/>
      <c r="C1422" s="89"/>
      <c r="D1422" s="89"/>
      <c r="E1422" s="47">
        <v>1838.2987249694099</v>
      </c>
      <c r="F1422" s="47">
        <v>2061.0906803860898</v>
      </c>
      <c r="G1422" s="47">
        <v>10376.136223601001</v>
      </c>
    </row>
    <row r="1423" spans="2:7" x14ac:dyDescent="0.25">
      <c r="B1423" s="49"/>
      <c r="C1423" s="89"/>
      <c r="D1423" s="89"/>
      <c r="E1423" s="47">
        <v>1845.7243857844801</v>
      </c>
      <c r="F1423" s="47">
        <v>2065.4927773796999</v>
      </c>
      <c r="G1423" s="47">
        <v>10515.718096848699</v>
      </c>
    </row>
    <row r="1424" spans="2:7" x14ac:dyDescent="0.25">
      <c r="B1424" s="49"/>
      <c r="C1424" s="89"/>
      <c r="D1424" s="89"/>
      <c r="E1424" s="47">
        <v>1856.4778596191099</v>
      </c>
      <c r="F1424" s="47">
        <v>2068.69374017669</v>
      </c>
      <c r="G1424" s="47">
        <v>10621.760240195899</v>
      </c>
    </row>
    <row r="1425" spans="2:7" x14ac:dyDescent="0.25">
      <c r="B1425" s="49"/>
      <c r="C1425" s="89"/>
      <c r="D1425" s="89"/>
      <c r="E1425" s="47">
        <v>1870.9365795953099</v>
      </c>
      <c r="F1425" s="47">
        <v>2071.08143552502</v>
      </c>
      <c r="G1425" s="47">
        <v>10706.327704831399</v>
      </c>
    </row>
    <row r="1426" spans="2:7" x14ac:dyDescent="0.25">
      <c r="B1426" s="49"/>
      <c r="C1426" s="89"/>
      <c r="D1426" s="89"/>
      <c r="E1426" s="47">
        <v>1889.5071723077799</v>
      </c>
      <c r="F1426" s="47">
        <v>2072.88047261065</v>
      </c>
      <c r="G1426" s="47">
        <v>10776.566881028901</v>
      </c>
    </row>
    <row r="1427" spans="2:7" x14ac:dyDescent="0.25">
      <c r="B1427" s="49"/>
      <c r="C1427" s="89"/>
      <c r="D1427" s="89"/>
      <c r="E1427" s="47">
        <v>1912.59937773158</v>
      </c>
      <c r="F1427" s="47">
        <v>2074.2314161429899</v>
      </c>
      <c r="G1427" s="47">
        <v>10837.081324880801</v>
      </c>
    </row>
    <row r="1428" spans="2:7" x14ac:dyDescent="0.25">
      <c r="B1428" s="49"/>
      <c r="C1428" s="89"/>
      <c r="D1428" s="89"/>
      <c r="E1428" s="47">
        <v>1940.6391980874901</v>
      </c>
      <c r="F1428" s="47">
        <v>2075.2255237680702</v>
      </c>
      <c r="G1428" s="47">
        <v>10890.9957600219</v>
      </c>
    </row>
    <row r="1429" spans="2:7" x14ac:dyDescent="0.25">
      <c r="B1429" s="49"/>
      <c r="C1429" s="89"/>
      <c r="D1429" s="89"/>
      <c r="E1429" s="47">
        <v>1974.06931223022</v>
      </c>
      <c r="F1429" s="47">
        <v>2075.9225596031602</v>
      </c>
      <c r="G1429" s="47">
        <v>10940.4960082412</v>
      </c>
    </row>
    <row r="1430" spans="2:7" x14ac:dyDescent="0.25">
      <c r="B1430" s="49"/>
      <c r="C1430" s="89"/>
      <c r="D1430" s="89">
        <v>800</v>
      </c>
      <c r="E1430" s="47">
        <v>1828.56382774028</v>
      </c>
      <c r="F1430" s="47">
        <v>2315.3462014858001</v>
      </c>
      <c r="G1430" s="47">
        <v>10335.5973629401</v>
      </c>
    </row>
    <row r="1431" spans="2:7" x14ac:dyDescent="0.25">
      <c r="B1431" s="49"/>
      <c r="C1431" s="89"/>
      <c r="D1431" s="89"/>
      <c r="E1431" s="47">
        <v>1829.4661869003301</v>
      </c>
      <c r="F1431" s="47">
        <v>2327.3307046683499</v>
      </c>
      <c r="G1431" s="47">
        <v>10653.8364041407</v>
      </c>
    </row>
    <row r="1432" spans="2:7" x14ac:dyDescent="0.25">
      <c r="B1432" s="49"/>
      <c r="C1432" s="89"/>
      <c r="D1432" s="89"/>
      <c r="E1432" s="47">
        <v>1833.3661966864299</v>
      </c>
      <c r="F1432" s="47">
        <v>2335.07990395775</v>
      </c>
      <c r="G1432" s="47">
        <v>10862.417188868099</v>
      </c>
    </row>
    <row r="1433" spans="2:7" x14ac:dyDescent="0.25">
      <c r="B1433" s="49"/>
      <c r="C1433" s="89"/>
      <c r="D1433" s="89"/>
      <c r="E1433" s="47">
        <v>1840.41329114427</v>
      </c>
      <c r="F1433" s="47">
        <v>2340.47800665656</v>
      </c>
      <c r="G1433" s="47">
        <v>11011.388601851801</v>
      </c>
    </row>
    <row r="1434" spans="2:7" x14ac:dyDescent="0.25">
      <c r="B1434" s="49"/>
      <c r="C1434" s="89"/>
      <c r="D1434" s="89"/>
      <c r="E1434" s="47">
        <v>1850.8827539932699</v>
      </c>
      <c r="F1434" s="47">
        <v>2344.4129283534799</v>
      </c>
      <c r="G1434" s="47">
        <v>11124.5080517482</v>
      </c>
    </row>
    <row r="1435" spans="2:7" x14ac:dyDescent="0.25">
      <c r="B1435" s="49"/>
      <c r="C1435" s="89"/>
      <c r="D1435" s="89"/>
      <c r="E1435" s="47">
        <v>1865.1133960337099</v>
      </c>
      <c r="F1435" s="47">
        <v>2347.3583992385202</v>
      </c>
      <c r="G1435" s="47">
        <v>11214.6129581567</v>
      </c>
    </row>
    <row r="1436" spans="2:7" x14ac:dyDescent="0.25">
      <c r="B1436" s="49"/>
      <c r="C1436" s="89"/>
      <c r="D1436" s="89"/>
      <c r="E1436" s="47">
        <v>1883.4982602621201</v>
      </c>
      <c r="F1436" s="47">
        <v>2349.5844115105401</v>
      </c>
      <c r="G1436" s="47">
        <v>11289.189873613601</v>
      </c>
    </row>
    <row r="1437" spans="2:7" x14ac:dyDescent="0.25">
      <c r="B1437" s="49"/>
      <c r="C1437" s="89"/>
      <c r="D1437" s="89"/>
      <c r="E1437" s="47">
        <v>1906.42776464544</v>
      </c>
      <c r="F1437" s="47">
        <v>2351.2710050462701</v>
      </c>
      <c r="G1437" s="47">
        <v>11353.3389825304</v>
      </c>
    </row>
    <row r="1438" spans="2:7" x14ac:dyDescent="0.25">
      <c r="B1438" s="49"/>
      <c r="C1438" s="89"/>
      <c r="D1438" s="89"/>
      <c r="E1438" s="47">
        <v>1934.3255530843701</v>
      </c>
      <c r="F1438" s="47">
        <v>2352.5297077475602</v>
      </c>
      <c r="G1438" s="47">
        <v>11410.3745999486</v>
      </c>
    </row>
    <row r="1439" spans="2:7" x14ac:dyDescent="0.25">
      <c r="B1439" s="49"/>
      <c r="C1439" s="89"/>
      <c r="D1439" s="89"/>
      <c r="E1439" s="47">
        <v>1967.6255822687101</v>
      </c>
      <c r="F1439" s="47">
        <v>2353.4344645136998</v>
      </c>
      <c r="G1439" s="47">
        <v>11462.6242612928</v>
      </c>
    </row>
    <row r="1440" spans="2:7" x14ac:dyDescent="0.25">
      <c r="B1440" s="49"/>
      <c r="C1440" s="89"/>
      <c r="D1440" s="89">
        <v>900</v>
      </c>
      <c r="E1440" s="47">
        <v>1823.98255838463</v>
      </c>
      <c r="F1440" s="47">
        <v>2580.69436164528</v>
      </c>
      <c r="G1440" s="47">
        <v>10797.19261088</v>
      </c>
    </row>
    <row r="1441" spans="2:7" x14ac:dyDescent="0.25">
      <c r="B1441" s="49"/>
      <c r="C1441" s="89"/>
      <c r="D1441" s="89"/>
      <c r="E1441" s="47">
        <v>1824.07399088275</v>
      </c>
      <c r="F1441" s="47">
        <v>2595.0526274241802</v>
      </c>
      <c r="G1441" s="47">
        <v>11135.3317915924</v>
      </c>
    </row>
    <row r="1442" spans="2:7" x14ac:dyDescent="0.25">
      <c r="B1442" s="49"/>
      <c r="C1442" s="89"/>
      <c r="D1442" s="89"/>
      <c r="E1442" s="47">
        <v>1827.44677691226</v>
      </c>
      <c r="F1442" s="47">
        <v>2604.3356116488699</v>
      </c>
      <c r="G1442" s="47">
        <v>11356.7517118123</v>
      </c>
    </row>
    <row r="1443" spans="2:7" x14ac:dyDescent="0.25">
      <c r="B1443" s="49"/>
      <c r="C1443" s="89"/>
      <c r="D1443" s="89"/>
      <c r="E1443" s="47">
        <v>1834.1188636438201</v>
      </c>
      <c r="F1443" s="47">
        <v>2610.8102561502001</v>
      </c>
      <c r="G1443" s="47">
        <v>11514.850899498701</v>
      </c>
    </row>
    <row r="1444" spans="2:7" x14ac:dyDescent="0.25">
      <c r="B1444" s="49"/>
      <c r="C1444" s="89"/>
      <c r="D1444" s="89"/>
      <c r="E1444" s="47">
        <v>1844.30079895213</v>
      </c>
      <c r="F1444" s="47">
        <v>2615.54008898652</v>
      </c>
      <c r="G1444" s="47">
        <v>11634.850909520999</v>
      </c>
    </row>
    <row r="1445" spans="2:7" x14ac:dyDescent="0.25">
      <c r="B1445" s="49"/>
      <c r="C1445" s="89"/>
      <c r="D1445" s="89"/>
      <c r="E1445" s="47">
        <v>1858.3062666876899</v>
      </c>
      <c r="F1445" s="47">
        <v>2619.0933429236402</v>
      </c>
      <c r="G1445" s="47">
        <v>11730.397833065699</v>
      </c>
    </row>
    <row r="1446" spans="2:7" x14ac:dyDescent="0.25">
      <c r="B1446" s="49"/>
      <c r="C1446" s="89"/>
      <c r="D1446" s="89"/>
      <c r="E1446" s="47">
        <v>1876.5032687918899</v>
      </c>
      <c r="F1446" s="47">
        <v>2621.8002344414899</v>
      </c>
      <c r="G1446" s="47">
        <v>11809.5794030328</v>
      </c>
    </row>
    <row r="1447" spans="2:7" x14ac:dyDescent="0.25">
      <c r="B1447" s="49"/>
      <c r="C1447" s="89"/>
      <c r="D1447" s="89"/>
      <c r="E1447" s="47">
        <v>1899.26417304201</v>
      </c>
      <c r="F1447" s="47">
        <v>2623.8686277434399</v>
      </c>
      <c r="G1447" s="47">
        <v>11877.604878042799</v>
      </c>
    </row>
    <row r="1448" spans="2:7" x14ac:dyDescent="0.25">
      <c r="B1448" s="49"/>
      <c r="C1448" s="89"/>
      <c r="D1448" s="89"/>
      <c r="E1448" s="47">
        <v>1927.0176359100501</v>
      </c>
      <c r="F1448" s="47">
        <v>2625.4301734191899</v>
      </c>
      <c r="G1448" s="47">
        <v>11937.938719441499</v>
      </c>
    </row>
    <row r="1449" spans="2:7" x14ac:dyDescent="0.25">
      <c r="B1449" s="49"/>
      <c r="C1449" s="89"/>
      <c r="D1449" s="89"/>
      <c r="E1449" s="47">
        <v>1960.1874079231</v>
      </c>
      <c r="F1449" s="47">
        <v>2626.5742462633998</v>
      </c>
      <c r="G1449" s="47">
        <v>11993.0450317374</v>
      </c>
    </row>
    <row r="1450" spans="2:7" x14ac:dyDescent="0.25">
      <c r="B1450" s="49"/>
      <c r="C1450" s="89"/>
      <c r="D1450" s="89">
        <v>1000</v>
      </c>
      <c r="E1450" s="47">
        <v>1818.53277065507</v>
      </c>
      <c r="F1450" s="47">
        <v>2840.9283481564898</v>
      </c>
      <c r="G1450" s="47">
        <v>11262.983264828001</v>
      </c>
    </row>
    <row r="1451" spans="2:7" x14ac:dyDescent="0.25">
      <c r="B1451" s="49"/>
      <c r="C1451" s="89"/>
      <c r="D1451" s="89"/>
      <c r="E1451" s="47">
        <v>1817.7831081126701</v>
      </c>
      <c r="F1451" s="47">
        <v>2857.9743244474398</v>
      </c>
      <c r="G1451" s="47">
        <v>11623.5259018533</v>
      </c>
    </row>
    <row r="1452" spans="2:7" x14ac:dyDescent="0.25">
      <c r="B1452" s="49"/>
      <c r="C1452" s="89"/>
      <c r="D1452" s="89"/>
      <c r="E1452" s="47">
        <v>1820.60287106756</v>
      </c>
      <c r="F1452" s="47">
        <v>2869.0002315873298</v>
      </c>
      <c r="G1452" s="47">
        <v>11859.533250582699</v>
      </c>
    </row>
    <row r="1453" spans="2:7" x14ac:dyDescent="0.25">
      <c r="B1453" s="49"/>
      <c r="C1453" s="89"/>
      <c r="D1453" s="89"/>
      <c r="E1453" s="47">
        <v>1826.89389675094</v>
      </c>
      <c r="F1453" s="47">
        <v>2876.6544558486698</v>
      </c>
      <c r="G1453" s="47">
        <v>12027.046374076201</v>
      </c>
    </row>
    <row r="1454" spans="2:7" x14ac:dyDescent="0.25">
      <c r="B1454" s="49"/>
      <c r="C1454" s="89"/>
      <c r="D1454" s="89"/>
      <c r="E1454" s="47">
        <v>1836.78682822155</v>
      </c>
      <c r="F1454" s="47">
        <v>2882.2504636703902</v>
      </c>
      <c r="G1454" s="47">
        <v>12154.0087309509</v>
      </c>
    </row>
    <row r="1455" spans="2:7" x14ac:dyDescent="0.25">
      <c r="B1455" s="49"/>
      <c r="C1455" s="89"/>
      <c r="D1455" s="89"/>
      <c r="E1455" s="47">
        <v>1850.5666404931901</v>
      </c>
      <c r="F1455" s="47">
        <v>2886.4651423578298</v>
      </c>
      <c r="G1455" s="47">
        <v>12255.005661831299</v>
      </c>
    </row>
    <row r="1456" spans="2:7" x14ac:dyDescent="0.25">
      <c r="B1456" s="49"/>
      <c r="C1456" s="89"/>
      <c r="D1456" s="89"/>
      <c r="E1456" s="47">
        <v>1868.57060309844</v>
      </c>
      <c r="F1456" s="47">
        <v>2889.6908687553801</v>
      </c>
      <c r="G1456" s="47">
        <v>12338.6372633552</v>
      </c>
    </row>
    <row r="1457" spans="2:7" x14ac:dyDescent="0.25">
      <c r="B1457" s="49"/>
      <c r="C1457" s="89"/>
      <c r="D1457" s="89"/>
      <c r="E1457" s="47">
        <v>1891.16919128829</v>
      </c>
      <c r="F1457" s="47">
        <v>2892.1714174794402</v>
      </c>
      <c r="G1457" s="47">
        <v>12410.3827918186</v>
      </c>
    </row>
    <row r="1458" spans="2:7" x14ac:dyDescent="0.25">
      <c r="B1458" s="49"/>
      <c r="C1458" s="89"/>
      <c r="D1458" s="89"/>
      <c r="E1458" s="47">
        <v>1918.7798875849301</v>
      </c>
      <c r="F1458" s="47">
        <v>2894.0630992378801</v>
      </c>
      <c r="G1458" s="47">
        <v>12473.909365289301</v>
      </c>
    </row>
    <row r="1459" spans="2:7" x14ac:dyDescent="0.25">
      <c r="B1459" s="49"/>
      <c r="C1459" s="89"/>
      <c r="D1459" s="89"/>
      <c r="E1459" s="47">
        <v>1951.8202123269</v>
      </c>
      <c r="F1459" s="47">
        <v>2895.4722698559899</v>
      </c>
      <c r="G1459" s="47">
        <v>12531.8249734238</v>
      </c>
    </row>
    <row r="1460" spans="2:7" x14ac:dyDescent="0.25">
      <c r="B1460" s="49"/>
      <c r="C1460" s="89"/>
      <c r="D1460" s="89">
        <v>1100</v>
      </c>
      <c r="E1460" s="47">
        <v>1812.2507615135701</v>
      </c>
      <c r="F1460" s="47">
        <v>3096.2866762621502</v>
      </c>
      <c r="G1460" s="47">
        <v>11736.241973406701</v>
      </c>
    </row>
    <row r="1461" spans="2:7" x14ac:dyDescent="0.25">
      <c r="B1461" s="49"/>
      <c r="C1461" s="89"/>
      <c r="D1461" s="89"/>
      <c r="E1461" s="47">
        <v>1810.67106840361</v>
      </c>
      <c r="F1461" s="47">
        <v>3116.1558463801498</v>
      </c>
      <c r="G1461" s="47">
        <v>12117.598470078199</v>
      </c>
    </row>
    <row r="1462" spans="2:7" x14ac:dyDescent="0.25">
      <c r="B1462" s="49"/>
      <c r="C1462" s="89"/>
      <c r="D1462" s="89"/>
      <c r="E1462" s="47">
        <v>1812.9470831973599</v>
      </c>
      <c r="F1462" s="47">
        <v>3129.01349792173</v>
      </c>
      <c r="G1462" s="47">
        <v>12367.170875714801</v>
      </c>
    </row>
    <row r="1463" spans="2:7" x14ac:dyDescent="0.25">
      <c r="B1463" s="49"/>
      <c r="C1463" s="89"/>
      <c r="D1463" s="89"/>
      <c r="E1463" s="47">
        <v>1818.8375630457499</v>
      </c>
      <c r="F1463" s="47">
        <v>3137.9932416343099</v>
      </c>
      <c r="G1463" s="47">
        <v>12545.1194068287</v>
      </c>
    </row>
    <row r="1464" spans="2:7" x14ac:dyDescent="0.25">
      <c r="B1464" s="49"/>
      <c r="C1464" s="89"/>
      <c r="D1464" s="89"/>
      <c r="E1464" s="47">
        <v>1828.42217335946</v>
      </c>
      <c r="F1464" s="47">
        <v>3144.5726591232901</v>
      </c>
      <c r="G1464" s="47">
        <v>12679.973257932799</v>
      </c>
    </row>
    <row r="1465" spans="2:7" x14ac:dyDescent="0.25">
      <c r="B1465" s="49"/>
      <c r="C1465" s="89"/>
      <c r="D1465" s="89"/>
      <c r="E1465" s="47">
        <v>1841.9624436849001</v>
      </c>
      <c r="F1465" s="47">
        <v>3149.53919802359</v>
      </c>
      <c r="G1465" s="47">
        <v>12787.12302553</v>
      </c>
    </row>
    <row r="1466" spans="2:7" x14ac:dyDescent="0.25">
      <c r="B1466" s="49"/>
      <c r="C1466" s="89"/>
      <c r="D1466" s="89"/>
      <c r="E1466" s="47">
        <v>1859.7605088207999</v>
      </c>
      <c r="F1466" s="47">
        <v>3153.3538395993701</v>
      </c>
      <c r="G1466" s="47">
        <v>12875.7032296818</v>
      </c>
    </row>
    <row r="1467" spans="2:7" x14ac:dyDescent="0.25">
      <c r="B1467" s="49"/>
      <c r="C1467" s="89"/>
      <c r="D1467" s="89"/>
      <c r="E1467" s="47">
        <v>1882.19330722257</v>
      </c>
      <c r="F1467" s="47">
        <v>3156.3007132442799</v>
      </c>
      <c r="G1467" s="47">
        <v>12951.506910427201</v>
      </c>
    </row>
    <row r="1468" spans="2:7" x14ac:dyDescent="0.25">
      <c r="B1468" s="49"/>
      <c r="C1468" s="89"/>
      <c r="D1468" s="89"/>
      <c r="E1468" s="47">
        <v>1909.66060045994</v>
      </c>
      <c r="F1468" s="47">
        <v>3158.5655514847999</v>
      </c>
      <c r="G1468" s="47">
        <v>13018.451058135999</v>
      </c>
    </row>
    <row r="1469" spans="2:7" x14ac:dyDescent="0.25">
      <c r="B1469" s="49"/>
      <c r="C1469" s="89"/>
      <c r="D1469" s="89"/>
      <c r="E1469" s="47">
        <v>1942.5718228932101</v>
      </c>
      <c r="F1469" s="47">
        <v>3160.2675095428499</v>
      </c>
      <c r="G1469" s="47">
        <v>13079.1780985063</v>
      </c>
    </row>
    <row r="1470" spans="2:7" x14ac:dyDescent="0.25">
      <c r="B1470" s="49"/>
      <c r="C1470" s="89"/>
      <c r="D1470" s="89">
        <v>1200</v>
      </c>
      <c r="E1470" s="47">
        <v>1805.21571542225</v>
      </c>
      <c r="F1470" s="47">
        <v>3346.7651407010599</v>
      </c>
      <c r="G1470" s="47">
        <v>12214.911436763399</v>
      </c>
    </row>
    <row r="1471" spans="2:7" x14ac:dyDescent="0.25">
      <c r="B1471" s="49"/>
      <c r="C1471" s="89"/>
      <c r="D1471" s="89"/>
      <c r="E1471" s="47">
        <v>1802.7590181104699</v>
      </c>
      <c r="F1471" s="47">
        <v>3369.7933870841698</v>
      </c>
      <c r="G1471" s="47">
        <v>12619.3806395305</v>
      </c>
    </row>
    <row r="1472" spans="2:7" x14ac:dyDescent="0.25">
      <c r="B1472" s="49"/>
      <c r="C1472" s="89"/>
      <c r="D1472" s="89"/>
      <c r="E1472" s="47">
        <v>1804.47960967169</v>
      </c>
      <c r="F1472" s="47">
        <v>3384.6223480680501</v>
      </c>
      <c r="G1472" s="47">
        <v>12882.631127832599</v>
      </c>
    </row>
    <row r="1473" spans="2:7" x14ac:dyDescent="0.25">
      <c r="B1473" s="49"/>
      <c r="C1473" s="89"/>
      <c r="D1473" s="89"/>
      <c r="E1473" s="47">
        <v>1809.9843050136301</v>
      </c>
      <c r="F1473" s="47">
        <v>3394.9883984508101</v>
      </c>
      <c r="G1473" s="47">
        <v>13070.3030809349</v>
      </c>
    </row>
    <row r="1474" spans="2:7" x14ac:dyDescent="0.25">
      <c r="B1474" s="49"/>
      <c r="C1474" s="89"/>
      <c r="D1474" s="89"/>
      <c r="E1474" s="47">
        <v>1819.2732973214399</v>
      </c>
      <c r="F1474" s="47">
        <v>3402.5939209109602</v>
      </c>
      <c r="G1474" s="47">
        <v>13212.452755173899</v>
      </c>
    </row>
    <row r="1475" spans="2:7" x14ac:dyDescent="0.25">
      <c r="B1475" s="49"/>
      <c r="C1475" s="89"/>
      <c r="D1475" s="89"/>
      <c r="E1475" s="47">
        <v>1832.58439586636</v>
      </c>
      <c r="F1475" s="47">
        <v>3408.3469482609698</v>
      </c>
      <c r="G1475" s="47">
        <v>13325.3151476312</v>
      </c>
    </row>
    <row r="1476" spans="2:7" x14ac:dyDescent="0.25">
      <c r="B1476" s="49"/>
      <c r="C1476" s="89"/>
      <c r="D1476" s="89"/>
      <c r="E1476" s="47">
        <v>1850.18562897314</v>
      </c>
      <c r="F1476" s="47">
        <v>3412.7815753341201</v>
      </c>
      <c r="G1476" s="47">
        <v>13418.545461961799</v>
      </c>
    </row>
    <row r="1477" spans="2:7" x14ac:dyDescent="0.25">
      <c r="B1477" s="49"/>
      <c r="C1477" s="89"/>
      <c r="D1477" s="89"/>
      <c r="E1477" s="47">
        <v>1872.4577693956401</v>
      </c>
      <c r="F1477" s="47">
        <v>3416.2248186050401</v>
      </c>
      <c r="G1477" s="47">
        <v>13498.241571402399</v>
      </c>
    </row>
    <row r="1478" spans="2:7" x14ac:dyDescent="0.25">
      <c r="B1478" s="49"/>
      <c r="C1478" s="89"/>
      <c r="D1478" s="89"/>
      <c r="E1478" s="47">
        <v>1899.7844579948001</v>
      </c>
      <c r="F1478" s="47">
        <v>3418.89152025146</v>
      </c>
      <c r="G1478" s="47">
        <v>13568.521960014699</v>
      </c>
    </row>
    <row r="1479" spans="2:7" x14ac:dyDescent="0.25">
      <c r="B1479" s="49"/>
      <c r="C1479" s="89"/>
      <c r="D1479" s="89"/>
      <c r="E1479" s="47">
        <v>1932.5516318499201</v>
      </c>
      <c r="F1479" s="47">
        <v>3420.9298904418301</v>
      </c>
      <c r="G1479" s="47">
        <v>13632.3298804155</v>
      </c>
    </row>
    <row r="1480" spans="2:7" x14ac:dyDescent="0.25">
      <c r="B1480" s="49"/>
      <c r="C1480" s="89">
        <v>30</v>
      </c>
      <c r="D1480" s="89">
        <v>0</v>
      </c>
      <c r="E1480" s="47">
        <v>1880.35976156059</v>
      </c>
      <c r="F1480" s="47">
        <v>0</v>
      </c>
      <c r="G1480" s="47">
        <v>7980.3537421401797</v>
      </c>
    </row>
    <row r="1481" spans="2:7" x14ac:dyDescent="0.25">
      <c r="B1481" s="49"/>
      <c r="C1481" s="89"/>
      <c r="D1481" s="89"/>
      <c r="E1481" s="47">
        <v>1889.06985351098</v>
      </c>
      <c r="F1481" s="47">
        <v>0</v>
      </c>
      <c r="G1481" s="47">
        <v>8001.0796507269597</v>
      </c>
    </row>
    <row r="1482" spans="2:7" x14ac:dyDescent="0.25">
      <c r="B1482" s="49"/>
      <c r="C1482" s="89"/>
      <c r="D1482" s="89"/>
      <c r="E1482" s="47">
        <v>1897.7799454613701</v>
      </c>
      <c r="F1482" s="47">
        <v>0</v>
      </c>
      <c r="G1482" s="47">
        <v>8021.8055593137497</v>
      </c>
    </row>
    <row r="1483" spans="2:7" x14ac:dyDescent="0.25">
      <c r="B1483" s="49"/>
      <c r="C1483" s="89"/>
      <c r="D1483" s="89"/>
      <c r="E1483" s="47">
        <v>1907.9541771045799</v>
      </c>
      <c r="F1483" s="47">
        <v>0</v>
      </c>
      <c r="G1483" s="47">
        <v>8040.5156440113997</v>
      </c>
    </row>
    <row r="1484" spans="2:7" x14ac:dyDescent="0.25">
      <c r="B1484" s="49"/>
      <c r="C1484" s="89"/>
      <c r="D1484" s="89"/>
      <c r="E1484" s="47">
        <v>1918.61645531206</v>
      </c>
      <c r="F1484" s="47">
        <v>0</v>
      </c>
      <c r="G1484" s="47">
        <v>8058.5537874126803</v>
      </c>
    </row>
    <row r="1485" spans="2:7" x14ac:dyDescent="0.25">
      <c r="B1485" s="49"/>
      <c r="C1485" s="89"/>
      <c r="D1485" s="89"/>
      <c r="E1485" s="47">
        <v>1930.3597041309099</v>
      </c>
      <c r="F1485" s="47">
        <v>0</v>
      </c>
      <c r="G1485" s="47">
        <v>8075.7195503468201</v>
      </c>
    </row>
    <row r="1486" spans="2:7" x14ac:dyDescent="0.25">
      <c r="B1486" s="49"/>
      <c r="C1486" s="89"/>
      <c r="D1486" s="89"/>
      <c r="E1486" s="47">
        <v>1943.1839235611301</v>
      </c>
      <c r="F1486" s="47">
        <v>0</v>
      </c>
      <c r="G1486" s="47">
        <v>8092.0129328138401</v>
      </c>
    </row>
    <row r="1487" spans="2:7" x14ac:dyDescent="0.25">
      <c r="B1487" s="49"/>
      <c r="C1487" s="89"/>
      <c r="D1487" s="89"/>
      <c r="E1487" s="47">
        <v>1956.6003358601599</v>
      </c>
      <c r="F1487" s="47">
        <v>0</v>
      </c>
      <c r="G1487" s="47">
        <v>8108.0456798368796</v>
      </c>
    </row>
    <row r="1488" spans="2:7" x14ac:dyDescent="0.25">
      <c r="B1488" s="49"/>
      <c r="C1488" s="89"/>
      <c r="D1488" s="89"/>
      <c r="E1488" s="47">
        <v>1971.7933267656599</v>
      </c>
      <c r="F1488" s="47">
        <v>0</v>
      </c>
      <c r="G1488" s="47">
        <v>8123.2965205280198</v>
      </c>
    </row>
    <row r="1489" spans="2:7" x14ac:dyDescent="0.25">
      <c r="B1489" s="49"/>
      <c r="C1489" s="89"/>
      <c r="D1489" s="89"/>
      <c r="E1489" s="47">
        <v>1986.9863176711599</v>
      </c>
      <c r="F1489" s="47">
        <v>0</v>
      </c>
      <c r="G1489" s="47">
        <v>8138.5473612191599</v>
      </c>
    </row>
    <row r="1490" spans="2:7" x14ac:dyDescent="0.25">
      <c r="B1490" s="49"/>
      <c r="C1490" s="89"/>
      <c r="D1490" s="89">
        <v>100</v>
      </c>
      <c r="E1490" s="47">
        <v>1866.6530845806101</v>
      </c>
      <c r="F1490" s="47">
        <v>307.81320522354099</v>
      </c>
      <c r="G1490" s="47">
        <v>8374.8902234080306</v>
      </c>
    </row>
    <row r="1491" spans="2:7" x14ac:dyDescent="0.25">
      <c r="B1491" s="49"/>
      <c r="C1491" s="89"/>
      <c r="D1491" s="89"/>
      <c r="E1491" s="47">
        <v>1875.2554325015899</v>
      </c>
      <c r="F1491" s="47">
        <v>307.93703305922202</v>
      </c>
      <c r="G1491" s="47">
        <v>8408.4605381702895</v>
      </c>
    </row>
    <row r="1492" spans="2:7" x14ac:dyDescent="0.25">
      <c r="B1492" s="49"/>
      <c r="C1492" s="89"/>
      <c r="D1492" s="89"/>
      <c r="E1492" s="47">
        <v>1884.29570140533</v>
      </c>
      <c r="F1492" s="47">
        <v>308.05389688022001</v>
      </c>
      <c r="G1492" s="47">
        <v>8440.92631025216</v>
      </c>
    </row>
    <row r="1493" spans="2:7" x14ac:dyDescent="0.25">
      <c r="B1493" s="49"/>
      <c r="C1493" s="89"/>
      <c r="D1493" s="89"/>
      <c r="E1493" s="47">
        <v>1895.0876542400899</v>
      </c>
      <c r="F1493" s="47">
        <v>308.14290464248199</v>
      </c>
      <c r="G1493" s="47">
        <v>8468.9739116125202</v>
      </c>
    </row>
    <row r="1494" spans="2:7" x14ac:dyDescent="0.25">
      <c r="B1494" s="49"/>
      <c r="C1494" s="89"/>
      <c r="D1494" s="89"/>
      <c r="E1494" s="47">
        <v>1906.8603447197099</v>
      </c>
      <c r="F1494" s="47">
        <v>308.22104692906998</v>
      </c>
      <c r="G1494" s="47">
        <v>8495.5510976880396</v>
      </c>
    </row>
    <row r="1495" spans="2:7" x14ac:dyDescent="0.25">
      <c r="B1495" s="49"/>
      <c r="C1495" s="89"/>
      <c r="D1495" s="89"/>
      <c r="E1495" s="47">
        <v>1920.1041416666401</v>
      </c>
      <c r="F1495" s="47">
        <v>308.28289100214698</v>
      </c>
      <c r="G1495" s="47">
        <v>8519.9226608362897</v>
      </c>
    </row>
    <row r="1496" spans="2:7" x14ac:dyDescent="0.25">
      <c r="B1496" s="49"/>
      <c r="C1496" s="89"/>
      <c r="D1496" s="89"/>
      <c r="E1496" s="47">
        <v>1934.97378046382</v>
      </c>
      <c r="F1496" s="47">
        <v>308.33139666049902</v>
      </c>
      <c r="G1496" s="47">
        <v>8542.8478052346509</v>
      </c>
    </row>
    <row r="1497" spans="2:7" x14ac:dyDescent="0.25">
      <c r="B1497" s="49"/>
      <c r="C1497" s="89"/>
      <c r="D1497" s="89"/>
      <c r="E1497" s="47">
        <v>1950.9273138278299</v>
      </c>
      <c r="F1497" s="47">
        <v>308.37101004236899</v>
      </c>
      <c r="G1497" s="47">
        <v>8564.8086704664202</v>
      </c>
    </row>
    <row r="1498" spans="2:7" x14ac:dyDescent="0.25">
      <c r="B1498" s="49"/>
      <c r="C1498" s="89"/>
      <c r="D1498" s="89"/>
      <c r="E1498" s="47">
        <v>1969.2537536805</v>
      </c>
      <c r="F1498" s="47">
        <v>308.39547717349302</v>
      </c>
      <c r="G1498" s="47">
        <v>8585.5748256057705</v>
      </c>
    </row>
    <row r="1499" spans="2:7" x14ac:dyDescent="0.25">
      <c r="B1499" s="49"/>
      <c r="C1499" s="89"/>
      <c r="D1499" s="89"/>
      <c r="E1499" s="47">
        <v>1988.17342015535</v>
      </c>
      <c r="F1499" s="47">
        <v>308.41615774193099</v>
      </c>
      <c r="G1499" s="47">
        <v>8606.0423032220206</v>
      </c>
    </row>
    <row r="1500" spans="2:7" x14ac:dyDescent="0.25">
      <c r="B1500" s="49"/>
      <c r="C1500" s="89"/>
      <c r="D1500" s="89">
        <v>200</v>
      </c>
      <c r="E1500" s="47">
        <v>1846.4936516580599</v>
      </c>
      <c r="F1500" s="47">
        <v>608.60485338316801</v>
      </c>
      <c r="G1500" s="47">
        <v>8646.1732436991297</v>
      </c>
    </row>
    <row r="1501" spans="2:7" x14ac:dyDescent="0.25">
      <c r="B1501" s="49"/>
      <c r="C1501" s="89"/>
      <c r="D1501" s="89"/>
      <c r="E1501" s="47">
        <v>1853.3073015653599</v>
      </c>
      <c r="F1501" s="47">
        <v>609.33945607865905</v>
      </c>
      <c r="G1501" s="47">
        <v>8729.8421374129503</v>
      </c>
    </row>
    <row r="1502" spans="2:7" x14ac:dyDescent="0.25">
      <c r="B1502" s="49"/>
      <c r="C1502" s="89"/>
      <c r="D1502" s="89"/>
      <c r="E1502" s="47">
        <v>1861.7966175158499</v>
      </c>
      <c r="F1502" s="47">
        <v>609.92563430826101</v>
      </c>
      <c r="G1502" s="47">
        <v>8799.1990573967105</v>
      </c>
    </row>
    <row r="1503" spans="2:7" x14ac:dyDescent="0.25">
      <c r="B1503" s="49"/>
      <c r="C1503" s="89"/>
      <c r="D1503" s="89"/>
      <c r="E1503" s="47">
        <v>1872.12147640085</v>
      </c>
      <c r="F1503" s="47">
        <v>610.39148818721696</v>
      </c>
      <c r="G1503" s="47">
        <v>8857.3592386140499</v>
      </c>
    </row>
    <row r="1504" spans="2:7" x14ac:dyDescent="0.25">
      <c r="B1504" s="49"/>
      <c r="C1504" s="89"/>
      <c r="D1504" s="89"/>
      <c r="E1504" s="47">
        <v>1884.4415703709799</v>
      </c>
      <c r="F1504" s="47">
        <v>610.76115932257903</v>
      </c>
      <c r="G1504" s="47">
        <v>8907.0181001315996</v>
      </c>
    </row>
    <row r="1505" spans="2:7" x14ac:dyDescent="0.25">
      <c r="B1505" s="49"/>
      <c r="C1505" s="89"/>
      <c r="D1505" s="89"/>
      <c r="E1505" s="47">
        <v>1899.4108627139001</v>
      </c>
      <c r="F1505" s="47">
        <v>611.04137051070802</v>
      </c>
      <c r="G1505" s="47">
        <v>8949.4446376454798</v>
      </c>
    </row>
    <row r="1506" spans="2:7" x14ac:dyDescent="0.25">
      <c r="B1506" s="49"/>
      <c r="C1506" s="89"/>
      <c r="D1506" s="89"/>
      <c r="E1506" s="47">
        <v>1917.3376759505099</v>
      </c>
      <c r="F1506" s="47">
        <v>611.25218825105105</v>
      </c>
      <c r="G1506" s="47">
        <v>8987.0284219857895</v>
      </c>
    </row>
    <row r="1507" spans="2:7" x14ac:dyDescent="0.25">
      <c r="B1507" s="49"/>
      <c r="C1507" s="89"/>
      <c r="D1507" s="89"/>
      <c r="E1507" s="47">
        <v>1937.93201521277</v>
      </c>
      <c r="F1507" s="47">
        <v>611.41381713462602</v>
      </c>
      <c r="G1507" s="47">
        <v>9021.6649116551998</v>
      </c>
    </row>
    <row r="1508" spans="2:7" x14ac:dyDescent="0.25">
      <c r="B1508" s="49"/>
      <c r="C1508" s="89"/>
      <c r="D1508" s="89"/>
      <c r="E1508" s="47">
        <v>1961.34595600073</v>
      </c>
      <c r="F1508" s="47">
        <v>611.53129505977199</v>
      </c>
      <c r="G1508" s="47">
        <v>9054.0174481907197</v>
      </c>
    </row>
    <row r="1509" spans="2:7" x14ac:dyDescent="0.25">
      <c r="B1509" s="49"/>
      <c r="C1509" s="89"/>
      <c r="D1509" s="89"/>
      <c r="E1509" s="47">
        <v>1987.7315145841001</v>
      </c>
      <c r="F1509" s="47">
        <v>611.60893924285199</v>
      </c>
      <c r="G1509" s="47">
        <v>9084.6729190326605</v>
      </c>
    </row>
    <row r="1510" spans="2:7" x14ac:dyDescent="0.25">
      <c r="B1510" s="49"/>
      <c r="C1510" s="89"/>
      <c r="D1510" s="89">
        <v>300</v>
      </c>
      <c r="E1510" s="47">
        <v>1840.2051417817499</v>
      </c>
      <c r="F1510" s="47">
        <v>902.52400437168603</v>
      </c>
      <c r="G1510" s="47">
        <v>8939.7530827336395</v>
      </c>
    </row>
    <row r="1511" spans="2:7" x14ac:dyDescent="0.25">
      <c r="B1511" s="49"/>
      <c r="C1511" s="89"/>
      <c r="D1511" s="89"/>
      <c r="E1511" s="47">
        <v>1845.36474774863</v>
      </c>
      <c r="F1511" s="47">
        <v>904.49591216428598</v>
      </c>
      <c r="G1511" s="47">
        <v>9083.4882354756191</v>
      </c>
    </row>
    <row r="1512" spans="2:7" x14ac:dyDescent="0.25">
      <c r="B1512" s="49"/>
      <c r="C1512" s="89"/>
      <c r="D1512" s="89"/>
      <c r="E1512" s="47">
        <v>1852.54702566784</v>
      </c>
      <c r="F1512" s="47">
        <v>905.93674410919596</v>
      </c>
      <c r="G1512" s="47">
        <v>9191.4085195897005</v>
      </c>
    </row>
    <row r="1513" spans="2:7" x14ac:dyDescent="0.25">
      <c r="B1513" s="49"/>
      <c r="C1513" s="89"/>
      <c r="D1513" s="89"/>
      <c r="E1513" s="47">
        <v>1862.0874411622401</v>
      </c>
      <c r="F1513" s="47">
        <v>907.01574928957996</v>
      </c>
      <c r="G1513" s="47">
        <v>9275.7622774731808</v>
      </c>
    </row>
    <row r="1514" spans="2:7" x14ac:dyDescent="0.25">
      <c r="B1514" s="49"/>
      <c r="C1514" s="89"/>
      <c r="D1514" s="89"/>
      <c r="E1514" s="47">
        <v>1874.29043313431</v>
      </c>
      <c r="F1514" s="47">
        <v>907.83686856612803</v>
      </c>
      <c r="G1514" s="47">
        <v>9344.1542868703891</v>
      </c>
    </row>
    <row r="1515" spans="2:7" x14ac:dyDescent="0.25">
      <c r="B1515" s="49"/>
      <c r="C1515" s="89"/>
      <c r="D1515" s="89"/>
      <c r="E1515" s="47">
        <v>1889.45795755938</v>
      </c>
      <c r="F1515" s="47">
        <v>908.46543801688495</v>
      </c>
      <c r="G1515" s="47">
        <v>9401.4587088225107</v>
      </c>
    </row>
    <row r="1516" spans="2:7" x14ac:dyDescent="0.25">
      <c r="B1516" s="49"/>
      <c r="C1516" s="89"/>
      <c r="D1516" s="89"/>
      <c r="E1516" s="47">
        <v>1907.89274616994</v>
      </c>
      <c r="F1516" s="47">
        <v>908.94394525750204</v>
      </c>
      <c r="G1516" s="47">
        <v>9450.9355942923394</v>
      </c>
    </row>
    <row r="1517" spans="2:7" x14ac:dyDescent="0.25">
      <c r="B1517" s="49"/>
      <c r="C1517" s="89"/>
      <c r="D1517" s="89"/>
      <c r="E1517" s="47">
        <v>1929.89563932394</v>
      </c>
      <c r="F1517" s="47">
        <v>909.30101589630203</v>
      </c>
      <c r="G1517" s="47">
        <v>9494.8635991565698</v>
      </c>
    </row>
    <row r="1518" spans="2:7" x14ac:dyDescent="0.25">
      <c r="B1518" s="49"/>
      <c r="C1518" s="89"/>
      <c r="D1518" s="89"/>
      <c r="E1518" s="47">
        <v>1955.7660396229001</v>
      </c>
      <c r="F1518" s="47">
        <v>909.55653290715304</v>
      </c>
      <c r="G1518" s="47">
        <v>9534.9022028890304</v>
      </c>
    </row>
    <row r="1519" spans="2:7" x14ac:dyDescent="0.25">
      <c r="B1519" s="49"/>
      <c r="C1519" s="89"/>
      <c r="D1519" s="89"/>
      <c r="E1519" s="47">
        <v>1985.8042201181099</v>
      </c>
      <c r="F1519" s="47">
        <v>909.724517231704</v>
      </c>
      <c r="G1519" s="47">
        <v>9572.2973718887497</v>
      </c>
    </row>
    <row r="1520" spans="2:7" x14ac:dyDescent="0.25">
      <c r="B1520" s="49"/>
      <c r="C1520" s="89"/>
      <c r="D1520" s="89">
        <v>400</v>
      </c>
      <c r="E1520" s="47">
        <v>1835.8378847655799</v>
      </c>
      <c r="F1520" s="47">
        <v>1187.4518627249299</v>
      </c>
      <c r="G1520" s="47">
        <v>9125.2788392421608</v>
      </c>
    </row>
    <row r="1521" spans="2:7" x14ac:dyDescent="0.25">
      <c r="B1521" s="49"/>
      <c r="C1521" s="89"/>
      <c r="D1521" s="89"/>
      <c r="E1521" s="47">
        <v>1838.8802698122499</v>
      </c>
      <c r="F1521" s="47">
        <v>1192.42445984507</v>
      </c>
      <c r="G1521" s="47">
        <v>9391.3959743155901</v>
      </c>
    </row>
    <row r="1522" spans="2:7" x14ac:dyDescent="0.25">
      <c r="B1522" s="49"/>
      <c r="C1522" s="89"/>
      <c r="D1522" s="89"/>
      <c r="E1522" s="47">
        <v>1844.1840993035</v>
      </c>
      <c r="F1522" s="47">
        <v>1195.6322661808799</v>
      </c>
      <c r="G1522" s="47">
        <v>9565.8959902427396</v>
      </c>
    </row>
    <row r="1523" spans="2:7" x14ac:dyDescent="0.25">
      <c r="B1523" s="49"/>
      <c r="C1523" s="89"/>
      <c r="D1523" s="89"/>
      <c r="E1523" s="47">
        <v>1852.2298669056399</v>
      </c>
      <c r="F1523" s="47">
        <v>1197.85668807416</v>
      </c>
      <c r="G1523" s="47">
        <v>9690.6077831292605</v>
      </c>
    </row>
    <row r="1524" spans="2:7" x14ac:dyDescent="0.25">
      <c r="B1524" s="49"/>
      <c r="C1524" s="89"/>
      <c r="D1524" s="89"/>
      <c r="E1524" s="47">
        <v>1863.4640517462001</v>
      </c>
      <c r="F1524" s="47">
        <v>1199.46256667901</v>
      </c>
      <c r="G1524" s="47">
        <v>9785.2491647385796</v>
      </c>
    </row>
    <row r="1525" spans="2:7" x14ac:dyDescent="0.25">
      <c r="B1525" s="49"/>
      <c r="C1525" s="89"/>
      <c r="D1525" s="89"/>
      <c r="E1525" s="47">
        <v>1878.3084044520201</v>
      </c>
      <c r="F1525" s="47">
        <v>1200.6444472523499</v>
      </c>
      <c r="G1525" s="47">
        <v>9860.4889755496006</v>
      </c>
    </row>
    <row r="1526" spans="2:7" x14ac:dyDescent="0.25">
      <c r="B1526" s="49"/>
      <c r="C1526" s="89"/>
      <c r="D1526" s="89"/>
      <c r="E1526" s="47">
        <v>1897.1926285628599</v>
      </c>
      <c r="F1526" s="47">
        <v>1201.5243179342999</v>
      </c>
      <c r="G1526" s="47">
        <v>9923.15724988681</v>
      </c>
    </row>
    <row r="1527" spans="2:7" x14ac:dyDescent="0.25">
      <c r="B1527" s="49"/>
      <c r="C1527" s="89"/>
      <c r="D1527" s="89"/>
      <c r="E1527" s="47">
        <v>1920.5606851912501</v>
      </c>
      <c r="F1527" s="47">
        <v>1202.1718140031801</v>
      </c>
      <c r="G1527" s="47">
        <v>9977.32183716705</v>
      </c>
    </row>
    <row r="1528" spans="2:7" x14ac:dyDescent="0.25">
      <c r="B1528" s="49"/>
      <c r="C1528" s="89"/>
      <c r="D1528" s="89"/>
      <c r="E1528" s="47">
        <v>1948.85336172387</v>
      </c>
      <c r="F1528" s="47">
        <v>1202.63232843014</v>
      </c>
      <c r="G1528" s="47">
        <v>10025.762743202</v>
      </c>
    </row>
    <row r="1529" spans="2:7" x14ac:dyDescent="0.25">
      <c r="B1529" s="49"/>
      <c r="C1529" s="89"/>
      <c r="D1529" s="89"/>
      <c r="E1529" s="47">
        <v>1982.51448286351</v>
      </c>
      <c r="F1529" s="47">
        <v>1202.9363058338899</v>
      </c>
      <c r="G1529" s="47">
        <v>10070.470356296701</v>
      </c>
    </row>
    <row r="1530" spans="2:7" x14ac:dyDescent="0.25">
      <c r="B1530" s="49"/>
      <c r="C1530" s="89"/>
      <c r="D1530" s="89">
        <v>500</v>
      </c>
      <c r="E1530" s="47">
        <v>1834.0766046016699</v>
      </c>
      <c r="F1530" s="47">
        <v>1470.3933634587199</v>
      </c>
      <c r="G1530" s="47">
        <v>9566.1242384642392</v>
      </c>
    </row>
    <row r="1531" spans="2:7" x14ac:dyDescent="0.25">
      <c r="B1531" s="49"/>
      <c r="C1531" s="89"/>
      <c r="D1531" s="89"/>
      <c r="E1531" s="47">
        <v>1836.3467386500499</v>
      </c>
      <c r="F1531" s="47">
        <v>1477.06045112423</v>
      </c>
      <c r="G1531" s="47">
        <v>9850.6854288000304</v>
      </c>
    </row>
    <row r="1532" spans="2:7" x14ac:dyDescent="0.25">
      <c r="B1532" s="49"/>
      <c r="C1532" s="89"/>
      <c r="D1532" s="89"/>
      <c r="E1532" s="47">
        <v>1841.1401098917199</v>
      </c>
      <c r="F1532" s="47">
        <v>1481.36701713509</v>
      </c>
      <c r="G1532" s="47">
        <v>10037.3121804448</v>
      </c>
    </row>
    <row r="1533" spans="2:7" x14ac:dyDescent="0.25">
      <c r="B1533" s="49"/>
      <c r="C1533" s="89"/>
      <c r="D1533" s="89"/>
      <c r="E1533" s="47">
        <v>1848.82424907739</v>
      </c>
      <c r="F1533" s="47">
        <v>1484.35928770541</v>
      </c>
      <c r="G1533" s="47">
        <v>10170.677518491</v>
      </c>
    </row>
    <row r="1534" spans="2:7" x14ac:dyDescent="0.25">
      <c r="B1534" s="49"/>
      <c r="C1534" s="89"/>
      <c r="D1534" s="89"/>
      <c r="E1534" s="47">
        <v>1859.78103128149</v>
      </c>
      <c r="F1534" s="47">
        <v>1486.53077227074</v>
      </c>
      <c r="G1534" s="47">
        <v>10272.029513553</v>
      </c>
    </row>
    <row r="1535" spans="2:7" x14ac:dyDescent="0.25">
      <c r="B1535" s="49"/>
      <c r="C1535" s="89"/>
      <c r="D1535" s="89"/>
      <c r="E1535" s="47">
        <v>1874.40206680658</v>
      </c>
      <c r="F1535" s="47">
        <v>1488.14513330555</v>
      </c>
      <c r="G1535" s="47">
        <v>10352.878375521501</v>
      </c>
    </row>
    <row r="1536" spans="2:7" x14ac:dyDescent="0.25">
      <c r="B1536" s="49"/>
      <c r="C1536" s="89"/>
      <c r="D1536" s="89"/>
      <c r="E1536" s="47">
        <v>1893.0994147423401</v>
      </c>
      <c r="F1536" s="47">
        <v>1489.3561148947001</v>
      </c>
      <c r="G1536" s="47">
        <v>10420.091647671199</v>
      </c>
    </row>
    <row r="1537" spans="2:7" x14ac:dyDescent="0.25">
      <c r="B1537" s="49"/>
      <c r="C1537" s="89"/>
      <c r="D1537" s="89"/>
      <c r="E1537" s="47">
        <v>1916.30512249611</v>
      </c>
      <c r="F1537" s="47">
        <v>1490.25815568128</v>
      </c>
      <c r="G1537" s="47">
        <v>10478.040026451299</v>
      </c>
    </row>
    <row r="1538" spans="2:7" x14ac:dyDescent="0.25">
      <c r="B1538" s="49"/>
      <c r="C1538" s="89"/>
      <c r="D1538" s="89"/>
      <c r="E1538" s="47">
        <v>1944.4532716677199</v>
      </c>
      <c r="F1538" s="47">
        <v>1490.91285157114</v>
      </c>
      <c r="G1538" s="47">
        <v>10529.7033497348</v>
      </c>
    </row>
    <row r="1539" spans="2:7" x14ac:dyDescent="0.25">
      <c r="B1539" s="49"/>
      <c r="C1539" s="89"/>
      <c r="D1539" s="89"/>
      <c r="E1539" s="47">
        <v>1977.9789221665201</v>
      </c>
      <c r="F1539" s="47">
        <v>1491.36219655428</v>
      </c>
      <c r="G1539" s="47">
        <v>10577.2311216826</v>
      </c>
    </row>
    <row r="1540" spans="2:7" x14ac:dyDescent="0.25">
      <c r="B1540" s="49"/>
      <c r="C1540" s="89"/>
      <c r="D1540" s="89">
        <v>600</v>
      </c>
      <c r="E1540" s="47">
        <v>1831.20832554661</v>
      </c>
      <c r="F1540" s="47">
        <v>1748.0011924523601</v>
      </c>
      <c r="G1540" s="47">
        <v>10014.2745891576</v>
      </c>
    </row>
    <row r="1541" spans="2:7" x14ac:dyDescent="0.25">
      <c r="B1541" s="49"/>
      <c r="C1541" s="89"/>
      <c r="D1541" s="89"/>
      <c r="E1541" s="47">
        <v>1832.68876400614</v>
      </c>
      <c r="F1541" s="47">
        <v>1756.58699288464</v>
      </c>
      <c r="G1541" s="47">
        <v>10318.807873461999</v>
      </c>
    </row>
    <row r="1542" spans="2:7" x14ac:dyDescent="0.25">
      <c r="B1542" s="49"/>
      <c r="C1542" s="89"/>
      <c r="D1542" s="89"/>
      <c r="E1542" s="47">
        <v>1836.9582866093101</v>
      </c>
      <c r="F1542" s="47">
        <v>1762.1289260506801</v>
      </c>
      <c r="G1542" s="47">
        <v>10518.1812894168</v>
      </c>
    </row>
    <row r="1543" spans="2:7" x14ac:dyDescent="0.25">
      <c r="B1543" s="49"/>
      <c r="C1543" s="89"/>
      <c r="D1543" s="89"/>
      <c r="E1543" s="47">
        <v>1844.27015976506</v>
      </c>
      <c r="F1543" s="47">
        <v>1765.9786063910001</v>
      </c>
      <c r="G1543" s="47">
        <v>10660.362469510899</v>
      </c>
    </row>
    <row r="1544" spans="2:7" x14ac:dyDescent="0.25">
      <c r="B1544" s="49"/>
      <c r="C1544" s="89"/>
      <c r="D1544" s="89"/>
      <c r="E1544" s="47">
        <v>1854.94551544669</v>
      </c>
      <c r="F1544" s="47">
        <v>1768.7796194554801</v>
      </c>
      <c r="G1544" s="47">
        <v>10768.3602502092</v>
      </c>
    </row>
    <row r="1545" spans="2:7" x14ac:dyDescent="0.25">
      <c r="B1545" s="49"/>
      <c r="C1545" s="89"/>
      <c r="D1545" s="89"/>
      <c r="E1545" s="47">
        <v>1869.33983982633</v>
      </c>
      <c r="F1545" s="47">
        <v>1770.8713981308999</v>
      </c>
      <c r="G1545" s="47">
        <v>10854.466433797301</v>
      </c>
    </row>
    <row r="1546" spans="2:7" x14ac:dyDescent="0.25">
      <c r="B1546" s="49"/>
      <c r="C1546" s="89"/>
      <c r="D1546" s="89"/>
      <c r="E1546" s="47">
        <v>1887.84922394927</v>
      </c>
      <c r="F1546" s="47">
        <v>1772.4511974736899</v>
      </c>
      <c r="G1546" s="47">
        <v>10925.985178020899</v>
      </c>
    </row>
    <row r="1547" spans="2:7" x14ac:dyDescent="0.25">
      <c r="B1547" s="49"/>
      <c r="C1547" s="89"/>
      <c r="D1547" s="89"/>
      <c r="E1547" s="47">
        <v>1910.89434756688</v>
      </c>
      <c r="F1547" s="47">
        <v>1773.6405377168901</v>
      </c>
      <c r="G1547" s="47">
        <v>10987.566502653</v>
      </c>
    </row>
    <row r="1548" spans="2:7" x14ac:dyDescent="0.25">
      <c r="B1548" s="49"/>
      <c r="C1548" s="89"/>
      <c r="D1548" s="89"/>
      <c r="E1548" s="47">
        <v>1938.9003263819</v>
      </c>
      <c r="F1548" s="47">
        <v>1774.51871669404</v>
      </c>
      <c r="G1548" s="47">
        <v>11042.3723930376</v>
      </c>
    </row>
    <row r="1549" spans="2:7" x14ac:dyDescent="0.25">
      <c r="B1549" s="49"/>
      <c r="C1549" s="89"/>
      <c r="D1549" s="89"/>
      <c r="E1549" s="47">
        <v>1972.2925881850799</v>
      </c>
      <c r="F1549" s="47">
        <v>1775.1399562409099</v>
      </c>
      <c r="G1549" s="47">
        <v>11092.6790056431</v>
      </c>
    </row>
    <row r="1550" spans="2:7" x14ac:dyDescent="0.25">
      <c r="B1550" s="49"/>
      <c r="C1550" s="89"/>
      <c r="D1550" s="89">
        <v>700</v>
      </c>
      <c r="E1550" s="47">
        <v>1827.3154982711201</v>
      </c>
      <c r="F1550" s="47">
        <v>2020.4061727214801</v>
      </c>
      <c r="G1550" s="47">
        <v>10470.2089386796</v>
      </c>
    </row>
    <row r="1551" spans="2:7" x14ac:dyDescent="0.25">
      <c r="B1551" s="49"/>
      <c r="C1551" s="89"/>
      <c r="D1551" s="89"/>
      <c r="E1551" s="47">
        <v>1827.9878526566499</v>
      </c>
      <c r="F1551" s="47">
        <v>2031.08957157749</v>
      </c>
      <c r="G1551" s="47">
        <v>10794.206695209299</v>
      </c>
    </row>
    <row r="1552" spans="2:7" x14ac:dyDescent="0.25">
      <c r="B1552" s="49"/>
      <c r="C1552" s="89"/>
      <c r="D1552" s="89"/>
      <c r="E1552" s="47">
        <v>1831.7285207668799</v>
      </c>
      <c r="F1552" s="47">
        <v>2037.99873478063</v>
      </c>
      <c r="G1552" s="47">
        <v>11006.539691814</v>
      </c>
    </row>
    <row r="1553" spans="2:7" x14ac:dyDescent="0.25">
      <c r="B1553" s="49"/>
      <c r="C1553" s="89"/>
      <c r="D1553" s="89"/>
      <c r="E1553" s="47">
        <v>1838.66539020918</v>
      </c>
      <c r="F1553" s="47">
        <v>2042.81326284588</v>
      </c>
      <c r="G1553" s="47">
        <v>11158.1739390328</v>
      </c>
    </row>
    <row r="1554" spans="2:7" x14ac:dyDescent="0.25">
      <c r="B1554" s="49"/>
      <c r="C1554" s="89"/>
      <c r="D1554" s="89"/>
      <c r="E1554" s="47">
        <v>1849.05340592425</v>
      </c>
      <c r="F1554" s="47">
        <v>2046.32498666325</v>
      </c>
      <c r="G1554" s="47">
        <v>11273.2999955995</v>
      </c>
    </row>
    <row r="1555" spans="2:7" x14ac:dyDescent="0.25">
      <c r="B1555" s="49"/>
      <c r="C1555" s="89"/>
      <c r="D1555" s="89"/>
      <c r="E1555" s="47">
        <v>1863.2189409457301</v>
      </c>
      <c r="F1555" s="47">
        <v>2048.95705489273</v>
      </c>
      <c r="G1555" s="47">
        <v>11365.005623741699</v>
      </c>
    </row>
    <row r="1556" spans="2:7" x14ac:dyDescent="0.25">
      <c r="B1556" s="49"/>
      <c r="C1556" s="89"/>
      <c r="D1556" s="89"/>
      <c r="E1556" s="47">
        <v>1881.5397361033499</v>
      </c>
      <c r="F1556" s="47">
        <v>2050.95528866519</v>
      </c>
      <c r="G1556" s="47">
        <v>11441.0537156756</v>
      </c>
    </row>
    <row r="1557" spans="2:7" x14ac:dyDescent="0.25">
      <c r="B1557" s="49"/>
      <c r="C1557" s="89"/>
      <c r="D1557" s="89"/>
      <c r="E1557" s="47">
        <v>1904.42416371787</v>
      </c>
      <c r="F1557" s="47">
        <v>2052.47198042329</v>
      </c>
      <c r="G1557" s="47">
        <v>11506.401826966599</v>
      </c>
    </row>
    <row r="1558" spans="2:7" x14ac:dyDescent="0.25">
      <c r="B1558" s="49"/>
      <c r="C1558" s="89"/>
      <c r="D1558" s="89"/>
      <c r="E1558" s="47">
        <v>1932.2869522895601</v>
      </c>
      <c r="F1558" s="47">
        <v>2053.6071244008899</v>
      </c>
      <c r="G1558" s="47">
        <v>11564.429166001601</v>
      </c>
    </row>
    <row r="1559" spans="2:7" x14ac:dyDescent="0.25">
      <c r="B1559" s="49"/>
      <c r="C1559" s="89"/>
      <c r="D1559" s="89"/>
      <c r="E1559" s="47">
        <v>1965.54173038249</v>
      </c>
      <c r="F1559" s="47">
        <v>2054.4295186527302</v>
      </c>
      <c r="G1559" s="47">
        <v>11617.569046684701</v>
      </c>
    </row>
    <row r="1560" spans="2:7" x14ac:dyDescent="0.25">
      <c r="B1560" s="49"/>
      <c r="C1560" s="89"/>
      <c r="D1560" s="89">
        <v>800</v>
      </c>
      <c r="E1560" s="47">
        <v>1822.4688813396201</v>
      </c>
      <c r="F1560" s="47">
        <v>2287.6955101410499</v>
      </c>
      <c r="G1560" s="47">
        <v>10933.0374039899</v>
      </c>
    </row>
    <row r="1561" spans="2:7" x14ac:dyDescent="0.25">
      <c r="B1561" s="49"/>
      <c r="C1561" s="89"/>
      <c r="D1561" s="89"/>
      <c r="E1561" s="47">
        <v>1822.3157465670899</v>
      </c>
      <c r="F1561" s="47">
        <v>2300.7321330218201</v>
      </c>
      <c r="G1561" s="47">
        <v>11278.2108893447</v>
      </c>
    </row>
    <row r="1562" spans="2:7" x14ac:dyDescent="0.25">
      <c r="B1562" s="49"/>
      <c r="C1562" s="89"/>
      <c r="D1562" s="89"/>
      <c r="E1562" s="47">
        <v>1825.5309803038899</v>
      </c>
      <c r="F1562" s="47">
        <v>2309.1317517443099</v>
      </c>
      <c r="G1562" s="47">
        <v>11503.413520079501</v>
      </c>
    </row>
    <row r="1563" spans="2:7" x14ac:dyDescent="0.25">
      <c r="B1563" s="49"/>
      <c r="C1563" s="89"/>
      <c r="D1563" s="89"/>
      <c r="E1563" s="47">
        <v>1832.0892467409799</v>
      </c>
      <c r="F1563" s="47">
        <v>2314.99320491459</v>
      </c>
      <c r="G1563" s="47">
        <v>11664.225272596101</v>
      </c>
    </row>
    <row r="1564" spans="2:7" x14ac:dyDescent="0.25">
      <c r="B1564" s="49"/>
      <c r="C1564" s="89"/>
      <c r="D1564" s="89"/>
      <c r="E1564" s="47">
        <v>1842.1946430067101</v>
      </c>
      <c r="F1564" s="47">
        <v>2319.27646870848</v>
      </c>
      <c r="G1564" s="47">
        <v>11786.249316444801</v>
      </c>
    </row>
    <row r="1565" spans="2:7" x14ac:dyDescent="0.25">
      <c r="B1565" s="49"/>
      <c r="C1565" s="89"/>
      <c r="D1565" s="89"/>
      <c r="E1565" s="47">
        <v>1856.1300051615001</v>
      </c>
      <c r="F1565" s="47">
        <v>2322.4977417534701</v>
      </c>
      <c r="G1565" s="47">
        <v>11883.3982399426</v>
      </c>
    </row>
    <row r="1566" spans="2:7" x14ac:dyDescent="0.25">
      <c r="B1566" s="49"/>
      <c r="C1566" s="89"/>
      <c r="D1566" s="89"/>
      <c r="E1566" s="47">
        <v>1874.26282048694</v>
      </c>
      <c r="F1566" s="47">
        <v>2324.9557906397099</v>
      </c>
      <c r="G1566" s="47">
        <v>11963.898212066</v>
      </c>
    </row>
    <row r="1567" spans="2:7" x14ac:dyDescent="0.25">
      <c r="B1567" s="49"/>
      <c r="C1567" s="89"/>
      <c r="D1567" s="89"/>
      <c r="E1567" s="47">
        <v>1896.9867159543801</v>
      </c>
      <c r="F1567" s="47">
        <v>2326.8359823404899</v>
      </c>
      <c r="G1567" s="47">
        <v>12032.993496068601</v>
      </c>
    </row>
    <row r="1568" spans="2:7" x14ac:dyDescent="0.25">
      <c r="B1568" s="49"/>
      <c r="C1568" s="89"/>
      <c r="D1568" s="89"/>
      <c r="E1568" s="47">
        <v>1924.6998281858901</v>
      </c>
      <c r="F1568" s="47">
        <v>2328.2605828190599</v>
      </c>
      <c r="G1568" s="47">
        <v>12094.260047834199</v>
      </c>
    </row>
    <row r="1569" spans="2:7" x14ac:dyDescent="0.25">
      <c r="B1569" s="49"/>
      <c r="C1569" s="89"/>
      <c r="D1569" s="89"/>
      <c r="E1569" s="47">
        <v>1957.8254569083199</v>
      </c>
      <c r="F1569" s="47">
        <v>2329.3111516742802</v>
      </c>
      <c r="G1569" s="47">
        <v>12150.217630278999</v>
      </c>
    </row>
    <row r="1570" spans="2:7" x14ac:dyDescent="0.25">
      <c r="B1570" s="49"/>
      <c r="C1570" s="89"/>
      <c r="D1570" s="89">
        <v>900</v>
      </c>
      <c r="E1570" s="47">
        <v>1816.7727564084601</v>
      </c>
      <c r="F1570" s="47">
        <v>2549.9021194360198</v>
      </c>
      <c r="G1570" s="47">
        <v>11401.045076500101</v>
      </c>
    </row>
    <row r="1571" spans="2:7" x14ac:dyDescent="0.25">
      <c r="B1571" s="49"/>
      <c r="C1571" s="89"/>
      <c r="D1571" s="89"/>
      <c r="E1571" s="47">
        <v>1815.7833578591799</v>
      </c>
      <c r="F1571" s="47">
        <v>2565.51060615398</v>
      </c>
      <c r="G1571" s="47">
        <v>11767.6645559629</v>
      </c>
    </row>
    <row r="1572" spans="2:7" x14ac:dyDescent="0.25">
      <c r="B1572" s="49"/>
      <c r="C1572" s="89"/>
      <c r="D1572" s="89"/>
      <c r="E1572" s="47">
        <v>1818.4419618236</v>
      </c>
      <c r="F1572" s="47">
        <v>2575.6084101093502</v>
      </c>
      <c r="G1572" s="47">
        <v>12007.6374950724</v>
      </c>
    </row>
    <row r="1573" spans="2:7" x14ac:dyDescent="0.25">
      <c r="B1573" s="49"/>
      <c r="C1573" s="89"/>
      <c r="D1573" s="89"/>
      <c r="E1573" s="47">
        <v>1824.60430911501</v>
      </c>
      <c r="F1573" s="47">
        <v>2582.6561752996499</v>
      </c>
      <c r="G1573" s="47">
        <v>12178.779725841099</v>
      </c>
    </row>
    <row r="1574" spans="2:7" x14ac:dyDescent="0.25">
      <c r="B1574" s="49"/>
      <c r="C1574" s="89"/>
      <c r="D1574" s="89"/>
      <c r="E1574" s="47">
        <v>1834.4227740561901</v>
      </c>
      <c r="F1574" s="47">
        <v>2587.7885563494401</v>
      </c>
      <c r="G1574" s="47">
        <v>12307.936070923501</v>
      </c>
    </row>
    <row r="1575" spans="2:7" x14ac:dyDescent="0.25">
      <c r="B1575" s="49"/>
      <c r="C1575" s="89"/>
      <c r="D1575" s="89"/>
      <c r="E1575" s="47">
        <v>1848.1240000486</v>
      </c>
      <c r="F1575" s="47">
        <v>2591.6538615826398</v>
      </c>
      <c r="G1575" s="47">
        <v>12410.560730769001</v>
      </c>
    </row>
    <row r="1576" spans="2:7" x14ac:dyDescent="0.25">
      <c r="B1576" s="49"/>
      <c r="C1576" s="89"/>
      <c r="D1576" s="89"/>
      <c r="E1576" s="47">
        <v>1866.0682991480801</v>
      </c>
      <c r="F1576" s="47">
        <v>2594.6147498452901</v>
      </c>
      <c r="G1576" s="47">
        <v>12495.498808762</v>
      </c>
    </row>
    <row r="1577" spans="2:7" x14ac:dyDescent="0.25">
      <c r="B1577" s="49"/>
      <c r="C1577" s="89"/>
      <c r="D1577" s="89"/>
      <c r="E1577" s="47">
        <v>1888.63054371407</v>
      </c>
      <c r="F1577" s="47">
        <v>2596.8940844152398</v>
      </c>
      <c r="G1577" s="47">
        <v>12568.3151758189</v>
      </c>
    </row>
    <row r="1578" spans="2:7" x14ac:dyDescent="0.25">
      <c r="B1578" s="49"/>
      <c r="C1578" s="89"/>
      <c r="D1578" s="89"/>
      <c r="E1578" s="47">
        <v>1916.19270760674</v>
      </c>
      <c r="F1578" s="47">
        <v>2598.6387016696599</v>
      </c>
      <c r="G1578" s="47">
        <v>12632.7900354214</v>
      </c>
    </row>
    <row r="1579" spans="2:7" x14ac:dyDescent="0.25">
      <c r="B1579" s="49"/>
      <c r="C1579" s="89"/>
      <c r="D1579" s="89"/>
      <c r="E1579" s="47">
        <v>1949.1890487302201</v>
      </c>
      <c r="F1579" s="47">
        <v>2599.9439675604999</v>
      </c>
      <c r="G1579" s="47">
        <v>12691.538103410599</v>
      </c>
    </row>
    <row r="1580" spans="2:7" x14ac:dyDescent="0.25">
      <c r="B1580" s="49"/>
      <c r="C1580" s="89"/>
      <c r="D1580" s="89">
        <v>1000</v>
      </c>
      <c r="E1580" s="47">
        <v>1810.2582263270101</v>
      </c>
      <c r="F1580" s="47">
        <v>2807.2157526921101</v>
      </c>
      <c r="G1580" s="47">
        <v>11876.5000231714</v>
      </c>
    </row>
    <row r="1581" spans="2:7" x14ac:dyDescent="0.25">
      <c r="B1581" s="49"/>
      <c r="C1581" s="89"/>
      <c r="D1581" s="89"/>
      <c r="E1581" s="47">
        <v>1808.43311465957</v>
      </c>
      <c r="F1581" s="47">
        <v>2825.5796073656502</v>
      </c>
      <c r="G1581" s="47">
        <v>12264.017001466</v>
      </c>
    </row>
    <row r="1582" spans="2:7" x14ac:dyDescent="0.25">
      <c r="B1582" s="49"/>
      <c r="C1582" s="89"/>
      <c r="D1582" s="89"/>
      <c r="E1582" s="47">
        <v>1810.54435102599</v>
      </c>
      <c r="F1582" s="47">
        <v>2837.4637212276998</v>
      </c>
      <c r="G1582" s="47">
        <v>12517.582794853301</v>
      </c>
    </row>
    <row r="1583" spans="2:7" x14ac:dyDescent="0.25">
      <c r="B1583" s="49"/>
      <c r="C1583" s="89"/>
      <c r="D1583" s="89"/>
      <c r="E1583" s="47">
        <v>1816.31408226349</v>
      </c>
      <c r="F1583" s="47">
        <v>2845.7667422070599</v>
      </c>
      <c r="G1583" s="47">
        <v>12698.382903473899</v>
      </c>
    </row>
    <row r="1584" spans="2:7" x14ac:dyDescent="0.25">
      <c r="B1584" s="49"/>
      <c r="C1584" s="89"/>
      <c r="D1584" s="89"/>
      <c r="E1584" s="47">
        <v>1825.82510538873</v>
      </c>
      <c r="F1584" s="47">
        <v>2851.8515311862898</v>
      </c>
      <c r="G1584" s="47">
        <v>12835.3650168852</v>
      </c>
    </row>
    <row r="1585" spans="2:7" x14ac:dyDescent="0.25">
      <c r="B1585" s="49"/>
      <c r="C1585" s="89"/>
      <c r="D1585" s="89"/>
      <c r="E1585" s="47">
        <v>1839.28440741289</v>
      </c>
      <c r="F1585" s="47">
        <v>2856.4493050138399</v>
      </c>
      <c r="G1585" s="47">
        <v>12944.196209380099</v>
      </c>
    </row>
    <row r="1586" spans="2:7" x14ac:dyDescent="0.25">
      <c r="B1586" s="49"/>
      <c r="C1586" s="89"/>
      <c r="D1586" s="89"/>
      <c r="E1586" s="47">
        <v>1857.0344035559799</v>
      </c>
      <c r="F1586" s="47">
        <v>2859.9830878638199</v>
      </c>
      <c r="G1586" s="47">
        <v>13034.131012882201</v>
      </c>
    </row>
    <row r="1587" spans="2:7" x14ac:dyDescent="0.25">
      <c r="B1587" s="49"/>
      <c r="C1587" s="89"/>
      <c r="D1587" s="89"/>
      <c r="E1587" s="47">
        <v>1879.4216289521401</v>
      </c>
      <c r="F1587" s="47">
        <v>2862.7182999687302</v>
      </c>
      <c r="G1587" s="47">
        <v>13111.0860839255</v>
      </c>
    </row>
    <row r="1588" spans="2:7" x14ac:dyDescent="0.25">
      <c r="B1588" s="49"/>
      <c r="C1588" s="89"/>
      <c r="D1588" s="89"/>
      <c r="E1588" s="47">
        <v>1906.83951549518</v>
      </c>
      <c r="F1588" s="47">
        <v>2864.82635573168</v>
      </c>
      <c r="G1588" s="47">
        <v>13179.027136816499</v>
      </c>
    </row>
    <row r="1589" spans="2:7" x14ac:dyDescent="0.25">
      <c r="B1589" s="49"/>
      <c r="C1589" s="89"/>
      <c r="D1589" s="89"/>
      <c r="E1589" s="47">
        <v>1939.7067239338501</v>
      </c>
      <c r="F1589" s="47">
        <v>2866.4226653261398</v>
      </c>
      <c r="G1589" s="47">
        <v>13240.755168721</v>
      </c>
    </row>
    <row r="1590" spans="2:7" x14ac:dyDescent="0.25">
      <c r="B1590" s="49"/>
      <c r="C1590" s="89"/>
      <c r="D1590" s="89">
        <v>1100</v>
      </c>
      <c r="E1590" s="47">
        <v>1803.0212665265501</v>
      </c>
      <c r="F1590" s="47">
        <v>3059.5872564870101</v>
      </c>
      <c r="G1590" s="47">
        <v>12356.3092365803</v>
      </c>
    </row>
    <row r="1591" spans="2:7" x14ac:dyDescent="0.25">
      <c r="B1591" s="49"/>
      <c r="C1591" s="89"/>
      <c r="D1591" s="89"/>
      <c r="E1591" s="47">
        <v>1800.30434890264</v>
      </c>
      <c r="F1591" s="47">
        <v>3081.05175759129</v>
      </c>
      <c r="G1591" s="47">
        <v>12767.3921532451</v>
      </c>
    </row>
    <row r="1592" spans="2:7" x14ac:dyDescent="0.25">
      <c r="B1592" s="49"/>
      <c r="C1592" s="89"/>
      <c r="D1592" s="89"/>
      <c r="E1592" s="47">
        <v>1801.8543715957101</v>
      </c>
      <c r="F1592" s="47">
        <v>3094.8959351569001</v>
      </c>
      <c r="G1592" s="47">
        <v>13035.326443911999</v>
      </c>
    </row>
    <row r="1593" spans="2:7" x14ac:dyDescent="0.25">
      <c r="B1593" s="49"/>
      <c r="C1593" s="89"/>
      <c r="D1593" s="89"/>
      <c r="E1593" s="47">
        <v>1807.2353190311901</v>
      </c>
      <c r="F1593" s="47">
        <v>3104.5514873873799</v>
      </c>
      <c r="G1593" s="47">
        <v>13225.8426501953</v>
      </c>
    </row>
    <row r="1594" spans="2:7" x14ac:dyDescent="0.25">
      <c r="B1594" s="49"/>
      <c r="C1594" s="89"/>
      <c r="D1594" s="89"/>
      <c r="E1594" s="47">
        <v>1816.4479877881899</v>
      </c>
      <c r="F1594" s="47">
        <v>3111.6390185744999</v>
      </c>
      <c r="G1594" s="47">
        <v>13370.155742985</v>
      </c>
    </row>
    <row r="1595" spans="2:7" x14ac:dyDescent="0.25">
      <c r="B1595" s="49"/>
      <c r="C1595" s="89"/>
      <c r="D1595" s="89"/>
      <c r="E1595" s="47">
        <v>1829.67884310712</v>
      </c>
      <c r="F1595" s="47">
        <v>3117.0037110977601</v>
      </c>
      <c r="G1595" s="47">
        <v>13484.701595849599</v>
      </c>
    </row>
    <row r="1596" spans="2:7" x14ac:dyDescent="0.25">
      <c r="B1596" s="49"/>
      <c r="C1596" s="89"/>
      <c r="D1596" s="89"/>
      <c r="E1596" s="47">
        <v>1847.23952395777</v>
      </c>
      <c r="F1596" s="47">
        <v>3121.14070042814</v>
      </c>
      <c r="G1596" s="47">
        <v>13579.2816112365</v>
      </c>
    </row>
    <row r="1597" spans="2:7" x14ac:dyDescent="0.25">
      <c r="B1597" s="49"/>
      <c r="C1597" s="89"/>
      <c r="D1597" s="89"/>
      <c r="E1597" s="47">
        <v>1869.45530928934</v>
      </c>
      <c r="F1597" s="47">
        <v>3124.3593110342399</v>
      </c>
      <c r="G1597" s="47">
        <v>13660.127975355699</v>
      </c>
    </row>
    <row r="1598" spans="2:7" x14ac:dyDescent="0.25">
      <c r="B1598" s="49"/>
      <c r="C1598" s="89"/>
      <c r="D1598" s="89"/>
      <c r="E1598" s="47">
        <v>1896.73314054667</v>
      </c>
      <c r="F1598" s="47">
        <v>3126.8572339038501</v>
      </c>
      <c r="G1598" s="47">
        <v>13731.3946452649</v>
      </c>
    </row>
    <row r="1599" spans="2:7" x14ac:dyDescent="0.25">
      <c r="B1599" s="49"/>
      <c r="C1599" s="89"/>
      <c r="D1599" s="89"/>
      <c r="E1599" s="47">
        <v>1929.4737490464199</v>
      </c>
      <c r="F1599" s="47">
        <v>3128.76982543847</v>
      </c>
      <c r="G1599" s="47">
        <v>13796.028496241999</v>
      </c>
    </row>
    <row r="1600" spans="2:7" x14ac:dyDescent="0.25">
      <c r="B1600" s="49"/>
      <c r="C1600" s="89"/>
      <c r="D1600" s="89">
        <v>1200</v>
      </c>
      <c r="E1600" s="47">
        <v>1795.0665280466999</v>
      </c>
      <c r="F1600" s="47">
        <v>3307.2105985727699</v>
      </c>
      <c r="G1600" s="47">
        <v>12842.6529436976</v>
      </c>
    </row>
    <row r="1601" spans="2:7" x14ac:dyDescent="0.25">
      <c r="B1601" s="49"/>
      <c r="C1601" s="89"/>
      <c r="D1601" s="89"/>
      <c r="E1601" s="47">
        <v>1791.4912035194</v>
      </c>
      <c r="F1601" s="47">
        <v>3331.90715353526</v>
      </c>
      <c r="G1601" s="47">
        <v>13275.5922331808</v>
      </c>
    </row>
    <row r="1602" spans="2:7" x14ac:dyDescent="0.25">
      <c r="B1602" s="49"/>
      <c r="C1602" s="89"/>
      <c r="D1602" s="89"/>
      <c r="E1602" s="47">
        <v>1792.47166575798</v>
      </c>
      <c r="F1602" s="47">
        <v>3347.8896404003499</v>
      </c>
      <c r="G1602" s="47">
        <v>13558.5579494822</v>
      </c>
    </row>
    <row r="1603" spans="2:7" x14ac:dyDescent="0.25">
      <c r="B1603" s="49"/>
      <c r="C1603" s="89"/>
      <c r="D1603" s="89"/>
      <c r="E1603" s="47">
        <v>1797.4388608873301</v>
      </c>
      <c r="F1603" s="47">
        <v>3359.0636645088698</v>
      </c>
      <c r="G1603" s="47">
        <v>13760.022075164299</v>
      </c>
    </row>
    <row r="1604" spans="2:7" x14ac:dyDescent="0.25">
      <c r="B1604" s="49"/>
      <c r="C1604" s="89"/>
      <c r="D1604" s="89"/>
      <c r="E1604" s="47">
        <v>1806.3372495620999</v>
      </c>
      <c r="F1604" s="47">
        <v>3367.2706323552102</v>
      </c>
      <c r="G1604" s="47">
        <v>13912.4470824361</v>
      </c>
    </row>
    <row r="1605" spans="2:7" x14ac:dyDescent="0.25">
      <c r="B1605" s="49"/>
      <c r="C1605" s="89"/>
      <c r="D1605" s="89"/>
      <c r="E1605" s="47">
        <v>1819.3360397758499</v>
      </c>
      <c r="F1605" s="47">
        <v>3373.4713640290402</v>
      </c>
      <c r="G1605" s="47">
        <v>14032.938915565999</v>
      </c>
    </row>
    <row r="1606" spans="2:7" x14ac:dyDescent="0.25">
      <c r="B1606" s="49"/>
      <c r="C1606" s="89"/>
      <c r="D1606" s="89"/>
      <c r="E1606" s="47">
        <v>1836.6951863797799</v>
      </c>
      <c r="F1606" s="47">
        <v>3378.2599007366298</v>
      </c>
      <c r="G1606" s="47">
        <v>14132.204691777601</v>
      </c>
    </row>
    <row r="1607" spans="2:7" x14ac:dyDescent="0.25">
      <c r="B1607" s="49"/>
      <c r="C1607" s="89"/>
      <c r="D1607" s="89"/>
      <c r="E1607" s="47">
        <v>1858.7514794763999</v>
      </c>
      <c r="F1607" s="47">
        <v>3381.9982158704001</v>
      </c>
      <c r="G1607" s="47">
        <v>14216.9203487001</v>
      </c>
    </row>
    <row r="1608" spans="2:7" x14ac:dyDescent="0.25">
      <c r="B1608" s="49"/>
      <c r="C1608" s="89"/>
      <c r="D1608" s="89"/>
      <c r="E1608" s="47">
        <v>1885.8905930435601</v>
      </c>
      <c r="F1608" s="47">
        <v>3384.9171052565998</v>
      </c>
      <c r="G1608" s="47">
        <v>14291.4880863335</v>
      </c>
    </row>
    <row r="1609" spans="2:7" x14ac:dyDescent="0.25">
      <c r="B1609" s="49"/>
      <c r="C1609" s="89"/>
      <c r="D1609" s="89"/>
      <c r="E1609" s="47">
        <v>1918.49908189851</v>
      </c>
      <c r="F1609" s="47">
        <v>3387.1739231164402</v>
      </c>
      <c r="G1609" s="47">
        <v>14359.013282854799</v>
      </c>
    </row>
    <row r="1610" spans="2:7" x14ac:dyDescent="0.25">
      <c r="B1610" s="49"/>
      <c r="C1610" s="89">
        <v>35</v>
      </c>
      <c r="D1610" s="89">
        <v>0</v>
      </c>
      <c r="E1610" s="47">
        <v>1882.3494537358599</v>
      </c>
      <c r="F1610" s="47">
        <v>0</v>
      </c>
      <c r="G1610" s="47">
        <v>8570.9637397622701</v>
      </c>
    </row>
    <row r="1611" spans="2:7" x14ac:dyDescent="0.25">
      <c r="B1611" s="49"/>
      <c r="C1611" s="89"/>
      <c r="D1611" s="89"/>
      <c r="E1611" s="47">
        <v>1890.9602490269999</v>
      </c>
      <c r="F1611" s="47">
        <v>0</v>
      </c>
      <c r="G1611" s="47">
        <v>8593.90063167472</v>
      </c>
    </row>
    <row r="1612" spans="2:7" x14ac:dyDescent="0.25">
      <c r="B1612" s="49"/>
      <c r="C1612" s="89"/>
      <c r="D1612" s="89"/>
      <c r="E1612" s="47">
        <v>1899.5710443181399</v>
      </c>
      <c r="F1612" s="47">
        <v>0</v>
      </c>
      <c r="G1612" s="47">
        <v>8616.8375235871699</v>
      </c>
    </row>
    <row r="1613" spans="2:7" x14ac:dyDescent="0.25">
      <c r="B1613" s="49"/>
      <c r="C1613" s="89"/>
      <c r="D1613" s="89"/>
      <c r="E1613" s="47">
        <v>1909.6541002230599</v>
      </c>
      <c r="F1613" s="47">
        <v>0</v>
      </c>
      <c r="G1613" s="47">
        <v>8637.5214564112302</v>
      </c>
    </row>
    <row r="1614" spans="2:7" x14ac:dyDescent="0.25">
      <c r="B1614" s="49"/>
      <c r="C1614" s="89"/>
      <c r="D1614" s="89"/>
      <c r="E1614" s="47">
        <v>1920.2279096658999</v>
      </c>
      <c r="F1614" s="47">
        <v>0</v>
      </c>
      <c r="G1614" s="47">
        <v>8657.4544028724995</v>
      </c>
    </row>
    <row r="1615" spans="2:7" x14ac:dyDescent="0.25">
      <c r="B1615" s="49"/>
      <c r="C1615" s="89"/>
      <c r="D1615" s="89"/>
      <c r="E1615" s="47">
        <v>1931.88685459623</v>
      </c>
      <c r="F1615" s="47">
        <v>0</v>
      </c>
      <c r="G1615" s="47">
        <v>8676.3958372903799</v>
      </c>
    </row>
    <row r="1616" spans="2:7" x14ac:dyDescent="0.25">
      <c r="B1616" s="49"/>
      <c r="C1616" s="89"/>
      <c r="D1616" s="89"/>
      <c r="E1616" s="47">
        <v>1944.63093501407</v>
      </c>
      <c r="F1616" s="47">
        <v>0</v>
      </c>
      <c r="G1616" s="47">
        <v>8694.3457596648695</v>
      </c>
    </row>
    <row r="1617" spans="2:7" x14ac:dyDescent="0.25">
      <c r="B1617" s="49"/>
      <c r="C1617" s="89"/>
      <c r="D1617" s="89"/>
      <c r="E1617" s="47">
        <v>1957.9685677124901</v>
      </c>
      <c r="F1617" s="47">
        <v>0</v>
      </c>
      <c r="G1617" s="47">
        <v>8711.9854894480704</v>
      </c>
    </row>
    <row r="1618" spans="2:7" x14ac:dyDescent="0.25">
      <c r="B1618" s="49"/>
      <c r="C1618" s="89"/>
      <c r="D1618" s="89"/>
      <c r="E1618" s="47">
        <v>1973.0868572526799</v>
      </c>
      <c r="F1618" s="47">
        <v>0</v>
      </c>
      <c r="G1618" s="47">
        <v>8728.6946414573595</v>
      </c>
    </row>
    <row r="1619" spans="2:7" x14ac:dyDescent="0.25">
      <c r="B1619" s="49"/>
      <c r="C1619" s="89"/>
      <c r="D1619" s="89"/>
      <c r="E1619" s="47">
        <v>1988.20514679288</v>
      </c>
      <c r="F1619" s="47">
        <v>0</v>
      </c>
      <c r="G1619" s="47">
        <v>8745.4037934666594</v>
      </c>
    </row>
    <row r="1620" spans="2:7" x14ac:dyDescent="0.25">
      <c r="B1620" s="49"/>
      <c r="C1620" s="89"/>
      <c r="D1620" s="89">
        <v>100</v>
      </c>
      <c r="E1620" s="47">
        <v>1866.84897003074</v>
      </c>
      <c r="F1620" s="47">
        <v>304.32965095766002</v>
      </c>
      <c r="G1620" s="47">
        <v>8972.2214969746201</v>
      </c>
    </row>
    <row r="1621" spans="2:7" x14ac:dyDescent="0.25">
      <c r="B1621" s="49"/>
      <c r="C1621" s="89"/>
      <c r="D1621" s="89"/>
      <c r="E1621" s="47">
        <v>1875.30136587985</v>
      </c>
      <c r="F1621" s="47">
        <v>304.47089041345203</v>
      </c>
      <c r="G1621" s="47">
        <v>9009.3486371312501</v>
      </c>
    </row>
    <row r="1622" spans="2:7" x14ac:dyDescent="0.25">
      <c r="B1622" s="49"/>
      <c r="C1622" s="89"/>
      <c r="D1622" s="89"/>
      <c r="E1622" s="47">
        <v>1884.19632706425</v>
      </c>
      <c r="F1622" s="47">
        <v>304.604528561233</v>
      </c>
      <c r="G1622" s="47">
        <v>9045.2402984896107</v>
      </c>
    </row>
    <row r="1623" spans="2:7" x14ac:dyDescent="0.25">
      <c r="B1623" s="49"/>
      <c r="C1623" s="89"/>
      <c r="D1623" s="89"/>
      <c r="E1623" s="47">
        <v>1894.86154958977</v>
      </c>
      <c r="F1623" s="47">
        <v>304.70776147696802</v>
      </c>
      <c r="G1623" s="47">
        <v>9076.1900446549098</v>
      </c>
    </row>
    <row r="1624" spans="2:7" x14ac:dyDescent="0.25">
      <c r="B1624" s="49"/>
      <c r="C1624" s="89"/>
      <c r="D1624" s="89"/>
      <c r="E1624" s="47">
        <v>1906.51255573463</v>
      </c>
      <c r="F1624" s="47">
        <v>304.79928605226002</v>
      </c>
      <c r="G1624" s="47">
        <v>9105.4952217560294</v>
      </c>
    </row>
    <row r="1625" spans="2:7" x14ac:dyDescent="0.25">
      <c r="B1625" s="49"/>
      <c r="C1625" s="89"/>
      <c r="D1625" s="89"/>
      <c r="E1625" s="47">
        <v>1919.6422373084999</v>
      </c>
      <c r="F1625" s="47">
        <v>304.87324811688597</v>
      </c>
      <c r="G1625" s="47">
        <v>9132.3335452608899</v>
      </c>
    </row>
    <row r="1626" spans="2:7" x14ac:dyDescent="0.25">
      <c r="B1626" s="49"/>
      <c r="C1626" s="89"/>
      <c r="D1626" s="89"/>
      <c r="E1626" s="47">
        <v>1934.4044969571901</v>
      </c>
      <c r="F1626" s="47">
        <v>304.93289416681898</v>
      </c>
      <c r="G1626" s="47">
        <v>9157.52425869736</v>
      </c>
    </row>
    <row r="1627" spans="2:7" x14ac:dyDescent="0.25">
      <c r="B1627" s="49"/>
      <c r="C1627" s="89"/>
      <c r="D1627" s="89"/>
      <c r="E1627" s="47">
        <v>1950.2551419890799</v>
      </c>
      <c r="F1627" s="47">
        <v>304.98299620695701</v>
      </c>
      <c r="G1627" s="47">
        <v>9181.6165654215692</v>
      </c>
    </row>
    <row r="1628" spans="2:7" x14ac:dyDescent="0.25">
      <c r="B1628" s="49"/>
      <c r="C1628" s="89"/>
      <c r="D1628" s="89"/>
      <c r="E1628" s="47">
        <v>1968.4845447809901</v>
      </c>
      <c r="F1628" s="47">
        <v>305.01695442903201</v>
      </c>
      <c r="G1628" s="47">
        <v>9204.3079504279794</v>
      </c>
    </row>
    <row r="1629" spans="2:7" x14ac:dyDescent="0.25">
      <c r="B1629" s="49"/>
      <c r="C1629" s="89"/>
      <c r="D1629" s="89"/>
      <c r="E1629" s="47">
        <v>1987.3086370128999</v>
      </c>
      <c r="F1629" s="47">
        <v>305.04687669659199</v>
      </c>
      <c r="G1629" s="47">
        <v>9226.6491050049408</v>
      </c>
    </row>
    <row r="1630" spans="2:7" x14ac:dyDescent="0.25">
      <c r="B1630" s="49"/>
      <c r="C1630" s="89"/>
      <c r="D1630" s="89">
        <v>200</v>
      </c>
      <c r="E1630" s="47">
        <v>1845.60316245745</v>
      </c>
      <c r="F1630" s="47">
        <v>601.58573203518597</v>
      </c>
      <c r="G1630" s="47">
        <v>9237.0125644862892</v>
      </c>
    </row>
    <row r="1631" spans="2:7" x14ac:dyDescent="0.25">
      <c r="B1631" s="49"/>
      <c r="C1631" s="89"/>
      <c r="D1631" s="89"/>
      <c r="E1631" s="47">
        <v>1852.0649901331601</v>
      </c>
      <c r="F1631" s="47">
        <v>602.40009850016202</v>
      </c>
      <c r="G1631" s="47">
        <v>9328.8208135838104</v>
      </c>
    </row>
    <row r="1632" spans="2:7" x14ac:dyDescent="0.25">
      <c r="B1632" s="49"/>
      <c r="C1632" s="89"/>
      <c r="D1632" s="89"/>
      <c r="E1632" s="47">
        <v>1860.2578636190001</v>
      </c>
      <c r="F1632" s="47">
        <v>603.05266450050601</v>
      </c>
      <c r="G1632" s="47">
        <v>9404.9489335911203</v>
      </c>
    </row>
    <row r="1633" spans="2:7" x14ac:dyDescent="0.25">
      <c r="B1633" s="49"/>
      <c r="C1633" s="89"/>
      <c r="D1633" s="89"/>
      <c r="E1633" s="47">
        <v>1870.33499016872</v>
      </c>
      <c r="F1633" s="47">
        <v>603.57415875229299</v>
      </c>
      <c r="G1633" s="47">
        <v>9468.7848223501205</v>
      </c>
    </row>
    <row r="1634" spans="2:7" x14ac:dyDescent="0.25">
      <c r="B1634" s="49"/>
      <c r="C1634" s="89"/>
      <c r="D1634" s="89"/>
      <c r="E1634" s="47">
        <v>1882.4478473224401</v>
      </c>
      <c r="F1634" s="47">
        <v>603.99104917775696</v>
      </c>
      <c r="G1634" s="47">
        <v>9523.2631253865602</v>
      </c>
    </row>
    <row r="1635" spans="2:7" x14ac:dyDescent="0.25">
      <c r="B1635" s="49"/>
      <c r="C1635" s="89"/>
      <c r="D1635" s="89"/>
      <c r="E1635" s="47">
        <v>1897.24041018155</v>
      </c>
      <c r="F1635" s="47">
        <v>604.31112914690596</v>
      </c>
      <c r="G1635" s="47">
        <v>9569.7573509856702</v>
      </c>
    </row>
    <row r="1636" spans="2:7" x14ac:dyDescent="0.25">
      <c r="B1636" s="49"/>
      <c r="C1636" s="89"/>
      <c r="D1636" s="89"/>
      <c r="E1636" s="47">
        <v>1915.00424423192</v>
      </c>
      <c r="F1636" s="47">
        <v>604.55696877359196</v>
      </c>
      <c r="G1636" s="47">
        <v>9610.9074060489893</v>
      </c>
    </row>
    <row r="1637" spans="2:7" x14ac:dyDescent="0.25">
      <c r="B1637" s="49"/>
      <c r="C1637" s="89"/>
      <c r="D1637" s="89"/>
      <c r="E1637" s="47">
        <v>1935.4473185702</v>
      </c>
      <c r="F1637" s="47">
        <v>604.75028164110495</v>
      </c>
      <c r="G1637" s="47">
        <v>9648.7668874075298</v>
      </c>
    </row>
    <row r="1638" spans="2:7" x14ac:dyDescent="0.25">
      <c r="B1638" s="49"/>
      <c r="C1638" s="89"/>
      <c r="D1638" s="89"/>
      <c r="E1638" s="47">
        <v>1958.7199184513499</v>
      </c>
      <c r="F1638" s="47">
        <v>604.89660152376905</v>
      </c>
      <c r="G1638" s="47">
        <v>9684.0500966185191</v>
      </c>
    </row>
    <row r="1639" spans="2:7" x14ac:dyDescent="0.25">
      <c r="B1639" s="49"/>
      <c r="C1639" s="89"/>
      <c r="D1639" s="89"/>
      <c r="E1639" s="47">
        <v>1984.9712788971301</v>
      </c>
      <c r="F1639" s="47">
        <v>605.00072651074299</v>
      </c>
      <c r="G1639" s="47">
        <v>9717.3923978646799</v>
      </c>
    </row>
    <row r="1640" spans="2:7" x14ac:dyDescent="0.25">
      <c r="B1640" s="49"/>
      <c r="C1640" s="89"/>
      <c r="D1640" s="89">
        <v>300</v>
      </c>
      <c r="E1640" s="47">
        <v>1838.2589553149</v>
      </c>
      <c r="F1640" s="47">
        <v>891.93216430445398</v>
      </c>
      <c r="G1640" s="47">
        <v>9525.1785361438997</v>
      </c>
    </row>
    <row r="1641" spans="2:7" x14ac:dyDescent="0.25">
      <c r="B1641" s="49"/>
      <c r="C1641" s="89"/>
      <c r="D1641" s="89"/>
      <c r="E1641" s="47">
        <v>1842.8381782476199</v>
      </c>
      <c r="F1641" s="47">
        <v>894.11681850036905</v>
      </c>
      <c r="G1641" s="47">
        <v>9683.4271916488105</v>
      </c>
    </row>
    <row r="1642" spans="2:7" x14ac:dyDescent="0.25">
      <c r="B1642" s="49"/>
      <c r="C1642" s="89"/>
      <c r="D1642" s="89"/>
      <c r="E1642" s="47">
        <v>1849.5922012956901</v>
      </c>
      <c r="F1642" s="47">
        <v>895.71611218630096</v>
      </c>
      <c r="G1642" s="47">
        <v>9802.1613659590294</v>
      </c>
    </row>
    <row r="1643" spans="2:7" x14ac:dyDescent="0.25">
      <c r="B1643" s="49"/>
      <c r="C1643" s="89"/>
      <c r="D1643" s="89"/>
      <c r="E1643" s="47">
        <v>1858.7890999843301</v>
      </c>
      <c r="F1643" s="47">
        <v>896.91817062491702</v>
      </c>
      <c r="G1643" s="47">
        <v>9894.9028228686202</v>
      </c>
    </row>
    <row r="1644" spans="2:7" x14ac:dyDescent="0.25">
      <c r="B1644" s="49"/>
      <c r="C1644" s="89"/>
      <c r="D1644" s="89"/>
      <c r="E1644" s="47">
        <v>1870.71462317335</v>
      </c>
      <c r="F1644" s="47">
        <v>897.83757592473796</v>
      </c>
      <c r="G1644" s="47">
        <v>9969.9915908025105</v>
      </c>
    </row>
    <row r="1645" spans="2:7" x14ac:dyDescent="0.25">
      <c r="B1645" s="49"/>
      <c r="C1645" s="89"/>
      <c r="D1645" s="89"/>
      <c r="E1645" s="47">
        <v>1885.65387661972</v>
      </c>
      <c r="F1645" s="47">
        <v>898.54665275603702</v>
      </c>
      <c r="G1645" s="47">
        <v>10032.7805870393</v>
      </c>
    </row>
    <row r="1646" spans="2:7" x14ac:dyDescent="0.25">
      <c r="B1646" s="49"/>
      <c r="C1646" s="89"/>
      <c r="D1646" s="89"/>
      <c r="E1646" s="47">
        <v>1903.88966643254</v>
      </c>
      <c r="F1646" s="47">
        <v>899.09305853329795</v>
      </c>
      <c r="G1646" s="47">
        <v>10086.877308160299</v>
      </c>
    </row>
    <row r="1647" spans="2:7" x14ac:dyDescent="0.25">
      <c r="B1647" s="49"/>
      <c r="C1647" s="89"/>
      <c r="D1647" s="89"/>
      <c r="E1647" s="47">
        <v>1925.7106968136</v>
      </c>
      <c r="F1647" s="47">
        <v>899.50855467717099</v>
      </c>
      <c r="G1647" s="47">
        <v>10134.7711148285</v>
      </c>
    </row>
    <row r="1648" spans="2:7" x14ac:dyDescent="0.25">
      <c r="B1648" s="49"/>
      <c r="C1648" s="89"/>
      <c r="D1648" s="89"/>
      <c r="E1648" s="47">
        <v>1951.4166526827801</v>
      </c>
      <c r="F1648" s="47">
        <v>899.81415795759801</v>
      </c>
      <c r="G1648" s="47">
        <v>10178.201876146</v>
      </c>
    </row>
    <row r="1649" spans="2:7" x14ac:dyDescent="0.25">
      <c r="B1649" s="49"/>
      <c r="C1649" s="89"/>
      <c r="D1649" s="89"/>
      <c r="E1649" s="47">
        <v>1981.3010339932</v>
      </c>
      <c r="F1649" s="47">
        <v>900.027193308439</v>
      </c>
      <c r="G1649" s="47">
        <v>10218.6429759768</v>
      </c>
    </row>
    <row r="1650" spans="2:7" x14ac:dyDescent="0.25">
      <c r="B1650" s="49"/>
      <c r="C1650" s="89"/>
      <c r="D1650" s="89">
        <v>400</v>
      </c>
      <c r="E1650" s="47">
        <v>1833.34068969125</v>
      </c>
      <c r="F1650" s="47">
        <v>1173.0828968189101</v>
      </c>
      <c r="G1650" s="47">
        <v>9697.1416964623095</v>
      </c>
    </row>
    <row r="1651" spans="2:7" x14ac:dyDescent="0.25">
      <c r="B1651" s="49"/>
      <c r="C1651" s="89"/>
      <c r="D1651" s="89"/>
      <c r="E1651" s="47">
        <v>1835.3826719265301</v>
      </c>
      <c r="F1651" s="47">
        <v>1178.52381949609</v>
      </c>
      <c r="G1651" s="47">
        <v>9987.1825923769393</v>
      </c>
    </row>
    <row r="1652" spans="2:7" x14ac:dyDescent="0.25">
      <c r="B1652" s="49"/>
      <c r="C1652" s="89"/>
      <c r="D1652" s="89"/>
      <c r="E1652" s="47">
        <v>1840.0253855220601</v>
      </c>
      <c r="F1652" s="47">
        <v>1182.0397582425301</v>
      </c>
      <c r="G1652" s="47">
        <v>10177.4205482547</v>
      </c>
    </row>
    <row r="1653" spans="2:7" x14ac:dyDescent="0.25">
      <c r="B1653" s="49"/>
      <c r="C1653" s="89"/>
      <c r="D1653" s="89"/>
      <c r="E1653" s="47">
        <v>1847.6100881667701</v>
      </c>
      <c r="F1653" s="47">
        <v>1184.4835004465699</v>
      </c>
      <c r="G1653" s="47">
        <v>10313.3427809883</v>
      </c>
    </row>
    <row r="1654" spans="2:7" x14ac:dyDescent="0.25">
      <c r="B1654" s="49"/>
      <c r="C1654" s="89"/>
      <c r="D1654" s="89"/>
      <c r="E1654" s="47">
        <v>1858.47777760023</v>
      </c>
      <c r="F1654" s="47">
        <v>1186.2590575859101</v>
      </c>
      <c r="G1654" s="47">
        <v>10416.648436917099</v>
      </c>
    </row>
    <row r="1655" spans="2:7" x14ac:dyDescent="0.25">
      <c r="B1655" s="49"/>
      <c r="C1655" s="89"/>
      <c r="D1655" s="89"/>
      <c r="E1655" s="47">
        <v>1873.0322814753899</v>
      </c>
      <c r="F1655" s="47">
        <v>1187.58071700204</v>
      </c>
      <c r="G1655" s="47">
        <v>10499.0366834791</v>
      </c>
    </row>
    <row r="1656" spans="2:7" x14ac:dyDescent="0.25">
      <c r="B1656" s="49"/>
      <c r="C1656" s="89"/>
      <c r="D1656" s="89"/>
      <c r="E1656" s="47">
        <v>1891.6806820009999</v>
      </c>
      <c r="F1656" s="47">
        <v>1188.5737094792801</v>
      </c>
      <c r="G1656" s="47">
        <v>10567.489082095801</v>
      </c>
    </row>
    <row r="1657" spans="2:7" x14ac:dyDescent="0.25">
      <c r="B1657" s="49"/>
      <c r="C1657" s="89"/>
      <c r="D1657" s="89"/>
      <c r="E1657" s="47">
        <v>1914.83341138782</v>
      </c>
      <c r="F1657" s="47">
        <v>1189.3167029454901</v>
      </c>
      <c r="G1657" s="47">
        <v>10626.522097393699</v>
      </c>
    </row>
    <row r="1658" spans="2:7" x14ac:dyDescent="0.25">
      <c r="B1658" s="49"/>
      <c r="C1658" s="89"/>
      <c r="D1658" s="89"/>
      <c r="E1658" s="47">
        <v>1942.93486919881</v>
      </c>
      <c r="F1658" s="47">
        <v>1189.8591490050001</v>
      </c>
      <c r="G1658" s="47">
        <v>10679.134124509301</v>
      </c>
    </row>
    <row r="1659" spans="2:7" x14ac:dyDescent="0.25">
      <c r="B1659" s="49"/>
      <c r="C1659" s="89"/>
      <c r="D1659" s="89"/>
      <c r="E1659" s="47">
        <v>1976.42132816093</v>
      </c>
      <c r="F1659" s="47">
        <v>1190.23478093671</v>
      </c>
      <c r="G1659" s="47">
        <v>10727.4830800292</v>
      </c>
    </row>
    <row r="1660" spans="2:7" x14ac:dyDescent="0.25">
      <c r="B1660" s="49"/>
      <c r="C1660" s="89"/>
      <c r="D1660" s="89">
        <v>500</v>
      </c>
      <c r="E1660" s="47">
        <v>1830.169006546</v>
      </c>
      <c r="F1660" s="47">
        <v>1452.6784892697401</v>
      </c>
      <c r="G1660" s="47">
        <v>10147.163452716801</v>
      </c>
    </row>
    <row r="1661" spans="2:7" x14ac:dyDescent="0.25">
      <c r="B1661" s="49"/>
      <c r="C1661" s="89"/>
      <c r="D1661" s="89"/>
      <c r="E1661" s="47">
        <v>1831.4110007490499</v>
      </c>
      <c r="F1661" s="47">
        <v>1459.9722792934399</v>
      </c>
      <c r="G1661" s="47">
        <v>10457.3745659907</v>
      </c>
    </row>
    <row r="1662" spans="2:7" x14ac:dyDescent="0.25">
      <c r="B1662" s="49"/>
      <c r="C1662" s="89"/>
      <c r="D1662" s="89"/>
      <c r="E1662" s="47">
        <v>1835.5249236888901</v>
      </c>
      <c r="F1662" s="47">
        <v>1464.6868159349799</v>
      </c>
      <c r="G1662" s="47">
        <v>10660.6898032549</v>
      </c>
    </row>
    <row r="1663" spans="2:7" x14ac:dyDescent="0.25">
      <c r="B1663" s="49"/>
      <c r="C1663" s="89"/>
      <c r="D1663" s="89"/>
      <c r="E1663" s="47">
        <v>1842.7337182434601</v>
      </c>
      <c r="F1663" s="47">
        <v>1467.96610376729</v>
      </c>
      <c r="G1663" s="47">
        <v>10805.798342956001</v>
      </c>
    </row>
    <row r="1664" spans="2:7" x14ac:dyDescent="0.25">
      <c r="B1664" s="49"/>
      <c r="C1664" s="89"/>
      <c r="D1664" s="89"/>
      <c r="E1664" s="47">
        <v>1853.31709472897</v>
      </c>
      <c r="F1664" s="47">
        <v>1470.3490715765499</v>
      </c>
      <c r="G1664" s="47">
        <v>10915.7823140031</v>
      </c>
    </row>
    <row r="1665" spans="2:7" x14ac:dyDescent="0.25">
      <c r="B1665" s="49"/>
      <c r="C1665" s="89"/>
      <c r="D1665" s="89"/>
      <c r="E1665" s="47">
        <v>1867.64763149333</v>
      </c>
      <c r="F1665" s="47">
        <v>1472.12993425493</v>
      </c>
      <c r="G1665" s="47">
        <v>11003.4303740222</v>
      </c>
    </row>
    <row r="1666" spans="2:7" x14ac:dyDescent="0.25">
      <c r="B1666" s="49"/>
      <c r="C1666" s="89"/>
      <c r="D1666" s="89"/>
      <c r="E1666" s="47">
        <v>1886.1096638409299</v>
      </c>
      <c r="F1666" s="47">
        <v>1473.4768681773401</v>
      </c>
      <c r="G1666" s="47">
        <v>11076.1971211491</v>
      </c>
    </row>
    <row r="1667" spans="2:7" x14ac:dyDescent="0.25">
      <c r="B1667" s="49"/>
      <c r="C1667" s="89"/>
      <c r="D1667" s="89"/>
      <c r="E1667" s="47">
        <v>1909.10278852903</v>
      </c>
      <c r="F1667" s="47">
        <v>1474.4945114459199</v>
      </c>
      <c r="G1667" s="47">
        <v>11138.8565645053</v>
      </c>
    </row>
    <row r="1668" spans="2:7" x14ac:dyDescent="0.25">
      <c r="B1668" s="49"/>
      <c r="C1668" s="89"/>
      <c r="D1668" s="89"/>
      <c r="E1668" s="47">
        <v>1937.06088796016</v>
      </c>
      <c r="F1668" s="47">
        <v>1475.2493683744899</v>
      </c>
      <c r="G1668" s="47">
        <v>11194.5965059931</v>
      </c>
    </row>
    <row r="1669" spans="2:7" x14ac:dyDescent="0.25">
      <c r="B1669" s="49"/>
      <c r="C1669" s="89"/>
      <c r="D1669" s="89"/>
      <c r="E1669" s="47">
        <v>1970.41647514224</v>
      </c>
      <c r="F1669" s="47">
        <v>1475.7866711802101</v>
      </c>
      <c r="G1669" s="47">
        <v>11245.701481104999</v>
      </c>
    </row>
    <row r="1670" spans="2:7" x14ac:dyDescent="0.25">
      <c r="B1670" s="49"/>
      <c r="C1670" s="89"/>
      <c r="D1670" s="89">
        <v>600</v>
      </c>
      <c r="E1670" s="47">
        <v>1825.98784663791</v>
      </c>
      <c r="F1670" s="47">
        <v>1727.066227128</v>
      </c>
      <c r="G1670" s="47">
        <v>10605.5420698495</v>
      </c>
    </row>
    <row r="1671" spans="2:7" x14ac:dyDescent="0.25">
      <c r="B1671" s="49"/>
      <c r="C1671" s="89"/>
      <c r="D1671" s="89"/>
      <c r="E1671" s="47">
        <v>1826.4161319432701</v>
      </c>
      <c r="F1671" s="47">
        <v>1736.39279941978</v>
      </c>
      <c r="G1671" s="47">
        <v>10935.305377267799</v>
      </c>
    </row>
    <row r="1672" spans="2:7" x14ac:dyDescent="0.25">
      <c r="B1672" s="49"/>
      <c r="C1672" s="89"/>
      <c r="D1672" s="89"/>
      <c r="E1672" s="47">
        <v>1830.0071581452501</v>
      </c>
      <c r="F1672" s="47">
        <v>1742.4257598234201</v>
      </c>
      <c r="G1672" s="47">
        <v>11151.419814848001</v>
      </c>
    </row>
    <row r="1673" spans="2:7" x14ac:dyDescent="0.25">
      <c r="B1673" s="49"/>
      <c r="C1673" s="89"/>
      <c r="D1673" s="89"/>
      <c r="E1673" s="47">
        <v>1836.84021894545</v>
      </c>
      <c r="F1673" s="47">
        <v>1746.63052016846</v>
      </c>
      <c r="G1673" s="47">
        <v>11305.717749490301</v>
      </c>
    </row>
    <row r="1674" spans="2:7" x14ac:dyDescent="0.25">
      <c r="B1674" s="49"/>
      <c r="C1674" s="89"/>
      <c r="D1674" s="89"/>
      <c r="E1674" s="47">
        <v>1847.1360684399399</v>
      </c>
      <c r="F1674" s="47">
        <v>1749.7002290939699</v>
      </c>
      <c r="G1674" s="47">
        <v>11422.8691118107</v>
      </c>
    </row>
    <row r="1675" spans="2:7" x14ac:dyDescent="0.25">
      <c r="B1675" s="49"/>
      <c r="C1675" s="89"/>
      <c r="D1675" s="89"/>
      <c r="E1675" s="47">
        <v>1861.23891079182</v>
      </c>
      <c r="F1675" s="47">
        <v>1752.0028368098899</v>
      </c>
      <c r="G1675" s="47">
        <v>11516.1632843446</v>
      </c>
    </row>
    <row r="1676" spans="2:7" x14ac:dyDescent="0.25">
      <c r="B1676" s="49"/>
      <c r="C1676" s="89"/>
      <c r="D1676" s="89"/>
      <c r="E1676" s="47">
        <v>1879.5075339248399</v>
      </c>
      <c r="F1676" s="47">
        <v>1753.75393671095</v>
      </c>
      <c r="G1676" s="47">
        <v>11593.5188875894</v>
      </c>
    </row>
    <row r="1677" spans="2:7" x14ac:dyDescent="0.25">
      <c r="B1677" s="49"/>
      <c r="C1677" s="89"/>
      <c r="D1677" s="89"/>
      <c r="E1677" s="47">
        <v>1902.33736619463</v>
      </c>
      <c r="F1677" s="47">
        <v>1755.0870570679499</v>
      </c>
      <c r="G1677" s="47">
        <v>11659.987554495299</v>
      </c>
    </row>
    <row r="1678" spans="2:7" x14ac:dyDescent="0.25">
      <c r="B1678" s="49"/>
      <c r="C1678" s="89"/>
      <c r="D1678" s="89"/>
      <c r="E1678" s="47">
        <v>1930.1529955762501</v>
      </c>
      <c r="F1678" s="47">
        <v>1756.08832756063</v>
      </c>
      <c r="G1678" s="47">
        <v>11718.972222050101</v>
      </c>
    </row>
    <row r="1679" spans="2:7" x14ac:dyDescent="0.25">
      <c r="B1679" s="49"/>
      <c r="C1679" s="89"/>
      <c r="D1679" s="89"/>
      <c r="E1679" s="47">
        <v>1963.3787192612201</v>
      </c>
      <c r="F1679" s="47">
        <v>1756.8165454512</v>
      </c>
      <c r="G1679" s="47">
        <v>11772.909711857101</v>
      </c>
    </row>
    <row r="1680" spans="2:7" x14ac:dyDescent="0.25">
      <c r="B1680" s="49"/>
      <c r="C1680" s="89"/>
      <c r="D1680" s="89">
        <v>700</v>
      </c>
      <c r="E1680" s="47">
        <v>1820.8917117870899</v>
      </c>
      <c r="F1680" s="47">
        <v>1996.2851108452901</v>
      </c>
      <c r="G1680" s="47">
        <v>11069.573009187599</v>
      </c>
    </row>
    <row r="1681" spans="2:7" x14ac:dyDescent="0.25">
      <c r="B1681" s="49"/>
      <c r="C1681" s="89"/>
      <c r="D1681" s="89"/>
      <c r="E1681" s="47">
        <v>1820.4771347547201</v>
      </c>
      <c r="F1681" s="47">
        <v>2007.9271676916301</v>
      </c>
      <c r="G1681" s="47">
        <v>11421.629518297001</v>
      </c>
    </row>
    <row r="1682" spans="2:7" x14ac:dyDescent="0.25">
      <c r="B1682" s="49"/>
      <c r="C1682" s="89"/>
      <c r="D1682" s="89"/>
      <c r="E1682" s="47">
        <v>1823.5353884563301</v>
      </c>
      <c r="F1682" s="47">
        <v>2015.4131642351099</v>
      </c>
      <c r="G1682" s="47">
        <v>11650.8202083339</v>
      </c>
    </row>
    <row r="1683" spans="2:7" x14ac:dyDescent="0.25">
      <c r="B1683" s="49"/>
      <c r="C1683" s="89"/>
      <c r="D1683" s="89"/>
      <c r="E1683" s="47">
        <v>1829.9927882960201</v>
      </c>
      <c r="F1683" s="47">
        <v>2020.6341990266301</v>
      </c>
      <c r="G1683" s="47">
        <v>11814.3357797354</v>
      </c>
    </row>
    <row r="1684" spans="2:7" x14ac:dyDescent="0.25">
      <c r="B1684" s="49"/>
      <c r="C1684" s="89"/>
      <c r="D1684" s="89"/>
      <c r="E1684" s="47">
        <v>1840.0004196776999</v>
      </c>
      <c r="F1684" s="47">
        <v>2024.4526382784099</v>
      </c>
      <c r="G1684" s="47">
        <v>11938.409778315599</v>
      </c>
    </row>
    <row r="1685" spans="2:7" x14ac:dyDescent="0.25">
      <c r="B1685" s="49"/>
      <c r="C1685" s="89"/>
      <c r="D1685" s="89"/>
      <c r="E1685" s="47">
        <v>1853.87750476001</v>
      </c>
      <c r="F1685" s="47">
        <v>2027.3254221638599</v>
      </c>
      <c r="G1685" s="47">
        <v>12037.1470554846</v>
      </c>
    </row>
    <row r="1686" spans="2:7" x14ac:dyDescent="0.25">
      <c r="B1686" s="49"/>
      <c r="C1686" s="89"/>
      <c r="D1686" s="89"/>
      <c r="E1686" s="47">
        <v>1871.95314781769</v>
      </c>
      <c r="F1686" s="47">
        <v>2029.5209658026699</v>
      </c>
      <c r="G1686" s="47">
        <v>12118.951090050399</v>
      </c>
    </row>
    <row r="1687" spans="2:7" x14ac:dyDescent="0.25">
      <c r="B1687" s="49"/>
      <c r="C1687" s="89"/>
      <c r="D1687" s="89"/>
      <c r="E1687" s="47">
        <v>1894.62267190647</v>
      </c>
      <c r="F1687" s="47">
        <v>2031.20432283629</v>
      </c>
      <c r="G1687" s="47">
        <v>12189.15422565</v>
      </c>
    </row>
    <row r="1688" spans="2:7" x14ac:dyDescent="0.25">
      <c r="B1688" s="49"/>
      <c r="C1688" s="89"/>
      <c r="D1688" s="89"/>
      <c r="E1688" s="47">
        <v>1922.29722269883</v>
      </c>
      <c r="F1688" s="47">
        <v>2032.4827717548301</v>
      </c>
      <c r="G1688" s="47">
        <v>12251.3530865098</v>
      </c>
    </row>
    <row r="1689" spans="2:7" x14ac:dyDescent="0.25">
      <c r="B1689" s="49"/>
      <c r="C1689" s="89"/>
      <c r="D1689" s="89"/>
      <c r="E1689" s="47">
        <v>1955.3945303189801</v>
      </c>
      <c r="F1689" s="47">
        <v>2033.42916742068</v>
      </c>
      <c r="G1689" s="47">
        <v>12308.107561668599</v>
      </c>
    </row>
    <row r="1690" spans="2:7" x14ac:dyDescent="0.25">
      <c r="B1690" s="49"/>
      <c r="C1690" s="89"/>
      <c r="D1690" s="89">
        <v>800</v>
      </c>
      <c r="E1690" s="47">
        <v>1814.94825283669</v>
      </c>
      <c r="F1690" s="47">
        <v>2260.4437187069502</v>
      </c>
      <c r="G1690" s="47">
        <v>11539.766385082101</v>
      </c>
    </row>
    <row r="1691" spans="2:7" x14ac:dyDescent="0.25">
      <c r="B1691" s="49"/>
      <c r="C1691" s="89"/>
      <c r="D1691" s="89"/>
      <c r="E1691" s="47">
        <v>1813.7079261219001</v>
      </c>
      <c r="F1691" s="47">
        <v>2274.5560774391802</v>
      </c>
      <c r="G1691" s="47">
        <v>11912.471687838</v>
      </c>
    </row>
    <row r="1692" spans="2:7" x14ac:dyDescent="0.25">
      <c r="B1692" s="49"/>
      <c r="C1692" s="89"/>
      <c r="D1692" s="89"/>
      <c r="E1692" s="47">
        <v>1816.2078155526001</v>
      </c>
      <c r="F1692" s="47">
        <v>2283.6875852509602</v>
      </c>
      <c r="G1692" s="47">
        <v>12156.427843257001</v>
      </c>
    </row>
    <row r="1693" spans="2:7" x14ac:dyDescent="0.25">
      <c r="B1693" s="49"/>
      <c r="C1693" s="89"/>
      <c r="D1693" s="89"/>
      <c r="E1693" s="47">
        <v>1822.2663756105301</v>
      </c>
      <c r="F1693" s="47">
        <v>2290.0620360153598</v>
      </c>
      <c r="G1693" s="47">
        <v>12330.3859388779</v>
      </c>
    </row>
    <row r="1694" spans="2:7" x14ac:dyDescent="0.25">
      <c r="B1694" s="49"/>
      <c r="C1694" s="89"/>
      <c r="D1694" s="89"/>
      <c r="E1694" s="47">
        <v>1831.9721386904801</v>
      </c>
      <c r="F1694" s="47">
        <v>2294.7299739765899</v>
      </c>
      <c r="G1694" s="47">
        <v>12462.2454699111</v>
      </c>
    </row>
    <row r="1695" spans="2:7" x14ac:dyDescent="0.25">
      <c r="B1695" s="49"/>
      <c r="C1695" s="89"/>
      <c r="D1695" s="89"/>
      <c r="E1695" s="47">
        <v>1845.6147360495299</v>
      </c>
      <c r="F1695" s="47">
        <v>2298.24199730692</v>
      </c>
      <c r="G1695" s="47">
        <v>12566.836838839799</v>
      </c>
    </row>
    <row r="1696" spans="2:7" x14ac:dyDescent="0.25">
      <c r="B1696" s="49"/>
      <c r="C1696" s="89"/>
      <c r="D1696" s="89"/>
      <c r="E1696" s="47">
        <v>1863.49438833608</v>
      </c>
      <c r="F1696" s="47">
        <v>2300.9259644912399</v>
      </c>
      <c r="G1696" s="47">
        <v>12653.096704299</v>
      </c>
    </row>
    <row r="1697" spans="2:7" x14ac:dyDescent="0.25">
      <c r="B1697" s="49"/>
      <c r="C1697" s="89"/>
      <c r="D1697" s="89"/>
      <c r="E1697" s="47">
        <v>1886.00283686946</v>
      </c>
      <c r="F1697" s="47">
        <v>2302.9953714784901</v>
      </c>
      <c r="G1697" s="47">
        <v>12727.0131477056</v>
      </c>
    </row>
    <row r="1698" spans="2:7" x14ac:dyDescent="0.25">
      <c r="B1698" s="49"/>
      <c r="C1698" s="89"/>
      <c r="D1698" s="89"/>
      <c r="E1698" s="47">
        <v>1913.5354246279201</v>
      </c>
      <c r="F1698" s="47">
        <v>2304.5813538153702</v>
      </c>
      <c r="G1698" s="47">
        <v>12792.394685236501</v>
      </c>
    </row>
    <row r="1699" spans="2:7" x14ac:dyDescent="0.25">
      <c r="B1699" s="49"/>
      <c r="C1699" s="89"/>
      <c r="D1699" s="89"/>
      <c r="E1699" s="47">
        <v>1946.49399351941</v>
      </c>
      <c r="F1699" s="47">
        <v>2305.7736016109602</v>
      </c>
      <c r="G1699" s="47">
        <v>12851.957257152901</v>
      </c>
    </row>
    <row r="1700" spans="2:7" x14ac:dyDescent="0.25">
      <c r="B1700" s="49"/>
      <c r="C1700" s="89"/>
      <c r="D1700" s="89">
        <v>900</v>
      </c>
      <c r="E1700" s="47">
        <v>1808.20893464803</v>
      </c>
      <c r="F1700" s="47">
        <v>2519.6645703466002</v>
      </c>
      <c r="G1700" s="47">
        <v>12016.746520398599</v>
      </c>
    </row>
    <row r="1701" spans="2:7" x14ac:dyDescent="0.25">
      <c r="B1701" s="49"/>
      <c r="C1701" s="89"/>
      <c r="D1701" s="89"/>
      <c r="E1701" s="47">
        <v>1806.1227799716501</v>
      </c>
      <c r="F1701" s="47">
        <v>2536.4919204685002</v>
      </c>
      <c r="G1701" s="47">
        <v>12411.0932354782</v>
      </c>
    </row>
    <row r="1702" spans="2:7" x14ac:dyDescent="0.25">
      <c r="B1702" s="49"/>
      <c r="C1702" s="89"/>
      <c r="D1702" s="89"/>
      <c r="E1702" s="47">
        <v>1808.07048646147</v>
      </c>
      <c r="F1702" s="47">
        <v>2547.3639737385101</v>
      </c>
      <c r="G1702" s="47">
        <v>12668.6663802618</v>
      </c>
    </row>
    <row r="1703" spans="2:7" x14ac:dyDescent="0.25">
      <c r="B1703" s="49"/>
      <c r="C1703" s="89"/>
      <c r="D1703" s="89"/>
      <c r="E1703" s="47">
        <v>1813.73368713182</v>
      </c>
      <c r="F1703" s="47">
        <v>2554.9622405733999</v>
      </c>
      <c r="G1703" s="47">
        <v>12852.3283233439</v>
      </c>
    </row>
    <row r="1704" spans="2:7" x14ac:dyDescent="0.25">
      <c r="B1704" s="49"/>
      <c r="C1704" s="89"/>
      <c r="D1704" s="89"/>
      <c r="E1704" s="47">
        <v>1823.1476597241301</v>
      </c>
      <c r="F1704" s="47">
        <v>2560.5328103195402</v>
      </c>
      <c r="G1704" s="47">
        <v>12991.4437137804</v>
      </c>
    </row>
    <row r="1705" spans="2:7" x14ac:dyDescent="0.25">
      <c r="B1705" s="49"/>
      <c r="C1705" s="89"/>
      <c r="D1705" s="89"/>
      <c r="E1705" s="47">
        <v>1836.55053361554</v>
      </c>
      <c r="F1705" s="47">
        <v>2564.74393422298</v>
      </c>
      <c r="G1705" s="47">
        <v>13101.9469157166</v>
      </c>
    </row>
    <row r="1706" spans="2:7" x14ac:dyDescent="0.25">
      <c r="B1706" s="49"/>
      <c r="C1706" s="89"/>
      <c r="D1706" s="89"/>
      <c r="E1706" s="47">
        <v>1854.2346809103401</v>
      </c>
      <c r="F1706" s="47">
        <v>2567.9851891242301</v>
      </c>
      <c r="G1706" s="47">
        <v>13193.2560341726</v>
      </c>
    </row>
    <row r="1707" spans="2:7" x14ac:dyDescent="0.25">
      <c r="B1707" s="49"/>
      <c r="C1707" s="89"/>
      <c r="D1707" s="89"/>
      <c r="E1707" s="47">
        <v>1876.5779507509101</v>
      </c>
      <c r="F1707" s="47">
        <v>2570.49667008595</v>
      </c>
      <c r="G1707" s="47">
        <v>13271.3445767515</v>
      </c>
    </row>
    <row r="1708" spans="2:7" x14ac:dyDescent="0.25">
      <c r="B1708" s="49"/>
      <c r="C1708" s="89"/>
      <c r="D1708" s="89"/>
      <c r="E1708" s="47">
        <v>1903.9606670595399</v>
      </c>
      <c r="F1708" s="47">
        <v>2572.4364793415598</v>
      </c>
      <c r="G1708" s="47">
        <v>13340.256672882801</v>
      </c>
    </row>
    <row r="1709" spans="2:7" x14ac:dyDescent="0.25">
      <c r="B1709" s="49"/>
      <c r="C1709" s="89"/>
      <c r="D1709" s="89"/>
      <c r="E1709" s="47">
        <v>1936.78241181571</v>
      </c>
      <c r="F1709" s="47">
        <v>2573.91194735727</v>
      </c>
      <c r="G1709" s="47">
        <v>13402.8576925125</v>
      </c>
    </row>
    <row r="1710" spans="2:7" x14ac:dyDescent="0.25">
      <c r="B1710" s="49"/>
      <c r="C1710" s="89"/>
      <c r="D1710" s="89">
        <v>1000</v>
      </c>
      <c r="E1710" s="47">
        <v>1800.7571114884499</v>
      </c>
      <c r="F1710" s="47">
        <v>2773.9450092563402</v>
      </c>
      <c r="G1710" s="47">
        <v>12498.281199340099</v>
      </c>
    </row>
    <row r="1711" spans="2:7" x14ac:dyDescent="0.25">
      <c r="B1711" s="49"/>
      <c r="C1711" s="89"/>
      <c r="D1711" s="89"/>
      <c r="E1711" s="47">
        <v>1797.78681342241</v>
      </c>
      <c r="F1711" s="47">
        <v>2793.76996192054</v>
      </c>
      <c r="G1711" s="47">
        <v>12915.746356695099</v>
      </c>
    </row>
    <row r="1712" spans="2:7" x14ac:dyDescent="0.25">
      <c r="B1712" s="49"/>
      <c r="C1712" s="89"/>
      <c r="D1712" s="89"/>
      <c r="E1712" s="47">
        <v>1799.15950379167</v>
      </c>
      <c r="F1712" s="47">
        <v>2806.5980894630702</v>
      </c>
      <c r="G1712" s="47">
        <v>13188.662894311699</v>
      </c>
    </row>
    <row r="1713" spans="2:7" x14ac:dyDescent="0.25">
      <c r="B1713" s="49"/>
      <c r="C1713" s="89"/>
      <c r="D1713" s="89"/>
      <c r="E1713" s="47">
        <v>1804.4317531111999</v>
      </c>
      <c r="F1713" s="47">
        <v>2815.5158898795698</v>
      </c>
      <c r="G1713" s="47">
        <v>13382.050175935099</v>
      </c>
    </row>
    <row r="1714" spans="2:7" x14ac:dyDescent="0.25">
      <c r="B1714" s="49"/>
      <c r="C1714" s="89"/>
      <c r="D1714" s="89"/>
      <c r="E1714" s="47">
        <v>1813.55609959359</v>
      </c>
      <c r="F1714" s="47">
        <v>2822.0638473593899</v>
      </c>
      <c r="G1714" s="47">
        <v>13528.5047044483</v>
      </c>
    </row>
    <row r="1715" spans="2:7" x14ac:dyDescent="0.25">
      <c r="B1715" s="49"/>
      <c r="C1715" s="89"/>
      <c r="D1715" s="89"/>
      <c r="E1715" s="47">
        <v>1826.7188259349</v>
      </c>
      <c r="F1715" s="47">
        <v>2827.0239536977401</v>
      </c>
      <c r="G1715" s="47">
        <v>13644.7514801132</v>
      </c>
    </row>
    <row r="1716" spans="2:7" x14ac:dyDescent="0.25">
      <c r="B1716" s="49"/>
      <c r="C1716" s="89"/>
      <c r="D1716" s="89"/>
      <c r="E1716" s="47">
        <v>1844.21534759065</v>
      </c>
      <c r="F1716" s="47">
        <v>2830.8522629874501</v>
      </c>
      <c r="G1716" s="47">
        <v>13740.703055879099</v>
      </c>
    </row>
    <row r="1717" spans="2:7" x14ac:dyDescent="0.25">
      <c r="B1717" s="49"/>
      <c r="C1717" s="89"/>
      <c r="D1717" s="89"/>
      <c r="E1717" s="47">
        <v>1866.39905245061</v>
      </c>
      <c r="F1717" s="47">
        <v>2833.83236409852</v>
      </c>
      <c r="G1717" s="47">
        <v>13822.667481209999</v>
      </c>
    </row>
    <row r="1718" spans="2:7" x14ac:dyDescent="0.25">
      <c r="B1718" s="49"/>
      <c r="C1718" s="89"/>
      <c r="D1718" s="89"/>
      <c r="E1718" s="47">
        <v>1893.62742570255</v>
      </c>
      <c r="F1718" s="47">
        <v>2836.1515832073501</v>
      </c>
      <c r="G1718" s="47">
        <v>13894.915492607901</v>
      </c>
    </row>
    <row r="1719" spans="2:7" x14ac:dyDescent="0.25">
      <c r="B1719" s="49"/>
      <c r="C1719" s="89"/>
      <c r="D1719" s="89"/>
      <c r="E1719" s="47">
        <v>1926.3222477166501</v>
      </c>
      <c r="F1719" s="47">
        <v>2837.9329894667599</v>
      </c>
      <c r="G1719" s="47">
        <v>13960.4132900119</v>
      </c>
    </row>
    <row r="1720" spans="2:7" x14ac:dyDescent="0.25">
      <c r="B1720" s="49"/>
      <c r="C1720" s="89"/>
      <c r="D1720" s="89">
        <v>1100</v>
      </c>
      <c r="E1720" s="47">
        <v>1792.59840957456</v>
      </c>
      <c r="F1720" s="47">
        <v>3023.4736601091699</v>
      </c>
      <c r="G1720" s="47">
        <v>12986.594176119101</v>
      </c>
    </row>
    <row r="1721" spans="2:7" x14ac:dyDescent="0.25">
      <c r="B1721" s="49"/>
      <c r="C1721" s="89"/>
      <c r="D1721" s="89"/>
      <c r="E1721" s="47">
        <v>1788.77247543251</v>
      </c>
      <c r="F1721" s="47">
        <v>3046.4595569259</v>
      </c>
      <c r="G1721" s="47">
        <v>13426.003805415399</v>
      </c>
    </row>
    <row r="1722" spans="2:7" x14ac:dyDescent="0.25">
      <c r="B1722" s="49"/>
      <c r="C1722" s="89"/>
      <c r="D1722" s="89"/>
      <c r="E1722" s="47">
        <v>1789.5855629384801</v>
      </c>
      <c r="F1722" s="47">
        <v>3061.3348835158999</v>
      </c>
      <c r="G1722" s="47">
        <v>13713.150236748001</v>
      </c>
    </row>
    <row r="1723" spans="2:7" x14ac:dyDescent="0.25">
      <c r="B1723" s="49"/>
      <c r="C1723" s="89"/>
      <c r="D1723" s="89"/>
      <c r="E1723" s="47">
        <v>1794.4402543989399</v>
      </c>
      <c r="F1723" s="47">
        <v>3071.7378953304401</v>
      </c>
      <c r="G1723" s="47">
        <v>13917.6001321449</v>
      </c>
    </row>
    <row r="1724" spans="2:7" x14ac:dyDescent="0.25">
      <c r="B1724" s="49"/>
      <c r="C1724" s="89"/>
      <c r="D1724" s="89"/>
      <c r="E1724" s="47">
        <v>1803.2602467822801</v>
      </c>
      <c r="F1724" s="47">
        <v>3079.3797304211298</v>
      </c>
      <c r="G1724" s="47">
        <v>14072.244111185501</v>
      </c>
    </row>
    <row r="1725" spans="2:7" x14ac:dyDescent="0.25">
      <c r="B1725" s="49"/>
      <c r="C1725" s="89"/>
      <c r="D1725" s="89"/>
      <c r="E1725" s="47">
        <v>1816.1695101300299</v>
      </c>
      <c r="F1725" s="47">
        <v>3085.17788936646</v>
      </c>
      <c r="G1725" s="47">
        <v>14194.855735921999</v>
      </c>
    </row>
    <row r="1726" spans="2:7" x14ac:dyDescent="0.25">
      <c r="B1726" s="49"/>
      <c r="C1726" s="89"/>
      <c r="D1726" s="89"/>
      <c r="E1726" s="47">
        <v>1833.4713762444101</v>
      </c>
      <c r="F1726" s="47">
        <v>3089.6591783675199</v>
      </c>
      <c r="G1726" s="47">
        <v>14295.8393897389</v>
      </c>
    </row>
    <row r="1727" spans="2:7" x14ac:dyDescent="0.25">
      <c r="B1727" s="49"/>
      <c r="C1727" s="89"/>
      <c r="D1727" s="89"/>
      <c r="E1727" s="47">
        <v>1855.4824997101</v>
      </c>
      <c r="F1727" s="47">
        <v>3093.14773256232</v>
      </c>
      <c r="G1727" s="47">
        <v>14381.7049782144</v>
      </c>
    </row>
    <row r="1728" spans="2:7" x14ac:dyDescent="0.25">
      <c r="B1728" s="49"/>
      <c r="C1728" s="89"/>
      <c r="D1728" s="89"/>
      <c r="E1728" s="47">
        <v>1882.57093363079</v>
      </c>
      <c r="F1728" s="47">
        <v>3095.8764710097298</v>
      </c>
      <c r="G1728" s="47">
        <v>14457.2504873863</v>
      </c>
    </row>
    <row r="1729" spans="2:23" x14ac:dyDescent="0.25">
      <c r="B1729" s="49"/>
      <c r="C1729" s="89"/>
      <c r="D1729" s="89"/>
      <c r="E1729" s="47">
        <v>1915.1418200803</v>
      </c>
      <c r="F1729" s="47">
        <v>3097.9904733561598</v>
      </c>
      <c r="G1729" s="47">
        <v>14525.614187782399</v>
      </c>
    </row>
    <row r="1730" spans="2:23" x14ac:dyDescent="0.25">
      <c r="B1730" s="49"/>
      <c r="C1730" s="89"/>
      <c r="D1730" s="89">
        <v>1200</v>
      </c>
      <c r="E1730" s="47">
        <v>1783.83232007779</v>
      </c>
      <c r="F1730" s="47">
        <v>3268.2043902698701</v>
      </c>
      <c r="G1730" s="47">
        <v>13479.1062688277</v>
      </c>
    </row>
    <row r="1731" spans="2:23" x14ac:dyDescent="0.25">
      <c r="B1731" s="49"/>
      <c r="C1731" s="89"/>
      <c r="D1731" s="89"/>
      <c r="E1731" s="47">
        <v>1779.0924942157401</v>
      </c>
      <c r="F1731" s="47">
        <v>3294.7212402364999</v>
      </c>
      <c r="G1731" s="47">
        <v>13943.159756986601</v>
      </c>
    </row>
    <row r="1732" spans="2:23" x14ac:dyDescent="0.25">
      <c r="B1732" s="49"/>
      <c r="C1732" s="89"/>
      <c r="D1732" s="89"/>
      <c r="E1732" s="47">
        <v>1779.3423786968499</v>
      </c>
      <c r="F1732" s="47">
        <v>3311.79035673608</v>
      </c>
      <c r="G1732" s="47">
        <v>14244.667326635399</v>
      </c>
    </row>
    <row r="1733" spans="2:23" x14ac:dyDescent="0.25">
      <c r="B1733" s="49"/>
      <c r="C1733" s="89"/>
      <c r="D1733" s="89"/>
      <c r="E1733" s="47">
        <v>1783.7966957291301</v>
      </c>
      <c r="F1733" s="47">
        <v>3323.7339190266098</v>
      </c>
      <c r="G1733" s="47">
        <v>14459.266677466399</v>
      </c>
    </row>
    <row r="1734" spans="2:23" x14ac:dyDescent="0.25">
      <c r="B1734" s="49"/>
      <c r="C1734" s="89"/>
      <c r="D1734" s="89"/>
      <c r="E1734" s="47">
        <v>1792.3110018735299</v>
      </c>
      <c r="F1734" s="47">
        <v>3332.51742354626</v>
      </c>
      <c r="G1734" s="47">
        <v>14621.532784258799</v>
      </c>
    </row>
    <row r="1735" spans="2:23" x14ac:dyDescent="0.25">
      <c r="B1735" s="49"/>
      <c r="C1735" s="89"/>
      <c r="D1735" s="89"/>
      <c r="E1735" s="47">
        <v>1804.9863375197699</v>
      </c>
      <c r="F1735" s="47">
        <v>3339.1901486976999</v>
      </c>
      <c r="G1735" s="47">
        <v>14750.0731888462</v>
      </c>
    </row>
    <row r="1736" spans="2:23" x14ac:dyDescent="0.25">
      <c r="B1736" s="49"/>
      <c r="C1736" s="89"/>
      <c r="D1736" s="89"/>
      <c r="E1736" s="47">
        <v>1822.08928106028</v>
      </c>
      <c r="F1736" s="47">
        <v>3344.3655969833399</v>
      </c>
      <c r="G1736" s="47">
        <v>14855.944830938501</v>
      </c>
    </row>
    <row r="1737" spans="2:23" x14ac:dyDescent="0.25">
      <c r="B1737" s="49"/>
      <c r="C1737" s="89"/>
      <c r="D1737" s="89"/>
      <c r="E1737" s="47">
        <v>1843.91691799209</v>
      </c>
      <c r="F1737" s="47">
        <v>3348.4260122486698</v>
      </c>
      <c r="G1737" s="47">
        <v>14946.146073313501</v>
      </c>
    </row>
    <row r="1738" spans="2:23" x14ac:dyDescent="0.25">
      <c r="B1738" s="49"/>
      <c r="C1738" s="89"/>
      <c r="D1738" s="89"/>
      <c r="E1738" s="47">
        <v>1870.8581902174799</v>
      </c>
      <c r="F1738" s="47">
        <v>3351.6172715337998</v>
      </c>
      <c r="G1738" s="47">
        <v>15025.3485294617</v>
      </c>
    </row>
    <row r="1739" spans="2:23" x14ac:dyDescent="0.25">
      <c r="B1739" s="49"/>
      <c r="C1739" s="89"/>
      <c r="D1739" s="89"/>
      <c r="E1739" s="47">
        <v>1903.29902992594</v>
      </c>
      <c r="F1739" s="47">
        <v>3354.1076999563302</v>
      </c>
      <c r="G1739" s="47">
        <v>15096.8508657619</v>
      </c>
    </row>
    <row r="1740" spans="2:23" x14ac:dyDescent="0.25">
      <c r="B1740" s="49"/>
      <c r="C1740" s="87"/>
      <c r="D1740" s="87"/>
      <c r="E1740" s="47"/>
      <c r="F1740" s="47"/>
      <c r="G1740" s="47"/>
    </row>
    <row r="1741" spans="2:23" x14ac:dyDescent="0.25">
      <c r="B1741" s="49"/>
      <c r="C1741" s="87"/>
      <c r="D1741" s="87"/>
      <c r="E1741" s="47"/>
      <c r="F1741" s="47"/>
      <c r="G1741" s="47"/>
    </row>
    <row r="1742" spans="2:23" x14ac:dyDescent="0.25">
      <c r="B1742" s="49"/>
      <c r="C1742" s="87"/>
      <c r="D1742" s="87"/>
      <c r="E1742" s="47"/>
    </row>
    <row r="1743" spans="2:23" s="57" customFormat="1" ht="15.75" x14ac:dyDescent="0.25">
      <c r="B1743" s="75" t="s">
        <v>55</v>
      </c>
      <c r="C1743" s="64" t="s">
        <v>42</v>
      </c>
      <c r="D1743" s="64" t="s">
        <v>44</v>
      </c>
      <c r="E1743" s="70" t="s">
        <v>3</v>
      </c>
      <c r="F1743" s="69" t="s">
        <v>3</v>
      </c>
      <c r="G1743" s="69" t="s">
        <v>50</v>
      </c>
      <c r="L1743" s="76" t="s">
        <v>35</v>
      </c>
      <c r="M1743" s="76" t="s">
        <v>36</v>
      </c>
      <c r="N1743" s="76" t="s">
        <v>33</v>
      </c>
      <c r="O1743" s="76" t="s">
        <v>34</v>
      </c>
      <c r="P1743" s="77" t="s">
        <v>31</v>
      </c>
      <c r="Q1743" s="76" t="s">
        <v>26</v>
      </c>
      <c r="R1743" s="76" t="s">
        <v>27</v>
      </c>
      <c r="S1743" s="76" t="s">
        <v>38</v>
      </c>
      <c r="W1743" s="78"/>
    </row>
    <row r="1744" spans="2:23" x14ac:dyDescent="0.25">
      <c r="B1744" s="49"/>
      <c r="C1744" s="89">
        <v>-20</v>
      </c>
      <c r="D1744" s="89">
        <v>600</v>
      </c>
      <c r="E1744" s="47">
        <v>2894.2967061726899</v>
      </c>
      <c r="F1744" s="47">
        <v>1967.97484477795</v>
      </c>
      <c r="G1744" s="47">
        <v>5379.2196991056599</v>
      </c>
      <c r="L1744" s="57">
        <v>0</v>
      </c>
      <c r="M1744" s="58">
        <v>1000000</v>
      </c>
      <c r="N1744" s="58">
        <v>10000</v>
      </c>
      <c r="O1744" s="58">
        <v>10000</v>
      </c>
      <c r="P1744" s="59">
        <v>4</v>
      </c>
      <c r="Q1744" s="57">
        <v>0</v>
      </c>
      <c r="R1744" s="57">
        <v>0</v>
      </c>
      <c r="S1744" s="57">
        <v>200</v>
      </c>
    </row>
    <row r="1745" spans="2:7" x14ac:dyDescent="0.25">
      <c r="B1745" s="49"/>
      <c r="C1745" s="89"/>
      <c r="D1745" s="89"/>
      <c r="E1745" s="47">
        <v>2894.2967061726899</v>
      </c>
      <c r="F1745" s="47">
        <v>1967.97484477795</v>
      </c>
      <c r="G1745" s="47">
        <v>5379.2196991056599</v>
      </c>
    </row>
    <row r="1746" spans="2:7" x14ac:dyDescent="0.25">
      <c r="B1746" s="49"/>
      <c r="C1746" s="89"/>
      <c r="D1746" s="89"/>
      <c r="E1746" s="47">
        <v>2894.2967061726899</v>
      </c>
      <c r="F1746" s="47">
        <v>1967.97484477795</v>
      </c>
      <c r="G1746" s="47">
        <v>5379.2196991056599</v>
      </c>
    </row>
    <row r="1747" spans="2:7" x14ac:dyDescent="0.25">
      <c r="B1747" s="49"/>
      <c r="C1747" s="89"/>
      <c r="D1747" s="89"/>
      <c r="E1747" s="47">
        <v>2894.2967061726899</v>
      </c>
      <c r="F1747" s="47">
        <v>1967.97484477795</v>
      </c>
      <c r="G1747" s="47">
        <v>5379.2196991056599</v>
      </c>
    </row>
    <row r="1748" spans="2:7" x14ac:dyDescent="0.25">
      <c r="B1748" s="49"/>
      <c r="C1748" s="89"/>
      <c r="D1748" s="89"/>
      <c r="E1748" s="47">
        <v>2894.2967061726899</v>
      </c>
      <c r="F1748" s="47">
        <v>1967.97484477795</v>
      </c>
      <c r="G1748" s="47">
        <v>5379.2196991056599</v>
      </c>
    </row>
    <row r="1749" spans="2:7" x14ac:dyDescent="0.25">
      <c r="B1749" s="49"/>
      <c r="C1749" s="89"/>
      <c r="D1749" s="89"/>
      <c r="E1749" s="47">
        <v>2894.2967061726899</v>
      </c>
      <c r="F1749" s="47">
        <v>1967.97484477795</v>
      </c>
      <c r="G1749" s="47">
        <v>5379.2196991056599</v>
      </c>
    </row>
    <row r="1750" spans="2:7" x14ac:dyDescent="0.25">
      <c r="B1750" s="49"/>
      <c r="C1750" s="89"/>
      <c r="D1750" s="89"/>
      <c r="E1750" s="47">
        <v>2894.2967061726899</v>
      </c>
      <c r="F1750" s="47">
        <v>1967.97484477795</v>
      </c>
      <c r="G1750" s="47">
        <v>5379.2196991056599</v>
      </c>
    </row>
    <row r="1751" spans="2:7" x14ac:dyDescent="0.25">
      <c r="B1751" s="49"/>
      <c r="C1751" s="89"/>
      <c r="D1751" s="89"/>
      <c r="E1751" s="47">
        <v>2894.2967061726899</v>
      </c>
      <c r="F1751" s="47">
        <v>1967.97484477795</v>
      </c>
      <c r="G1751" s="47">
        <v>5379.2196991056599</v>
      </c>
    </row>
    <row r="1752" spans="2:7" x14ac:dyDescent="0.25">
      <c r="B1752" s="49"/>
      <c r="C1752" s="89"/>
      <c r="D1752" s="89"/>
      <c r="E1752" s="47">
        <v>2894.2967061726899</v>
      </c>
      <c r="F1752" s="47">
        <v>1967.97484477795</v>
      </c>
      <c r="G1752" s="47">
        <v>5379.2196991056599</v>
      </c>
    </row>
    <row r="1753" spans="2:7" x14ac:dyDescent="0.25">
      <c r="B1753" s="49"/>
      <c r="C1753" s="89"/>
      <c r="D1753" s="89"/>
      <c r="E1753" s="47">
        <v>2894.2967061726899</v>
      </c>
      <c r="F1753" s="47">
        <v>1967.97484477795</v>
      </c>
      <c r="G1753" s="47">
        <v>5379.2196991056599</v>
      </c>
    </row>
    <row r="1754" spans="2:7" x14ac:dyDescent="0.25">
      <c r="B1754" s="49"/>
      <c r="C1754" s="89"/>
      <c r="D1754" s="89">
        <v>700</v>
      </c>
      <c r="E1754" s="47">
        <v>2750.79050706829</v>
      </c>
      <c r="F1754" s="47">
        <v>2268.2543347539799</v>
      </c>
      <c r="G1754" s="47">
        <v>5450.9273645706198</v>
      </c>
    </row>
    <row r="1755" spans="2:7" x14ac:dyDescent="0.25">
      <c r="B1755" s="49"/>
      <c r="C1755" s="89"/>
      <c r="D1755" s="89"/>
      <c r="E1755" s="47">
        <v>2764.4302290230598</v>
      </c>
      <c r="F1755" s="47">
        <v>2270.64105935405</v>
      </c>
      <c r="G1755" s="47">
        <v>5535.2960562592398</v>
      </c>
    </row>
    <row r="1756" spans="2:7" x14ac:dyDescent="0.25">
      <c r="B1756" s="49"/>
      <c r="C1756" s="89"/>
      <c r="D1756" s="89"/>
      <c r="E1756" s="47">
        <v>2776.4868958829202</v>
      </c>
      <c r="F1756" s="47">
        <v>2272.05246802591</v>
      </c>
      <c r="G1756" s="47">
        <v>5588.5904919945897</v>
      </c>
    </row>
    <row r="1757" spans="2:7" x14ac:dyDescent="0.25">
      <c r="B1757" s="49"/>
      <c r="C1757" s="89"/>
      <c r="D1757" s="89"/>
      <c r="E1757" s="47">
        <v>2789.26196314043</v>
      </c>
      <c r="F1757" s="47">
        <v>2272.9027773201301</v>
      </c>
      <c r="G1757" s="47">
        <v>5625.4054045167504</v>
      </c>
    </row>
    <row r="1758" spans="2:7" x14ac:dyDescent="0.25">
      <c r="B1758" s="49"/>
      <c r="C1758" s="89"/>
      <c r="D1758" s="89"/>
      <c r="E1758" s="47">
        <v>2804.0322159430598</v>
      </c>
      <c r="F1758" s="47">
        <v>2273.38437627143</v>
      </c>
      <c r="G1758" s="47">
        <v>5652.6943525296001</v>
      </c>
    </row>
    <row r="1759" spans="2:7" x14ac:dyDescent="0.25">
      <c r="B1759" s="49"/>
      <c r="C1759" s="89"/>
      <c r="D1759" s="89"/>
      <c r="E1759" s="47">
        <v>2821.6919437162301</v>
      </c>
      <c r="F1759" s="47">
        <v>2273.59775939678</v>
      </c>
      <c r="G1759" s="47">
        <v>5674.2832407185297</v>
      </c>
    </row>
    <row r="1760" spans="2:7" x14ac:dyDescent="0.25">
      <c r="B1760" s="49"/>
      <c r="C1760" s="89"/>
      <c r="D1760" s="89"/>
      <c r="E1760" s="47">
        <v>2842.96364800007</v>
      </c>
      <c r="F1760" s="47">
        <v>2273.5993582318702</v>
      </c>
      <c r="G1760" s="47">
        <v>5692.5087345560096</v>
      </c>
    </row>
    <row r="1761" spans="2:7" x14ac:dyDescent="0.25">
      <c r="B1761" s="49"/>
      <c r="C1761" s="89"/>
      <c r="D1761" s="89"/>
      <c r="E1761" s="47">
        <v>2868.4734788321898</v>
      </c>
      <c r="F1761" s="47">
        <v>2273.42158167351</v>
      </c>
      <c r="G1761" s="47">
        <v>5708.8931586442404</v>
      </c>
    </row>
    <row r="1762" spans="2:7" x14ac:dyDescent="0.25">
      <c r="B1762" s="49"/>
      <c r="C1762" s="89"/>
      <c r="D1762" s="89"/>
      <c r="E1762" s="47">
        <v>2898.78976569719</v>
      </c>
      <c r="F1762" s="47">
        <v>2273.08283112552</v>
      </c>
      <c r="G1762" s="47">
        <v>5724.4825253321596</v>
      </c>
    </row>
    <row r="1763" spans="2:7" x14ac:dyDescent="0.25">
      <c r="B1763" s="49"/>
      <c r="C1763" s="89"/>
      <c r="D1763" s="89"/>
      <c r="E1763" s="47">
        <v>2934.4502366986799</v>
      </c>
      <c r="F1763" s="47">
        <v>2272.5928706698</v>
      </c>
      <c r="G1763" s="47">
        <v>5740.0336903407297</v>
      </c>
    </row>
    <row r="1764" spans="2:7" x14ac:dyDescent="0.25">
      <c r="B1764" s="49"/>
      <c r="C1764" s="89"/>
      <c r="D1764" s="89">
        <v>800</v>
      </c>
      <c r="E1764" s="47">
        <v>2786.9159448883202</v>
      </c>
      <c r="F1764" s="47">
        <v>2564.6446417175298</v>
      </c>
      <c r="G1764" s="47">
        <v>5783.5049785396304</v>
      </c>
    </row>
    <row r="1765" spans="2:7" x14ac:dyDescent="0.25">
      <c r="B1765" s="49"/>
      <c r="C1765" s="89"/>
      <c r="D1765" s="89"/>
      <c r="E1765" s="47">
        <v>2800.2960146799801</v>
      </c>
      <c r="F1765" s="47">
        <v>2567.7737960221998</v>
      </c>
      <c r="G1765" s="47">
        <v>5878.2801559810196</v>
      </c>
    </row>
    <row r="1766" spans="2:7" x14ac:dyDescent="0.25">
      <c r="B1766" s="49"/>
      <c r="C1766" s="89"/>
      <c r="D1766" s="89"/>
      <c r="E1766" s="47">
        <v>2812.2188730225798</v>
      </c>
      <c r="F1766" s="47">
        <v>2569.6582014856399</v>
      </c>
      <c r="G1766" s="47">
        <v>5938.6462597364698</v>
      </c>
    </row>
    <row r="1767" spans="2:7" x14ac:dyDescent="0.25">
      <c r="B1767" s="49"/>
      <c r="C1767" s="89"/>
      <c r="D1767" s="89"/>
      <c r="E1767" s="47">
        <v>2824.9049060236498</v>
      </c>
      <c r="F1767" s="47">
        <v>2570.8280238377602</v>
      </c>
      <c r="G1767" s="47">
        <v>5980.6297843191396</v>
      </c>
    </row>
    <row r="1768" spans="2:7" x14ac:dyDescent="0.25">
      <c r="B1768" s="49"/>
      <c r="C1768" s="89"/>
      <c r="D1768" s="89"/>
      <c r="E1768" s="47">
        <v>2839.63431498216</v>
      </c>
      <c r="F1768" s="47">
        <v>2571.5330230807899</v>
      </c>
      <c r="G1768" s="47">
        <v>6011.9794595153899</v>
      </c>
    </row>
    <row r="1769" spans="2:7" x14ac:dyDescent="0.25">
      <c r="B1769" s="49"/>
      <c r="C1769" s="89"/>
      <c r="D1769" s="89"/>
      <c r="E1769" s="47">
        <v>2857.2645142207998</v>
      </c>
      <c r="F1769" s="47">
        <v>2571.9018231996702</v>
      </c>
      <c r="G1769" s="47">
        <v>6036.8530369907303</v>
      </c>
    </row>
    <row r="1770" spans="2:7" x14ac:dyDescent="0.25">
      <c r="B1770" s="49"/>
      <c r="C1770" s="89"/>
      <c r="D1770" s="89"/>
      <c r="E1770" s="47">
        <v>2878.50236182144</v>
      </c>
      <c r="F1770" s="47">
        <v>2572.0082418131201</v>
      </c>
      <c r="G1770" s="47">
        <v>6057.82023445507</v>
      </c>
    </row>
    <row r="1771" spans="2:7" x14ac:dyDescent="0.25">
      <c r="B1771" s="49"/>
      <c r="C1771" s="89"/>
      <c r="D1771" s="89"/>
      <c r="E1771" s="47">
        <v>2903.9670320340101</v>
      </c>
      <c r="F1771" s="47">
        <v>2571.8949116077401</v>
      </c>
      <c r="G1771" s="47">
        <v>6076.5453605703296</v>
      </c>
    </row>
    <row r="1772" spans="2:7" x14ac:dyDescent="0.25">
      <c r="B1772" s="49"/>
      <c r="C1772" s="89"/>
      <c r="D1772" s="89"/>
      <c r="E1772" s="47">
        <v>2934.2221967489099</v>
      </c>
      <c r="F1772" s="47">
        <v>2571.5870078702601</v>
      </c>
      <c r="G1772" s="47">
        <v>6094.18009969994</v>
      </c>
    </row>
    <row r="1773" spans="2:7" x14ac:dyDescent="0.25">
      <c r="B1773" s="49"/>
      <c r="C1773" s="89"/>
      <c r="D1773" s="89"/>
      <c r="E1773" s="47">
        <v>2969.7996865165101</v>
      </c>
      <c r="F1773" s="47">
        <v>2571.09863121832</v>
      </c>
      <c r="G1773" s="47">
        <v>6111.5539688749705</v>
      </c>
    </row>
    <row r="1774" spans="2:7" x14ac:dyDescent="0.25">
      <c r="B1774" s="49"/>
      <c r="C1774" s="89"/>
      <c r="D1774" s="89">
        <v>900</v>
      </c>
      <c r="E1774" s="47">
        <v>2819.1236838505902</v>
      </c>
      <c r="F1774" s="47">
        <v>2854.6914095789398</v>
      </c>
      <c r="G1774" s="47">
        <v>6125.9369820075799</v>
      </c>
    </row>
    <row r="1775" spans="2:7" x14ac:dyDescent="0.25">
      <c r="B1775" s="49"/>
      <c r="C1775" s="89"/>
      <c r="D1775" s="89"/>
      <c r="E1775" s="47">
        <v>2832.1493541140699</v>
      </c>
      <c r="F1775" s="47">
        <v>2858.7050917329502</v>
      </c>
      <c r="G1775" s="47">
        <v>6232.0164817468403</v>
      </c>
    </row>
    <row r="1776" spans="2:7" x14ac:dyDescent="0.25">
      <c r="B1776" s="49"/>
      <c r="C1776" s="89"/>
      <c r="D1776" s="89"/>
      <c r="E1776" s="47">
        <v>2843.8641209642301</v>
      </c>
      <c r="F1776" s="47">
        <v>2861.1524487469201</v>
      </c>
      <c r="G1776" s="47">
        <v>6299.90834446186</v>
      </c>
    </row>
    <row r="1777" spans="2:7" x14ac:dyDescent="0.25">
      <c r="B1777" s="49"/>
      <c r="C1777" s="89"/>
      <c r="D1777" s="89"/>
      <c r="E1777" s="47">
        <v>2856.4138810303498</v>
      </c>
      <c r="F1777" s="47">
        <v>2862.7057416697999</v>
      </c>
      <c r="G1777" s="47">
        <v>6347.3583244807596</v>
      </c>
    </row>
    <row r="1778" spans="2:7" x14ac:dyDescent="0.25">
      <c r="B1778" s="49"/>
      <c r="C1778" s="89"/>
      <c r="D1778" s="89"/>
      <c r="E1778" s="47">
        <v>2871.0396402125598</v>
      </c>
      <c r="F1778" s="47">
        <v>2863.6807185866301</v>
      </c>
      <c r="G1778" s="47">
        <v>6382.8989559409702</v>
      </c>
    </row>
    <row r="1779" spans="2:7" x14ac:dyDescent="0.25">
      <c r="B1779" s="49"/>
      <c r="C1779" s="89"/>
      <c r="D1779" s="89"/>
      <c r="E1779" s="47">
        <v>2888.5912778411198</v>
      </c>
      <c r="F1779" s="47">
        <v>2864.2422246687001</v>
      </c>
      <c r="G1779" s="47">
        <v>6411.15575235908</v>
      </c>
    </row>
    <row r="1780" spans="2:7" x14ac:dyDescent="0.25">
      <c r="B1780" s="49"/>
      <c r="C1780" s="89"/>
      <c r="D1780" s="89"/>
      <c r="E1780" s="47">
        <v>2909.7589290127798</v>
      </c>
      <c r="F1780" s="47">
        <v>2864.4834914831499</v>
      </c>
      <c r="G1780" s="47">
        <v>6434.9233678197998</v>
      </c>
    </row>
    <row r="1781" spans="2:7" x14ac:dyDescent="0.25">
      <c r="B1781" s="49"/>
      <c r="C1781" s="89"/>
      <c r="D1781" s="89"/>
      <c r="E1781" s="47">
        <v>2935.14899590298</v>
      </c>
      <c r="F1781" s="47">
        <v>2864.4598518355701</v>
      </c>
      <c r="G1781" s="47">
        <v>6456.0282698890196</v>
      </c>
    </row>
    <row r="1782" spans="2:7" x14ac:dyDescent="0.25">
      <c r="B1782" s="49"/>
      <c r="C1782" s="89"/>
      <c r="D1782" s="89"/>
      <c r="E1782" s="47">
        <v>2965.31492084211</v>
      </c>
      <c r="F1782" s="47">
        <v>2864.20457829829</v>
      </c>
      <c r="G1782" s="47">
        <v>6475.7295636028202</v>
      </c>
    </row>
    <row r="1783" spans="2:7" x14ac:dyDescent="0.25">
      <c r="B1783" s="49"/>
      <c r="C1783" s="89"/>
      <c r="D1783" s="89"/>
      <c r="E1783" s="47">
        <v>3000.7872561668801</v>
      </c>
      <c r="F1783" s="47">
        <v>2863.7370888073501</v>
      </c>
      <c r="G1783" s="47">
        <v>6494.9393641573497</v>
      </c>
    </row>
    <row r="1784" spans="2:7" x14ac:dyDescent="0.25">
      <c r="B1784" s="49"/>
      <c r="C1784" s="89"/>
      <c r="D1784" s="89">
        <v>1000</v>
      </c>
      <c r="E1784" s="47">
        <v>2847.56747305413</v>
      </c>
      <c r="F1784" s="47">
        <v>3138.5320460257899</v>
      </c>
      <c r="G1784" s="47">
        <v>6477.2610284140701</v>
      </c>
    </row>
    <row r="1785" spans="2:7" x14ac:dyDescent="0.25">
      <c r="B1785" s="49"/>
      <c r="C1785" s="89"/>
      <c r="D1785" s="89"/>
      <c r="E1785" s="47">
        <v>2860.12423146939</v>
      </c>
      <c r="F1785" s="47">
        <v>3143.5572783085699</v>
      </c>
      <c r="G1785" s="47">
        <v>6594.9103175300097</v>
      </c>
    </row>
    <row r="1786" spans="2:7" x14ac:dyDescent="0.25">
      <c r="B1786" s="49"/>
      <c r="C1786" s="89"/>
      <c r="D1786" s="89"/>
      <c r="E1786" s="47">
        <v>2871.5539053197699</v>
      </c>
      <c r="F1786" s="47">
        <v>3146.6561285487701</v>
      </c>
      <c r="G1786" s="47">
        <v>6670.5933367869102</v>
      </c>
    </row>
    <row r="1787" spans="2:7" x14ac:dyDescent="0.25">
      <c r="B1787" s="49"/>
      <c r="C1787" s="89"/>
      <c r="D1787" s="89"/>
      <c r="E1787" s="47">
        <v>2883.9152333512002</v>
      </c>
      <c r="F1787" s="47">
        <v>3148.6587603152998</v>
      </c>
      <c r="G1787" s="47">
        <v>6723.74159194003</v>
      </c>
    </row>
    <row r="1788" spans="2:7" x14ac:dyDescent="0.25">
      <c r="B1788" s="49"/>
      <c r="C1788" s="89"/>
      <c r="D1788" s="89"/>
      <c r="E1788" s="47">
        <v>2898.4023537081298</v>
      </c>
      <c r="F1788" s="47">
        <v>3149.9560906360898</v>
      </c>
      <c r="G1788" s="47">
        <v>6763.69535738176</v>
      </c>
    </row>
    <row r="1789" spans="2:7" x14ac:dyDescent="0.25">
      <c r="B1789" s="49"/>
      <c r="C1789" s="89"/>
      <c r="D1789" s="89"/>
      <c r="E1789" s="47">
        <v>2915.8444240693998</v>
      </c>
      <c r="F1789" s="47">
        <v>3150.7527177485699</v>
      </c>
      <c r="G1789" s="47">
        <v>6795.5160177526604</v>
      </c>
    </row>
    <row r="1790" spans="2:7" x14ac:dyDescent="0.25">
      <c r="B1790" s="49"/>
      <c r="C1790" s="89"/>
      <c r="D1790" s="89"/>
      <c r="E1790" s="47">
        <v>2936.9125147462601</v>
      </c>
      <c r="F1790" s="47">
        <v>3151.1646494830702</v>
      </c>
      <c r="G1790" s="47">
        <v>6822.2443493023302</v>
      </c>
    </row>
    <row r="1791" spans="2:7" x14ac:dyDescent="0.25">
      <c r="B1791" s="49"/>
      <c r="C1791" s="89"/>
      <c r="D1791" s="89"/>
      <c r="E1791" s="47">
        <v>2962.2068983537501</v>
      </c>
      <c r="F1791" s="47">
        <v>3151.26196821753</v>
      </c>
      <c r="G1791" s="47">
        <v>6845.88368110386</v>
      </c>
    </row>
    <row r="1792" spans="2:7" x14ac:dyDescent="0.25">
      <c r="B1792" s="49"/>
      <c r="C1792" s="89"/>
      <c r="D1792" s="89"/>
      <c r="E1792" s="47">
        <v>2992.2734589545498</v>
      </c>
      <c r="F1792" s="47">
        <v>3151.0871978300402</v>
      </c>
      <c r="G1792" s="47">
        <v>6867.80408746182</v>
      </c>
    </row>
    <row r="1793" spans="2:7" x14ac:dyDescent="0.25">
      <c r="B1793" s="49"/>
      <c r="C1793" s="89"/>
      <c r="D1793" s="89"/>
      <c r="E1793" s="47">
        <v>3027.6374323762502</v>
      </c>
      <c r="F1793" s="47">
        <v>3150.6659762591698</v>
      </c>
      <c r="G1793" s="47">
        <v>6888.9990386814698</v>
      </c>
    </row>
    <row r="1794" spans="2:7" x14ac:dyDescent="0.25">
      <c r="B1794" s="49"/>
      <c r="C1794" s="89"/>
      <c r="D1794" s="89">
        <v>1100</v>
      </c>
      <c r="E1794" s="47">
        <v>2872.5241449002301</v>
      </c>
      <c r="F1794" s="47">
        <v>3416.3384990956401</v>
      </c>
      <c r="G1794" s="47">
        <v>6837.6915716916901</v>
      </c>
    </row>
    <row r="1795" spans="2:7" x14ac:dyDescent="0.25">
      <c r="B1795" s="49"/>
      <c r="C1795" s="89"/>
      <c r="D1795" s="89"/>
      <c r="E1795" s="47">
        <v>2884.59263626447</v>
      </c>
      <c r="F1795" s="47">
        <v>3422.5506020621201</v>
      </c>
      <c r="G1795" s="47">
        <v>6968.0921997284104</v>
      </c>
    </row>
    <row r="1796" spans="2:7" x14ac:dyDescent="0.25">
      <c r="B1796" s="49"/>
      <c r="C1796" s="89"/>
      <c r="D1796" s="89"/>
      <c r="E1796" s="47">
        <v>2895.6922804426999</v>
      </c>
      <c r="F1796" s="47">
        <v>3426.4101114560299</v>
      </c>
      <c r="G1796" s="47">
        <v>7052.1668849928601</v>
      </c>
    </row>
    <row r="1797" spans="2:7" x14ac:dyDescent="0.25">
      <c r="B1797" s="49"/>
      <c r="C1797" s="89"/>
      <c r="D1797" s="89"/>
      <c r="E1797" s="47">
        <v>2907.8230882947501</v>
      </c>
      <c r="F1797" s="47">
        <v>3428.9371609693899</v>
      </c>
      <c r="G1797" s="47">
        <v>7111.3558081352203</v>
      </c>
    </row>
    <row r="1798" spans="2:7" x14ac:dyDescent="0.25">
      <c r="B1798" s="49"/>
      <c r="C1798" s="89"/>
      <c r="D1798" s="89"/>
      <c r="E1798" s="47">
        <v>2922.1378683510002</v>
      </c>
      <c r="F1798" s="47">
        <v>3430.6123668022001</v>
      </c>
      <c r="G1798" s="47">
        <v>7155.9375083985797</v>
      </c>
    </row>
    <row r="1799" spans="2:7" x14ac:dyDescent="0.25">
      <c r="B1799" s="49"/>
      <c r="C1799" s="89"/>
      <c r="D1799" s="89"/>
      <c r="E1799" s="47">
        <v>2939.4368044130001</v>
      </c>
      <c r="F1799" s="47">
        <v>3431.6863172529202</v>
      </c>
      <c r="G1799" s="47">
        <v>7191.4393928076497</v>
      </c>
    </row>
    <row r="1800" spans="2:7" x14ac:dyDescent="0.25">
      <c r="B1800" s="49"/>
      <c r="C1800" s="89"/>
      <c r="D1800" s="89"/>
      <c r="E1800" s="47">
        <v>2960.38086551886</v>
      </c>
      <c r="F1800" s="47">
        <v>3432.30335519747</v>
      </c>
      <c r="G1800" s="47">
        <v>7221.2157035239798</v>
      </c>
    </row>
    <row r="1801" spans="2:7" x14ac:dyDescent="0.25">
      <c r="B1801" s="49"/>
      <c r="C1801" s="89"/>
      <c r="D1801" s="89"/>
      <c r="E1801" s="47">
        <v>2985.5557662231499</v>
      </c>
      <c r="F1801" s="47">
        <v>3432.5499424196601</v>
      </c>
      <c r="G1801" s="47">
        <v>7247.4373013104196</v>
      </c>
    </row>
    <row r="1802" spans="2:7" x14ac:dyDescent="0.25">
      <c r="B1802" s="49"/>
      <c r="C1802" s="89"/>
      <c r="D1802" s="89"/>
      <c r="E1802" s="47">
        <v>3015.5025741136701</v>
      </c>
      <c r="F1802" s="47">
        <v>3432.4796821768</v>
      </c>
      <c r="G1802" s="47">
        <v>7271.60152072235</v>
      </c>
    </row>
    <row r="1803" spans="2:7" x14ac:dyDescent="0.25">
      <c r="B1803" s="49"/>
      <c r="C1803" s="89"/>
      <c r="D1803" s="89"/>
      <c r="E1803" s="47">
        <v>3050.7396916282601</v>
      </c>
      <c r="F1803" s="47">
        <v>3432.1254227106201</v>
      </c>
      <c r="G1803" s="47">
        <v>7294.7852484210998</v>
      </c>
    </row>
    <row r="1804" spans="2:7" x14ac:dyDescent="0.25">
      <c r="B1804" s="49"/>
      <c r="C1804" s="89"/>
      <c r="D1804" s="89">
        <v>1200</v>
      </c>
      <c r="E1804" s="47">
        <v>2894.2496874684898</v>
      </c>
      <c r="F1804" s="47">
        <v>3688.2603856281999</v>
      </c>
      <c r="G1804" s="47">
        <v>7207.0413081512797</v>
      </c>
    </row>
    <row r="1805" spans="2:7" x14ac:dyDescent="0.25">
      <c r="B1805" s="49"/>
      <c r="C1805" s="89"/>
      <c r="D1805" s="89"/>
      <c r="E1805" s="47">
        <v>2905.7194989150298</v>
      </c>
      <c r="F1805" s="47">
        <v>3695.7924137903801</v>
      </c>
      <c r="G1805" s="47">
        <v>7350.2463426564</v>
      </c>
    </row>
    <row r="1806" spans="2:7" x14ac:dyDescent="0.25">
      <c r="B1806" s="49"/>
      <c r="C1806" s="89"/>
      <c r="D1806" s="89"/>
      <c r="E1806" s="47">
        <v>2916.44557458602</v>
      </c>
      <c r="F1806" s="47">
        <v>3700.5061546739398</v>
      </c>
      <c r="G1806" s="47">
        <v>7442.87870039278</v>
      </c>
    </row>
    <row r="1807" spans="2:7" x14ac:dyDescent="0.25">
      <c r="B1807" s="49"/>
      <c r="C1807" s="89"/>
      <c r="D1807" s="89"/>
      <c r="E1807" s="47">
        <v>2928.3136830868302</v>
      </c>
      <c r="F1807" s="47">
        <v>3703.6289615802798</v>
      </c>
      <c r="G1807" s="47">
        <v>7508.2984633139604</v>
      </c>
    </row>
    <row r="1808" spans="2:7" x14ac:dyDescent="0.25">
      <c r="B1808" s="49"/>
      <c r="C1808" s="89"/>
      <c r="D1808" s="89"/>
      <c r="E1808" s="47">
        <v>2942.4235766192101</v>
      </c>
      <c r="F1808" s="47">
        <v>3705.7377295859801</v>
      </c>
      <c r="G1808" s="47">
        <v>7557.6655614842102</v>
      </c>
    </row>
    <row r="1809" spans="2:7" x14ac:dyDescent="0.25">
      <c r="B1809" s="49"/>
      <c r="C1809" s="89"/>
      <c r="D1809" s="89"/>
      <c r="E1809" s="47">
        <v>2959.5551174954999</v>
      </c>
      <c r="F1809" s="47">
        <v>3707.1353155514398</v>
      </c>
      <c r="G1809" s="47">
        <v>7597.01012922264</v>
      </c>
    </row>
    <row r="1810" spans="2:7" x14ac:dyDescent="0.25">
      <c r="B1810" s="49"/>
      <c r="C1810" s="89"/>
      <c r="D1810" s="89"/>
      <c r="E1810" s="47">
        <v>2980.3572081515999</v>
      </c>
      <c r="F1810" s="47">
        <v>3707.9960800151698</v>
      </c>
      <c r="G1810" s="47">
        <v>7629.9740766470904</v>
      </c>
    </row>
    <row r="1811" spans="2:7" x14ac:dyDescent="0.25">
      <c r="B1811" s="49"/>
      <c r="C1811" s="89"/>
      <c r="D1811" s="89"/>
      <c r="E1811" s="47">
        <v>3005.3989542089498</v>
      </c>
      <c r="F1811" s="47">
        <v>3708.42557837402</v>
      </c>
      <c r="G1811" s="47">
        <v>7658.9118027235399</v>
      </c>
    </row>
    <row r="1812" spans="2:7" x14ac:dyDescent="0.25">
      <c r="B1812" s="49"/>
      <c r="C1812" s="89"/>
      <c r="D1812" s="89"/>
      <c r="E1812" s="47">
        <v>3035.2182215110902</v>
      </c>
      <c r="F1812" s="47">
        <v>3708.4900713629299</v>
      </c>
      <c r="G1812" s="47">
        <v>7685.4553075428503</v>
      </c>
    </row>
    <row r="1813" spans="2:7" x14ac:dyDescent="0.25">
      <c r="B1813" s="49"/>
      <c r="C1813" s="89"/>
      <c r="D1813" s="89"/>
      <c r="E1813" s="47">
        <v>3070.32764504632</v>
      </c>
      <c r="F1813" s="47">
        <v>3708.23278253954</v>
      </c>
      <c r="G1813" s="47">
        <v>7710.80684900703</v>
      </c>
    </row>
    <row r="1814" spans="2:7" x14ac:dyDescent="0.25">
      <c r="B1814" s="49"/>
      <c r="C1814" s="89">
        <v>-15</v>
      </c>
      <c r="D1814" s="89">
        <v>500</v>
      </c>
      <c r="E1814" s="47">
        <v>2761.27426223256</v>
      </c>
      <c r="F1814" s="47">
        <v>1635.5180824675499</v>
      </c>
      <c r="G1814" s="47">
        <v>5379.97346959682</v>
      </c>
    </row>
    <row r="1815" spans="2:7" x14ac:dyDescent="0.25">
      <c r="B1815" s="49"/>
      <c r="C1815" s="89"/>
      <c r="D1815" s="89"/>
      <c r="E1815" s="47">
        <v>2771.11061797618</v>
      </c>
      <c r="F1815" s="47">
        <v>1635.70417974067</v>
      </c>
      <c r="G1815" s="47">
        <v>5396.32322442643</v>
      </c>
    </row>
    <row r="1816" spans="2:7" x14ac:dyDescent="0.25">
      <c r="B1816" s="49"/>
      <c r="C1816" s="89"/>
      <c r="D1816" s="89"/>
      <c r="E1816" s="47">
        <v>2781.9157750568502</v>
      </c>
      <c r="F1816" s="47">
        <v>1635.83082895966</v>
      </c>
      <c r="G1816" s="47">
        <v>5410.9651563723501</v>
      </c>
    </row>
    <row r="1817" spans="2:7" x14ac:dyDescent="0.25">
      <c r="B1817" s="49"/>
      <c r="C1817" s="89"/>
      <c r="D1817" s="89"/>
      <c r="E1817" s="47">
        <v>2793.6897334745699</v>
      </c>
      <c r="F1817" s="47">
        <v>1635.8980301245299</v>
      </c>
      <c r="G1817" s="47">
        <v>5423.8992654345902</v>
      </c>
    </row>
    <row r="1818" spans="2:7" x14ac:dyDescent="0.25">
      <c r="B1818" s="49"/>
      <c r="C1818" s="89"/>
      <c r="D1818" s="89"/>
      <c r="E1818" s="47">
        <v>2807.88016855975</v>
      </c>
      <c r="F1818" s="47">
        <v>1635.87048163246</v>
      </c>
      <c r="G1818" s="47">
        <v>5434.8574058243403</v>
      </c>
    </row>
    <row r="1819" spans="2:7" x14ac:dyDescent="0.25">
      <c r="B1819" s="49"/>
      <c r="C1819" s="89"/>
      <c r="D1819" s="89"/>
      <c r="E1819" s="47">
        <v>2823.4874299005201</v>
      </c>
      <c r="F1819" s="47">
        <v>1635.80234401743</v>
      </c>
      <c r="G1819" s="47">
        <v>5445.2954202544997</v>
      </c>
    </row>
    <row r="1820" spans="2:7" x14ac:dyDescent="0.25">
      <c r="B1820" s="49"/>
      <c r="C1820" s="89"/>
      <c r="D1820" s="89"/>
      <c r="E1820" s="47">
        <v>2840.5115174968801</v>
      </c>
      <c r="F1820" s="47">
        <v>1635.6936172794301</v>
      </c>
      <c r="G1820" s="47">
        <v>5455.2133087250904</v>
      </c>
    </row>
    <row r="1821" spans="2:7" x14ac:dyDescent="0.25">
      <c r="B1821" s="49"/>
      <c r="C1821" s="89"/>
      <c r="D1821" s="89"/>
      <c r="E1821" s="47">
        <v>2860.7507333131398</v>
      </c>
      <c r="F1821" s="47">
        <v>1635.5112670466599</v>
      </c>
      <c r="G1821" s="47">
        <v>5464.73939748871</v>
      </c>
    </row>
    <row r="1822" spans="2:7" x14ac:dyDescent="0.25">
      <c r="B1822" s="49"/>
      <c r="C1822" s="89"/>
      <c r="D1822" s="89"/>
      <c r="E1822" s="47">
        <v>2882.7774299327102</v>
      </c>
      <c r="F1822" s="47">
        <v>1635.2939947105699</v>
      </c>
      <c r="G1822" s="47">
        <v>5474.3040251618004</v>
      </c>
    </row>
    <row r="1823" spans="2:7" x14ac:dyDescent="0.25">
      <c r="B1823" s="49"/>
      <c r="C1823" s="89"/>
      <c r="D1823" s="89"/>
      <c r="E1823" s="47">
        <v>2906.59160735559</v>
      </c>
      <c r="F1823" s="47">
        <v>1635.0418002711499</v>
      </c>
      <c r="G1823" s="47">
        <v>5483.9071917443698</v>
      </c>
    </row>
    <row r="1824" spans="2:7" x14ac:dyDescent="0.25">
      <c r="B1824" s="49"/>
      <c r="C1824" s="89"/>
      <c r="D1824" s="89">
        <v>600</v>
      </c>
      <c r="E1824" s="47">
        <v>2761.79933077843</v>
      </c>
      <c r="F1824" s="47">
        <v>1938.0917414139799</v>
      </c>
      <c r="G1824" s="47">
        <v>5547.3338327152996</v>
      </c>
    </row>
    <row r="1825" spans="2:7" x14ac:dyDescent="0.25">
      <c r="B1825" s="49"/>
      <c r="C1825" s="89"/>
      <c r="D1825" s="89"/>
      <c r="E1825" s="47">
        <v>2775.3732832148899</v>
      </c>
      <c r="F1825" s="47">
        <v>1940.22428945103</v>
      </c>
      <c r="G1825" s="47">
        <v>5634.7100616443404</v>
      </c>
    </row>
    <row r="1826" spans="2:7" x14ac:dyDescent="0.25">
      <c r="B1826" s="49"/>
      <c r="C1826" s="89"/>
      <c r="D1826" s="89"/>
      <c r="E1826" s="47">
        <v>2787.4122548637401</v>
      </c>
      <c r="F1826" s="47">
        <v>1941.49367124952</v>
      </c>
      <c r="G1826" s="47">
        <v>5690.0947967155498</v>
      </c>
    </row>
    <row r="1827" spans="2:7" x14ac:dyDescent="0.25">
      <c r="B1827" s="49"/>
      <c r="C1827" s="89"/>
      <c r="D1827" s="89"/>
      <c r="E1827" s="47">
        <v>2800.16403134236</v>
      </c>
      <c r="F1827" s="47">
        <v>1942.26567239376</v>
      </c>
      <c r="G1827" s="47">
        <v>5728.4140924195299</v>
      </c>
    </row>
    <row r="1828" spans="2:7" x14ac:dyDescent="0.25">
      <c r="B1828" s="49"/>
      <c r="C1828" s="89"/>
      <c r="D1828" s="89"/>
      <c r="E1828" s="47">
        <v>2814.9152640698298</v>
      </c>
      <c r="F1828" s="47">
        <v>1942.71152957855</v>
      </c>
      <c r="G1828" s="47">
        <v>5756.8541379527296</v>
      </c>
    </row>
    <row r="1829" spans="2:7" x14ac:dyDescent="0.25">
      <c r="B1829" s="49"/>
      <c r="C1829" s="89"/>
      <c r="D1829" s="89"/>
      <c r="E1829" s="47">
        <v>2832.5630113869202</v>
      </c>
      <c r="F1829" s="47">
        <v>1942.92106386204</v>
      </c>
      <c r="G1829" s="47">
        <v>5779.3734754645602</v>
      </c>
    </row>
    <row r="1830" spans="2:7" x14ac:dyDescent="0.25">
      <c r="B1830" s="49"/>
      <c r="C1830" s="89"/>
      <c r="D1830" s="89"/>
      <c r="E1830" s="47">
        <v>2853.8295146354899</v>
      </c>
      <c r="F1830" s="47">
        <v>1942.94505650016</v>
      </c>
      <c r="G1830" s="47">
        <v>5798.3937490606504</v>
      </c>
    </row>
    <row r="1831" spans="2:7" x14ac:dyDescent="0.25">
      <c r="B1831" s="49"/>
      <c r="C1831" s="89"/>
      <c r="D1831" s="89"/>
      <c r="E1831" s="47">
        <v>2879.3361696413699</v>
      </c>
      <c r="F1831" s="47">
        <v>1942.8126935530099</v>
      </c>
      <c r="G1831" s="47">
        <v>5815.4827258259302</v>
      </c>
    </row>
    <row r="1832" spans="2:7" x14ac:dyDescent="0.25">
      <c r="B1832" s="49"/>
      <c r="C1832" s="89"/>
      <c r="D1832" s="89"/>
      <c r="E1832" s="47">
        <v>2909.6450967779301</v>
      </c>
      <c r="F1832" s="47">
        <v>1942.5400220639999</v>
      </c>
      <c r="G1832" s="47">
        <v>5831.6905283123597</v>
      </c>
    </row>
    <row r="1833" spans="2:7" x14ac:dyDescent="0.25">
      <c r="B1833" s="49"/>
      <c r="C1833" s="89"/>
      <c r="D1833" s="89"/>
      <c r="E1833" s="47">
        <v>2945.2889305481599</v>
      </c>
      <c r="F1833" s="47">
        <v>1942.13597926381</v>
      </c>
      <c r="G1833" s="47">
        <v>5847.7895044687102</v>
      </c>
    </row>
    <row r="1834" spans="2:7" x14ac:dyDescent="0.25">
      <c r="B1834" s="49"/>
      <c r="C1834" s="89"/>
      <c r="D1834" s="89">
        <v>700</v>
      </c>
      <c r="E1834" s="47">
        <v>2796.80298974787</v>
      </c>
      <c r="F1834" s="47">
        <v>2237.0615243833299</v>
      </c>
      <c r="G1834" s="47">
        <v>5883.2866870590397</v>
      </c>
    </row>
    <row r="1835" spans="2:7" x14ac:dyDescent="0.25">
      <c r="B1835" s="49"/>
      <c r="C1835" s="89"/>
      <c r="D1835" s="89"/>
      <c r="E1835" s="47">
        <v>2810.05662708618</v>
      </c>
      <c r="F1835" s="47">
        <v>2239.9039972853202</v>
      </c>
      <c r="G1835" s="47">
        <v>5981.1121792700797</v>
      </c>
    </row>
    <row r="1836" spans="2:7" x14ac:dyDescent="0.25">
      <c r="B1836" s="49"/>
      <c r="C1836" s="89"/>
      <c r="D1836" s="89"/>
      <c r="E1836" s="47">
        <v>2821.9334431125799</v>
      </c>
      <c r="F1836" s="47">
        <v>2241.6243009985701</v>
      </c>
      <c r="G1836" s="47">
        <v>6043.6009892161901</v>
      </c>
    </row>
    <row r="1837" spans="2:7" x14ac:dyDescent="0.25">
      <c r="B1837" s="49"/>
      <c r="C1837" s="89"/>
      <c r="D1837" s="89"/>
      <c r="E1837" s="47">
        <v>2834.5865894813101</v>
      </c>
      <c r="F1837" s="47">
        <v>2242.70066461949</v>
      </c>
      <c r="G1837" s="47">
        <v>6087.1532700428597</v>
      </c>
    </row>
    <row r="1838" spans="2:7" x14ac:dyDescent="0.25">
      <c r="B1838" s="49"/>
      <c r="C1838" s="89"/>
      <c r="D1838" s="89"/>
      <c r="E1838" s="47">
        <v>2849.2751599356202</v>
      </c>
      <c r="F1838" s="47">
        <v>2243.3571899267499</v>
      </c>
      <c r="G1838" s="47">
        <v>6119.6672179166899</v>
      </c>
    </row>
    <row r="1839" spans="2:7" x14ac:dyDescent="0.25">
      <c r="B1839" s="49"/>
      <c r="C1839" s="89"/>
      <c r="D1839" s="89"/>
      <c r="E1839" s="47">
        <v>2866.8754819723899</v>
      </c>
      <c r="F1839" s="47">
        <v>2243.71201023606</v>
      </c>
      <c r="G1839" s="47">
        <v>6145.4868434508198</v>
      </c>
    </row>
    <row r="1840" spans="2:7" x14ac:dyDescent="0.25">
      <c r="B1840" s="49"/>
      <c r="C1840" s="89"/>
      <c r="D1840" s="89"/>
      <c r="E1840" s="47">
        <v>2888.0884278436702</v>
      </c>
      <c r="F1840" s="47">
        <v>2243.8317084035102</v>
      </c>
      <c r="G1840" s="47">
        <v>6167.2368280035798</v>
      </c>
    </row>
    <row r="1841" spans="2:7" x14ac:dyDescent="0.25">
      <c r="B1841" s="49"/>
      <c r="C1841" s="89"/>
      <c r="D1841" s="89"/>
      <c r="E1841" s="47">
        <v>2913.5381885400002</v>
      </c>
      <c r="F1841" s="47">
        <v>2243.7563125326101</v>
      </c>
      <c r="G1841" s="47">
        <v>6186.6685197178303</v>
      </c>
    </row>
    <row r="1842" spans="2:7" x14ac:dyDescent="0.25">
      <c r="B1842" s="49"/>
      <c r="C1842" s="89"/>
      <c r="D1842" s="89"/>
      <c r="E1842" s="47">
        <v>2943.7748895036598</v>
      </c>
      <c r="F1842" s="47">
        <v>2243.5079174914199</v>
      </c>
      <c r="G1842" s="47">
        <v>6204.9234266875101</v>
      </c>
    </row>
    <row r="1843" spans="2:7" x14ac:dyDescent="0.25">
      <c r="B1843" s="49"/>
      <c r="C1843" s="89"/>
      <c r="D1843" s="89"/>
      <c r="E1843" s="47">
        <v>2979.3296000154201</v>
      </c>
      <c r="F1843" s="47">
        <v>2243.0996389268498</v>
      </c>
      <c r="G1843" s="47">
        <v>6222.8539353577298</v>
      </c>
    </row>
    <row r="1844" spans="2:7" x14ac:dyDescent="0.25">
      <c r="B1844" s="49"/>
      <c r="C1844" s="89"/>
      <c r="D1844" s="89">
        <v>800</v>
      </c>
      <c r="E1844" s="47">
        <v>2827.8227414671901</v>
      </c>
      <c r="F1844" s="47">
        <v>2529.6210552763901</v>
      </c>
      <c r="G1844" s="47">
        <v>6227.8425777922203</v>
      </c>
    </row>
    <row r="1845" spans="2:7" x14ac:dyDescent="0.25">
      <c r="B1845" s="49"/>
      <c r="C1845" s="89"/>
      <c r="D1845" s="89"/>
      <c r="E1845" s="47">
        <v>2840.72405768526</v>
      </c>
      <c r="F1845" s="47">
        <v>2533.3197111777099</v>
      </c>
      <c r="G1845" s="47">
        <v>6337.2804322681004</v>
      </c>
    </row>
    <row r="1846" spans="2:7" x14ac:dyDescent="0.25">
      <c r="B1846" s="49"/>
      <c r="C1846" s="89"/>
      <c r="D1846" s="89"/>
      <c r="E1846" s="47">
        <v>2852.3698616208198</v>
      </c>
      <c r="F1846" s="47">
        <v>2535.5835880039999</v>
      </c>
      <c r="G1846" s="47">
        <v>6407.4543926219503</v>
      </c>
    </row>
    <row r="1847" spans="2:7" x14ac:dyDescent="0.25">
      <c r="B1847" s="49"/>
      <c r="C1847" s="89"/>
      <c r="D1847" s="89"/>
      <c r="E1847" s="47">
        <v>2864.8824778672101</v>
      </c>
      <c r="F1847" s="47">
        <v>2537.0292861348098</v>
      </c>
      <c r="G1847" s="47">
        <v>6456.59348499712</v>
      </c>
    </row>
    <row r="1848" spans="2:7" x14ac:dyDescent="0.25">
      <c r="B1848" s="49"/>
      <c r="C1848" s="89"/>
      <c r="D1848" s="89"/>
      <c r="E1848" s="47">
        <v>2879.46300879521</v>
      </c>
      <c r="F1848" s="47">
        <v>2537.9453700023601</v>
      </c>
      <c r="G1848" s="47">
        <v>6493.4036916615296</v>
      </c>
    </row>
    <row r="1849" spans="2:7" x14ac:dyDescent="0.25">
      <c r="B1849" s="49"/>
      <c r="C1849" s="89"/>
      <c r="D1849" s="89"/>
      <c r="E1849" s="47">
        <v>2896.9753866300498</v>
      </c>
      <c r="F1849" s="47">
        <v>2538.4838149838101</v>
      </c>
      <c r="G1849" s="47">
        <v>6522.6675196245196</v>
      </c>
    </row>
    <row r="1850" spans="2:7" x14ac:dyDescent="0.25">
      <c r="B1850" s="49"/>
      <c r="C1850" s="89"/>
      <c r="D1850" s="89"/>
      <c r="E1850" s="47">
        <v>2918.1080280768902</v>
      </c>
      <c r="F1850" s="47">
        <v>2538.7308980224402</v>
      </c>
      <c r="G1850" s="47">
        <v>6547.2683058520897</v>
      </c>
    </row>
    <row r="1851" spans="2:7" x14ac:dyDescent="0.25">
      <c r="B1851" s="49"/>
      <c r="C1851" s="89"/>
      <c r="D1851" s="89"/>
      <c r="E1851" s="47">
        <v>2943.4730452440199</v>
      </c>
      <c r="F1851" s="47">
        <v>2538.7392366222002</v>
      </c>
      <c r="G1851" s="47">
        <v>6569.1286375475102</v>
      </c>
    </row>
    <row r="1852" spans="2:7" x14ac:dyDescent="0.25">
      <c r="B1852" s="49"/>
      <c r="C1852" s="89"/>
      <c r="D1852" s="89"/>
      <c r="E1852" s="47">
        <v>2973.6162477019402</v>
      </c>
      <c r="F1852" s="47">
        <v>2538.5382622747902</v>
      </c>
      <c r="G1852" s="47">
        <v>6589.4969319376596</v>
      </c>
    </row>
    <row r="1853" spans="2:7" x14ac:dyDescent="0.25">
      <c r="B1853" s="49"/>
      <c r="C1853" s="89"/>
      <c r="D1853" s="89"/>
      <c r="E1853" s="47">
        <v>3009.0621441513599</v>
      </c>
      <c r="F1853" s="47">
        <v>2538.14613349294</v>
      </c>
      <c r="G1853" s="47">
        <v>6609.3036694434304</v>
      </c>
    </row>
    <row r="1854" spans="2:7" x14ac:dyDescent="0.25">
      <c r="B1854" s="49"/>
      <c r="C1854" s="89"/>
      <c r="D1854" s="89">
        <v>900</v>
      </c>
      <c r="E1854" s="47">
        <v>2855.2589593798598</v>
      </c>
      <c r="F1854" s="47">
        <v>2815.9901088956999</v>
      </c>
      <c r="G1854" s="47">
        <v>6582.4764966450703</v>
      </c>
    </row>
    <row r="1855" spans="2:7" x14ac:dyDescent="0.25">
      <c r="B1855" s="49"/>
      <c r="C1855" s="89"/>
      <c r="D1855" s="89"/>
      <c r="E1855" s="47">
        <v>2867.6680841840898</v>
      </c>
      <c r="F1855" s="47">
        <v>2820.6648840797002</v>
      </c>
      <c r="G1855" s="47">
        <v>6703.5753356715104</v>
      </c>
    </row>
    <row r="1856" spans="2:7" x14ac:dyDescent="0.25">
      <c r="B1856" s="49"/>
      <c r="C1856" s="89"/>
      <c r="D1856" s="89"/>
      <c r="E1856" s="47">
        <v>2879.00349884361</v>
      </c>
      <c r="F1856" s="47">
        <v>2823.5555017554302</v>
      </c>
      <c r="G1856" s="47">
        <v>6781.5682917747199</v>
      </c>
    </row>
    <row r="1857" spans="2:7" x14ac:dyDescent="0.25">
      <c r="B1857" s="49"/>
      <c r="C1857" s="89"/>
      <c r="D1857" s="89"/>
      <c r="E1857" s="47">
        <v>2891.3079828058699</v>
      </c>
      <c r="F1857" s="47">
        <v>2825.4327997805399</v>
      </c>
      <c r="G1857" s="47">
        <v>6836.4306170256896</v>
      </c>
    </row>
    <row r="1858" spans="2:7" x14ac:dyDescent="0.25">
      <c r="B1858" s="49"/>
      <c r="C1858" s="89"/>
      <c r="D1858" s="89"/>
      <c r="E1858" s="47">
        <v>2905.7427785575001</v>
      </c>
      <c r="F1858" s="47">
        <v>2826.6570130631899</v>
      </c>
      <c r="G1858" s="47">
        <v>6877.6710971791899</v>
      </c>
    </row>
    <row r="1859" spans="2:7" x14ac:dyDescent="0.25">
      <c r="B1859" s="49"/>
      <c r="C1859" s="89"/>
      <c r="D1859" s="89"/>
      <c r="E1859" s="47">
        <v>2923.1394465827302</v>
      </c>
      <c r="F1859" s="47">
        <v>2827.4188876959201</v>
      </c>
      <c r="G1859" s="47">
        <v>6910.5089463166996</v>
      </c>
    </row>
    <row r="1860" spans="2:7" x14ac:dyDescent="0.25">
      <c r="B1860" s="49"/>
      <c r="C1860" s="89"/>
      <c r="D1860" s="89"/>
      <c r="E1860" s="47">
        <v>2944.1742731095101</v>
      </c>
      <c r="F1860" s="47">
        <v>2827.82807352396</v>
      </c>
      <c r="G1860" s="47">
        <v>6938.1131476839701</v>
      </c>
    </row>
    <row r="1861" spans="2:7" x14ac:dyDescent="0.25">
      <c r="B1861" s="49"/>
      <c r="C1861" s="89"/>
      <c r="D1861" s="89"/>
      <c r="E1861" s="47">
        <v>2969.43470481452</v>
      </c>
      <c r="F1861" s="47">
        <v>2827.9494921627902</v>
      </c>
      <c r="G1861" s="47">
        <v>6962.5190118513201</v>
      </c>
    </row>
    <row r="1862" spans="2:7" x14ac:dyDescent="0.25">
      <c r="B1862" s="49"/>
      <c r="C1862" s="89"/>
      <c r="D1862" s="89"/>
      <c r="E1862" s="47">
        <v>2999.4685808559302</v>
      </c>
      <c r="F1862" s="47">
        <v>2827.8221074947401</v>
      </c>
      <c r="G1862" s="47">
        <v>6985.1146858329002</v>
      </c>
    </row>
    <row r="1863" spans="2:7" x14ac:dyDescent="0.25">
      <c r="B1863" s="49"/>
      <c r="C1863" s="89"/>
      <c r="D1863" s="89"/>
      <c r="E1863" s="47">
        <v>3034.7967304744798</v>
      </c>
      <c r="F1863" s="47">
        <v>2827.4699211730999</v>
      </c>
      <c r="G1863" s="47">
        <v>7006.9115260387598</v>
      </c>
    </row>
    <row r="1864" spans="2:7" x14ac:dyDescent="0.25">
      <c r="B1864" s="49"/>
      <c r="C1864" s="89"/>
      <c r="D1864" s="89">
        <v>1000</v>
      </c>
      <c r="E1864" s="47">
        <v>2879.2147973304</v>
      </c>
      <c r="F1864" s="47">
        <v>3096.2464885898498</v>
      </c>
      <c r="G1864" s="47">
        <v>6944.9399399949498</v>
      </c>
    </row>
    <row r="1865" spans="2:7" x14ac:dyDescent="0.25">
      <c r="B1865" s="49"/>
      <c r="C1865" s="89"/>
      <c r="D1865" s="89"/>
      <c r="E1865" s="47">
        <v>2891.1027339625998</v>
      </c>
      <c r="F1865" s="47">
        <v>3102.0759737182102</v>
      </c>
      <c r="G1865" s="47">
        <v>7079.0394371025204</v>
      </c>
    </row>
    <row r="1866" spans="2:7" x14ac:dyDescent="0.25">
      <c r="B1866" s="49"/>
      <c r="C1866" s="89"/>
      <c r="D1866" s="89"/>
      <c r="E1866" s="47">
        <v>2902.10147142183</v>
      </c>
      <c r="F1866" s="47">
        <v>3105.7075184515602</v>
      </c>
      <c r="G1866" s="47">
        <v>7165.6290955408303</v>
      </c>
    </row>
    <row r="1867" spans="2:7" x14ac:dyDescent="0.25">
      <c r="B1867" s="49"/>
      <c r="C1867" s="89"/>
      <c r="D1867" s="89"/>
      <c r="E1867" s="47">
        <v>2914.1666933698298</v>
      </c>
      <c r="F1867" s="47">
        <v>3108.0942170077001</v>
      </c>
      <c r="G1867" s="47">
        <v>7226.6541042185299</v>
      </c>
    </row>
    <row r="1868" spans="2:7" x14ac:dyDescent="0.25">
      <c r="B1868" s="49"/>
      <c r="C1868" s="89"/>
      <c r="D1868" s="89"/>
      <c r="E1868" s="47">
        <v>2928.4214527623899</v>
      </c>
      <c r="F1868" s="47">
        <v>3109.6840564199001</v>
      </c>
      <c r="G1868" s="47">
        <v>7272.6007908765396</v>
      </c>
    </row>
    <row r="1869" spans="2:7" x14ac:dyDescent="0.25">
      <c r="B1869" s="49"/>
      <c r="C1869" s="89"/>
      <c r="D1869" s="89"/>
      <c r="E1869" s="47">
        <v>2945.67345671465</v>
      </c>
      <c r="F1869" s="47">
        <v>3110.7141505935101</v>
      </c>
      <c r="G1869" s="47">
        <v>7309.2006524472899</v>
      </c>
    </row>
    <row r="1870" spans="2:7" x14ac:dyDescent="0.25">
      <c r="B1870" s="49"/>
      <c r="C1870" s="89"/>
      <c r="D1870" s="89"/>
      <c r="E1870" s="47">
        <v>2966.5822700845802</v>
      </c>
      <c r="F1870" s="47">
        <v>3111.3214207360002</v>
      </c>
      <c r="G1870" s="47">
        <v>7339.9275313538701</v>
      </c>
    </row>
    <row r="1871" spans="2:7" x14ac:dyDescent="0.25">
      <c r="B1871" s="49"/>
      <c r="C1871" s="89"/>
      <c r="D1871" s="89"/>
      <c r="E1871" s="47">
        <v>2991.7253385716199</v>
      </c>
      <c r="F1871" s="47">
        <v>3111.5855739450699</v>
      </c>
      <c r="G1871" s="47">
        <v>7366.96828671197</v>
      </c>
    </row>
    <row r="1872" spans="2:7" x14ac:dyDescent="0.25">
      <c r="B1872" s="49"/>
      <c r="C1872" s="89"/>
      <c r="D1872" s="89"/>
      <c r="E1872" s="47">
        <v>3021.6388654391399</v>
      </c>
      <c r="F1872" s="47">
        <v>3111.55681971986</v>
      </c>
      <c r="G1872" s="47">
        <v>7391.8472407222498</v>
      </c>
    </row>
    <row r="1873" spans="2:7" x14ac:dyDescent="0.25">
      <c r="B1873" s="49"/>
      <c r="C1873" s="89"/>
      <c r="D1873" s="89"/>
      <c r="E1873" s="47">
        <v>3056.8415850014399</v>
      </c>
      <c r="F1873" s="47">
        <v>3111.2663788237001</v>
      </c>
      <c r="G1873" s="47">
        <v>7415.6703885118995</v>
      </c>
    </row>
    <row r="1874" spans="2:7" x14ac:dyDescent="0.25">
      <c r="B1874" s="49"/>
      <c r="C1874" s="89"/>
      <c r="D1874" s="89">
        <v>1100</v>
      </c>
      <c r="E1874" s="47">
        <v>2900.0668853407001</v>
      </c>
      <c r="F1874" s="47">
        <v>3370.6416936014798</v>
      </c>
      <c r="G1874" s="47">
        <v>7317.4299034937303</v>
      </c>
    </row>
    <row r="1875" spans="2:7" x14ac:dyDescent="0.25">
      <c r="B1875" s="49"/>
      <c r="C1875" s="89"/>
      <c r="D1875" s="89"/>
      <c r="E1875" s="47">
        <v>2911.3535126908901</v>
      </c>
      <c r="F1875" s="47">
        <v>3377.75428372848</v>
      </c>
      <c r="G1875" s="47">
        <v>7464.4837181380499</v>
      </c>
    </row>
    <row r="1876" spans="2:7" x14ac:dyDescent="0.25">
      <c r="B1876" s="49"/>
      <c r="C1876" s="89"/>
      <c r="D1876" s="89"/>
      <c r="E1876" s="47">
        <v>2921.9465451323899</v>
      </c>
      <c r="F1876" s="47">
        <v>3382.21296825331</v>
      </c>
      <c r="G1876" s="47">
        <v>7559.6515774708396</v>
      </c>
    </row>
    <row r="1877" spans="2:7" x14ac:dyDescent="0.25">
      <c r="B1877" s="49"/>
      <c r="C1877" s="89"/>
      <c r="D1877" s="89"/>
      <c r="E1877" s="47">
        <v>2933.7245663087501</v>
      </c>
      <c r="F1877" s="47">
        <v>3385.1753864181401</v>
      </c>
      <c r="G1877" s="47">
        <v>7626.9147958748899</v>
      </c>
    </row>
    <row r="1878" spans="2:7" x14ac:dyDescent="0.25">
      <c r="B1878" s="49"/>
      <c r="C1878" s="89"/>
      <c r="D1878" s="89"/>
      <c r="E1878" s="47">
        <v>2947.7652780365802</v>
      </c>
      <c r="F1878" s="47">
        <v>3387.1831880620698</v>
      </c>
      <c r="G1878" s="47">
        <v>7677.66074204303</v>
      </c>
    </row>
    <row r="1879" spans="2:7" x14ac:dyDescent="0.25">
      <c r="B1879" s="49"/>
      <c r="C1879" s="89"/>
      <c r="D1879" s="89"/>
      <c r="E1879" s="47">
        <v>2964.8502226393998</v>
      </c>
      <c r="F1879" s="47">
        <v>3388.5259508208501</v>
      </c>
      <c r="G1879" s="47">
        <v>7718.1515697086197</v>
      </c>
    </row>
    <row r="1880" spans="2:7" x14ac:dyDescent="0.25">
      <c r="B1880" s="49"/>
      <c r="C1880" s="89"/>
      <c r="D1880" s="89"/>
      <c r="E1880" s="47">
        <v>2985.6099717900802</v>
      </c>
      <c r="F1880" s="47">
        <v>3389.36695506668</v>
      </c>
      <c r="G1880" s="47">
        <v>7752.0791897811596</v>
      </c>
    </row>
    <row r="1881" spans="2:7" x14ac:dyDescent="0.25">
      <c r="B1881" s="49"/>
      <c r="C1881" s="89"/>
      <c r="D1881" s="89"/>
      <c r="E1881" s="47">
        <v>3010.6158742911998</v>
      </c>
      <c r="F1881" s="47">
        <v>3389.8054154056299</v>
      </c>
      <c r="G1881" s="47">
        <v>7781.8473511520797</v>
      </c>
    </row>
    <row r="1882" spans="2:7" x14ac:dyDescent="0.25">
      <c r="B1882" s="49"/>
      <c r="C1882" s="89"/>
      <c r="D1882" s="89"/>
      <c r="E1882" s="47">
        <v>3040.3966130481799</v>
      </c>
      <c r="F1882" s="47">
        <v>3389.9037514678698</v>
      </c>
      <c r="G1882" s="47">
        <v>7809.11218477695</v>
      </c>
    </row>
    <row r="1883" spans="2:7" x14ac:dyDescent="0.25">
      <c r="B1883" s="49"/>
      <c r="C1883" s="89"/>
      <c r="D1883" s="89"/>
      <c r="E1883" s="47">
        <v>3075.4632050075502</v>
      </c>
      <c r="F1883" s="47">
        <v>3389.70109195442</v>
      </c>
      <c r="G1883" s="47">
        <v>7835.0649935461997</v>
      </c>
    </row>
    <row r="1884" spans="2:7" x14ac:dyDescent="0.25">
      <c r="B1884" s="49"/>
      <c r="C1884" s="89"/>
      <c r="D1884" s="89">
        <v>1200</v>
      </c>
      <c r="E1884" s="47">
        <v>2917.94250494988</v>
      </c>
      <c r="F1884" s="47">
        <v>3639.2077068550502</v>
      </c>
      <c r="G1884" s="47">
        <v>7697.4210631098304</v>
      </c>
    </row>
    <row r="1885" spans="2:7" x14ac:dyDescent="0.25">
      <c r="B1885" s="49"/>
      <c r="C1885" s="89"/>
      <c r="D1885" s="89"/>
      <c r="E1885" s="47">
        <v>2928.5846268843102</v>
      </c>
      <c r="F1885" s="47">
        <v>3647.8097259823198</v>
      </c>
      <c r="G1885" s="47">
        <v>7858.78654988588</v>
      </c>
    </row>
    <row r="1886" spans="2:7" x14ac:dyDescent="0.25">
      <c r="B1886" s="49"/>
      <c r="C1886" s="89"/>
      <c r="D1886" s="89"/>
      <c r="E1886" s="47">
        <v>2938.7672265772198</v>
      </c>
      <c r="F1886" s="47">
        <v>3653.2279854326598</v>
      </c>
      <c r="G1886" s="47">
        <v>7963.3777654427904</v>
      </c>
    </row>
    <row r="1887" spans="2:7" x14ac:dyDescent="0.25">
      <c r="B1887" s="49"/>
      <c r="C1887" s="89"/>
      <c r="D1887" s="89"/>
      <c r="E1887" s="47">
        <v>2950.25492983719</v>
      </c>
      <c r="F1887" s="47">
        <v>3656.8548217591901</v>
      </c>
      <c r="G1887" s="47">
        <v>8037.3608075981801</v>
      </c>
    </row>
    <row r="1888" spans="2:7" x14ac:dyDescent="0.25">
      <c r="B1888" s="49"/>
      <c r="C1888" s="89"/>
      <c r="D1888" s="89"/>
      <c r="E1888" s="47">
        <v>2964.0739756769699</v>
      </c>
      <c r="F1888" s="47">
        <v>3659.3457592446698</v>
      </c>
      <c r="G1888" s="47">
        <v>8093.2187246123403</v>
      </c>
    </row>
    <row r="1889" spans="2:7" x14ac:dyDescent="0.25">
      <c r="B1889" s="49"/>
      <c r="C1889" s="89"/>
      <c r="D1889" s="89"/>
      <c r="E1889" s="47">
        <v>2980.9654413155899</v>
      </c>
      <c r="F1889" s="47">
        <v>3661.0488380972301</v>
      </c>
      <c r="G1889" s="47">
        <v>8137.7450815104603</v>
      </c>
    </row>
    <row r="1890" spans="2:7" x14ac:dyDescent="0.25">
      <c r="B1890" s="49"/>
      <c r="C1890" s="89"/>
      <c r="D1890" s="89"/>
      <c r="E1890" s="47">
        <v>3001.5608110232502</v>
      </c>
      <c r="F1890" s="47">
        <v>3662.1619290774202</v>
      </c>
      <c r="G1890" s="47">
        <v>8174.9815145549701</v>
      </c>
    </row>
    <row r="1891" spans="2:7" x14ac:dyDescent="0.25">
      <c r="B1891" s="49"/>
      <c r="C1891" s="89"/>
      <c r="D1891" s="89"/>
      <c r="E1891" s="47">
        <v>3026.4147733268601</v>
      </c>
      <c r="F1891" s="47">
        <v>3662.8062440577601</v>
      </c>
      <c r="G1891" s="47">
        <v>8207.5460837267892</v>
      </c>
    </row>
    <row r="1892" spans="2:7" x14ac:dyDescent="0.25">
      <c r="B1892" s="49"/>
      <c r="C1892" s="89"/>
      <c r="D1892" s="89"/>
      <c r="E1892" s="47">
        <v>3056.0516247628698</v>
      </c>
      <c r="F1892" s="47">
        <v>3663.0576206435599</v>
      </c>
      <c r="G1892" s="47">
        <v>8237.2277945018195</v>
      </c>
    </row>
    <row r="1893" spans="2:7" x14ac:dyDescent="0.25">
      <c r="B1893" s="49"/>
      <c r="C1893" s="89"/>
      <c r="D1893" s="89"/>
      <c r="E1893" s="47">
        <v>3090.97640694244</v>
      </c>
      <c r="F1893" s="47">
        <v>3662.9662077120302</v>
      </c>
      <c r="G1893" s="47">
        <v>8265.3444390405894</v>
      </c>
    </row>
    <row r="1894" spans="2:7" x14ac:dyDescent="0.25">
      <c r="B1894" s="49"/>
      <c r="C1894" s="89">
        <v>-10</v>
      </c>
      <c r="D1894" s="89">
        <v>400</v>
      </c>
      <c r="E1894" s="47">
        <v>2748.3074740647698</v>
      </c>
      <c r="F1894" s="47">
        <v>1303.20959705582</v>
      </c>
      <c r="G1894" s="47">
        <v>5396.14310493022</v>
      </c>
    </row>
    <row r="1895" spans="2:7" x14ac:dyDescent="0.25">
      <c r="B1895" s="49"/>
      <c r="C1895" s="89"/>
      <c r="D1895" s="89"/>
      <c r="E1895" s="47">
        <v>2759.0560354258</v>
      </c>
      <c r="F1895" s="47">
        <v>1303.8777272306199</v>
      </c>
      <c r="G1895" s="47">
        <v>5440.9588771256604</v>
      </c>
    </row>
    <row r="1896" spans="2:7" x14ac:dyDescent="0.25">
      <c r="B1896" s="49"/>
      <c r="C1896" s="89"/>
      <c r="D1896" s="89"/>
      <c r="E1896" s="47">
        <v>2770.3425050829101</v>
      </c>
      <c r="F1896" s="47">
        <v>1304.3082010314899</v>
      </c>
      <c r="G1896" s="47">
        <v>5473.5597623126896</v>
      </c>
    </row>
    <row r="1897" spans="2:7" x14ac:dyDescent="0.25">
      <c r="B1897" s="49"/>
      <c r="C1897" s="89"/>
      <c r="D1897" s="89"/>
      <c r="E1897" s="47">
        <v>2783.02853899718</v>
      </c>
      <c r="F1897" s="47">
        <v>1304.5703261348001</v>
      </c>
      <c r="G1897" s="47">
        <v>5498.3797407434004</v>
      </c>
    </row>
    <row r="1898" spans="2:7" x14ac:dyDescent="0.25">
      <c r="B1898" s="49"/>
      <c r="C1898" s="89"/>
      <c r="D1898" s="89"/>
      <c r="E1898" s="47">
        <v>2797.76259151761</v>
      </c>
      <c r="F1898" s="47">
        <v>1304.70594787296</v>
      </c>
      <c r="G1898" s="47">
        <v>5518.2052413555302</v>
      </c>
    </row>
    <row r="1899" spans="2:7" x14ac:dyDescent="0.25">
      <c r="B1899" s="49"/>
      <c r="C1899" s="89"/>
      <c r="D1899" s="89"/>
      <c r="E1899" s="47">
        <v>2815.0686165899101</v>
      </c>
      <c r="F1899" s="47">
        <v>1304.74064834046</v>
      </c>
      <c r="G1899" s="47">
        <v>5534.8485933060801</v>
      </c>
    </row>
    <row r="1900" spans="2:7" x14ac:dyDescent="0.25">
      <c r="B1900" s="49"/>
      <c r="C1900" s="89"/>
      <c r="D1900" s="89"/>
      <c r="E1900" s="47">
        <v>2835.3975132586402</v>
      </c>
      <c r="F1900" s="47">
        <v>1304.690299909</v>
      </c>
      <c r="G1900" s="47">
        <v>5549.5417029688497</v>
      </c>
    </row>
    <row r="1901" spans="2:7" x14ac:dyDescent="0.25">
      <c r="B1901" s="49"/>
      <c r="C1901" s="89"/>
      <c r="D1901" s="89"/>
      <c r="E1901" s="47">
        <v>2859.1551881105902</v>
      </c>
      <c r="F1901" s="47">
        <v>1304.5647506917701</v>
      </c>
      <c r="G1901" s="47">
        <v>5563.1566621544398</v>
      </c>
    </row>
    <row r="1902" spans="2:7" x14ac:dyDescent="0.25">
      <c r="B1902" s="49"/>
      <c r="C1902" s="89"/>
      <c r="D1902" s="89"/>
      <c r="E1902" s="47">
        <v>2886.71836323249</v>
      </c>
      <c r="F1902" s="47">
        <v>1304.36992044467</v>
      </c>
      <c r="G1902" s="47">
        <v>5576.3310708539802</v>
      </c>
    </row>
    <row r="1903" spans="2:7" x14ac:dyDescent="0.25">
      <c r="B1903" s="49"/>
      <c r="C1903" s="89"/>
      <c r="D1903" s="89"/>
      <c r="E1903" s="47">
        <v>2918.44651418177</v>
      </c>
      <c r="F1903" s="47">
        <v>1304.10908633997</v>
      </c>
      <c r="G1903" s="47">
        <v>5589.5469353506096</v>
      </c>
    </row>
    <row r="1904" spans="2:7" x14ac:dyDescent="0.25">
      <c r="B1904" s="49"/>
      <c r="C1904" s="89"/>
      <c r="D1904" s="89">
        <v>500</v>
      </c>
      <c r="E1904" s="47">
        <v>2772.4695526016299</v>
      </c>
      <c r="F1904" s="47">
        <v>1610.00081055592</v>
      </c>
      <c r="G1904" s="47">
        <v>5644.6897195390502</v>
      </c>
    </row>
    <row r="1905" spans="2:7" x14ac:dyDescent="0.25">
      <c r="B1905" s="49"/>
      <c r="C1905" s="89"/>
      <c r="D1905" s="89"/>
      <c r="E1905" s="47">
        <v>2785.9625863578899</v>
      </c>
      <c r="F1905" s="47">
        <v>1611.8519027442701</v>
      </c>
      <c r="G1905" s="47">
        <v>5735.1297661816197</v>
      </c>
    </row>
    <row r="1906" spans="2:7" x14ac:dyDescent="0.25">
      <c r="B1906" s="49"/>
      <c r="C1906" s="89"/>
      <c r="D1906" s="89"/>
      <c r="E1906" s="47">
        <v>2797.94456949612</v>
      </c>
      <c r="F1906" s="47">
        <v>1612.95878407329</v>
      </c>
      <c r="G1906" s="47">
        <v>5792.5437412785996</v>
      </c>
    </row>
    <row r="1907" spans="2:7" x14ac:dyDescent="0.25">
      <c r="B1907" s="49"/>
      <c r="C1907" s="89"/>
      <c r="D1907" s="89"/>
      <c r="E1907" s="47">
        <v>2810.6897926595202</v>
      </c>
      <c r="F1907" s="47">
        <v>1613.63891010405</v>
      </c>
      <c r="G1907" s="47">
        <v>5832.4173081978197</v>
      </c>
    </row>
    <row r="1908" spans="2:7" x14ac:dyDescent="0.25">
      <c r="B1908" s="49"/>
      <c r="C1908" s="89"/>
      <c r="D1908" s="89"/>
      <c r="E1908" s="47">
        <v>2825.4397863004701</v>
      </c>
      <c r="F1908" s="47">
        <v>1614.0390746160499</v>
      </c>
      <c r="G1908" s="47">
        <v>5862.0697615487497</v>
      </c>
    </row>
    <row r="1909" spans="2:7" x14ac:dyDescent="0.25">
      <c r="B1909" s="49"/>
      <c r="C1909" s="89"/>
      <c r="D1909" s="89"/>
      <c r="E1909" s="47">
        <v>2843.08643818782</v>
      </c>
      <c r="F1909" s="47">
        <v>1614.2369188539799</v>
      </c>
      <c r="G1909" s="47">
        <v>5885.5733192486996</v>
      </c>
    </row>
    <row r="1910" spans="2:7" x14ac:dyDescent="0.25">
      <c r="B1910" s="49"/>
      <c r="C1910" s="89"/>
      <c r="D1910" s="89"/>
      <c r="E1910" s="47">
        <v>2864.3444202320702</v>
      </c>
      <c r="F1910" s="47">
        <v>1614.2760561310099</v>
      </c>
      <c r="G1910" s="47">
        <v>5905.3977536114198</v>
      </c>
    </row>
    <row r="1911" spans="2:7" x14ac:dyDescent="0.25">
      <c r="B1911" s="49"/>
      <c r="C1911" s="89"/>
      <c r="D1911" s="89"/>
      <c r="E1911" s="47">
        <v>2889.83208798024</v>
      </c>
      <c r="F1911" s="47">
        <v>1614.1816510805099</v>
      </c>
      <c r="G1911" s="47">
        <v>5923.1438410826304</v>
      </c>
    </row>
    <row r="1912" spans="2:7" x14ac:dyDescent="0.25">
      <c r="B1912" s="49"/>
      <c r="C1912" s="89"/>
      <c r="D1912" s="89"/>
      <c r="E1912" s="47">
        <v>2920.11613482229</v>
      </c>
      <c r="F1912" s="47">
        <v>1613.9684093167</v>
      </c>
      <c r="G1912" s="47">
        <v>5939.9223511802002</v>
      </c>
    </row>
    <row r="1913" spans="2:7" x14ac:dyDescent="0.25">
      <c r="B1913" s="49"/>
      <c r="C1913" s="89"/>
      <c r="D1913" s="89"/>
      <c r="E1913" s="47">
        <v>2955.7306513203298</v>
      </c>
      <c r="F1913" s="47">
        <v>1613.6443397258699</v>
      </c>
      <c r="G1913" s="47">
        <v>5956.5307393294297</v>
      </c>
    </row>
    <row r="1914" spans="2:7" x14ac:dyDescent="0.25">
      <c r="B1914" s="49"/>
      <c r="C1914" s="89"/>
      <c r="D1914" s="89">
        <v>600</v>
      </c>
      <c r="E1914" s="47">
        <v>2806.34440008412</v>
      </c>
      <c r="F1914" s="47">
        <v>1911.5135204329199</v>
      </c>
      <c r="G1914" s="47">
        <v>5983.97252377926</v>
      </c>
    </row>
    <row r="1915" spans="2:7" x14ac:dyDescent="0.25">
      <c r="B1915" s="49"/>
      <c r="C1915" s="89"/>
      <c r="D1915" s="89"/>
      <c r="E1915" s="47">
        <v>2819.5078109537899</v>
      </c>
      <c r="F1915" s="47">
        <v>1914.04433159613</v>
      </c>
      <c r="G1915" s="47">
        <v>6085.05287422116</v>
      </c>
    </row>
    <row r="1916" spans="2:7" x14ac:dyDescent="0.25">
      <c r="B1916" s="49"/>
      <c r="C1916" s="89"/>
      <c r="D1916" s="89"/>
      <c r="E1916" s="47">
        <v>2831.2899843027699</v>
      </c>
      <c r="F1916" s="47">
        <v>1915.5794425925501</v>
      </c>
      <c r="G1916" s="47">
        <v>6149.5967270020501</v>
      </c>
    </row>
    <row r="1917" spans="2:7" x14ac:dyDescent="0.25">
      <c r="B1917" s="49"/>
      <c r="C1917" s="89"/>
      <c r="D1917" s="89"/>
      <c r="E1917" s="47">
        <v>2843.8999038971201</v>
      </c>
      <c r="F1917" s="47">
        <v>1916.5464444351201</v>
      </c>
      <c r="G1917" s="47">
        <v>6194.6792630212103</v>
      </c>
    </row>
    <row r="1918" spans="2:7" x14ac:dyDescent="0.25">
      <c r="B1918" s="49"/>
      <c r="C1918" s="89"/>
      <c r="D1918" s="89"/>
      <c r="E1918" s="47">
        <v>2858.5668584682498</v>
      </c>
      <c r="F1918" s="47">
        <v>1917.1441190492401</v>
      </c>
      <c r="G1918" s="47">
        <v>6228.4084280491197</v>
      </c>
    </row>
    <row r="1919" spans="2:7" x14ac:dyDescent="0.25">
      <c r="B1919" s="49"/>
      <c r="C1919" s="89"/>
      <c r="D1919" s="89"/>
      <c r="E1919" s="47">
        <v>2876.1500071087298</v>
      </c>
      <c r="F1919" s="47">
        <v>1917.47655765645</v>
      </c>
      <c r="G1919" s="47">
        <v>6255.2129320783497</v>
      </c>
    </row>
    <row r="1920" spans="2:7" x14ac:dyDescent="0.25">
      <c r="B1920" s="49"/>
      <c r="C1920" s="89"/>
      <c r="D1920" s="89"/>
      <c r="E1920" s="47">
        <v>2897.3465659686999</v>
      </c>
      <c r="F1920" s="47">
        <v>1917.6028999468999</v>
      </c>
      <c r="G1920" s="47">
        <v>6277.78726887022</v>
      </c>
    </row>
    <row r="1921" spans="2:7" x14ac:dyDescent="0.25">
      <c r="B1921" s="49"/>
      <c r="C1921" s="89"/>
      <c r="D1921" s="89"/>
      <c r="E1921" s="47">
        <v>2922.7692595120302</v>
      </c>
      <c r="F1921" s="47">
        <v>1917.5579161927999</v>
      </c>
      <c r="G1921" s="47">
        <v>6297.8887400225503</v>
      </c>
    </row>
    <row r="1922" spans="2:7" x14ac:dyDescent="0.25">
      <c r="B1922" s="49"/>
      <c r="C1922" s="89"/>
      <c r="D1922" s="89"/>
      <c r="E1922" s="47">
        <v>2952.9738719350598</v>
      </c>
      <c r="F1922" s="47">
        <v>1917.36221380351</v>
      </c>
      <c r="G1922" s="47">
        <v>6316.7229243334104</v>
      </c>
    </row>
    <row r="1923" spans="2:7" x14ac:dyDescent="0.25">
      <c r="B1923" s="49"/>
      <c r="C1923" s="89"/>
      <c r="D1923" s="89"/>
      <c r="E1923" s="47">
        <v>2988.4933597412501</v>
      </c>
      <c r="F1923" s="47">
        <v>1917.0277688614899</v>
      </c>
      <c r="G1923" s="47">
        <v>6335.1698493834201</v>
      </c>
    </row>
    <row r="1924" spans="2:7" x14ac:dyDescent="0.25">
      <c r="B1924" s="49"/>
      <c r="C1924" s="89"/>
      <c r="D1924" s="89">
        <v>700</v>
      </c>
      <c r="E1924" s="47">
        <v>2836.2217283793598</v>
      </c>
      <c r="F1924" s="47">
        <v>2206.56170252434</v>
      </c>
      <c r="G1924" s="47">
        <v>6330.7016885913499</v>
      </c>
    </row>
    <row r="1925" spans="2:7" x14ac:dyDescent="0.25">
      <c r="B1925" s="49"/>
      <c r="C1925" s="89"/>
      <c r="D1925" s="89"/>
      <c r="E1925" s="47">
        <v>2849.0020667857202</v>
      </c>
      <c r="F1925" s="47">
        <v>2209.9140889022301</v>
      </c>
      <c r="G1925" s="47">
        <v>6443.5461076967204</v>
      </c>
    </row>
    <row r="1926" spans="2:7" x14ac:dyDescent="0.25">
      <c r="B1926" s="49"/>
      <c r="C1926" s="89"/>
      <c r="D1926" s="89"/>
      <c r="E1926" s="47">
        <v>2860.5532554257002</v>
      </c>
      <c r="F1926" s="47">
        <v>2211.9730041675298</v>
      </c>
      <c r="G1926" s="47">
        <v>6515.9981823784201</v>
      </c>
    </row>
    <row r="1927" spans="2:7" x14ac:dyDescent="0.25">
      <c r="B1927" s="49"/>
      <c r="C1927" s="89"/>
      <c r="D1927" s="89"/>
      <c r="E1927" s="47">
        <v>2872.9992671929799</v>
      </c>
      <c r="F1927" s="47">
        <v>2213.2945193973201</v>
      </c>
      <c r="G1927" s="47">
        <v>6566.7895806459501</v>
      </c>
    </row>
    <row r="1928" spans="2:7" x14ac:dyDescent="0.25">
      <c r="B1928" s="49"/>
      <c r="C1928" s="89"/>
      <c r="D1928" s="89"/>
      <c r="E1928" s="47">
        <v>2887.5479342950198</v>
      </c>
      <c r="F1928" s="47">
        <v>2214.1402294856298</v>
      </c>
      <c r="G1928" s="47">
        <v>6604.90800533126</v>
      </c>
    </row>
    <row r="1929" spans="2:7" x14ac:dyDescent="0.25">
      <c r="B1929" s="49"/>
      <c r="C1929" s="89"/>
      <c r="D1929" s="89"/>
      <c r="E1929" s="47">
        <v>2905.0350657833001</v>
      </c>
      <c r="F1929" s="47">
        <v>2214.6471647090002</v>
      </c>
      <c r="G1929" s="47">
        <v>6635.2333803930796</v>
      </c>
    </row>
    <row r="1930" spans="2:7" x14ac:dyDescent="0.25">
      <c r="B1930" s="49"/>
      <c r="C1930" s="89"/>
      <c r="D1930" s="89"/>
      <c r="E1930" s="47">
        <v>2926.1452242995801</v>
      </c>
      <c r="F1930" s="47">
        <v>2214.8933774812499</v>
      </c>
      <c r="G1930" s="47">
        <v>6660.7231219097403</v>
      </c>
    </row>
    <row r="1931" spans="2:7" x14ac:dyDescent="0.25">
      <c r="B1931" s="49"/>
      <c r="C1931" s="89"/>
      <c r="D1931" s="89"/>
      <c r="E1931" s="47">
        <v>2951.4787777892402</v>
      </c>
      <c r="F1931" s="47">
        <v>2214.9253735212701</v>
      </c>
      <c r="G1931" s="47">
        <v>6683.3033453526696</v>
      </c>
    </row>
    <row r="1932" spans="2:7" x14ac:dyDescent="0.25">
      <c r="B1932" s="49"/>
      <c r="C1932" s="89"/>
      <c r="D1932" s="89"/>
      <c r="E1932" s="47">
        <v>2981.5878951291602</v>
      </c>
      <c r="F1932" s="47">
        <v>2214.77108266291</v>
      </c>
      <c r="G1932" s="47">
        <v>6704.2941409011601</v>
      </c>
    </row>
    <row r="1933" spans="2:7" x14ac:dyDescent="0.25">
      <c r="B1933" s="49"/>
      <c r="C1933" s="89"/>
      <c r="D1933" s="89"/>
      <c r="E1933" s="47">
        <v>3016.99704557824</v>
      </c>
      <c r="F1933" s="47">
        <v>2214.4474530533198</v>
      </c>
      <c r="G1933" s="47">
        <v>6724.6580457234404</v>
      </c>
    </row>
    <row r="1934" spans="2:7" x14ac:dyDescent="0.25">
      <c r="B1934" s="49"/>
      <c r="C1934" s="89"/>
      <c r="D1934" s="89">
        <v>800</v>
      </c>
      <c r="E1934" s="47">
        <v>2862.6449317449001</v>
      </c>
      <c r="F1934" s="47">
        <v>2495.4078828591</v>
      </c>
      <c r="G1934" s="47">
        <v>6688.1824532138598</v>
      </c>
    </row>
    <row r="1935" spans="2:7" x14ac:dyDescent="0.25">
      <c r="B1935" s="49"/>
      <c r="C1935" s="89"/>
      <c r="D1935" s="89"/>
      <c r="E1935" s="47">
        <v>2874.9316417063601</v>
      </c>
      <c r="F1935" s="47">
        <v>2499.7181403040699</v>
      </c>
      <c r="G1935" s="47">
        <v>6813.27649291937</v>
      </c>
    </row>
    <row r="1936" spans="2:7" x14ac:dyDescent="0.25">
      <c r="B1936" s="49"/>
      <c r="C1936" s="89"/>
      <c r="D1936" s="89"/>
      <c r="E1936" s="47">
        <v>2886.1636029389101</v>
      </c>
      <c r="F1936" s="47">
        <v>2502.3785318822001</v>
      </c>
      <c r="G1936" s="47">
        <v>6893.5869033089002</v>
      </c>
    </row>
    <row r="1937" spans="2:7" x14ac:dyDescent="0.25">
      <c r="B1937" s="49"/>
      <c r="C1937" s="89"/>
      <c r="D1937" s="89"/>
      <c r="E1937" s="47">
        <v>2898.3941303828801</v>
      </c>
      <c r="F1937" s="47">
        <v>2504.1130571627</v>
      </c>
      <c r="G1937" s="47">
        <v>6950.1270124142202</v>
      </c>
    </row>
    <row r="1938" spans="2:7" x14ac:dyDescent="0.25">
      <c r="B1938" s="49"/>
      <c r="C1938" s="89"/>
      <c r="D1938" s="89"/>
      <c r="E1938" s="47">
        <v>2912.7743104648598</v>
      </c>
      <c r="F1938" s="47">
        <v>2505.2528107604498</v>
      </c>
      <c r="G1938" s="47">
        <v>6992.6849739395002</v>
      </c>
    </row>
    <row r="1939" spans="2:7" x14ac:dyDescent="0.25">
      <c r="B1939" s="49"/>
      <c r="C1939" s="89"/>
      <c r="D1939" s="89"/>
      <c r="E1939" s="47">
        <v>2930.1267890133399</v>
      </c>
      <c r="F1939" s="47">
        <v>2505.9717018763799</v>
      </c>
      <c r="G1939" s="47">
        <v>7026.5874571877002</v>
      </c>
    </row>
    <row r="1940" spans="2:7" x14ac:dyDescent="0.25">
      <c r="B1940" s="49"/>
      <c r="C1940" s="89"/>
      <c r="D1940" s="89"/>
      <c r="E1940" s="47">
        <v>2951.1198271989501</v>
      </c>
      <c r="F1940" s="47">
        <v>2506.3694373899898</v>
      </c>
      <c r="G1940" s="47">
        <v>7055.0556005173703</v>
      </c>
    </row>
    <row r="1941" spans="2:7" x14ac:dyDescent="0.25">
      <c r="B1941" s="49"/>
      <c r="C1941" s="89"/>
      <c r="D1941" s="89"/>
      <c r="E1941" s="47">
        <v>2976.3409521598601</v>
      </c>
      <c r="F1941" s="47">
        <v>2506.5059131887701</v>
      </c>
      <c r="G1941" s="47">
        <v>7080.1827714154397</v>
      </c>
    </row>
    <row r="1942" spans="2:7" x14ac:dyDescent="0.25">
      <c r="B1942" s="49"/>
      <c r="C1942" s="89"/>
      <c r="D1942" s="89"/>
      <c r="E1942" s="47">
        <v>3006.3363997011302</v>
      </c>
      <c r="F1942" s="47">
        <v>2506.4175106724201</v>
      </c>
      <c r="G1942" s="47">
        <v>7103.40197192088</v>
      </c>
    </row>
    <row r="1943" spans="2:7" x14ac:dyDescent="0.25">
      <c r="B1943" s="49"/>
      <c r="C1943" s="89"/>
      <c r="D1943" s="89"/>
      <c r="E1943" s="47">
        <v>3041.6282837628401</v>
      </c>
      <c r="F1943" s="47">
        <v>2506.12774141612</v>
      </c>
      <c r="G1943" s="47">
        <v>7125.7834071936104</v>
      </c>
    </row>
    <row r="1944" spans="2:7" x14ac:dyDescent="0.25">
      <c r="B1944" s="49"/>
      <c r="C1944" s="89"/>
      <c r="D1944" s="89">
        <v>900</v>
      </c>
      <c r="E1944" s="47">
        <v>2885.6339164460301</v>
      </c>
      <c r="F1944" s="47">
        <v>2778.1065257617702</v>
      </c>
      <c r="G1944" s="47">
        <v>7053.0957146759902</v>
      </c>
    </row>
    <row r="1945" spans="2:7" x14ac:dyDescent="0.25">
      <c r="B1945" s="49"/>
      <c r="C1945" s="89"/>
      <c r="D1945" s="89"/>
      <c r="E1945" s="47">
        <v>2897.35397049528</v>
      </c>
      <c r="F1945" s="47">
        <v>2783.5191395082002</v>
      </c>
      <c r="G1945" s="47">
        <v>7190.9566121656298</v>
      </c>
    </row>
    <row r="1946" spans="2:7" x14ac:dyDescent="0.25">
      <c r="B1946" s="49"/>
      <c r="C1946" s="89"/>
      <c r="D1946" s="89"/>
      <c r="E1946" s="47">
        <v>2908.2400168013201</v>
      </c>
      <c r="F1946" s="47">
        <v>2786.89760877254</v>
      </c>
      <c r="G1946" s="47">
        <v>7280.0381319484104</v>
      </c>
    </row>
    <row r="1947" spans="2:7" x14ac:dyDescent="0.25">
      <c r="B1947" s="49"/>
      <c r="C1947" s="89"/>
      <c r="D1947" s="89"/>
      <c r="E1947" s="47">
        <v>2920.23057090153</v>
      </c>
      <c r="F1947" s="47">
        <v>2789.12679441824</v>
      </c>
      <c r="G1947" s="47">
        <v>7342.9078777612003</v>
      </c>
    </row>
    <row r="1948" spans="2:7" x14ac:dyDescent="0.25">
      <c r="B1948" s="49"/>
      <c r="C1948" s="89"/>
      <c r="D1948" s="89"/>
      <c r="E1948" s="47">
        <v>2934.4326019463501</v>
      </c>
      <c r="F1948" s="47">
        <v>2790.6201902579301</v>
      </c>
      <c r="G1948" s="47">
        <v>7390.2804825508101</v>
      </c>
    </row>
    <row r="1949" spans="2:7" x14ac:dyDescent="0.25">
      <c r="B1949" s="49"/>
      <c r="C1949" s="89"/>
      <c r="D1949" s="89"/>
      <c r="E1949" s="47">
        <v>2951.6408093560999</v>
      </c>
      <c r="F1949" s="47">
        <v>2791.5970050278602</v>
      </c>
      <c r="G1949" s="47">
        <v>7428.0125222628103</v>
      </c>
    </row>
    <row r="1950" spans="2:7" x14ac:dyDescent="0.25">
      <c r="B1950" s="49"/>
      <c r="C1950" s="89"/>
      <c r="D1950" s="89"/>
      <c r="E1950" s="47">
        <v>2972.50467260199</v>
      </c>
      <c r="F1950" s="47">
        <v>2792.1835498686</v>
      </c>
      <c r="G1950" s="47">
        <v>7459.6413718222302</v>
      </c>
    </row>
    <row r="1951" spans="2:7" x14ac:dyDescent="0.25">
      <c r="B1951" s="49"/>
      <c r="C1951" s="89"/>
      <c r="D1951" s="89"/>
      <c r="E1951" s="47">
        <v>2997.6043282015198</v>
      </c>
      <c r="F1951" s="47">
        <v>2792.45528966751</v>
      </c>
      <c r="G1951" s="47">
        <v>7487.44415050115</v>
      </c>
    </row>
    <row r="1952" spans="2:7" x14ac:dyDescent="0.25">
      <c r="B1952" s="49"/>
      <c r="C1952" s="89"/>
      <c r="D1952" s="89"/>
      <c r="E1952" s="47">
        <v>3027.4784306327701</v>
      </c>
      <c r="F1952" s="47">
        <v>2792.4608019521302</v>
      </c>
      <c r="G1952" s="47">
        <v>7513.0272283182803</v>
      </c>
    </row>
    <row r="1953" spans="2:7" x14ac:dyDescent="0.25">
      <c r="B1953" s="49"/>
      <c r="C1953" s="89"/>
      <c r="D1953" s="89"/>
      <c r="E1953" s="47">
        <v>3062.6398796908002</v>
      </c>
      <c r="F1953" s="47">
        <v>2792.2281844055301</v>
      </c>
      <c r="G1953" s="47">
        <v>7537.4913324673298</v>
      </c>
    </row>
    <row r="1954" spans="2:7" x14ac:dyDescent="0.25">
      <c r="B1954" s="49"/>
      <c r="C1954" s="89"/>
      <c r="D1954" s="89">
        <v>1000</v>
      </c>
      <c r="E1954" s="47">
        <v>2905.6226134613798</v>
      </c>
      <c r="F1954" s="47">
        <v>3054.9190838222198</v>
      </c>
      <c r="G1954" s="47">
        <v>7428.21844857217</v>
      </c>
    </row>
    <row r="1955" spans="2:7" x14ac:dyDescent="0.25">
      <c r="B1955" s="49"/>
      <c r="C1955" s="89"/>
      <c r="D1955" s="89"/>
      <c r="E1955" s="47">
        <v>2916.7246275851799</v>
      </c>
      <c r="F1955" s="47">
        <v>3061.60145911975</v>
      </c>
      <c r="G1955" s="47">
        <v>7579.6939906644002</v>
      </c>
    </row>
    <row r="1956" spans="2:7" x14ac:dyDescent="0.25">
      <c r="B1956" s="49"/>
      <c r="C1956" s="89"/>
      <c r="D1956" s="89"/>
      <c r="E1956" s="47">
        <v>2927.1869391479299</v>
      </c>
      <c r="F1956" s="47">
        <v>3065.7799910693302</v>
      </c>
      <c r="G1956" s="47">
        <v>7677.3983875936901</v>
      </c>
    </row>
    <row r="1957" spans="2:7" x14ac:dyDescent="0.25">
      <c r="B1957" s="49"/>
      <c r="C1957" s="89"/>
      <c r="D1957" s="89"/>
      <c r="E1957" s="47">
        <v>2938.8830248959698</v>
      </c>
      <c r="F1957" s="47">
        <v>3068.5644776455301</v>
      </c>
      <c r="G1957" s="47">
        <v>7746.5253475728696</v>
      </c>
    </row>
    <row r="1958" spans="2:7" x14ac:dyDescent="0.25">
      <c r="B1958" s="49"/>
      <c r="C1958" s="89"/>
      <c r="D1958" s="89"/>
      <c r="E1958" s="47">
        <v>2952.8622737261298</v>
      </c>
      <c r="F1958" s="47">
        <v>3070.4602483951498</v>
      </c>
      <c r="G1958" s="47">
        <v>7798.7107082020802</v>
      </c>
    </row>
    <row r="1959" spans="2:7" x14ac:dyDescent="0.25">
      <c r="B1959" s="49"/>
      <c r="C1959" s="89"/>
      <c r="D1959" s="89"/>
      <c r="E1959" s="47">
        <v>2969.8908078590998</v>
      </c>
      <c r="F1959" s="47">
        <v>3071.7356970173</v>
      </c>
      <c r="G1959" s="47">
        <v>7840.3117548561204</v>
      </c>
    </row>
    <row r="1960" spans="2:7" x14ac:dyDescent="0.25">
      <c r="B1960" s="49"/>
      <c r="C1960" s="89"/>
      <c r="D1960" s="89"/>
      <c r="E1960" s="47">
        <v>2990.6025824183698</v>
      </c>
      <c r="F1960" s="47">
        <v>3072.5452970709098</v>
      </c>
      <c r="G1960" s="47">
        <v>7875.1514411451499</v>
      </c>
    </row>
    <row r="1961" spans="2:7" x14ac:dyDescent="0.25">
      <c r="B1961" s="49"/>
      <c r="C1961" s="89"/>
      <c r="D1961" s="89"/>
      <c r="E1961" s="47">
        <v>3015.5666591897402</v>
      </c>
      <c r="F1961" s="47">
        <v>3072.9840605904401</v>
      </c>
      <c r="G1961" s="47">
        <v>7905.7335899382297</v>
      </c>
    </row>
    <row r="1962" spans="2:7" x14ac:dyDescent="0.25">
      <c r="B1962" s="49"/>
      <c r="C1962" s="89"/>
      <c r="D1962" s="89"/>
      <c r="E1962" s="47">
        <v>3045.31026110522</v>
      </c>
      <c r="F1962" s="47">
        <v>3073.1085503640902</v>
      </c>
      <c r="G1962" s="47">
        <v>7933.7091540231104</v>
      </c>
    </row>
    <row r="1963" spans="2:7" x14ac:dyDescent="0.25">
      <c r="B1963" s="49"/>
      <c r="C1963" s="89"/>
      <c r="D1963" s="89"/>
      <c r="E1963" s="47">
        <v>3080.33605150013</v>
      </c>
      <c r="F1963" s="47">
        <v>3072.9560584383898</v>
      </c>
      <c r="G1963" s="47">
        <v>7960.2983983737004</v>
      </c>
    </row>
    <row r="1964" spans="2:7" x14ac:dyDescent="0.25">
      <c r="B1964" s="49"/>
      <c r="C1964" s="89"/>
      <c r="D1964" s="89">
        <v>1100</v>
      </c>
      <c r="E1964" s="47">
        <v>2922.6751182826702</v>
      </c>
      <c r="F1964" s="47">
        <v>3325.8760232088398</v>
      </c>
      <c r="G1964" s="47">
        <v>7810.6747392557199</v>
      </c>
    </row>
    <row r="1965" spans="2:7" x14ac:dyDescent="0.25">
      <c r="B1965" s="49"/>
      <c r="C1965" s="89"/>
      <c r="D1965" s="89"/>
      <c r="E1965" s="47">
        <v>2933.11413752817</v>
      </c>
      <c r="F1965" s="47">
        <v>3333.9830957717299</v>
      </c>
      <c r="G1965" s="47">
        <v>7976.1343249608199</v>
      </c>
    </row>
    <row r="1966" spans="2:7" x14ac:dyDescent="0.25">
      <c r="B1966" s="49"/>
      <c r="C1966" s="89"/>
      <c r="D1966" s="89"/>
      <c r="E1966" s="47">
        <v>2943.1649539324599</v>
      </c>
      <c r="F1966" s="47">
        <v>3339.0961953722599</v>
      </c>
      <c r="G1966" s="47">
        <v>8083.4280637618103</v>
      </c>
    </row>
    <row r="1967" spans="2:7" x14ac:dyDescent="0.25">
      <c r="B1967" s="49"/>
      <c r="C1967" s="89"/>
      <c r="D1967" s="89"/>
      <c r="E1967" s="47">
        <v>2954.5472138463801</v>
      </c>
      <c r="F1967" s="47">
        <v>3342.5291797264299</v>
      </c>
      <c r="G1967" s="47">
        <v>8159.4053317985099</v>
      </c>
    </row>
    <row r="1968" spans="2:7" x14ac:dyDescent="0.25">
      <c r="B1968" s="49"/>
      <c r="C1968" s="89"/>
      <c r="D1968" s="89"/>
      <c r="E1968" s="47">
        <v>2968.2870924113499</v>
      </c>
      <c r="F1968" s="47">
        <v>3344.8947214055902</v>
      </c>
      <c r="G1968" s="47">
        <v>8216.77608974752</v>
      </c>
    </row>
    <row r="1969" spans="2:7" x14ac:dyDescent="0.25">
      <c r="B1969" s="49"/>
      <c r="C1969" s="89"/>
      <c r="D1969" s="89"/>
      <c r="E1969" s="47">
        <v>2985.1232843359699</v>
      </c>
      <c r="F1969" s="47">
        <v>3346.5199113891699</v>
      </c>
      <c r="G1969" s="47">
        <v>8262.48700260646</v>
      </c>
    </row>
    <row r="1970" spans="2:7" x14ac:dyDescent="0.25">
      <c r="B1970" s="49"/>
      <c r="C1970" s="89"/>
      <c r="D1970" s="89"/>
      <c r="E1970" s="47">
        <v>3005.6700271814898</v>
      </c>
      <c r="F1970" s="47">
        <v>3347.5950233917001</v>
      </c>
      <c r="G1970" s="47">
        <v>8300.73558232707</v>
      </c>
    </row>
    <row r="1971" spans="2:7" x14ac:dyDescent="0.25">
      <c r="B1971" s="49"/>
      <c r="C1971" s="89"/>
      <c r="D1971" s="89"/>
      <c r="E1971" s="47">
        <v>3030.4826319261301</v>
      </c>
      <c r="F1971" s="47">
        <v>3348.23242661833</v>
      </c>
      <c r="G1971" s="47">
        <v>8334.1647047611605</v>
      </c>
    </row>
    <row r="1972" spans="2:7" x14ac:dyDescent="0.25">
      <c r="B1972" s="49"/>
      <c r="C1972" s="89"/>
      <c r="D1972" s="89"/>
      <c r="E1972" s="47">
        <v>3060.08202273706</v>
      </c>
      <c r="F1972" s="47">
        <v>3348.50402769012</v>
      </c>
      <c r="G1972" s="47">
        <v>8364.6063860636295</v>
      </c>
    </row>
    <row r="1973" spans="2:7" x14ac:dyDescent="0.25">
      <c r="B1973" s="49"/>
      <c r="C1973" s="89"/>
      <c r="D1973" s="89"/>
      <c r="E1973" s="47">
        <v>3094.9637511742799</v>
      </c>
      <c r="F1973" s="47">
        <v>3348.4559481624801</v>
      </c>
      <c r="G1973" s="47">
        <v>8393.3728039643192</v>
      </c>
    </row>
    <row r="1974" spans="2:7" x14ac:dyDescent="0.25">
      <c r="B1974" s="49"/>
      <c r="C1974" s="89"/>
      <c r="D1974" s="89">
        <v>1200</v>
      </c>
      <c r="E1974" s="47">
        <v>2937.1541116762601</v>
      </c>
      <c r="F1974" s="47">
        <v>3591.23067390285</v>
      </c>
      <c r="G1974" s="47">
        <v>8202.7729734970908</v>
      </c>
    </row>
    <row r="1975" spans="2:7" x14ac:dyDescent="0.25">
      <c r="B1975" s="49"/>
      <c r="C1975" s="89"/>
      <c r="D1975" s="89"/>
      <c r="E1975" s="47">
        <v>2946.8608109359102</v>
      </c>
      <c r="F1975" s="47">
        <v>3600.9446825896098</v>
      </c>
      <c r="G1975" s="47">
        <v>8382.9440115558991</v>
      </c>
    </row>
    <row r="1976" spans="2:7" x14ac:dyDescent="0.25">
      <c r="B1976" s="49"/>
      <c r="C1976" s="89"/>
      <c r="D1976" s="89"/>
      <c r="E1976" s="47">
        <v>2956.4247417807501</v>
      </c>
      <c r="F1976" s="47">
        <v>3607.07895302406</v>
      </c>
      <c r="G1976" s="47">
        <v>8499.6294647578907</v>
      </c>
    </row>
    <row r="1977" spans="2:7" x14ac:dyDescent="0.25">
      <c r="B1977" s="49"/>
      <c r="C1977" s="89"/>
      <c r="D1977" s="89"/>
      <c r="E1977" s="47">
        <v>2967.4754656366399</v>
      </c>
      <c r="F1977" s="47">
        <v>3611.2225232282699</v>
      </c>
      <c r="G1977" s="47">
        <v>8582.3493381169392</v>
      </c>
    </row>
    <row r="1978" spans="2:7" x14ac:dyDescent="0.25">
      <c r="B1978" s="49"/>
      <c r="C1978" s="89"/>
      <c r="D1978" s="89"/>
      <c r="E1978" s="47">
        <v>2980.9652226562798</v>
      </c>
      <c r="F1978" s="47">
        <v>3614.1084639340502</v>
      </c>
      <c r="G1978" s="47">
        <v>8644.8902318542696</v>
      </c>
    </row>
    <row r="1979" spans="2:7" x14ac:dyDescent="0.25">
      <c r="B1979" s="49"/>
      <c r="C1979" s="89"/>
      <c r="D1979" s="89"/>
      <c r="E1979" s="47">
        <v>2997.5968708366599</v>
      </c>
      <c r="F1979" s="47">
        <v>3616.1276795908898</v>
      </c>
      <c r="G1979" s="47">
        <v>8694.7686755688701</v>
      </c>
    </row>
    <row r="1980" spans="2:7" x14ac:dyDescent="0.25">
      <c r="B1980" s="49"/>
      <c r="C1980" s="89"/>
      <c r="D1980" s="89"/>
      <c r="E1980" s="47">
        <v>3017.97062289312</v>
      </c>
      <c r="F1980" s="47">
        <v>3617.5024152813198</v>
      </c>
      <c r="G1980" s="47">
        <v>8736.4288309620097</v>
      </c>
    </row>
    <row r="1981" spans="2:7" x14ac:dyDescent="0.25">
      <c r="B1981" s="49"/>
      <c r="C1981" s="89"/>
      <c r="D1981" s="89"/>
      <c r="E1981" s="47">
        <v>3042.6259627014701</v>
      </c>
      <c r="F1981" s="47">
        <v>3618.3696109964999</v>
      </c>
      <c r="G1981" s="47">
        <v>8772.7529767023207</v>
      </c>
    </row>
    <row r="1982" spans="2:7" x14ac:dyDescent="0.25">
      <c r="B1982" s="49"/>
      <c r="C1982" s="89"/>
      <c r="D1982" s="89"/>
      <c r="E1982" s="47">
        <v>3072.06917426879</v>
      </c>
      <c r="F1982" s="47">
        <v>3618.8162219149999</v>
      </c>
      <c r="G1982" s="47">
        <v>8805.7103476534703</v>
      </c>
    </row>
    <row r="1983" spans="2:7" x14ac:dyDescent="0.25">
      <c r="B1983" s="49"/>
      <c r="C1983" s="89"/>
      <c r="D1983" s="89"/>
      <c r="E1983" s="47">
        <v>3106.8032624245102</v>
      </c>
      <c r="F1983" s="47">
        <v>3618.8988362197301</v>
      </c>
      <c r="G1983" s="47">
        <v>8836.7306848608405</v>
      </c>
    </row>
    <row r="1984" spans="2:7" x14ac:dyDescent="0.25">
      <c r="B1984" s="49"/>
      <c r="C1984" s="89">
        <v>-5</v>
      </c>
      <c r="D1984" s="89">
        <v>300</v>
      </c>
      <c r="E1984" s="47">
        <v>2746.18224490693</v>
      </c>
      <c r="F1984" s="47">
        <v>973.36570484726997</v>
      </c>
      <c r="G1984" s="47">
        <v>5411.7823590730104</v>
      </c>
    </row>
    <row r="1985" spans="2:7" x14ac:dyDescent="0.25">
      <c r="B1985" s="49"/>
      <c r="C1985" s="89"/>
      <c r="D1985" s="89"/>
      <c r="E1985" s="47">
        <v>2759.85577588864</v>
      </c>
      <c r="F1985" s="47">
        <v>974.37115305460804</v>
      </c>
      <c r="G1985" s="47">
        <v>5494.94934877999</v>
      </c>
    </row>
    <row r="1986" spans="2:7" x14ac:dyDescent="0.25">
      <c r="B1986" s="49"/>
      <c r="C1986" s="89"/>
      <c r="D1986" s="89"/>
      <c r="E1986" s="47">
        <v>2771.92997033746</v>
      </c>
      <c r="F1986" s="47">
        <v>974.96443031444301</v>
      </c>
      <c r="G1986" s="47">
        <v>5547.4388664190101</v>
      </c>
    </row>
    <row r="1987" spans="2:7" x14ac:dyDescent="0.25">
      <c r="B1987" s="49"/>
      <c r="C1987" s="89"/>
      <c r="D1987" s="89"/>
      <c r="E1987" s="47">
        <v>2784.6933793816002</v>
      </c>
      <c r="F1987" s="47">
        <v>975.319514474122</v>
      </c>
      <c r="G1987" s="47">
        <v>5583.5835920970303</v>
      </c>
    </row>
    <row r="1988" spans="2:7" x14ac:dyDescent="0.25">
      <c r="B1988" s="49"/>
      <c r="C1988" s="89"/>
      <c r="D1988" s="89"/>
      <c r="E1988" s="47">
        <v>2799.4511656577401</v>
      </c>
      <c r="F1988" s="47">
        <v>975.51824078730897</v>
      </c>
      <c r="G1988" s="47">
        <v>5610.3190039553401</v>
      </c>
    </row>
    <row r="1989" spans="2:7" x14ac:dyDescent="0.25">
      <c r="B1989" s="49"/>
      <c r="C1989" s="89"/>
      <c r="D1989" s="89"/>
      <c r="E1989" s="47">
        <v>2817.11632533089</v>
      </c>
      <c r="F1989" s="47">
        <v>975.60408384434197</v>
      </c>
      <c r="G1989" s="47">
        <v>5631.5165015504299</v>
      </c>
    </row>
    <row r="1990" spans="2:7" x14ac:dyDescent="0.25">
      <c r="B1990" s="49"/>
      <c r="C1990" s="89"/>
      <c r="D1990" s="89"/>
      <c r="E1990" s="47">
        <v>2838.3955454627398</v>
      </c>
      <c r="F1990" s="47">
        <v>975.60032938345205</v>
      </c>
      <c r="G1990" s="47">
        <v>5649.4349656219501</v>
      </c>
    </row>
    <row r="1991" spans="2:7" x14ac:dyDescent="0.25">
      <c r="B1991" s="49"/>
      <c r="C1991" s="89"/>
      <c r="D1991" s="89"/>
      <c r="E1991" s="47">
        <v>2863.91228205893</v>
      </c>
      <c r="F1991" s="47">
        <v>975.52050600003804</v>
      </c>
      <c r="G1991" s="47">
        <v>5665.5687867952101</v>
      </c>
    </row>
    <row r="1992" spans="2:7" x14ac:dyDescent="0.25">
      <c r="B1992" s="49"/>
      <c r="C1992" s="89"/>
      <c r="D1992" s="89"/>
      <c r="E1992" s="47">
        <v>2894.2398688909202</v>
      </c>
      <c r="F1992" s="47">
        <v>975.37227674635903</v>
      </c>
      <c r="G1992" s="47">
        <v>5680.9527015880903</v>
      </c>
    </row>
    <row r="1993" spans="2:7" x14ac:dyDescent="0.25">
      <c r="B1993" s="49"/>
      <c r="C1993" s="89"/>
      <c r="D1993" s="89"/>
      <c r="E1993" s="47">
        <v>2929.9121774249202</v>
      </c>
      <c r="F1993" s="47">
        <v>975.159415378012</v>
      </c>
      <c r="G1993" s="47">
        <v>5696.3110574221801</v>
      </c>
    </row>
    <row r="1994" spans="2:7" x14ac:dyDescent="0.25">
      <c r="B1994" s="49"/>
      <c r="C1994" s="89"/>
      <c r="D1994" s="89">
        <v>400</v>
      </c>
      <c r="E1994" s="47">
        <v>2782.79655030808</v>
      </c>
      <c r="F1994" s="47">
        <v>1283.9646289311199</v>
      </c>
      <c r="G1994" s="47">
        <v>5743.0349808921901</v>
      </c>
    </row>
    <row r="1995" spans="2:7" x14ac:dyDescent="0.25">
      <c r="B1995" s="49"/>
      <c r="C1995" s="89"/>
      <c r="D1995" s="89"/>
      <c r="E1995" s="47">
        <v>2796.20371522602</v>
      </c>
      <c r="F1995" s="47">
        <v>1285.50479600478</v>
      </c>
      <c r="G1995" s="47">
        <v>5836.5406587245998</v>
      </c>
    </row>
    <row r="1996" spans="2:7" x14ac:dyDescent="0.25">
      <c r="B1996" s="49"/>
      <c r="C1996" s="89"/>
      <c r="D1996" s="89"/>
      <c r="E1996" s="47">
        <v>2808.1565986095202</v>
      </c>
      <c r="F1996" s="47">
        <v>1286.43081293623</v>
      </c>
      <c r="G1996" s="47">
        <v>5896.0758327518797</v>
      </c>
    </row>
    <row r="1997" spans="2:7" x14ac:dyDescent="0.25">
      <c r="B1997" s="49"/>
      <c r="C1997" s="89"/>
      <c r="D1997" s="89"/>
      <c r="E1997" s="47">
        <v>2820.86076297508</v>
      </c>
      <c r="F1997" s="47">
        <v>1287.0038823247901</v>
      </c>
      <c r="G1997" s="47">
        <v>5937.4479797079002</v>
      </c>
    </row>
    <row r="1998" spans="2:7" x14ac:dyDescent="0.25">
      <c r="B1998" s="49"/>
      <c r="C1998" s="89"/>
      <c r="D1998" s="89"/>
      <c r="E1998" s="47">
        <v>2835.58241438497</v>
      </c>
      <c r="F1998" s="47">
        <v>1287.3462053527301</v>
      </c>
      <c r="G1998" s="47">
        <v>5968.2512388230098</v>
      </c>
    </row>
    <row r="1999" spans="2:7" x14ac:dyDescent="0.25">
      <c r="B1999" s="49"/>
      <c r="C1999" s="89"/>
      <c r="D1999" s="89"/>
      <c r="E1999" s="47">
        <v>2853.2161335116002</v>
      </c>
      <c r="F1999" s="47">
        <v>1287.52282052535</v>
      </c>
      <c r="G1999" s="47">
        <v>5992.7153203865701</v>
      </c>
    </row>
    <row r="2000" spans="2:7" x14ac:dyDescent="0.25">
      <c r="B2000" s="49"/>
      <c r="C2000" s="89"/>
      <c r="D2000" s="89"/>
      <c r="E2000" s="47">
        <v>2874.4671236009399</v>
      </c>
      <c r="F2000" s="47">
        <v>1287.5698120418699</v>
      </c>
      <c r="G2000" s="47">
        <v>6013.3647427945398</v>
      </c>
    </row>
    <row r="2001" spans="2:7" x14ac:dyDescent="0.25">
      <c r="B2001" s="49"/>
      <c r="C2001" s="89"/>
      <c r="D2001" s="89"/>
      <c r="E2001" s="47">
        <v>2899.94520801624</v>
      </c>
      <c r="F2001" s="47">
        <v>1287.5078415763501</v>
      </c>
      <c r="G2001" s="47">
        <v>6031.8206968582799</v>
      </c>
    </row>
    <row r="2002" spans="2:7" x14ac:dyDescent="0.25">
      <c r="B2002" s="49"/>
      <c r="C2002" s="89"/>
      <c r="D2002" s="89"/>
      <c r="E2002" s="47">
        <v>2930.2110706966901</v>
      </c>
      <c r="F2002" s="47">
        <v>1287.3492413885001</v>
      </c>
      <c r="G2002" s="47">
        <v>6049.2186402798397</v>
      </c>
    </row>
    <row r="2003" spans="2:7" x14ac:dyDescent="0.25">
      <c r="B2003" s="49"/>
      <c r="C2003" s="89"/>
      <c r="D2003" s="89"/>
      <c r="E2003" s="47">
        <v>2965.8028087982202</v>
      </c>
      <c r="F2003" s="47">
        <v>1287.10087660514</v>
      </c>
      <c r="G2003" s="47">
        <v>6066.3839136486204</v>
      </c>
    </row>
    <row r="2004" spans="2:7" x14ac:dyDescent="0.25">
      <c r="B2004" s="49"/>
      <c r="C2004" s="89"/>
      <c r="D2004" s="89">
        <v>500</v>
      </c>
      <c r="E2004" s="47">
        <v>2815.4863857283299</v>
      </c>
      <c r="F2004" s="47">
        <v>1587.96114680649</v>
      </c>
      <c r="G2004" s="47">
        <v>6084.5689234659203</v>
      </c>
    </row>
    <row r="2005" spans="2:7" x14ac:dyDescent="0.25">
      <c r="B2005" s="49"/>
      <c r="C2005" s="89"/>
      <c r="D2005" s="89"/>
      <c r="E2005" s="47">
        <v>2828.54841078241</v>
      </c>
      <c r="F2005" s="47">
        <v>1590.1575604064799</v>
      </c>
      <c r="G2005" s="47">
        <v>6189.2644008479801</v>
      </c>
    </row>
    <row r="2006" spans="2:7" x14ac:dyDescent="0.25">
      <c r="B2006" s="49"/>
      <c r="C2006" s="89"/>
      <c r="D2006" s="89"/>
      <c r="E2006" s="47">
        <v>2840.2981399257901</v>
      </c>
      <c r="F2006" s="47">
        <v>1591.4951890637601</v>
      </c>
      <c r="G2006" s="47">
        <v>6256.2542179052998</v>
      </c>
    </row>
    <row r="2007" spans="2:7" x14ac:dyDescent="0.25">
      <c r="B2007" s="49"/>
      <c r="C2007" s="89"/>
      <c r="D2007" s="89"/>
      <c r="E2007" s="47">
        <v>2852.8712565757701</v>
      </c>
      <c r="F2007" s="47">
        <v>1592.34216947093</v>
      </c>
      <c r="G2007" s="47">
        <v>6303.0484238860899</v>
      </c>
    </row>
    <row r="2008" spans="2:7" x14ac:dyDescent="0.25">
      <c r="B2008" s="49"/>
      <c r="C2008" s="89"/>
      <c r="D2008" s="89"/>
      <c r="E2008" s="47">
        <v>2867.50151506467</v>
      </c>
      <c r="F2008" s="47">
        <v>1592.8707135934501</v>
      </c>
      <c r="G2008" s="47">
        <v>6338.0371761889301</v>
      </c>
    </row>
    <row r="2009" spans="2:7" x14ac:dyDescent="0.25">
      <c r="B2009" s="49"/>
      <c r="C2009" s="89"/>
      <c r="D2009" s="89"/>
      <c r="E2009" s="47">
        <v>2885.05568683202</v>
      </c>
      <c r="F2009" s="47">
        <v>1593.17189846718</v>
      </c>
      <c r="G2009" s="47">
        <v>6365.83983490233</v>
      </c>
    </row>
    <row r="2010" spans="2:7" x14ac:dyDescent="0.25">
      <c r="B2010" s="49"/>
      <c r="C2010" s="89"/>
      <c r="D2010" s="89"/>
      <c r="E2010" s="47">
        <v>2906.23554971973</v>
      </c>
      <c r="F2010" s="47">
        <v>1593.29759331167</v>
      </c>
      <c r="G2010" s="47">
        <v>6389.2646658405902</v>
      </c>
    </row>
    <row r="2011" spans="2:7" x14ac:dyDescent="0.25">
      <c r="B2011" s="49"/>
      <c r="C2011" s="89"/>
      <c r="D2011" s="89"/>
      <c r="E2011" s="47">
        <v>2931.6367411269998</v>
      </c>
      <c r="F2011" s="47">
        <v>1593.2773140003201</v>
      </c>
      <c r="G2011" s="47">
        <v>6410.0765198060299</v>
      </c>
    </row>
    <row r="2012" spans="2:7" x14ac:dyDescent="0.25">
      <c r="B2012" s="49"/>
      <c r="C2012" s="89"/>
      <c r="D2012" s="89"/>
      <c r="E2012" s="47">
        <v>2961.81881630834</v>
      </c>
      <c r="F2012" s="47">
        <v>1593.1291919002799</v>
      </c>
      <c r="G2012" s="47">
        <v>6429.5250171892903</v>
      </c>
    </row>
    <row r="2013" spans="2:7" x14ac:dyDescent="0.25">
      <c r="B2013" s="49"/>
      <c r="C2013" s="89"/>
      <c r="D2013" s="89"/>
      <c r="E2013" s="47">
        <v>2997.3084242469699</v>
      </c>
      <c r="F2013" s="47">
        <v>1592.8637887621701</v>
      </c>
      <c r="G2013" s="47">
        <v>6448.5091764264398</v>
      </c>
    </row>
    <row r="2014" spans="2:7" x14ac:dyDescent="0.25">
      <c r="B2014" s="49"/>
      <c r="C2014" s="89"/>
      <c r="D2014" s="89">
        <v>600</v>
      </c>
      <c r="E2014" s="47">
        <v>2844.3379945739698</v>
      </c>
      <c r="F2014" s="47">
        <v>1885.4964687014301</v>
      </c>
      <c r="G2014" s="47">
        <v>6434.5451313919602</v>
      </c>
    </row>
    <row r="2015" spans="2:7" x14ac:dyDescent="0.25">
      <c r="B2015" s="49"/>
      <c r="C2015" s="89"/>
      <c r="D2015" s="89"/>
      <c r="E2015" s="47">
        <v>2856.9528546228298</v>
      </c>
      <c r="F2015" s="47">
        <v>1888.4702215202201</v>
      </c>
      <c r="G2015" s="47">
        <v>6550.7842167204399</v>
      </c>
    </row>
    <row r="2016" spans="2:7" x14ac:dyDescent="0.25">
      <c r="B2016" s="49"/>
      <c r="C2016" s="89"/>
      <c r="D2016" s="89"/>
      <c r="E2016" s="47">
        <v>2868.4249237980598</v>
      </c>
      <c r="F2016" s="47">
        <v>1890.3022365302099</v>
      </c>
      <c r="G2016" s="47">
        <v>6625.5408472694398</v>
      </c>
    </row>
    <row r="2017" spans="2:7" x14ac:dyDescent="0.25">
      <c r="B2017" s="49"/>
      <c r="C2017" s="89"/>
      <c r="D2017" s="89"/>
      <c r="E2017" s="47">
        <v>2880.8157975169502</v>
      </c>
      <c r="F2017" s="47">
        <v>1891.4841638683199</v>
      </c>
      <c r="G2017" s="47">
        <v>6678.02124293209</v>
      </c>
    </row>
    <row r="2018" spans="2:7" x14ac:dyDescent="0.25">
      <c r="B2018" s="49"/>
      <c r="C2018" s="89"/>
      <c r="D2018" s="89"/>
      <c r="E2018" s="47">
        <v>2895.3145855162302</v>
      </c>
      <c r="F2018" s="47">
        <v>1892.24647930532</v>
      </c>
      <c r="G2018" s="47">
        <v>6717.4171732934701</v>
      </c>
    </row>
    <row r="2019" spans="2:7" x14ac:dyDescent="0.25">
      <c r="B2019" s="49"/>
      <c r="C2019" s="89"/>
      <c r="D2019" s="89"/>
      <c r="E2019" s="47">
        <v>2912.76619862084</v>
      </c>
      <c r="F2019" s="47">
        <v>1892.71112658687</v>
      </c>
      <c r="G2019" s="47">
        <v>6748.7753925515699</v>
      </c>
    </row>
    <row r="2020" spans="2:7" x14ac:dyDescent="0.25">
      <c r="B2020" s="49"/>
      <c r="C2020" s="89"/>
      <c r="D2020" s="89"/>
      <c r="E2020" s="47">
        <v>2933.8502641147602</v>
      </c>
      <c r="F2020" s="47">
        <v>1892.9480995174199</v>
      </c>
      <c r="G2020" s="47">
        <v>6775.1581275244098</v>
      </c>
    </row>
    <row r="2021" spans="2:7" x14ac:dyDescent="0.25">
      <c r="B2021" s="49"/>
      <c r="C2021" s="89"/>
      <c r="D2021" s="89"/>
      <c r="E2021" s="47">
        <v>2959.1591095998601</v>
      </c>
      <c r="F2021" s="47">
        <v>1892.99780199733</v>
      </c>
      <c r="G2021" s="47">
        <v>6798.5034075731801</v>
      </c>
    </row>
    <row r="2022" spans="2:7" x14ac:dyDescent="0.25">
      <c r="B2022" s="49"/>
      <c r="C2022" s="89"/>
      <c r="D2022" s="89"/>
      <c r="E2022" s="47">
        <v>2989.2407082095101</v>
      </c>
      <c r="F2022" s="47">
        <v>1892.8853377671401</v>
      </c>
      <c r="G2022" s="47">
        <v>6820.1686774792297</v>
      </c>
    </row>
    <row r="2023" spans="2:7" x14ac:dyDescent="0.25">
      <c r="B2023" s="49"/>
      <c r="C2023" s="89"/>
      <c r="D2023" s="89"/>
      <c r="E2023" s="47">
        <v>3024.62096964785</v>
      </c>
      <c r="F2023" s="47">
        <v>1892.6257462103399</v>
      </c>
      <c r="G2023" s="47">
        <v>6841.1358792651199</v>
      </c>
    </row>
    <row r="2024" spans="2:7" x14ac:dyDescent="0.25">
      <c r="B2024" s="49"/>
      <c r="C2024" s="89"/>
      <c r="D2024" s="89">
        <v>700</v>
      </c>
      <c r="E2024" s="47">
        <v>2869.71240662336</v>
      </c>
      <c r="F2024" s="47">
        <v>2176.76672021992</v>
      </c>
      <c r="G2024" s="47">
        <v>6794.1304404999901</v>
      </c>
    </row>
    <row r="2025" spans="2:7" x14ac:dyDescent="0.25">
      <c r="B2025" s="49"/>
      <c r="C2025" s="89"/>
      <c r="D2025" s="89"/>
      <c r="E2025" s="47">
        <v>2881.84763551076</v>
      </c>
      <c r="F2025" s="47">
        <v>2180.6679020913598</v>
      </c>
      <c r="G2025" s="47">
        <v>6923.0168621368102</v>
      </c>
    </row>
    <row r="2026" spans="2:7" x14ac:dyDescent="0.25">
      <c r="B2026" s="49"/>
      <c r="C2026" s="89"/>
      <c r="D2026" s="89"/>
      <c r="E2026" s="47">
        <v>2892.99621573678</v>
      </c>
      <c r="F2026" s="47">
        <v>2183.0892445995501</v>
      </c>
      <c r="G2026" s="47">
        <v>7006.0842789489197</v>
      </c>
    </row>
    <row r="2027" spans="2:7" x14ac:dyDescent="0.25">
      <c r="B2027" s="49"/>
      <c r="C2027" s="89"/>
      <c r="D2027" s="89"/>
      <c r="E2027" s="47">
        <v>2905.1581932345098</v>
      </c>
      <c r="F2027" s="47">
        <v>2184.6726867221</v>
      </c>
      <c r="G2027" s="47">
        <v>7064.55369952618</v>
      </c>
    </row>
    <row r="2028" spans="2:7" x14ac:dyDescent="0.25">
      <c r="B2028" s="49"/>
      <c r="C2028" s="89"/>
      <c r="D2028" s="89"/>
      <c r="E2028" s="47">
        <v>2919.48549063884</v>
      </c>
      <c r="F2028" s="47">
        <v>2185.71827575625</v>
      </c>
      <c r="G2028" s="47">
        <v>7108.5272069164603</v>
      </c>
    </row>
    <row r="2029" spans="2:7" x14ac:dyDescent="0.25">
      <c r="B2029" s="49"/>
      <c r="C2029" s="89"/>
      <c r="D2029" s="89"/>
      <c r="E2029" s="47">
        <v>2936.80165796863</v>
      </c>
      <c r="F2029" s="47">
        <v>2186.3861779286199</v>
      </c>
      <c r="G2029" s="47">
        <v>7143.5744681306396</v>
      </c>
    </row>
    <row r="2030" spans="2:7" x14ac:dyDescent="0.25">
      <c r="B2030" s="49"/>
      <c r="C2030" s="89"/>
      <c r="D2030" s="89"/>
      <c r="E2030" s="47">
        <v>2957.7635133966501</v>
      </c>
      <c r="F2030" s="47">
        <v>2186.7661189701798</v>
      </c>
      <c r="G2030" s="47">
        <v>7172.9815085320997</v>
      </c>
    </row>
    <row r="2031" spans="2:7" x14ac:dyDescent="0.25">
      <c r="B2031" s="49"/>
      <c r="C2031" s="89"/>
      <c r="D2031" s="89"/>
      <c r="E2031" s="47">
        <v>2982.9530553929699</v>
      </c>
      <c r="F2031" s="47">
        <v>2186.9122344909001</v>
      </c>
      <c r="G2031" s="47">
        <v>7198.8890219494597</v>
      </c>
    </row>
    <row r="2032" spans="2:7" x14ac:dyDescent="0.25">
      <c r="B2032" s="49"/>
      <c r="C2032" s="89"/>
      <c r="D2032" s="89"/>
      <c r="E2032" s="47">
        <v>3012.9159654587602</v>
      </c>
      <c r="F2032" s="47">
        <v>2186.8580525777802</v>
      </c>
      <c r="G2032" s="47">
        <v>7222.7808339200001</v>
      </c>
    </row>
    <row r="2033" spans="2:7" x14ac:dyDescent="0.25">
      <c r="B2033" s="49"/>
      <c r="C2033" s="89"/>
      <c r="D2033" s="89"/>
      <c r="E2033" s="47">
        <v>3048.1685192529699</v>
      </c>
      <c r="F2033" s="47">
        <v>2186.6241464858299</v>
      </c>
      <c r="G2033" s="47">
        <v>7245.72191575327</v>
      </c>
    </row>
    <row r="2034" spans="2:7" x14ac:dyDescent="0.25">
      <c r="B2034" s="49"/>
      <c r="C2034" s="89"/>
      <c r="D2034" s="89">
        <v>800</v>
      </c>
      <c r="E2034" s="47">
        <v>2891.7999688219902</v>
      </c>
      <c r="F2034" s="47">
        <v>2461.9028539053802</v>
      </c>
      <c r="G2034" s="47">
        <v>7162.1898352052503</v>
      </c>
    </row>
    <row r="2035" spans="2:7" x14ac:dyDescent="0.25">
      <c r="B2035" s="49"/>
      <c r="C2035" s="89"/>
      <c r="D2035" s="89"/>
      <c r="E2035" s="47">
        <v>2903.3416760546202</v>
      </c>
      <c r="F2035" s="47">
        <v>2466.8627442436</v>
      </c>
      <c r="G2035" s="47">
        <v>7303.8306494489898</v>
      </c>
    </row>
    <row r="2036" spans="2:7" x14ac:dyDescent="0.25">
      <c r="B2036" s="49"/>
      <c r="C2036" s="89"/>
      <c r="D2036" s="89"/>
      <c r="E2036" s="47">
        <v>2914.1194418005098</v>
      </c>
      <c r="F2036" s="47">
        <v>2469.9651845447102</v>
      </c>
      <c r="G2036" s="47">
        <v>7395.4479799665696</v>
      </c>
    </row>
    <row r="2037" spans="2:7" x14ac:dyDescent="0.25">
      <c r="B2037" s="49"/>
      <c r="C2037" s="89"/>
      <c r="D2037" s="89"/>
      <c r="E2037" s="47">
        <v>2926.02695052433</v>
      </c>
      <c r="F2037" s="47">
        <v>2472.0175423034698</v>
      </c>
      <c r="G2037" s="47">
        <v>7460.1209964489599</v>
      </c>
    </row>
    <row r="2038" spans="2:7" x14ac:dyDescent="0.25">
      <c r="B2038" s="49"/>
      <c r="C2038" s="89"/>
      <c r="D2038" s="89"/>
      <c r="E2038" s="47">
        <v>2940.16138616444</v>
      </c>
      <c r="F2038" s="47">
        <v>2473.4000215686601</v>
      </c>
      <c r="G2038" s="47">
        <v>7508.8908957681997</v>
      </c>
    </row>
    <row r="2039" spans="2:7" x14ac:dyDescent="0.25">
      <c r="B2039" s="49"/>
      <c r="C2039" s="89"/>
      <c r="D2039" s="89"/>
      <c r="E2039" s="47">
        <v>2957.3162942223098</v>
      </c>
      <c r="F2039" s="47">
        <v>2474.3138826447498</v>
      </c>
      <c r="G2039" s="47">
        <v>7547.7830534288296</v>
      </c>
    </row>
    <row r="2040" spans="2:7" x14ac:dyDescent="0.25">
      <c r="B2040" s="49"/>
      <c r="C2040" s="89"/>
      <c r="D2040" s="89"/>
      <c r="E2040" s="47">
        <v>2978.13545955789</v>
      </c>
      <c r="F2040" s="47">
        <v>2474.8727480914499</v>
      </c>
      <c r="G2040" s="47">
        <v>7580.3653939531396</v>
      </c>
    </row>
    <row r="2041" spans="2:7" x14ac:dyDescent="0.25">
      <c r="B2041" s="49"/>
      <c r="C2041" s="89"/>
      <c r="D2041" s="89"/>
      <c r="E2041" s="47">
        <v>3003.19533733458</v>
      </c>
      <c r="F2041" s="47">
        <v>2475.1466065265799</v>
      </c>
      <c r="G2041" s="47">
        <v>7608.9888146523499</v>
      </c>
    </row>
    <row r="2042" spans="2:7" x14ac:dyDescent="0.25">
      <c r="B2042" s="49"/>
      <c r="C2042" s="89"/>
      <c r="D2042" s="89"/>
      <c r="E2042" s="47">
        <v>3033.03056959061</v>
      </c>
      <c r="F2042" s="47">
        <v>2475.1785025865902</v>
      </c>
      <c r="G2042" s="47">
        <v>7635.2524866789699</v>
      </c>
    </row>
    <row r="2043" spans="2:7" x14ac:dyDescent="0.25">
      <c r="B2043" s="49"/>
      <c r="C2043" s="89"/>
      <c r="D2043" s="89"/>
      <c r="E2043" s="47">
        <v>3068.1504675749002</v>
      </c>
      <c r="F2043" s="47">
        <v>2474.99562719708</v>
      </c>
      <c r="G2043" s="47">
        <v>7660.3126144433099</v>
      </c>
    </row>
    <row r="2044" spans="2:7" x14ac:dyDescent="0.25">
      <c r="B2044" s="49"/>
      <c r="C2044" s="89"/>
      <c r="D2044" s="89">
        <v>900</v>
      </c>
      <c r="E2044" s="47">
        <v>2910.9018881207999</v>
      </c>
      <c r="F2044" s="47">
        <v>2741.0825702124998</v>
      </c>
      <c r="G2044" s="47">
        <v>7539.3699611104403</v>
      </c>
    </row>
    <row r="2045" spans="2:7" x14ac:dyDescent="0.25">
      <c r="B2045" s="49"/>
      <c r="C2045" s="89"/>
      <c r="D2045" s="89"/>
      <c r="E2045" s="47">
        <v>2921.8142051333698</v>
      </c>
      <c r="F2045" s="47">
        <v>2747.28045433236</v>
      </c>
      <c r="G2045" s="47">
        <v>7695.0035272638397</v>
      </c>
    </row>
    <row r="2046" spans="2:7" x14ac:dyDescent="0.25">
      <c r="B2046" s="49"/>
      <c r="C2046" s="89"/>
      <c r="D2046" s="89"/>
      <c r="E2046" s="47">
        <v>2932.1767172170398</v>
      </c>
      <c r="F2046" s="47">
        <v>2751.17543563245</v>
      </c>
      <c r="G2046" s="47">
        <v>7795.78205275855</v>
      </c>
    </row>
    <row r="2047" spans="2:7" x14ac:dyDescent="0.25">
      <c r="B2047" s="49"/>
      <c r="C2047" s="89"/>
      <c r="D2047" s="89"/>
      <c r="E2047" s="47">
        <v>2943.7901499537402</v>
      </c>
      <c r="F2047" s="47">
        <v>2753.7736295421601</v>
      </c>
      <c r="G2047" s="47">
        <v>7867.0056824128696</v>
      </c>
    </row>
    <row r="2048" spans="2:7" x14ac:dyDescent="0.25">
      <c r="B2048" s="49"/>
      <c r="C2048" s="89"/>
      <c r="D2048" s="89"/>
      <c r="E2048" s="47">
        <v>2957.7060021901698</v>
      </c>
      <c r="F2048" s="47">
        <v>2755.5475120168398</v>
      </c>
      <c r="G2048" s="47">
        <v>7920.7286491673603</v>
      </c>
    </row>
    <row r="2049" spans="2:7" x14ac:dyDescent="0.25">
      <c r="B2049" s="49"/>
      <c r="C2049" s="89"/>
      <c r="D2049" s="89"/>
      <c r="E2049" s="47">
        <v>2974.6794622973498</v>
      </c>
      <c r="F2049" s="47">
        <v>2756.7460937574801</v>
      </c>
      <c r="G2049" s="47">
        <v>7963.4740586262596</v>
      </c>
    </row>
    <row r="2050" spans="2:7" x14ac:dyDescent="0.25">
      <c r="B2050" s="49"/>
      <c r="C2050" s="89"/>
      <c r="D2050" s="89"/>
      <c r="E2050" s="47">
        <v>2995.3450348125298</v>
      </c>
      <c r="F2050" s="47">
        <v>2757.5166777654199</v>
      </c>
      <c r="G2050" s="47">
        <v>7999.2603472781502</v>
      </c>
    </row>
    <row r="2051" spans="2:7" x14ac:dyDescent="0.25">
      <c r="B2051" s="49"/>
      <c r="C2051" s="89"/>
      <c r="D2051" s="89"/>
      <c r="E2051" s="47">
        <v>3020.2642690329499</v>
      </c>
      <c r="F2051" s="47">
        <v>2757.9457948040299</v>
      </c>
      <c r="G2051" s="47">
        <v>8030.6086062384202</v>
      </c>
    </row>
    <row r="2052" spans="2:7" x14ac:dyDescent="0.25">
      <c r="B2052" s="49"/>
      <c r="C2052" s="89"/>
      <c r="D2052" s="89"/>
      <c r="E2052" s="47">
        <v>3049.9628166191801</v>
      </c>
      <c r="F2052" s="47">
        <v>2758.0878886792898</v>
      </c>
      <c r="G2052" s="47">
        <v>8059.2517082006398</v>
      </c>
    </row>
    <row r="2053" spans="2:7" x14ac:dyDescent="0.25">
      <c r="B2053" s="49"/>
      <c r="C2053" s="89"/>
      <c r="D2053" s="89"/>
      <c r="E2053" s="47">
        <v>3084.9492688980299</v>
      </c>
      <c r="F2053" s="47">
        <v>2757.9790230293102</v>
      </c>
      <c r="G2053" s="47">
        <v>8086.47416918421</v>
      </c>
    </row>
    <row r="2054" spans="2:7" x14ac:dyDescent="0.25">
      <c r="B2054" s="49"/>
      <c r="C2054" s="89"/>
      <c r="D2054" s="89">
        <v>1000</v>
      </c>
      <c r="E2054" s="47">
        <v>2927.18959193608</v>
      </c>
      <c r="F2054" s="47">
        <v>3014.4243173330801</v>
      </c>
      <c r="G2054" s="47">
        <v>7924.7941496226804</v>
      </c>
    </row>
    <row r="2055" spans="2:7" x14ac:dyDescent="0.25">
      <c r="B2055" s="49"/>
      <c r="C2055" s="89"/>
      <c r="D2055" s="89"/>
      <c r="E2055" s="47">
        <v>2937.4194181492899</v>
      </c>
      <c r="F2055" s="47">
        <v>3021.9980260530101</v>
      </c>
      <c r="G2055" s="47">
        <v>8094.3831900015002</v>
      </c>
    </row>
    <row r="2056" spans="2:7" x14ac:dyDescent="0.25">
      <c r="B2056" s="49"/>
      <c r="C2056" s="89"/>
      <c r="D2056" s="89"/>
      <c r="E2056" s="47">
        <v>2947.3158521504802</v>
      </c>
      <c r="F2056" s="47">
        <v>3026.7818935628102</v>
      </c>
      <c r="G2056" s="47">
        <v>8204.41294544023</v>
      </c>
    </row>
    <row r="2057" spans="2:7" x14ac:dyDescent="0.25">
      <c r="B2057" s="49"/>
      <c r="C2057" s="89"/>
      <c r="D2057" s="89"/>
      <c r="E2057" s="47">
        <v>2958.60355901206</v>
      </c>
      <c r="F2057" s="47">
        <v>3029.9994662322501</v>
      </c>
      <c r="G2057" s="47">
        <v>8282.3549426137797</v>
      </c>
    </row>
    <row r="2058" spans="2:7" x14ac:dyDescent="0.25">
      <c r="B2058" s="49"/>
      <c r="C2058" s="89"/>
      <c r="D2058" s="89"/>
      <c r="E2058" s="47">
        <v>2972.2739127622899</v>
      </c>
      <c r="F2058" s="47">
        <v>3032.2255485319502</v>
      </c>
      <c r="G2058" s="47">
        <v>8341.2658493011604</v>
      </c>
    </row>
    <row r="2059" spans="2:7" x14ac:dyDescent="0.25">
      <c r="B2059" s="49"/>
      <c r="C2059" s="89"/>
      <c r="D2059" s="89"/>
      <c r="E2059" s="47">
        <v>2989.0537588174402</v>
      </c>
      <c r="F2059" s="47">
        <v>3033.7638202815101</v>
      </c>
      <c r="G2059" s="47">
        <v>8388.2157599617603</v>
      </c>
    </row>
    <row r="2060" spans="2:7" x14ac:dyDescent="0.25">
      <c r="B2060" s="49"/>
      <c r="C2060" s="89"/>
      <c r="D2060" s="89"/>
      <c r="E2060" s="47">
        <v>3009.55116109457</v>
      </c>
      <c r="F2060" s="47">
        <v>3034.7889930987799</v>
      </c>
      <c r="G2060" s="47">
        <v>8427.4334290072002</v>
      </c>
    </row>
    <row r="2061" spans="2:7" x14ac:dyDescent="0.25">
      <c r="B2061" s="49"/>
      <c r="C2061" s="89"/>
      <c r="D2061" s="89"/>
      <c r="E2061" s="47">
        <v>3034.3201198174702</v>
      </c>
      <c r="F2061" s="47">
        <v>3035.4098320490002</v>
      </c>
      <c r="G2061" s="47">
        <v>8461.7007284500705</v>
      </c>
    </row>
    <row r="2062" spans="2:7" x14ac:dyDescent="0.25">
      <c r="B2062" s="49"/>
      <c r="C2062" s="89"/>
      <c r="D2062" s="89"/>
      <c r="E2062" s="47">
        <v>3063.87377772639</v>
      </c>
      <c r="F2062" s="47">
        <v>3035.6939670561701</v>
      </c>
      <c r="G2062" s="47">
        <v>8492.8905970833493</v>
      </c>
    </row>
    <row r="2063" spans="2:7" x14ac:dyDescent="0.25">
      <c r="B2063" s="49"/>
      <c r="C2063" s="89"/>
      <c r="D2063" s="89"/>
      <c r="E2063" s="47">
        <v>3098.7151247667998</v>
      </c>
      <c r="F2063" s="47">
        <v>3035.6835923978401</v>
      </c>
      <c r="G2063" s="47">
        <v>8522.32754667263</v>
      </c>
    </row>
    <row r="2064" spans="2:7" x14ac:dyDescent="0.25">
      <c r="B2064" s="49"/>
      <c r="C2064" s="89"/>
      <c r="D2064" s="89">
        <v>1100</v>
      </c>
      <c r="E2064" s="47">
        <v>2940.8988579515499</v>
      </c>
      <c r="F2064" s="47">
        <v>3282.07660943985</v>
      </c>
      <c r="G2064" s="47">
        <v>8318.5980564553702</v>
      </c>
    </row>
    <row r="2065" spans="2:7" x14ac:dyDescent="0.25">
      <c r="B2065" s="49"/>
      <c r="C2065" s="89"/>
      <c r="D2065" s="89"/>
      <c r="E2065" s="47">
        <v>2950.4078846327102</v>
      </c>
      <c r="F2065" s="47">
        <v>3291.2438472251101</v>
      </c>
      <c r="G2065" s="47">
        <v>8503.6552963231807</v>
      </c>
    </row>
    <row r="2066" spans="2:7" x14ac:dyDescent="0.25">
      <c r="B2066" s="49"/>
      <c r="C2066" s="89"/>
      <c r="D2066" s="89"/>
      <c r="E2066" s="47">
        <v>2959.8466868792598</v>
      </c>
      <c r="F2066" s="47">
        <v>3297.0500052164398</v>
      </c>
      <c r="G2066" s="47">
        <v>8623.7569419747506</v>
      </c>
    </row>
    <row r="2067" spans="2:7" x14ac:dyDescent="0.25">
      <c r="B2067" s="49"/>
      <c r="C2067" s="89"/>
      <c r="D2067" s="89"/>
      <c r="E2067" s="47">
        <v>2970.7938425198799</v>
      </c>
      <c r="F2067" s="47">
        <v>3300.9573059846998</v>
      </c>
      <c r="G2067" s="47">
        <v>8708.4851373219408</v>
      </c>
    </row>
    <row r="2068" spans="2:7" x14ac:dyDescent="0.25">
      <c r="B2068" s="49"/>
      <c r="C2068" s="89"/>
      <c r="D2068" s="89"/>
      <c r="E2068" s="47">
        <v>2984.2038797380201</v>
      </c>
      <c r="F2068" s="47">
        <v>3303.6859933150699</v>
      </c>
      <c r="G2068" s="47">
        <v>8772.5587952490896</v>
      </c>
    </row>
    <row r="2069" spans="2:7" x14ac:dyDescent="0.25">
      <c r="B2069" s="49"/>
      <c r="C2069" s="89"/>
      <c r="D2069" s="89"/>
      <c r="E2069" s="47">
        <v>3000.7637587628701</v>
      </c>
      <c r="F2069" s="47">
        <v>3305.6017709957</v>
      </c>
      <c r="G2069" s="47">
        <v>8823.6222864660594</v>
      </c>
    </row>
    <row r="2070" spans="2:7" x14ac:dyDescent="0.25">
      <c r="B2070" s="49"/>
      <c r="C2070" s="89"/>
      <c r="D2070" s="89"/>
      <c r="E2070" s="47">
        <v>3021.0772230932698</v>
      </c>
      <c r="F2070" s="47">
        <v>3306.91748247848</v>
      </c>
      <c r="G2070" s="47">
        <v>8866.2987160353205</v>
      </c>
    </row>
    <row r="2071" spans="2:7" x14ac:dyDescent="0.25">
      <c r="B2071" s="49"/>
      <c r="C2071" s="89"/>
      <c r="D2071" s="89"/>
      <c r="E2071" s="47">
        <v>3045.6777504337101</v>
      </c>
      <c r="F2071" s="47">
        <v>3307.7598571525</v>
      </c>
      <c r="G2071" s="47">
        <v>8903.4881091587995</v>
      </c>
    </row>
    <row r="2072" spans="2:7" x14ac:dyDescent="0.25">
      <c r="B2072" s="49"/>
      <c r="C2072" s="89"/>
      <c r="D2072" s="89"/>
      <c r="E2072" s="47">
        <v>3075.0773605309</v>
      </c>
      <c r="F2072" s="47">
        <v>3308.21050775395</v>
      </c>
      <c r="G2072" s="47">
        <v>8937.2015605482302</v>
      </c>
    </row>
    <row r="2073" spans="2:7" x14ac:dyDescent="0.25">
      <c r="B2073" s="49"/>
      <c r="C2073" s="89"/>
      <c r="D2073" s="89"/>
      <c r="E2073" s="47">
        <v>3109.7690878777898</v>
      </c>
      <c r="F2073" s="47">
        <v>3308.32225915855</v>
      </c>
      <c r="G2073" s="47">
        <v>8968.8781965601102</v>
      </c>
    </row>
    <row r="2074" spans="2:7" x14ac:dyDescent="0.25">
      <c r="B2074" s="49"/>
      <c r="C2074" s="89"/>
      <c r="D2074" s="89">
        <v>1200</v>
      </c>
      <c r="E2074" s="47">
        <v>2952.2207841508098</v>
      </c>
      <c r="F2074" s="47">
        <v>3544.10297776275</v>
      </c>
      <c r="G2074" s="47">
        <v>8719.4011052966798</v>
      </c>
    </row>
    <row r="2075" spans="2:7" x14ac:dyDescent="0.25">
      <c r="B2075" s="49"/>
      <c r="C2075" s="89"/>
      <c r="D2075" s="89"/>
      <c r="E2075" s="47">
        <v>2960.94033535157</v>
      </c>
      <c r="F2075" s="47">
        <v>3555.0057934154202</v>
      </c>
      <c r="G2075" s="47">
        <v>8919.6884059707409</v>
      </c>
    </row>
    <row r="2076" spans="2:7" x14ac:dyDescent="0.25">
      <c r="B2076" s="49"/>
      <c r="C2076" s="89"/>
      <c r="D2076" s="89"/>
      <c r="E2076" s="47">
        <v>2969.8621132728199</v>
      </c>
      <c r="F2076" s="47">
        <v>3561.9351919559099</v>
      </c>
      <c r="G2076" s="47">
        <v>9049.8448604667101</v>
      </c>
    </row>
    <row r="2077" spans="2:7" x14ac:dyDescent="0.25">
      <c r="B2077" s="49"/>
      <c r="C2077" s="89"/>
      <c r="D2077" s="89"/>
      <c r="E2077" s="47">
        <v>2980.4522921501998</v>
      </c>
      <c r="F2077" s="47">
        <v>3566.6460547971701</v>
      </c>
      <c r="G2077" s="47">
        <v>9142.1736651442407</v>
      </c>
    </row>
    <row r="2078" spans="2:7" x14ac:dyDescent="0.25">
      <c r="B2078" s="49"/>
      <c r="C2078" s="89"/>
      <c r="D2078" s="89"/>
      <c r="E2078" s="47">
        <v>2993.5920962815999</v>
      </c>
      <c r="F2078" s="47">
        <v>3569.96109388179</v>
      </c>
      <c r="G2078" s="47">
        <v>9211.9813556313602</v>
      </c>
    </row>
    <row r="2079" spans="2:7" x14ac:dyDescent="0.25">
      <c r="B2079" s="49"/>
      <c r="C2079" s="89"/>
      <c r="D2079" s="89"/>
      <c r="E2079" s="47">
        <v>3009.9372355699002</v>
      </c>
      <c r="F2079" s="47">
        <v>3572.3197589848401</v>
      </c>
      <c r="G2079" s="47">
        <v>9267.5997678913009</v>
      </c>
    </row>
    <row r="2080" spans="2:7" x14ac:dyDescent="0.25">
      <c r="B2080" s="49"/>
      <c r="C2080" s="89"/>
      <c r="D2080" s="89"/>
      <c r="E2080" s="47">
        <v>3030.06863566637</v>
      </c>
      <c r="F2080" s="47">
        <v>3573.9720050276301</v>
      </c>
      <c r="G2080" s="47">
        <v>9313.9453088725004</v>
      </c>
    </row>
    <row r="2081" spans="2:7" x14ac:dyDescent="0.25">
      <c r="B2081" s="49"/>
      <c r="C2081" s="89"/>
      <c r="D2081" s="89"/>
      <c r="E2081" s="47">
        <v>3054.5114969432698</v>
      </c>
      <c r="F2081" s="47">
        <v>3575.0731072479002</v>
      </c>
      <c r="G2081" s="47">
        <v>9354.2113689400394</v>
      </c>
    </row>
    <row r="2082" spans="2:7" x14ac:dyDescent="0.25">
      <c r="B2082" s="49"/>
      <c r="C2082" s="89"/>
      <c r="D2082" s="89"/>
      <c r="E2082" s="47">
        <v>3083.7603000365302</v>
      </c>
      <c r="F2082" s="47">
        <v>3575.7219353004798</v>
      </c>
      <c r="G2082" s="47">
        <v>9390.5670801727192</v>
      </c>
    </row>
    <row r="2083" spans="2:7" x14ac:dyDescent="0.25">
      <c r="B2083" s="49"/>
      <c r="C2083" s="89"/>
      <c r="D2083" s="89"/>
      <c r="E2083" s="47">
        <v>3118.3027530682998</v>
      </c>
      <c r="F2083" s="47">
        <v>3575.9845207623298</v>
      </c>
      <c r="G2083" s="47">
        <v>9424.5952759322809</v>
      </c>
    </row>
    <row r="2084" spans="2:7" x14ac:dyDescent="0.25">
      <c r="B2084" s="49"/>
      <c r="C2084" s="89">
        <v>0</v>
      </c>
      <c r="D2084" s="89">
        <v>100</v>
      </c>
      <c r="E2084" s="47">
        <v>2788.71325756019</v>
      </c>
      <c r="F2084" s="47">
        <v>327.58709450540499</v>
      </c>
      <c r="G2084" s="47">
        <v>5382.0030020210697</v>
      </c>
    </row>
    <row r="2085" spans="2:7" x14ac:dyDescent="0.25">
      <c r="B2085" s="49"/>
      <c r="C2085" s="89"/>
      <c r="D2085" s="89"/>
      <c r="E2085" s="47">
        <v>2798.1678962117098</v>
      </c>
      <c r="F2085" s="47">
        <v>327.58273569496703</v>
      </c>
      <c r="G2085" s="47">
        <v>5389.1579527816502</v>
      </c>
    </row>
    <row r="2086" spans="2:7" x14ac:dyDescent="0.25">
      <c r="B2086" s="49"/>
      <c r="C2086" s="89"/>
      <c r="D2086" s="89"/>
      <c r="E2086" s="47">
        <v>2807.6225348632302</v>
      </c>
      <c r="F2086" s="47">
        <v>327.57837688452997</v>
      </c>
      <c r="G2086" s="47">
        <v>5396.3129035422298</v>
      </c>
    </row>
    <row r="2087" spans="2:7" x14ac:dyDescent="0.25">
      <c r="B2087" s="49"/>
      <c r="C2087" s="89"/>
      <c r="D2087" s="89"/>
      <c r="E2087" s="47">
        <v>2818.4953269337302</v>
      </c>
      <c r="F2087" s="47">
        <v>327.56597513575502</v>
      </c>
      <c r="G2087" s="47">
        <v>5402.9647987007102</v>
      </c>
    </row>
    <row r="2088" spans="2:7" x14ac:dyDescent="0.25">
      <c r="B2088" s="49"/>
      <c r="C2088" s="89"/>
      <c r="D2088" s="89"/>
      <c r="E2088" s="47">
        <v>2829.8408368105402</v>
      </c>
      <c r="F2088" s="47">
        <v>327.550892407535</v>
      </c>
      <c r="G2088" s="47">
        <v>5409.4490086585001</v>
      </c>
    </row>
    <row r="2089" spans="2:7" x14ac:dyDescent="0.25">
      <c r="B2089" s="49"/>
      <c r="C2089" s="89"/>
      <c r="D2089" s="89"/>
      <c r="E2089" s="47">
        <v>2842.26180408664</v>
      </c>
      <c r="F2089" s="47">
        <v>327.530963484219</v>
      </c>
      <c r="G2089" s="47">
        <v>5415.8191441080999</v>
      </c>
    </row>
    <row r="2090" spans="2:7" x14ac:dyDescent="0.25">
      <c r="B2090" s="49"/>
      <c r="C2090" s="89"/>
      <c r="D2090" s="89"/>
      <c r="E2090" s="47">
        <v>2855.7582287620198</v>
      </c>
      <c r="F2090" s="47">
        <v>327.50618836580497</v>
      </c>
      <c r="G2090" s="47">
        <v>5422.0752050495203</v>
      </c>
    </row>
    <row r="2091" spans="2:7" x14ac:dyDescent="0.25">
      <c r="B2091" s="49"/>
      <c r="C2091" s="89"/>
      <c r="D2091" s="89"/>
      <c r="E2091" s="47">
        <v>2869.8507280837798</v>
      </c>
      <c r="F2091" s="47">
        <v>327.47909665248199</v>
      </c>
      <c r="G2091" s="47">
        <v>5428.3467823922601</v>
      </c>
    </row>
    <row r="2092" spans="2:7" x14ac:dyDescent="0.25">
      <c r="B2092" s="49"/>
      <c r="C2092" s="89"/>
      <c r="D2092" s="89"/>
      <c r="E2092" s="47">
        <v>2885.7314513447</v>
      </c>
      <c r="F2092" s="47">
        <v>327.44505515443302</v>
      </c>
      <c r="G2092" s="47">
        <v>5434.6649089389603</v>
      </c>
    </row>
    <row r="2093" spans="2:7" x14ac:dyDescent="0.25">
      <c r="B2093" s="49"/>
      <c r="C2093" s="89"/>
      <c r="D2093" s="89"/>
      <c r="E2093" s="47">
        <v>2901.6121746056301</v>
      </c>
      <c r="F2093" s="47">
        <v>327.41101365638298</v>
      </c>
      <c r="G2093" s="47">
        <v>5440.9830354856604</v>
      </c>
    </row>
    <row r="2094" spans="2:7" x14ac:dyDescent="0.25">
      <c r="B2094" s="49"/>
      <c r="C2094" s="89"/>
      <c r="D2094" s="89">
        <v>200</v>
      </c>
      <c r="E2094" s="47">
        <v>2782.9963645032199</v>
      </c>
      <c r="F2094" s="47">
        <v>647.97759941658205</v>
      </c>
      <c r="G2094" s="47">
        <v>5648.4980048785301</v>
      </c>
    </row>
    <row r="2095" spans="2:7" x14ac:dyDescent="0.25">
      <c r="B2095" s="49"/>
      <c r="C2095" s="89"/>
      <c r="D2095" s="89"/>
      <c r="E2095" s="47">
        <v>2792.92345486762</v>
      </c>
      <c r="F2095" s="47">
        <v>648.17323337872494</v>
      </c>
      <c r="G2095" s="47">
        <v>5677.8314427667801</v>
      </c>
    </row>
    <row r="2096" spans="2:7" x14ac:dyDescent="0.25">
      <c r="B2096" s="49"/>
      <c r="C2096" s="89"/>
      <c r="D2096" s="89"/>
      <c r="E2096" s="47">
        <v>2803.9589647060998</v>
      </c>
      <c r="F2096" s="47">
        <v>648.30919625568197</v>
      </c>
      <c r="G2096" s="47">
        <v>5701.7512146763002</v>
      </c>
    </row>
    <row r="2097" spans="2:7" x14ac:dyDescent="0.25">
      <c r="B2097" s="49"/>
      <c r="C2097" s="89"/>
      <c r="D2097" s="89"/>
      <c r="E2097" s="47">
        <v>2816.4027254417601</v>
      </c>
      <c r="F2097" s="47">
        <v>648.39532063407205</v>
      </c>
      <c r="G2097" s="47">
        <v>5721.5619251751104</v>
      </c>
    </row>
    <row r="2098" spans="2:7" x14ac:dyDescent="0.25">
      <c r="B2098" s="49"/>
      <c r="C2098" s="89"/>
      <c r="D2098" s="89"/>
      <c r="E2098" s="47">
        <v>2830.5343310482599</v>
      </c>
      <c r="F2098" s="47">
        <v>648.44000022334001</v>
      </c>
      <c r="G2098" s="47">
        <v>5738.3974268552201</v>
      </c>
    </row>
    <row r="2099" spans="2:7" x14ac:dyDescent="0.25">
      <c r="B2099" s="49"/>
      <c r="C2099" s="89"/>
      <c r="D2099" s="89"/>
      <c r="E2099" s="47">
        <v>2847.0739410195501</v>
      </c>
      <c r="F2099" s="47">
        <v>648.44377159381304</v>
      </c>
      <c r="G2099" s="47">
        <v>5752.9304357769397</v>
      </c>
    </row>
    <row r="2100" spans="2:7" x14ac:dyDescent="0.25">
      <c r="B2100" s="49"/>
      <c r="C2100" s="89"/>
      <c r="D2100" s="89"/>
      <c r="E2100" s="47">
        <v>2866.4373842823602</v>
      </c>
      <c r="F2100" s="47">
        <v>648.41294027181505</v>
      </c>
      <c r="G2100" s="47">
        <v>5766.1884279170299</v>
      </c>
    </row>
    <row r="2101" spans="2:7" x14ac:dyDescent="0.25">
      <c r="B2101" s="49"/>
      <c r="C2101" s="89"/>
      <c r="D2101" s="89"/>
      <c r="E2101" s="47">
        <v>2888.4065922283498</v>
      </c>
      <c r="F2101" s="47">
        <v>648.35570592565796</v>
      </c>
      <c r="G2101" s="47">
        <v>5778.8589453018603</v>
      </c>
    </row>
    <row r="2102" spans="2:7" x14ac:dyDescent="0.25">
      <c r="B2102" s="49"/>
      <c r="C2102" s="89"/>
      <c r="D2102" s="89"/>
      <c r="E2102" s="47">
        <v>2913.1658604633899</v>
      </c>
      <c r="F2102" s="47">
        <v>648.27337484280201</v>
      </c>
      <c r="G2102" s="47">
        <v>5791.2387211273099</v>
      </c>
    </row>
    <row r="2103" spans="2:7" x14ac:dyDescent="0.25">
      <c r="B2103" s="49"/>
      <c r="C2103" s="89"/>
      <c r="D2103" s="89"/>
      <c r="E2103" s="47">
        <v>2940.8969185436599</v>
      </c>
      <c r="F2103" s="47">
        <v>648.16699424709304</v>
      </c>
      <c r="G2103" s="47">
        <v>5803.5947154762198</v>
      </c>
    </row>
    <row r="2104" spans="2:7" x14ac:dyDescent="0.25">
      <c r="B2104" s="49"/>
      <c r="C2104" s="89"/>
      <c r="D2104" s="89">
        <v>300</v>
      </c>
      <c r="E2104" s="47">
        <v>2792.8030493669498</v>
      </c>
      <c r="F2104" s="47">
        <v>959.96487083156501</v>
      </c>
      <c r="G2104" s="47">
        <v>5842.3931815200303</v>
      </c>
    </row>
    <row r="2105" spans="2:7" x14ac:dyDescent="0.25">
      <c r="B2105" s="49"/>
      <c r="C2105" s="89"/>
      <c r="D2105" s="89"/>
      <c r="E2105" s="47">
        <v>2806.1109331263501</v>
      </c>
      <c r="F2105" s="47">
        <v>961.16469852884404</v>
      </c>
      <c r="G2105" s="47">
        <v>5938.9688450820504</v>
      </c>
    </row>
    <row r="2106" spans="2:7" x14ac:dyDescent="0.25">
      <c r="B2106" s="49"/>
      <c r="C2106" s="89"/>
      <c r="D2106" s="89"/>
      <c r="E2106" s="47">
        <v>2818.0000705891798</v>
      </c>
      <c r="F2106" s="47">
        <v>961.88922311568797</v>
      </c>
      <c r="G2106" s="47">
        <v>6000.5677459784001</v>
      </c>
    </row>
    <row r="2107" spans="2:7" x14ac:dyDescent="0.25">
      <c r="B2107" s="49"/>
      <c r="C2107" s="89"/>
      <c r="D2107" s="89"/>
      <c r="E2107" s="47">
        <v>2830.6797557405598</v>
      </c>
      <c r="F2107" s="47">
        <v>962.34153071767298</v>
      </c>
      <c r="G2107" s="47">
        <v>6043.5084592399298</v>
      </c>
    </row>
    <row r="2108" spans="2:7" x14ac:dyDescent="0.25">
      <c r="B2108" s="49"/>
      <c r="C2108" s="89"/>
      <c r="D2108" s="89"/>
      <c r="E2108" s="47">
        <v>2845.38370506607</v>
      </c>
      <c r="F2108" s="47">
        <v>962.61602021409703</v>
      </c>
      <c r="G2108" s="47">
        <v>6075.5500993036003</v>
      </c>
    </row>
    <row r="2109" spans="2:7" x14ac:dyDescent="0.25">
      <c r="B2109" s="49"/>
      <c r="C2109" s="89"/>
      <c r="D2109" s="89"/>
      <c r="E2109" s="47">
        <v>2862.9957352692099</v>
      </c>
      <c r="F2109" s="47">
        <v>962.762542455784</v>
      </c>
      <c r="G2109" s="47">
        <v>6100.9884517773698</v>
      </c>
    </row>
    <row r="2110" spans="2:7" x14ac:dyDescent="0.25">
      <c r="B2110" s="49"/>
      <c r="C2110" s="89"/>
      <c r="D2110" s="89"/>
      <c r="E2110" s="47">
        <v>2884.2187244207798</v>
      </c>
      <c r="F2110" s="47">
        <v>962.80915531985499</v>
      </c>
      <c r="G2110" s="47">
        <v>6122.4162460751504</v>
      </c>
    </row>
    <row r="2111" spans="2:7" x14ac:dyDescent="0.25">
      <c r="B2111" s="49"/>
      <c r="C2111" s="89"/>
      <c r="D2111" s="89"/>
      <c r="E2111" s="47">
        <v>2909.668953808</v>
      </c>
      <c r="F2111" s="47">
        <v>962.772401410209</v>
      </c>
      <c r="G2111" s="47">
        <v>6141.5344370541998</v>
      </c>
    </row>
    <row r="2112" spans="2:7" x14ac:dyDescent="0.25">
      <c r="B2112" s="49"/>
      <c r="C2112" s="89"/>
      <c r="D2112" s="89"/>
      <c r="E2112" s="47">
        <v>2939.9061801656298</v>
      </c>
      <c r="F2112" s="47">
        <v>962.66195816323398</v>
      </c>
      <c r="G2112" s="47">
        <v>6159.5079153267998</v>
      </c>
    </row>
    <row r="2113" spans="2:7" x14ac:dyDescent="0.25">
      <c r="B2113" s="49"/>
      <c r="C2113" s="89"/>
      <c r="D2113" s="89"/>
      <c r="E2113" s="47">
        <v>2975.4695178443799</v>
      </c>
      <c r="F2113" s="47">
        <v>962.48356916023499</v>
      </c>
      <c r="G2113" s="47">
        <v>6177.2049712508697</v>
      </c>
    </row>
    <row r="2114" spans="2:7" x14ac:dyDescent="0.25">
      <c r="B2114" s="49"/>
      <c r="C2114" s="89"/>
      <c r="D2114" s="89">
        <v>400</v>
      </c>
      <c r="E2114" s="47">
        <v>2824.2993766414202</v>
      </c>
      <c r="F2114" s="47">
        <v>1266.41835638976</v>
      </c>
      <c r="G2114" s="47">
        <v>6186.08139423168</v>
      </c>
    </row>
    <row r="2115" spans="2:7" x14ac:dyDescent="0.25">
      <c r="B2115" s="49"/>
      <c r="C2115" s="89"/>
      <c r="D2115" s="89"/>
      <c r="E2115" s="47">
        <v>2837.2608699377001</v>
      </c>
      <c r="F2115" s="47">
        <v>1268.2409798456099</v>
      </c>
      <c r="G2115" s="47">
        <v>6294.1579046766401</v>
      </c>
    </row>
    <row r="2116" spans="2:7" x14ac:dyDescent="0.25">
      <c r="B2116" s="49"/>
      <c r="C2116" s="89"/>
      <c r="D2116" s="89"/>
      <c r="E2116" s="47">
        <v>2848.9241731461302</v>
      </c>
      <c r="F2116" s="47">
        <v>1269.3543112229499</v>
      </c>
      <c r="G2116" s="47">
        <v>6363.3613228312097</v>
      </c>
    </row>
    <row r="2117" spans="2:7" x14ac:dyDescent="0.25">
      <c r="B2117" s="49"/>
      <c r="C2117" s="89"/>
      <c r="D2117" s="89"/>
      <c r="E2117" s="47">
        <v>2861.4618499836301</v>
      </c>
      <c r="F2117" s="47">
        <v>1270.0642065345701</v>
      </c>
      <c r="G2117" s="47">
        <v>6411.83633325546</v>
      </c>
    </row>
    <row r="2118" spans="2:7" x14ac:dyDescent="0.25">
      <c r="B2118" s="49"/>
      <c r="C2118" s="89"/>
      <c r="D2118" s="89"/>
      <c r="E2118" s="47">
        <v>2876.06702310936</v>
      </c>
      <c r="F2118" s="47">
        <v>1270.5122189020001</v>
      </c>
      <c r="G2118" s="47">
        <v>6448.1370773483304</v>
      </c>
    </row>
    <row r="2119" spans="2:7" x14ac:dyDescent="0.25">
      <c r="B2119" s="49"/>
      <c r="C2119" s="89"/>
      <c r="D2119" s="89"/>
      <c r="E2119" s="47">
        <v>2893.5960361841699</v>
      </c>
      <c r="F2119" s="47">
        <v>1270.7734274014099</v>
      </c>
      <c r="G2119" s="47">
        <v>6476.99106983814</v>
      </c>
    </row>
    <row r="2120" spans="2:7" x14ac:dyDescent="0.25">
      <c r="B2120" s="49"/>
      <c r="C2120" s="89"/>
      <c r="D2120" s="89"/>
      <c r="E2120" s="47">
        <v>2914.7416688425501</v>
      </c>
      <c r="F2120" s="47">
        <v>1270.8903501320699</v>
      </c>
      <c r="G2120" s="47">
        <v>6501.2526902258596</v>
      </c>
    </row>
    <row r="2121" spans="2:7" x14ac:dyDescent="0.25">
      <c r="B2121" s="49"/>
      <c r="C2121" s="89"/>
      <c r="D2121" s="89"/>
      <c r="E2121" s="47">
        <v>2940.1099152176098</v>
      </c>
      <c r="F2121" s="47">
        <v>1270.8881461129699</v>
      </c>
      <c r="G2121" s="47">
        <v>6522.7780761818804</v>
      </c>
    </row>
    <row r="2122" spans="2:7" x14ac:dyDescent="0.25">
      <c r="B2122" s="49"/>
      <c r="C2122" s="89"/>
      <c r="D2122" s="89"/>
      <c r="E2122" s="47">
        <v>2970.2566939957301</v>
      </c>
      <c r="F2122" s="47">
        <v>1270.7819263551601</v>
      </c>
      <c r="G2122" s="47">
        <v>6542.8456939623602</v>
      </c>
    </row>
    <row r="2123" spans="2:7" x14ac:dyDescent="0.25">
      <c r="B2123" s="49"/>
      <c r="C2123" s="89"/>
      <c r="D2123" s="89"/>
      <c r="E2123" s="47">
        <v>3005.7154194403902</v>
      </c>
      <c r="F2123" s="47">
        <v>1270.58116897073</v>
      </c>
      <c r="G2123" s="47">
        <v>6562.4151800956497</v>
      </c>
    </row>
    <row r="2124" spans="2:7" x14ac:dyDescent="0.25">
      <c r="B2124" s="49"/>
      <c r="C2124" s="89"/>
      <c r="D2124" s="89">
        <v>500</v>
      </c>
      <c r="E2124" s="47">
        <v>2852.1453496844802</v>
      </c>
      <c r="F2124" s="47">
        <v>1566.40808970231</v>
      </c>
      <c r="G2124" s="47">
        <v>6539.3605216964797</v>
      </c>
    </row>
    <row r="2125" spans="2:7" x14ac:dyDescent="0.25">
      <c r="B2125" s="49"/>
      <c r="C2125" s="89"/>
      <c r="D2125" s="89"/>
      <c r="E2125" s="47">
        <v>2864.6223091643401</v>
      </c>
      <c r="F2125" s="47">
        <v>1568.97055175631</v>
      </c>
      <c r="G2125" s="47">
        <v>6659.0517048112797</v>
      </c>
    </row>
    <row r="2126" spans="2:7" x14ac:dyDescent="0.25">
      <c r="B2126" s="49"/>
      <c r="C2126" s="89"/>
      <c r="D2126" s="89"/>
      <c r="E2126" s="47">
        <v>2875.9886051763801</v>
      </c>
      <c r="F2126" s="47">
        <v>1570.5528790527301</v>
      </c>
      <c r="G2126" s="47">
        <v>6736.0729056967702</v>
      </c>
    </row>
    <row r="2127" spans="2:7" x14ac:dyDescent="0.25">
      <c r="B2127" s="49"/>
      <c r="C2127" s="89"/>
      <c r="D2127" s="89"/>
      <c r="E2127" s="47">
        <v>2888.32431919896</v>
      </c>
      <c r="F2127" s="47">
        <v>1571.57919341095</v>
      </c>
      <c r="G2127" s="47">
        <v>6790.2581786712099</v>
      </c>
    </row>
    <row r="2128" spans="2:7" x14ac:dyDescent="0.25">
      <c r="B2128" s="49"/>
      <c r="C2128" s="89"/>
      <c r="D2128" s="89"/>
      <c r="E2128" s="47">
        <v>2902.7824286713198</v>
      </c>
      <c r="F2128" s="47">
        <v>1572.2466125069</v>
      </c>
      <c r="G2128" s="47">
        <v>6830.9811117516301</v>
      </c>
    </row>
    <row r="2129" spans="2:7" x14ac:dyDescent="0.25">
      <c r="B2129" s="49"/>
      <c r="C2129" s="89"/>
      <c r="D2129" s="89"/>
      <c r="E2129" s="47">
        <v>2920.1973803737001</v>
      </c>
      <c r="F2129" s="47">
        <v>1572.65972609964</v>
      </c>
      <c r="G2129" s="47">
        <v>6863.40498495661</v>
      </c>
    </row>
    <row r="2130" spans="2:7" x14ac:dyDescent="0.25">
      <c r="B2130" s="49"/>
      <c r="C2130" s="89"/>
      <c r="D2130" s="89"/>
      <c r="E2130" s="47">
        <v>2941.2445620636699</v>
      </c>
      <c r="F2130" s="47">
        <v>1572.87811562411</v>
      </c>
      <c r="G2130" s="47">
        <v>6890.6413556430198</v>
      </c>
    </row>
    <row r="2131" spans="2:7" x14ac:dyDescent="0.25">
      <c r="B2131" s="49"/>
      <c r="C2131" s="89"/>
      <c r="D2131" s="89"/>
      <c r="E2131" s="47">
        <v>2966.51642522263</v>
      </c>
      <c r="F2131" s="47">
        <v>1572.93739908717</v>
      </c>
      <c r="G2131" s="47">
        <v>6914.7109746774004</v>
      </c>
    </row>
    <row r="2132" spans="2:7" x14ac:dyDescent="0.25">
      <c r="B2132" s="49"/>
      <c r="C2132" s="89"/>
      <c r="D2132" s="89"/>
      <c r="E2132" s="47">
        <v>2996.56645723468</v>
      </c>
      <c r="F2132" s="47">
        <v>1572.8597375706199</v>
      </c>
      <c r="G2132" s="47">
        <v>6937.0288882540299</v>
      </c>
    </row>
    <row r="2133" spans="2:7" x14ac:dyDescent="0.25">
      <c r="B2133" s="49"/>
      <c r="C2133" s="89"/>
      <c r="D2133" s="89"/>
      <c r="E2133" s="47">
        <v>3031.9107378513399</v>
      </c>
      <c r="F2133" s="47">
        <v>1572.6582812248901</v>
      </c>
      <c r="G2133" s="47">
        <v>6958.5943707894903</v>
      </c>
    </row>
    <row r="2134" spans="2:7" x14ac:dyDescent="0.25">
      <c r="B2134" s="49"/>
      <c r="C2134" s="89"/>
      <c r="D2134" s="89">
        <v>600</v>
      </c>
      <c r="E2134" s="47">
        <v>2876.5117257091201</v>
      </c>
      <c r="F2134" s="47">
        <v>1860.07711748418</v>
      </c>
      <c r="G2134" s="47">
        <v>6901.0010233840403</v>
      </c>
    </row>
    <row r="2135" spans="2:7" x14ac:dyDescent="0.25">
      <c r="B2135" s="49"/>
      <c r="C2135" s="89"/>
      <c r="D2135" s="89"/>
      <c r="E2135" s="47">
        <v>2888.47645259511</v>
      </c>
      <c r="F2135" s="47">
        <v>1863.5300601337501</v>
      </c>
      <c r="G2135" s="47">
        <v>7033.5883364044603</v>
      </c>
    </row>
    <row r="2136" spans="2:7" x14ac:dyDescent="0.25">
      <c r="B2136" s="49"/>
      <c r="C2136" s="89"/>
      <c r="D2136" s="89"/>
      <c r="E2136" s="47">
        <v>2899.5114608256199</v>
      </c>
      <c r="F2136" s="47">
        <v>1865.67845572334</v>
      </c>
      <c r="G2136" s="47">
        <v>7119.1317382666602</v>
      </c>
    </row>
    <row r="2137" spans="2:7" x14ac:dyDescent="0.25">
      <c r="B2137" s="49"/>
      <c r="C2137" s="89"/>
      <c r="D2137" s="89"/>
      <c r="E2137" s="47">
        <v>2911.6098802152901</v>
      </c>
      <c r="F2137" s="47">
        <v>1867.08897306738</v>
      </c>
      <c r="G2137" s="47">
        <v>7179.4267985411097</v>
      </c>
    </row>
    <row r="2138" spans="2:7" x14ac:dyDescent="0.25">
      <c r="B2138" s="49"/>
      <c r="C2138" s="89"/>
      <c r="D2138" s="89"/>
      <c r="E2138" s="47">
        <v>2925.8896826492901</v>
      </c>
      <c r="F2138" s="47">
        <v>1868.0265195218899</v>
      </c>
      <c r="G2138" s="47">
        <v>7224.8179905080497</v>
      </c>
    </row>
    <row r="2139" spans="2:7" x14ac:dyDescent="0.25">
      <c r="B2139" s="49"/>
      <c r="C2139" s="89"/>
      <c r="D2139" s="89"/>
      <c r="E2139" s="47">
        <v>2943.1594918024798</v>
      </c>
      <c r="F2139" s="47">
        <v>1868.63129613827</v>
      </c>
      <c r="G2139" s="47">
        <v>7260.9645827265704</v>
      </c>
    </row>
    <row r="2140" spans="2:7" x14ac:dyDescent="0.25">
      <c r="B2140" s="49"/>
      <c r="C2140" s="89"/>
      <c r="D2140" s="89"/>
      <c r="E2140" s="47">
        <v>2964.0795992961798</v>
      </c>
      <c r="F2140" s="47">
        <v>1868.9834853925199</v>
      </c>
      <c r="G2140" s="47">
        <v>7291.2714477265699</v>
      </c>
    </row>
    <row r="2141" spans="2:7" x14ac:dyDescent="0.25">
      <c r="B2141" s="49"/>
      <c r="C2141" s="89"/>
      <c r="D2141" s="89"/>
      <c r="E2141" s="47">
        <v>2989.2345744714798</v>
      </c>
      <c r="F2141" s="47">
        <v>1869.13212931611</v>
      </c>
      <c r="G2141" s="47">
        <v>7317.9748880994603</v>
      </c>
    </row>
    <row r="2142" spans="2:7" x14ac:dyDescent="0.25">
      <c r="B2142" s="49"/>
      <c r="C2142" s="89"/>
      <c r="D2142" s="89"/>
      <c r="E2142" s="47">
        <v>3019.1652795200698</v>
      </c>
      <c r="F2142" s="47">
        <v>1869.1067307271701</v>
      </c>
      <c r="G2142" s="47">
        <v>7342.5814074544396</v>
      </c>
    </row>
    <row r="2143" spans="2:7" x14ac:dyDescent="0.25">
      <c r="B2143" s="49"/>
      <c r="C2143" s="89"/>
      <c r="D2143" s="89"/>
      <c r="E2143" s="47">
        <v>3054.3849158723801</v>
      </c>
      <c r="F2143" s="47">
        <v>1868.92529779094</v>
      </c>
      <c r="G2143" s="47">
        <v>7366.1664261138103</v>
      </c>
    </row>
    <row r="2144" spans="2:7" x14ac:dyDescent="0.25">
      <c r="B2144" s="49"/>
      <c r="C2144" s="89"/>
      <c r="D2144" s="89">
        <v>700</v>
      </c>
      <c r="E2144" s="47">
        <v>2897.7186444030499</v>
      </c>
      <c r="F2144" s="47">
        <v>2147.6182303266601</v>
      </c>
      <c r="G2144" s="47">
        <v>7272.2049153470098</v>
      </c>
    </row>
    <row r="2145" spans="2:7" x14ac:dyDescent="0.25">
      <c r="B2145" s="49"/>
      <c r="C2145" s="89"/>
      <c r="D2145" s="89"/>
      <c r="E2145" s="47">
        <v>2909.0831252050998</v>
      </c>
      <c r="F2145" s="47">
        <v>2152.09022907605</v>
      </c>
      <c r="G2145" s="47">
        <v>7417.6872738156098</v>
      </c>
    </row>
    <row r="2146" spans="2:7" x14ac:dyDescent="0.25">
      <c r="B2146" s="49"/>
      <c r="C2146" s="89"/>
      <c r="D2146" s="89"/>
      <c r="E2146" s="47">
        <v>2919.72937161344</v>
      </c>
      <c r="F2146" s="47">
        <v>2154.8913601569702</v>
      </c>
      <c r="G2146" s="47">
        <v>7511.8061386056697</v>
      </c>
    </row>
    <row r="2147" spans="2:7" x14ac:dyDescent="0.25">
      <c r="B2147" s="49"/>
      <c r="C2147" s="89"/>
      <c r="D2147" s="89"/>
      <c r="E2147" s="47">
        <v>2931.5451580323402</v>
      </c>
      <c r="F2147" s="47">
        <v>2156.7510028104598</v>
      </c>
      <c r="G2147" s="47">
        <v>7578.32997573785</v>
      </c>
    </row>
    <row r="2148" spans="2:7" x14ac:dyDescent="0.25">
      <c r="B2148" s="49"/>
      <c r="C2148" s="89"/>
      <c r="D2148" s="89"/>
      <c r="E2148" s="47">
        <v>2945.6147220294001</v>
      </c>
      <c r="F2148" s="47">
        <v>2158.0092591419598</v>
      </c>
      <c r="G2148" s="47">
        <v>7628.5131859881503</v>
      </c>
    </row>
    <row r="2149" spans="2:7" x14ac:dyDescent="0.25">
      <c r="B2149" s="49"/>
      <c r="C2149" s="89"/>
      <c r="D2149" s="89"/>
      <c r="E2149" s="47">
        <v>2962.7147684792299</v>
      </c>
      <c r="F2149" s="47">
        <v>2158.8469056212598</v>
      </c>
      <c r="G2149" s="47">
        <v>7668.5075499089498</v>
      </c>
    </row>
    <row r="2150" spans="2:7" x14ac:dyDescent="0.25">
      <c r="B2150" s="49"/>
      <c r="C2150" s="89"/>
      <c r="D2150" s="89"/>
      <c r="E2150" s="47">
        <v>2983.4938533940699</v>
      </c>
      <c r="F2150" s="47">
        <v>2159.36854469641</v>
      </c>
      <c r="G2150" s="47">
        <v>7702.0422677933102</v>
      </c>
    </row>
    <row r="2151" spans="2:7" x14ac:dyDescent="0.25">
      <c r="B2151" s="49"/>
      <c r="C2151" s="89"/>
      <c r="D2151" s="89"/>
      <c r="E2151" s="47">
        <v>3008.5152701462698</v>
      </c>
      <c r="F2151" s="47">
        <v>2159.6366360173201</v>
      </c>
      <c r="G2151" s="47">
        <v>7731.4933346848402</v>
      </c>
    </row>
    <row r="2152" spans="2:7" x14ac:dyDescent="0.25">
      <c r="B2152" s="49"/>
      <c r="C2152" s="89"/>
      <c r="D2152" s="89"/>
      <c r="E2152" s="47">
        <v>3038.31452364505</v>
      </c>
      <c r="F2152" s="47">
        <v>2159.6895563584899</v>
      </c>
      <c r="G2152" s="47">
        <v>7758.4822875795298</v>
      </c>
    </row>
    <row r="2153" spans="2:7" x14ac:dyDescent="0.25">
      <c r="B2153" s="49"/>
      <c r="C2153" s="89"/>
      <c r="D2153" s="89"/>
      <c r="E2153" s="47">
        <v>3073.3984953163799</v>
      </c>
      <c r="F2153" s="47">
        <v>2159.5518740379398</v>
      </c>
      <c r="G2153" s="47">
        <v>7784.18665787604</v>
      </c>
    </row>
    <row r="2154" spans="2:7" x14ac:dyDescent="0.25">
      <c r="B2154" s="49"/>
      <c r="C2154" s="89"/>
      <c r="D2154" s="89">
        <v>800</v>
      </c>
      <c r="E2154" s="47">
        <v>2915.9447137247198</v>
      </c>
      <c r="F2154" s="47">
        <v>2429.1412110215301</v>
      </c>
      <c r="G2154" s="47">
        <v>7651.3899322940497</v>
      </c>
    </row>
    <row r="2155" spans="2:7" x14ac:dyDescent="0.25">
      <c r="B2155" s="49"/>
      <c r="C2155" s="89"/>
      <c r="D2155" s="89"/>
      <c r="E2155" s="47">
        <v>2926.6675477620602</v>
      </c>
      <c r="F2155" s="47">
        <v>2434.8102550503299</v>
      </c>
      <c r="G2155" s="47">
        <v>7811.0885197769103</v>
      </c>
    </row>
    <row r="2156" spans="2:7" x14ac:dyDescent="0.25">
      <c r="B2156" s="49"/>
      <c r="C2156" s="89"/>
      <c r="D2156" s="89"/>
      <c r="E2156" s="47">
        <v>2936.9036910139998</v>
      </c>
      <c r="F2156" s="47">
        <v>2438.3790605295899</v>
      </c>
      <c r="G2156" s="47">
        <v>7914.5785484710204</v>
      </c>
    </row>
    <row r="2157" spans="2:7" x14ac:dyDescent="0.25">
      <c r="B2157" s="49"/>
      <c r="C2157" s="89"/>
      <c r="D2157" s="89"/>
      <c r="E2157" s="47">
        <v>2948.4285635013898</v>
      </c>
      <c r="F2157" s="47">
        <v>2440.7655273834098</v>
      </c>
      <c r="G2157" s="47">
        <v>7987.76220132036</v>
      </c>
    </row>
    <row r="2158" spans="2:7" x14ac:dyDescent="0.25">
      <c r="B2158" s="49"/>
      <c r="C2158" s="89"/>
      <c r="D2158" s="89"/>
      <c r="E2158" s="47">
        <v>2962.2761694338401</v>
      </c>
      <c r="F2158" s="47">
        <v>2442.4015369368999</v>
      </c>
      <c r="G2158" s="47">
        <v>8042.9934252033599</v>
      </c>
    </row>
    <row r="2159" spans="2:7" x14ac:dyDescent="0.25">
      <c r="B2159" s="49"/>
      <c r="C2159" s="89"/>
      <c r="D2159" s="89"/>
      <c r="E2159" s="47">
        <v>2979.1986658699002</v>
      </c>
      <c r="F2159" s="47">
        <v>2443.5170758812701</v>
      </c>
      <c r="G2159" s="47">
        <v>8087.0216871477796</v>
      </c>
    </row>
    <row r="2160" spans="2:7" x14ac:dyDescent="0.25">
      <c r="B2160" s="49"/>
      <c r="C2160" s="89"/>
      <c r="D2160" s="89"/>
      <c r="E2160" s="47">
        <v>2999.8124820715602</v>
      </c>
      <c r="F2160" s="47">
        <v>2444.2435890428601</v>
      </c>
      <c r="G2160" s="47">
        <v>8123.8626429345904</v>
      </c>
    </row>
    <row r="2161" spans="2:7" x14ac:dyDescent="0.25">
      <c r="B2161" s="49"/>
      <c r="C2161" s="89"/>
      <c r="D2161" s="89"/>
      <c r="E2161" s="47">
        <v>3024.6850635354299</v>
      </c>
      <c r="F2161" s="47">
        <v>2444.65990778181</v>
      </c>
      <c r="G2161" s="47">
        <v>8156.09344850251</v>
      </c>
    </row>
    <row r="2162" spans="2:7" x14ac:dyDescent="0.25">
      <c r="B2162" s="49"/>
      <c r="C2162" s="89"/>
      <c r="D2162" s="89"/>
      <c r="E2162" s="47">
        <v>3054.3409975771301</v>
      </c>
      <c r="F2162" s="47">
        <v>2444.8159436953902</v>
      </c>
      <c r="G2162" s="47">
        <v>8185.4862280606103</v>
      </c>
    </row>
    <row r="2163" spans="2:7" x14ac:dyDescent="0.25">
      <c r="B2163" s="49"/>
      <c r="C2163" s="89"/>
      <c r="D2163" s="89"/>
      <c r="E2163" s="47">
        <v>3089.2790675681499</v>
      </c>
      <c r="F2163" s="47">
        <v>2444.7440021877401</v>
      </c>
      <c r="G2163" s="47">
        <v>8213.3232670714297</v>
      </c>
    </row>
    <row r="2164" spans="2:7" x14ac:dyDescent="0.25">
      <c r="B2164" s="49"/>
      <c r="C2164" s="89"/>
      <c r="D2164" s="89">
        <v>900</v>
      </c>
      <c r="E2164" s="47">
        <v>2931.48800804146</v>
      </c>
      <c r="F2164" s="47">
        <v>2704.8373050914302</v>
      </c>
      <c r="G2164" s="47">
        <v>8039.7751207236697</v>
      </c>
    </row>
    <row r="2165" spans="2:7" x14ac:dyDescent="0.25">
      <c r="B2165" s="49"/>
      <c r="C2165" s="89"/>
      <c r="D2165" s="89"/>
      <c r="E2165" s="47">
        <v>2941.48604862615</v>
      </c>
      <c r="F2165" s="47">
        <v>2711.8398202530602</v>
      </c>
      <c r="G2165" s="47">
        <v>8213.5415738257307</v>
      </c>
    </row>
    <row r="2166" spans="2:7" x14ac:dyDescent="0.25">
      <c r="B2166" s="49"/>
      <c r="C2166" s="89"/>
      <c r="D2166" s="89"/>
      <c r="E2166" s="47">
        <v>2951.2477362780501</v>
      </c>
      <c r="F2166" s="47">
        <v>2716.2675069529701</v>
      </c>
      <c r="G2166" s="47">
        <v>8326.3290304269594</v>
      </c>
    </row>
    <row r="2167" spans="2:7" x14ac:dyDescent="0.25">
      <c r="B2167" s="49"/>
      <c r="C2167" s="89"/>
      <c r="D2167" s="89"/>
      <c r="E2167" s="47">
        <v>2962.44003371193</v>
      </c>
      <c r="F2167" s="47">
        <v>2719.25116642488</v>
      </c>
      <c r="G2167" s="47">
        <v>8406.2546345029696</v>
      </c>
    </row>
    <row r="2168" spans="2:7" x14ac:dyDescent="0.25">
      <c r="B2168" s="49"/>
      <c r="C2168" s="89"/>
      <c r="D2168" s="89"/>
      <c r="E2168" s="47">
        <v>2976.0376990516602</v>
      </c>
      <c r="F2168" s="47">
        <v>2721.3209926925001</v>
      </c>
      <c r="G2168" s="47">
        <v>8466.6632957114598</v>
      </c>
    </row>
    <row r="2169" spans="2:7" x14ac:dyDescent="0.25">
      <c r="B2169" s="49"/>
      <c r="C2169" s="89"/>
      <c r="D2169" s="89"/>
      <c r="E2169" s="47">
        <v>2992.7558123184199</v>
      </c>
      <c r="F2169" s="47">
        <v>2722.7594323603698</v>
      </c>
      <c r="G2169" s="47">
        <v>8514.8297214650793</v>
      </c>
    </row>
    <row r="2170" spans="2:7" x14ac:dyDescent="0.25">
      <c r="B2170" s="49"/>
      <c r="C2170" s="89"/>
      <c r="D2170" s="89"/>
      <c r="E2170" s="47">
        <v>3013.2045187005001</v>
      </c>
      <c r="F2170" s="47">
        <v>2723.7275299396601</v>
      </c>
      <c r="G2170" s="47">
        <v>8555.0741608668595</v>
      </c>
    </row>
    <row r="2171" spans="2:7" x14ac:dyDescent="0.25">
      <c r="B2171" s="49"/>
      <c r="C2171" s="89"/>
      <c r="D2171" s="89"/>
      <c r="E2171" s="47">
        <v>3037.92500306388</v>
      </c>
      <c r="F2171" s="47">
        <v>2724.3244373354</v>
      </c>
      <c r="G2171" s="47">
        <v>8590.1967145858998</v>
      </c>
    </row>
    <row r="2172" spans="2:7" x14ac:dyDescent="0.25">
      <c r="B2172" s="49"/>
      <c r="C2172" s="89"/>
      <c r="D2172" s="89"/>
      <c r="E2172" s="47">
        <v>3067.43708792391</v>
      </c>
      <c r="F2172" s="47">
        <v>2724.6119575785101</v>
      </c>
      <c r="G2172" s="47">
        <v>8622.0983872648394</v>
      </c>
    </row>
    <row r="2173" spans="2:7" x14ac:dyDescent="0.25">
      <c r="B2173" s="49"/>
      <c r="C2173" s="89"/>
      <c r="D2173" s="89"/>
      <c r="E2173" s="47">
        <v>3102.2377344967799</v>
      </c>
      <c r="F2173" s="47">
        <v>2724.6320906781598</v>
      </c>
      <c r="G2173" s="47">
        <v>8652.1930861316396</v>
      </c>
    </row>
    <row r="2174" spans="2:7" x14ac:dyDescent="0.25">
      <c r="B2174" s="49"/>
      <c r="C2174" s="89"/>
      <c r="D2174" s="89">
        <v>1000</v>
      </c>
      <c r="E2174" s="47">
        <v>2944.4515941013401</v>
      </c>
      <c r="F2174" s="47">
        <v>2974.7666089099498</v>
      </c>
      <c r="G2174" s="47">
        <v>8435.2430274812104</v>
      </c>
    </row>
    <row r="2175" spans="2:7" x14ac:dyDescent="0.25">
      <c r="B2175" s="49"/>
      <c r="C2175" s="89"/>
      <c r="D2175" s="89"/>
      <c r="E2175" s="47">
        <v>2953.7405402527502</v>
      </c>
      <c r="F2175" s="47">
        <v>2983.3171288664798</v>
      </c>
      <c r="G2175" s="47">
        <v>8624.6960783754002</v>
      </c>
    </row>
    <row r="2176" spans="2:7" x14ac:dyDescent="0.25">
      <c r="B2176" s="49"/>
      <c r="C2176" s="89"/>
      <c r="D2176" s="89"/>
      <c r="E2176" s="47">
        <v>2963.0362491687101</v>
      </c>
      <c r="F2176" s="47">
        <v>2988.7400646004198</v>
      </c>
      <c r="G2176" s="47">
        <v>8747.7350446771907</v>
      </c>
    </row>
    <row r="2177" spans="2:7" x14ac:dyDescent="0.25">
      <c r="B2177" s="49"/>
      <c r="C2177" s="89"/>
      <c r="D2177" s="89"/>
      <c r="E2177" s="47">
        <v>2973.8786488067399</v>
      </c>
      <c r="F2177" s="47">
        <v>2992.4130706420201</v>
      </c>
      <c r="G2177" s="47">
        <v>8834.9326626326601</v>
      </c>
    </row>
    <row r="2178" spans="2:7" x14ac:dyDescent="0.25">
      <c r="B2178" s="49"/>
      <c r="C2178" s="89"/>
      <c r="D2178" s="89"/>
      <c r="E2178" s="47">
        <v>2987.20453989001</v>
      </c>
      <c r="F2178" s="47">
        <v>2994.9839319889802</v>
      </c>
      <c r="G2178" s="47">
        <v>8900.8438555039793</v>
      </c>
    </row>
    <row r="2179" spans="2:7" x14ac:dyDescent="0.25">
      <c r="B2179" s="49"/>
      <c r="C2179" s="89"/>
      <c r="D2179" s="89"/>
      <c r="E2179" s="47">
        <v>3003.7054592612299</v>
      </c>
      <c r="F2179" s="47">
        <v>2996.7951105749898</v>
      </c>
      <c r="G2179" s="47">
        <v>8953.3292224455308</v>
      </c>
    </row>
    <row r="2180" spans="2:7" x14ac:dyDescent="0.25">
      <c r="B2180" s="49"/>
      <c r="C2180" s="89"/>
      <c r="D2180" s="89"/>
      <c r="E2180" s="47">
        <v>3023.96959555886</v>
      </c>
      <c r="F2180" s="47">
        <v>2998.0448038251802</v>
      </c>
      <c r="G2180" s="47">
        <v>8997.0975938505308</v>
      </c>
    </row>
    <row r="2181" spans="2:7" x14ac:dyDescent="0.25">
      <c r="B2181" s="49"/>
      <c r="C2181" s="89"/>
      <c r="D2181" s="89"/>
      <c r="E2181" s="47">
        <v>3048.5228780566099</v>
      </c>
      <c r="F2181" s="47">
        <v>2998.8528565430602</v>
      </c>
      <c r="G2181" s="47">
        <v>9035.1405031215909</v>
      </c>
    </row>
    <row r="2182" spans="2:7" x14ac:dyDescent="0.25">
      <c r="B2182" s="49"/>
      <c r="C2182" s="89"/>
      <c r="D2182" s="89"/>
      <c r="E2182" s="47">
        <v>3077.8788767825299</v>
      </c>
      <c r="F2182" s="47">
        <v>2999.2995246372798</v>
      </c>
      <c r="G2182" s="47">
        <v>9069.5989816822403</v>
      </c>
    </row>
    <row r="2183" spans="2:7" x14ac:dyDescent="0.25">
      <c r="B2183" s="49"/>
      <c r="C2183" s="89"/>
      <c r="D2183" s="89"/>
      <c r="E2183" s="47">
        <v>3112.5276102849798</v>
      </c>
      <c r="F2183" s="47">
        <v>2999.4343921824898</v>
      </c>
      <c r="G2183" s="47">
        <v>9101.9425498688306</v>
      </c>
    </row>
    <row r="2184" spans="2:7" x14ac:dyDescent="0.25">
      <c r="B2184" s="49"/>
      <c r="C2184" s="89"/>
      <c r="D2184" s="89">
        <v>1100</v>
      </c>
      <c r="E2184" s="47">
        <v>2955.1197964128401</v>
      </c>
      <c r="F2184" s="47">
        <v>3239.0984457463801</v>
      </c>
      <c r="G2184" s="47">
        <v>8838.7483874961199</v>
      </c>
    </row>
    <row r="2185" spans="2:7" x14ac:dyDescent="0.25">
      <c r="B2185" s="49"/>
      <c r="C2185" s="89"/>
      <c r="D2185" s="89"/>
      <c r="E2185" s="47">
        <v>2963.6030289938999</v>
      </c>
      <c r="F2185" s="47">
        <v>3249.34016336782</v>
      </c>
      <c r="G2185" s="47">
        <v>9043.5929758396996</v>
      </c>
    </row>
    <row r="2186" spans="2:7" x14ac:dyDescent="0.25">
      <c r="B2186" s="49"/>
      <c r="C2186" s="89"/>
      <c r="D2186" s="89"/>
      <c r="E2186" s="47">
        <v>2972.3739276794499</v>
      </c>
      <c r="F2186" s="47">
        <v>3255.8529019883299</v>
      </c>
      <c r="G2186" s="47">
        <v>9176.7128696140007</v>
      </c>
    </row>
    <row r="2187" spans="2:7" x14ac:dyDescent="0.25">
      <c r="B2187" s="49"/>
      <c r="C2187" s="89"/>
      <c r="D2187" s="89"/>
      <c r="E2187" s="47">
        <v>2982.8556273968002</v>
      </c>
      <c r="F2187" s="47">
        <v>3260.2875670029298</v>
      </c>
      <c r="G2187" s="47">
        <v>9271.1871688429801</v>
      </c>
    </row>
    <row r="2188" spans="2:7" x14ac:dyDescent="0.25">
      <c r="B2188" s="49"/>
      <c r="C2188" s="89"/>
      <c r="D2188" s="89"/>
      <c r="E2188" s="47">
        <v>2995.91252109887</v>
      </c>
      <c r="F2188" s="47">
        <v>3263.41545486627</v>
      </c>
      <c r="G2188" s="47">
        <v>9342.6377088378504</v>
      </c>
    </row>
    <row r="2189" spans="2:7" x14ac:dyDescent="0.25">
      <c r="B2189" s="49"/>
      <c r="C2189" s="89"/>
      <c r="D2189" s="89"/>
      <c r="E2189" s="47">
        <v>3012.1962012256599</v>
      </c>
      <c r="F2189" s="47">
        <v>3265.6466621516101</v>
      </c>
      <c r="G2189" s="47">
        <v>9399.5327042061908</v>
      </c>
    </row>
    <row r="2190" spans="2:7" x14ac:dyDescent="0.25">
      <c r="B2190" s="49"/>
      <c r="C2190" s="89"/>
      <c r="D2190" s="89"/>
      <c r="E2190" s="47">
        <v>3032.27034188772</v>
      </c>
      <c r="F2190" s="47">
        <v>3267.2206223027001</v>
      </c>
      <c r="G2190" s="47">
        <v>9446.9717248950092</v>
      </c>
    </row>
    <row r="2191" spans="2:7" x14ac:dyDescent="0.25">
      <c r="B2191" s="49"/>
      <c r="C2191" s="89"/>
      <c r="D2191" s="89"/>
      <c r="E2191" s="47">
        <v>3056.6624620834</v>
      </c>
      <c r="F2191" s="47">
        <v>3268.2802480723799</v>
      </c>
      <c r="G2191" s="47">
        <v>9488.1613735855899</v>
      </c>
    </row>
    <row r="2192" spans="2:7" x14ac:dyDescent="0.25">
      <c r="B2192" s="49"/>
      <c r="C2192" s="89"/>
      <c r="D2192" s="89"/>
      <c r="E2192" s="47">
        <v>3085.8642999928102</v>
      </c>
      <c r="F2192" s="47">
        <v>3268.9187025783999</v>
      </c>
      <c r="G2192" s="47">
        <v>9525.3171314252995</v>
      </c>
    </row>
    <row r="2193" spans="2:7" x14ac:dyDescent="0.25">
      <c r="B2193" s="49"/>
      <c r="C2193" s="89"/>
      <c r="D2193" s="89"/>
      <c r="E2193" s="47">
        <v>3120.35928642709</v>
      </c>
      <c r="F2193" s="47">
        <v>3269.1966704771098</v>
      </c>
      <c r="G2193" s="47">
        <v>9560.0209851762902</v>
      </c>
    </row>
    <row r="2194" spans="2:7" x14ac:dyDescent="0.25">
      <c r="B2194" s="49"/>
      <c r="C2194" s="89"/>
      <c r="D2194" s="89">
        <v>1200</v>
      </c>
      <c r="E2194" s="47">
        <v>2963.6368408835701</v>
      </c>
      <c r="F2194" s="47">
        <v>3497.9700931026</v>
      </c>
      <c r="G2194" s="47">
        <v>9250.3206915836399</v>
      </c>
    </row>
    <row r="2195" spans="2:7" x14ac:dyDescent="0.25">
      <c r="B2195" s="49"/>
      <c r="C2195" s="89"/>
      <c r="D2195" s="89"/>
      <c r="E2195" s="47">
        <v>2971.3274747865498</v>
      </c>
      <c r="F2195" s="47">
        <v>3510.10926189362</v>
      </c>
      <c r="G2195" s="47">
        <v>9471.5267393296599</v>
      </c>
    </row>
    <row r="2196" spans="2:7" x14ac:dyDescent="0.25">
      <c r="B2196" s="49"/>
      <c r="C2196" s="89"/>
      <c r="D2196" s="89"/>
      <c r="E2196" s="47">
        <v>2979.5608165926701</v>
      </c>
      <c r="F2196" s="47">
        <v>3517.85037392704</v>
      </c>
      <c r="G2196" s="47">
        <v>9615.4055787736306</v>
      </c>
    </row>
    <row r="2197" spans="2:7" x14ac:dyDescent="0.25">
      <c r="B2197" s="49"/>
      <c r="C2197" s="89"/>
      <c r="D2197" s="89"/>
      <c r="E2197" s="47">
        <v>2989.6452661981002</v>
      </c>
      <c r="F2197" s="47">
        <v>3523.1341747761899</v>
      </c>
      <c r="G2197" s="47">
        <v>9717.4023946773796</v>
      </c>
    </row>
    <row r="2198" spans="2:7" x14ac:dyDescent="0.25">
      <c r="B2198" s="49"/>
      <c r="C2198" s="89"/>
      <c r="D2198" s="89"/>
      <c r="E2198" s="47">
        <v>3002.4014204958798</v>
      </c>
      <c r="F2198" s="47">
        <v>3526.8773784988002</v>
      </c>
      <c r="G2198" s="47">
        <v>9794.4300584352495</v>
      </c>
    </row>
    <row r="2199" spans="2:7" x14ac:dyDescent="0.25">
      <c r="B2199" s="49"/>
      <c r="C2199" s="89"/>
      <c r="D2199" s="89"/>
      <c r="E2199" s="47">
        <v>3018.4389386913799</v>
      </c>
      <c r="F2199" s="47">
        <v>3529.5762958693399</v>
      </c>
      <c r="G2199" s="47">
        <v>9855.7836268867904</v>
      </c>
    </row>
    <row r="2200" spans="2:7" x14ac:dyDescent="0.25">
      <c r="B2200" s="49"/>
      <c r="C2200" s="89"/>
      <c r="D2200" s="89"/>
      <c r="E2200" s="47">
        <v>3038.3144901743599</v>
      </c>
      <c r="F2200" s="47">
        <v>3531.5090970354699</v>
      </c>
      <c r="G2200" s="47">
        <v>9906.8562101088191</v>
      </c>
    </row>
    <row r="2201" spans="2:7" x14ac:dyDescent="0.25">
      <c r="B2201" s="49"/>
      <c r="C2201" s="89"/>
      <c r="D2201" s="89"/>
      <c r="E2201" s="47">
        <v>3062.5267735103098</v>
      </c>
      <c r="F2201" s="47">
        <v>3532.84822914284</v>
      </c>
      <c r="G2201" s="47">
        <v>9951.1207597836092</v>
      </c>
    </row>
    <row r="2202" spans="2:7" x14ac:dyDescent="0.25">
      <c r="B2202" s="49"/>
      <c r="C2202" s="89"/>
      <c r="D2202" s="89"/>
      <c r="E2202" s="47">
        <v>3091.5658175122999</v>
      </c>
      <c r="F2202" s="47">
        <v>3533.7046277013101</v>
      </c>
      <c r="G2202" s="47">
        <v>9990.9555971160607</v>
      </c>
    </row>
    <row r="2203" spans="2:7" x14ac:dyDescent="0.25">
      <c r="B2203" s="49"/>
      <c r="C2203" s="89"/>
      <c r="D2203" s="89"/>
      <c r="E2203" s="47">
        <v>3125.9075534530598</v>
      </c>
      <c r="F2203" s="47">
        <v>3534.1512044732599</v>
      </c>
      <c r="G2203" s="47">
        <v>10028.054528283001</v>
      </c>
    </row>
    <row r="2204" spans="2:7" x14ac:dyDescent="0.25">
      <c r="B2204" s="49"/>
      <c r="C2204" s="89">
        <v>5</v>
      </c>
      <c r="D2204" s="89">
        <v>0</v>
      </c>
      <c r="E2204" s="47">
        <v>2800.7940962788898</v>
      </c>
      <c r="F2204" s="47">
        <v>0</v>
      </c>
      <c r="G2204" s="47">
        <v>5484.8937100896101</v>
      </c>
    </row>
    <row r="2205" spans="2:7" x14ac:dyDescent="0.25">
      <c r="B2205" s="49"/>
      <c r="C2205" s="89"/>
      <c r="D2205" s="89"/>
      <c r="E2205" s="47">
        <v>2810.25303642481</v>
      </c>
      <c r="F2205" s="47">
        <v>0</v>
      </c>
      <c r="G2205" s="47">
        <v>5492.3909245721297</v>
      </c>
    </row>
    <row r="2206" spans="2:7" x14ac:dyDescent="0.25">
      <c r="B2206" s="49"/>
      <c r="C2206" s="89"/>
      <c r="D2206" s="89"/>
      <c r="E2206" s="47">
        <v>2819.7119765707198</v>
      </c>
      <c r="F2206" s="47">
        <v>0</v>
      </c>
      <c r="G2206" s="47">
        <v>5499.8881390546503</v>
      </c>
    </row>
    <row r="2207" spans="2:7" x14ac:dyDescent="0.25">
      <c r="B2207" s="49"/>
      <c r="C2207" s="89"/>
      <c r="D2207" s="89"/>
      <c r="E2207" s="47">
        <v>2830.5861803378698</v>
      </c>
      <c r="F2207" s="47">
        <v>0</v>
      </c>
      <c r="G2207" s="47">
        <v>5506.8417874290799</v>
      </c>
    </row>
    <row r="2208" spans="2:7" x14ac:dyDescent="0.25">
      <c r="B2208" s="49"/>
      <c r="C2208" s="89"/>
      <c r="D2208" s="89"/>
      <c r="E2208" s="47">
        <v>2841.9321386454399</v>
      </c>
      <c r="F2208" s="47">
        <v>0</v>
      </c>
      <c r="G2208" s="47">
        <v>5513.6142471008297</v>
      </c>
    </row>
    <row r="2209" spans="2:7" x14ac:dyDescent="0.25">
      <c r="B2209" s="49"/>
      <c r="C2209" s="89"/>
      <c r="D2209" s="89"/>
      <c r="E2209" s="47">
        <v>2854.3492392284502</v>
      </c>
      <c r="F2209" s="47">
        <v>0</v>
      </c>
      <c r="G2209" s="47">
        <v>5520.2454852298897</v>
      </c>
    </row>
    <row r="2210" spans="2:7" x14ac:dyDescent="0.25">
      <c r="B2210" s="49"/>
      <c r="C2210" s="89"/>
      <c r="D2210" s="89"/>
      <c r="E2210" s="47">
        <v>2867.8374820869199</v>
      </c>
      <c r="F2210" s="47">
        <v>0</v>
      </c>
      <c r="G2210" s="47">
        <v>5526.7355018162798</v>
      </c>
    </row>
    <row r="2211" spans="2:7" x14ac:dyDescent="0.25">
      <c r="B2211" s="49"/>
      <c r="C2211" s="89"/>
      <c r="D2211" s="89"/>
      <c r="E2211" s="47">
        <v>2881.9208360195798</v>
      </c>
      <c r="F2211" s="47">
        <v>0</v>
      </c>
      <c r="G2211" s="47">
        <v>5533.2336797011403</v>
      </c>
    </row>
    <row r="2212" spans="2:7" x14ac:dyDescent="0.25">
      <c r="B2212" s="49"/>
      <c r="C2212" s="89"/>
      <c r="D2212" s="89"/>
      <c r="E2212" s="47">
        <v>2897.7895231748498</v>
      </c>
      <c r="F2212" s="47">
        <v>0</v>
      </c>
      <c r="G2212" s="47">
        <v>5539.7563414814404</v>
      </c>
    </row>
    <row r="2213" spans="2:7" x14ac:dyDescent="0.25">
      <c r="B2213" s="49"/>
      <c r="C2213" s="89"/>
      <c r="D2213" s="89"/>
      <c r="E2213" s="47">
        <v>2913.6582103301098</v>
      </c>
      <c r="F2213" s="47">
        <v>0</v>
      </c>
      <c r="G2213" s="47">
        <v>5546.2790032617304</v>
      </c>
    </row>
    <row r="2214" spans="2:7" x14ac:dyDescent="0.25">
      <c r="B2214" s="49"/>
      <c r="C2214" s="89"/>
      <c r="D2214" s="89">
        <v>100</v>
      </c>
      <c r="E2214" s="47">
        <v>2806.4191810970901</v>
      </c>
      <c r="F2214" s="47">
        <v>323.12866030123303</v>
      </c>
      <c r="G2214" s="47">
        <v>5789.7548303240301</v>
      </c>
    </row>
    <row r="2215" spans="2:7" x14ac:dyDescent="0.25">
      <c r="B2215" s="49"/>
      <c r="C2215" s="89"/>
      <c r="D2215" s="89"/>
      <c r="E2215" s="47">
        <v>2816.2584645166298</v>
      </c>
      <c r="F2215" s="47">
        <v>323.18050684909599</v>
      </c>
      <c r="G2215" s="47">
        <v>5809.2085981361997</v>
      </c>
    </row>
    <row r="2216" spans="2:7" x14ac:dyDescent="0.25">
      <c r="B2216" s="49"/>
      <c r="C2216" s="89"/>
      <c r="D2216" s="89"/>
      <c r="E2216" s="47">
        <v>2827.0631740604499</v>
      </c>
      <c r="F2216" s="47">
        <v>323.21901489132199</v>
      </c>
      <c r="G2216" s="47">
        <v>5826.6443180536598</v>
      </c>
    </row>
    <row r="2217" spans="2:7" x14ac:dyDescent="0.25">
      <c r="B2217" s="49"/>
      <c r="C2217" s="89"/>
      <c r="D2217" s="89"/>
      <c r="E2217" s="47">
        <v>2838.8333097285599</v>
      </c>
      <c r="F2217" s="47">
        <v>323.24418442791102</v>
      </c>
      <c r="G2217" s="47">
        <v>5842.0619900764004</v>
      </c>
    </row>
    <row r="2218" spans="2:7" x14ac:dyDescent="0.25">
      <c r="B2218" s="49"/>
      <c r="C2218" s="89"/>
      <c r="D2218" s="89"/>
      <c r="E2218" s="47">
        <v>2853.0105126119402</v>
      </c>
      <c r="F2218" s="47">
        <v>323.24838241933702</v>
      </c>
      <c r="G2218" s="47">
        <v>5855.0666252392002</v>
      </c>
    </row>
    <row r="2219" spans="2:7" x14ac:dyDescent="0.25">
      <c r="B2219" s="49"/>
      <c r="C2219" s="89"/>
      <c r="D2219" s="89"/>
      <c r="E2219" s="47">
        <v>2868.5975422966499</v>
      </c>
      <c r="F2219" s="47">
        <v>323.24375295732602</v>
      </c>
      <c r="G2219" s="47">
        <v>5867.3943952805603</v>
      </c>
    </row>
    <row r="2220" spans="2:7" x14ac:dyDescent="0.25">
      <c r="B2220" s="49"/>
      <c r="C2220" s="89"/>
      <c r="D2220" s="89"/>
      <c r="E2220" s="47">
        <v>2885.5943987827</v>
      </c>
      <c r="F2220" s="47">
        <v>323.23029604187701</v>
      </c>
      <c r="G2220" s="47">
        <v>5879.0453002004597</v>
      </c>
    </row>
    <row r="2221" spans="2:7" x14ac:dyDescent="0.25">
      <c r="B2221" s="49"/>
      <c r="C2221" s="89"/>
      <c r="D2221" s="89"/>
      <c r="E2221" s="47">
        <v>2905.7907292459299</v>
      </c>
      <c r="F2221" s="47">
        <v>323.201092736514</v>
      </c>
      <c r="G2221" s="47">
        <v>5890.07373387812</v>
      </c>
    </row>
    <row r="2222" spans="2:7" x14ac:dyDescent="0.25">
      <c r="B2222" s="49"/>
      <c r="C2222" s="89"/>
      <c r="D2222" s="89"/>
      <c r="E2222" s="47">
        <v>2927.7643440339298</v>
      </c>
      <c r="F2222" s="47">
        <v>323.16454261734901</v>
      </c>
      <c r="G2222" s="47">
        <v>5901.0547159948701</v>
      </c>
    </row>
    <row r="2223" spans="2:7" x14ac:dyDescent="0.25">
      <c r="B2223" s="49"/>
      <c r="C2223" s="89"/>
      <c r="D2223" s="89"/>
      <c r="E2223" s="47">
        <v>2951.51524314669</v>
      </c>
      <c r="F2223" s="47">
        <v>323.12064568438399</v>
      </c>
      <c r="G2223" s="47">
        <v>5911.9882465507098</v>
      </c>
    </row>
    <row r="2224" spans="2:7" x14ac:dyDescent="0.25">
      <c r="B2224" s="49"/>
      <c r="C2224" s="89"/>
      <c r="D2224" s="89">
        <v>200</v>
      </c>
      <c r="E2224" s="47">
        <v>2827.5103537606701</v>
      </c>
      <c r="F2224" s="47">
        <v>639.31677886778505</v>
      </c>
      <c r="G2224" s="47">
        <v>6106.1613941587402</v>
      </c>
    </row>
    <row r="2225" spans="2:7" x14ac:dyDescent="0.25">
      <c r="B2225" s="49"/>
      <c r="C2225" s="89"/>
      <c r="D2225" s="89"/>
      <c r="E2225" s="47">
        <v>2837.3259150438998</v>
      </c>
      <c r="F2225" s="47">
        <v>639.56267115487697</v>
      </c>
      <c r="G2225" s="47">
        <v>6140.7225240185198</v>
      </c>
    </row>
    <row r="2226" spans="2:7" x14ac:dyDescent="0.25">
      <c r="B2226" s="49"/>
      <c r="C2226" s="89"/>
      <c r="D2226" s="89"/>
      <c r="E2226" s="47">
        <v>2848.2825164620899</v>
      </c>
      <c r="F2226" s="47">
        <v>639.74091608748199</v>
      </c>
      <c r="G2226" s="47">
        <v>6169.0537882654698</v>
      </c>
    </row>
    <row r="2227" spans="2:7" x14ac:dyDescent="0.25">
      <c r="B2227" s="49"/>
      <c r="C2227" s="89"/>
      <c r="D2227" s="89"/>
      <c r="E2227" s="47">
        <v>2860.66964735907</v>
      </c>
      <c r="F2227" s="47">
        <v>639.86300330429901</v>
      </c>
      <c r="G2227" s="47">
        <v>6192.62615353812</v>
      </c>
    </row>
    <row r="2228" spans="2:7" x14ac:dyDescent="0.25">
      <c r="B2228" s="49"/>
      <c r="C2228" s="89"/>
      <c r="D2228" s="89"/>
      <c r="E2228" s="47">
        <v>2874.7570424093201</v>
      </c>
      <c r="F2228" s="47">
        <v>639.93872905555099</v>
      </c>
      <c r="G2228" s="47">
        <v>6212.7132877358799</v>
      </c>
    </row>
    <row r="2229" spans="2:7" x14ac:dyDescent="0.25">
      <c r="B2229" s="49"/>
      <c r="C2229" s="89"/>
      <c r="D2229" s="89"/>
      <c r="E2229" s="47">
        <v>2891.2531149807701</v>
      </c>
      <c r="F2229" s="47">
        <v>639.96907620534705</v>
      </c>
      <c r="G2229" s="47">
        <v>6230.0246573178702</v>
      </c>
    </row>
    <row r="2230" spans="2:7" x14ac:dyDescent="0.25">
      <c r="B2230" s="49"/>
      <c r="C2230" s="89"/>
      <c r="D2230" s="89"/>
      <c r="E2230" s="47">
        <v>2910.5658229298301</v>
      </c>
      <c r="F2230" s="47">
        <v>639.96164353044196</v>
      </c>
      <c r="G2230" s="47">
        <v>6245.7177593714296</v>
      </c>
    </row>
    <row r="2231" spans="2:7" x14ac:dyDescent="0.25">
      <c r="B2231" s="49"/>
      <c r="C2231" s="89"/>
      <c r="D2231" s="89"/>
      <c r="E2231" s="47">
        <v>2932.4742787794598</v>
      </c>
      <c r="F2231" s="47">
        <v>639.92572903427799</v>
      </c>
      <c r="G2231" s="47">
        <v>6260.5940320949803</v>
      </c>
    </row>
    <row r="2232" spans="2:7" x14ac:dyDescent="0.25">
      <c r="B2232" s="49"/>
      <c r="C2232" s="89"/>
      <c r="D2232" s="89"/>
      <c r="E2232" s="47">
        <v>2957.1586020048599</v>
      </c>
      <c r="F2232" s="47">
        <v>639.86294845963801</v>
      </c>
      <c r="G2232" s="47">
        <v>6274.9792587045404</v>
      </c>
    </row>
    <row r="2233" spans="2:7" x14ac:dyDescent="0.25">
      <c r="B2233" s="49"/>
      <c r="C2233" s="89"/>
      <c r="D2233" s="89"/>
      <c r="E2233" s="47">
        <v>2984.7957649116702</v>
      </c>
      <c r="F2233" s="47">
        <v>639.77459990844704</v>
      </c>
      <c r="G2233" s="47">
        <v>6289.16271642026</v>
      </c>
    </row>
    <row r="2234" spans="2:7" x14ac:dyDescent="0.25">
      <c r="B2234" s="49"/>
      <c r="C2234" s="89"/>
      <c r="D2234" s="89">
        <v>300</v>
      </c>
      <c r="E2234" s="47">
        <v>2832.8272472056801</v>
      </c>
      <c r="F2234" s="47">
        <v>946.86804731311497</v>
      </c>
      <c r="G2234" s="47">
        <v>6288.5529193963002</v>
      </c>
    </row>
    <row r="2235" spans="2:7" x14ac:dyDescent="0.25">
      <c r="B2235" s="49"/>
      <c r="C2235" s="89"/>
      <c r="D2235" s="89"/>
      <c r="E2235" s="47">
        <v>2845.6549268271601</v>
      </c>
      <c r="F2235" s="47">
        <v>948.28438814554602</v>
      </c>
      <c r="G2235" s="47">
        <v>6399.9984469618503</v>
      </c>
    </row>
    <row r="2236" spans="2:7" x14ac:dyDescent="0.25">
      <c r="B2236" s="49"/>
      <c r="C2236" s="89"/>
      <c r="D2236" s="89"/>
      <c r="E2236" s="47">
        <v>2857.2538997123402</v>
      </c>
      <c r="F2236" s="47">
        <v>949.15324182199799</v>
      </c>
      <c r="G2236" s="47">
        <v>6471.5366858941197</v>
      </c>
    </row>
    <row r="2237" spans="2:7" x14ac:dyDescent="0.25">
      <c r="B2237" s="49"/>
      <c r="C2237" s="89"/>
      <c r="D2237" s="89"/>
      <c r="E2237" s="47">
        <v>2869.7189697921299</v>
      </c>
      <c r="F2237" s="47">
        <v>949.70949823203796</v>
      </c>
      <c r="G2237" s="47">
        <v>6521.6308996652097</v>
      </c>
    </row>
    <row r="2238" spans="2:7" x14ac:dyDescent="0.25">
      <c r="B2238" s="49"/>
      <c r="C2238" s="89"/>
      <c r="D2238" s="89"/>
      <c r="E2238" s="47">
        <v>2884.2767787732701</v>
      </c>
      <c r="F2238" s="47">
        <v>950.06399195647805</v>
      </c>
      <c r="G2238" s="47">
        <v>6559.1954309045796</v>
      </c>
    </row>
    <row r="2239" spans="2:7" x14ac:dyDescent="0.25">
      <c r="B2239" s="49"/>
      <c r="C2239" s="89"/>
      <c r="D2239" s="89"/>
      <c r="E2239" s="47">
        <v>2901.7792449192002</v>
      </c>
      <c r="F2239" s="47">
        <v>950.27518361700004</v>
      </c>
      <c r="G2239" s="47">
        <v>6589.1058565427802</v>
      </c>
    </row>
    <row r="2240" spans="2:7" x14ac:dyDescent="0.25">
      <c r="B2240" s="49"/>
      <c r="C2240" s="89"/>
      <c r="D2240" s="89"/>
      <c r="E2240" s="47">
        <v>2922.90304595625</v>
      </c>
      <c r="F2240" s="47">
        <v>950.37566529927994</v>
      </c>
      <c r="G2240" s="47">
        <v>6614.2517863295097</v>
      </c>
    </row>
    <row r="2241" spans="2:7" x14ac:dyDescent="0.25">
      <c r="B2241" s="49"/>
      <c r="C2241" s="89"/>
      <c r="D2241" s="89"/>
      <c r="E2241" s="47">
        <v>2948.2503550132001</v>
      </c>
      <c r="F2241" s="47">
        <v>950.38506888459494</v>
      </c>
      <c r="G2241" s="47">
        <v>6636.53981901317</v>
      </c>
    </row>
    <row r="2242" spans="2:7" x14ac:dyDescent="0.25">
      <c r="B2242" s="49"/>
      <c r="C2242" s="89"/>
      <c r="D2242" s="89"/>
      <c r="E2242" s="47">
        <v>2978.3735504645401</v>
      </c>
      <c r="F2242" s="47">
        <v>950.31515073392495</v>
      </c>
      <c r="G2242" s="47">
        <v>6657.2751439772601</v>
      </c>
    </row>
    <row r="2243" spans="2:7" x14ac:dyDescent="0.25">
      <c r="B2243" s="49"/>
      <c r="C2243" s="89"/>
      <c r="D2243" s="89"/>
      <c r="E2243" s="47">
        <v>3013.7977104244201</v>
      </c>
      <c r="F2243" s="47">
        <v>950.17305623774303</v>
      </c>
      <c r="G2243" s="47">
        <v>6677.4124956823898</v>
      </c>
    </row>
    <row r="2244" spans="2:7" x14ac:dyDescent="0.25">
      <c r="B2244" s="49"/>
      <c r="C2244" s="89"/>
      <c r="D2244" s="89">
        <v>400</v>
      </c>
      <c r="E2244" s="47">
        <v>2859.6814558246501</v>
      </c>
      <c r="F2244" s="47">
        <v>1249.27826608447</v>
      </c>
      <c r="G2244" s="47">
        <v>6645.14924994378</v>
      </c>
    </row>
    <row r="2245" spans="2:7" x14ac:dyDescent="0.25">
      <c r="B2245" s="49"/>
      <c r="C2245" s="89"/>
      <c r="D2245" s="89"/>
      <c r="E2245" s="47">
        <v>2871.9957525382702</v>
      </c>
      <c r="F2245" s="47">
        <v>1251.39662578914</v>
      </c>
      <c r="G2245" s="47">
        <v>6768.3191334331304</v>
      </c>
    </row>
    <row r="2246" spans="2:7" x14ac:dyDescent="0.25">
      <c r="B2246" s="49"/>
      <c r="C2246" s="89"/>
      <c r="D2246" s="89"/>
      <c r="E2246" s="47">
        <v>2883.2749572372099</v>
      </c>
      <c r="F2246" s="47">
        <v>1252.7083273728599</v>
      </c>
      <c r="G2246" s="47">
        <v>6847.6917517822303</v>
      </c>
    </row>
    <row r="2247" spans="2:7" x14ac:dyDescent="0.25">
      <c r="B2247" s="49"/>
      <c r="C2247" s="89"/>
      <c r="D2247" s="89"/>
      <c r="E2247" s="47">
        <v>2895.53246386623</v>
      </c>
      <c r="F2247" s="47">
        <v>1253.56190360905</v>
      </c>
      <c r="G2247" s="47">
        <v>6903.5306703128399</v>
      </c>
    </row>
    <row r="2248" spans="2:7" x14ac:dyDescent="0.25">
      <c r="B2248" s="49"/>
      <c r="C2248" s="89"/>
      <c r="D2248" s="89"/>
      <c r="E2248" s="47">
        <v>2909.9384082527399</v>
      </c>
      <c r="F2248" s="47">
        <v>1254.12112643707</v>
      </c>
      <c r="G2248" s="47">
        <v>6945.5470812937001</v>
      </c>
    </row>
    <row r="2249" spans="2:7" x14ac:dyDescent="0.25">
      <c r="B2249" s="49"/>
      <c r="C2249" s="89"/>
      <c r="D2249" s="89"/>
      <c r="E2249" s="47">
        <v>2927.3103600579302</v>
      </c>
      <c r="F2249" s="47">
        <v>1254.4723710615101</v>
      </c>
      <c r="G2249" s="47">
        <v>6979.0323733272098</v>
      </c>
    </row>
    <row r="2250" spans="2:7" x14ac:dyDescent="0.25">
      <c r="B2250" s="49"/>
      <c r="C2250" s="89"/>
      <c r="D2250" s="89"/>
      <c r="E2250" s="47">
        <v>2948.3210735172702</v>
      </c>
      <c r="F2250" s="47">
        <v>1254.6644462162801</v>
      </c>
      <c r="G2250" s="47">
        <v>7007.1563521636799</v>
      </c>
    </row>
    <row r="2251" spans="2:7" x14ac:dyDescent="0.25">
      <c r="B2251" s="49"/>
      <c r="C2251" s="89"/>
      <c r="D2251" s="89"/>
      <c r="E2251" s="47">
        <v>2973.5580413739999</v>
      </c>
      <c r="F2251" s="47">
        <v>1254.7268820882</v>
      </c>
      <c r="G2251" s="47">
        <v>7031.9902100467698</v>
      </c>
    </row>
    <row r="2252" spans="2:7" x14ac:dyDescent="0.25">
      <c r="B2252" s="49"/>
      <c r="C2252" s="89"/>
      <c r="D2252" s="89"/>
      <c r="E2252" s="47">
        <v>3003.5694187875702</v>
      </c>
      <c r="F2252" s="47">
        <v>1254.67759443055</v>
      </c>
      <c r="G2252" s="47">
        <v>7054.9541019653898</v>
      </c>
    </row>
    <row r="2253" spans="2:7" x14ac:dyDescent="0.25">
      <c r="B2253" s="49"/>
      <c r="C2253" s="89"/>
      <c r="D2253" s="89"/>
      <c r="E2253" s="47">
        <v>3038.8728678745802</v>
      </c>
      <c r="F2253" s="47">
        <v>1254.52774963146</v>
      </c>
      <c r="G2253" s="47">
        <v>7077.0829841268196</v>
      </c>
    </row>
    <row r="2254" spans="2:7" x14ac:dyDescent="0.25">
      <c r="B2254" s="49"/>
      <c r="C2254" s="89"/>
      <c r="D2254" s="89">
        <v>500</v>
      </c>
      <c r="E2254" s="47">
        <v>2883.04326924932</v>
      </c>
      <c r="F2254" s="47">
        <v>1545.3223820395699</v>
      </c>
      <c r="G2254" s="47">
        <v>7008.7850580906597</v>
      </c>
    </row>
    <row r="2255" spans="2:7" x14ac:dyDescent="0.25">
      <c r="B2255" s="49"/>
      <c r="C2255" s="89"/>
      <c r="D2255" s="89"/>
      <c r="E2255" s="47">
        <v>2894.8292026988602</v>
      </c>
      <c r="F2255" s="47">
        <v>1548.2915861896799</v>
      </c>
      <c r="G2255" s="47">
        <v>7145.1021925391797</v>
      </c>
    </row>
    <row r="2256" spans="2:7" x14ac:dyDescent="0.25">
      <c r="B2256" s="49"/>
      <c r="C2256" s="89"/>
      <c r="D2256" s="89"/>
      <c r="E2256" s="47">
        <v>2905.7658884129501</v>
      </c>
      <c r="F2256" s="47">
        <v>1550.1435875382101</v>
      </c>
      <c r="G2256" s="47">
        <v>7233.1722976420697</v>
      </c>
    </row>
    <row r="2257" spans="2:7" x14ac:dyDescent="0.25">
      <c r="B2257" s="49"/>
      <c r="C2257" s="89"/>
      <c r="D2257" s="89"/>
      <c r="E2257" s="47">
        <v>2917.7827150401899</v>
      </c>
      <c r="F2257" s="47">
        <v>1551.3631921557601</v>
      </c>
      <c r="G2257" s="47">
        <v>7295.2671176578096</v>
      </c>
    </row>
    <row r="2258" spans="2:7" x14ac:dyDescent="0.25">
      <c r="B2258" s="49"/>
      <c r="C2258" s="89"/>
      <c r="D2258" s="89"/>
      <c r="E2258" s="47">
        <v>2932.0085604692999</v>
      </c>
      <c r="F2258" s="47">
        <v>1552.17882688859</v>
      </c>
      <c r="G2258" s="47">
        <v>7342.0662183022996</v>
      </c>
    </row>
    <row r="2259" spans="2:7" x14ac:dyDescent="0.25">
      <c r="B2259" s="49"/>
      <c r="C2259" s="89"/>
      <c r="D2259" s="89"/>
      <c r="E2259" s="47">
        <v>2949.2372989134001</v>
      </c>
      <c r="F2259" s="47">
        <v>1552.7106872521499</v>
      </c>
      <c r="G2259" s="47">
        <v>7379.3581308033799</v>
      </c>
    </row>
    <row r="2260" spans="2:7" x14ac:dyDescent="0.25">
      <c r="B2260" s="49"/>
      <c r="C2260" s="89"/>
      <c r="D2260" s="89"/>
      <c r="E2260" s="47">
        <v>2970.1204791075802</v>
      </c>
      <c r="F2260" s="47">
        <v>1553.0274357452799</v>
      </c>
      <c r="G2260" s="47">
        <v>7410.6180453613997</v>
      </c>
    </row>
    <row r="2261" spans="2:7" x14ac:dyDescent="0.25">
      <c r="B2261" s="49"/>
      <c r="C2261" s="89"/>
      <c r="D2261" s="89"/>
      <c r="E2261" s="47">
        <v>2995.2383213087801</v>
      </c>
      <c r="F2261" s="47">
        <v>1553.17062536461</v>
      </c>
      <c r="G2261" s="47">
        <v>7438.1073838933498</v>
      </c>
    </row>
    <row r="2262" spans="2:7" x14ac:dyDescent="0.25">
      <c r="B2262" s="49"/>
      <c r="C2262" s="89"/>
      <c r="D2262" s="89"/>
      <c r="E2262" s="47">
        <v>3025.1292401026599</v>
      </c>
      <c r="F2262" s="47">
        <v>1553.1660136297801</v>
      </c>
      <c r="G2262" s="47">
        <v>7463.38014029846</v>
      </c>
    </row>
    <row r="2263" spans="2:7" x14ac:dyDescent="0.25">
      <c r="B2263" s="49"/>
      <c r="C2263" s="89"/>
      <c r="D2263" s="89"/>
      <c r="E2263" s="47">
        <v>3060.30559958913</v>
      </c>
      <c r="F2263" s="47">
        <v>1553.02961112549</v>
      </c>
      <c r="G2263" s="47">
        <v>7487.55354794513</v>
      </c>
    </row>
    <row r="2264" spans="2:7" x14ac:dyDescent="0.25">
      <c r="B2264" s="49"/>
      <c r="C2264" s="89"/>
      <c r="D2264" s="89">
        <v>600</v>
      </c>
      <c r="E2264" s="47">
        <v>2903.3920795455701</v>
      </c>
      <c r="F2264" s="47">
        <v>1835.23376003824</v>
      </c>
      <c r="G2264" s="47">
        <v>7383.0469781542997</v>
      </c>
    </row>
    <row r="2265" spans="2:7" x14ac:dyDescent="0.25">
      <c r="B2265" s="49"/>
      <c r="C2265" s="89"/>
      <c r="D2265" s="89"/>
      <c r="E2265" s="47">
        <v>2914.5593798396999</v>
      </c>
      <c r="F2265" s="47">
        <v>1839.1841564777001</v>
      </c>
      <c r="G2265" s="47">
        <v>7532.4953536804396</v>
      </c>
    </row>
    <row r="2266" spans="2:7" x14ac:dyDescent="0.25">
      <c r="B2266" s="49"/>
      <c r="C2266" s="89"/>
      <c r="D2266" s="89"/>
      <c r="E2266" s="47">
        <v>2925.07619143587</v>
      </c>
      <c r="F2266" s="47">
        <v>1841.6606140644999</v>
      </c>
      <c r="G2266" s="47">
        <v>7629.16529435763</v>
      </c>
    </row>
    <row r="2267" spans="2:7" x14ac:dyDescent="0.25">
      <c r="B2267" s="49"/>
      <c r="C2267" s="89"/>
      <c r="D2267" s="89"/>
      <c r="E2267" s="47">
        <v>2936.8038499065201</v>
      </c>
      <c r="F2267" s="47">
        <v>1843.3084680064501</v>
      </c>
      <c r="G2267" s="47">
        <v>7697.5136249878497</v>
      </c>
    </row>
    <row r="2268" spans="2:7" x14ac:dyDescent="0.25">
      <c r="B2268" s="49"/>
      <c r="C2268" s="89"/>
      <c r="D2268" s="89"/>
      <c r="E2268" s="47">
        <v>2950.8108774321399</v>
      </c>
      <c r="F2268" s="47">
        <v>1844.4291627881701</v>
      </c>
      <c r="G2268" s="47">
        <v>7749.1314473068396</v>
      </c>
    </row>
    <row r="2269" spans="2:7" x14ac:dyDescent="0.25">
      <c r="B2269" s="49"/>
      <c r="C2269" s="89"/>
      <c r="D2269" s="89"/>
      <c r="E2269" s="47">
        <v>2967.8629490424401</v>
      </c>
      <c r="F2269" s="47">
        <v>1845.18108890074</v>
      </c>
      <c r="G2269" s="47">
        <v>7790.2821504838503</v>
      </c>
    </row>
    <row r="2270" spans="2:7" x14ac:dyDescent="0.25">
      <c r="B2270" s="49"/>
      <c r="C2270" s="89"/>
      <c r="D2270" s="89"/>
      <c r="E2270" s="47">
        <v>2988.59372669811</v>
      </c>
      <c r="F2270" s="47">
        <v>1845.65573979396</v>
      </c>
      <c r="G2270" s="47">
        <v>7824.7463479292801</v>
      </c>
    </row>
    <row r="2271" spans="2:7" x14ac:dyDescent="0.25">
      <c r="B2271" s="49"/>
      <c r="C2271" s="89"/>
      <c r="D2271" s="89"/>
      <c r="E2271" s="47">
        <v>3013.57455880921</v>
      </c>
      <c r="F2271" s="47">
        <v>1845.90849982586</v>
      </c>
      <c r="G2271" s="47">
        <v>7854.9725721834302</v>
      </c>
    </row>
    <row r="2272" spans="2:7" x14ac:dyDescent="0.25">
      <c r="B2272" s="49"/>
      <c r="C2272" s="89"/>
      <c r="D2272" s="89"/>
      <c r="E2272" s="47">
        <v>3043.3309494407099</v>
      </c>
      <c r="F2272" s="47">
        <v>1845.97442488567</v>
      </c>
      <c r="G2272" s="47">
        <v>7882.6497431483203</v>
      </c>
    </row>
    <row r="2273" spans="2:7" x14ac:dyDescent="0.25">
      <c r="B2273" s="49"/>
      <c r="C2273" s="89"/>
      <c r="D2273" s="89"/>
      <c r="E2273" s="47">
        <v>3078.3758695368701</v>
      </c>
      <c r="F2273" s="47">
        <v>1845.87558838687</v>
      </c>
      <c r="G2273" s="47">
        <v>7908.9967366396704</v>
      </c>
    </row>
    <row r="2274" spans="2:7" x14ac:dyDescent="0.25">
      <c r="B2274" s="49"/>
      <c r="C2274" s="89"/>
      <c r="D2274" s="89">
        <v>700</v>
      </c>
      <c r="E2274" s="47">
        <v>2920.7683850835001</v>
      </c>
      <c r="F2274" s="47">
        <v>2119.0794190141301</v>
      </c>
      <c r="G2274" s="47">
        <v>7764.2852009415701</v>
      </c>
    </row>
    <row r="2275" spans="2:7" x14ac:dyDescent="0.25">
      <c r="B2275" s="49"/>
      <c r="C2275" s="89"/>
      <c r="D2275" s="89"/>
      <c r="E2275" s="47">
        <v>2931.29123414388</v>
      </c>
      <c r="F2275" s="47">
        <v>2124.1807733697801</v>
      </c>
      <c r="G2275" s="47">
        <v>7928.0727922440901</v>
      </c>
    </row>
    <row r="2276" spans="2:7" x14ac:dyDescent="0.25">
      <c r="B2276" s="49"/>
      <c r="C2276" s="89"/>
      <c r="D2276" s="89"/>
      <c r="E2276" s="47">
        <v>2941.3954759957601</v>
      </c>
      <c r="F2276" s="47">
        <v>2127.3962965966698</v>
      </c>
      <c r="G2276" s="47">
        <v>8034.2555188573797</v>
      </c>
    </row>
    <row r="2277" spans="2:7" x14ac:dyDescent="0.25">
      <c r="B2277" s="49"/>
      <c r="C2277" s="89"/>
      <c r="D2277" s="89"/>
      <c r="E2277" s="47">
        <v>2952.8249257621701</v>
      </c>
      <c r="F2277" s="47">
        <v>2129.5528846565398</v>
      </c>
      <c r="G2277" s="47">
        <v>8109.4259897913398</v>
      </c>
    </row>
    <row r="2278" spans="2:7" x14ac:dyDescent="0.25">
      <c r="B2278" s="49"/>
      <c r="C2278" s="89"/>
      <c r="D2278" s="89"/>
      <c r="E2278" s="47">
        <v>2966.5938550066799</v>
      </c>
      <c r="F2278" s="47">
        <v>2131.0369679605201</v>
      </c>
      <c r="G2278" s="47">
        <v>8166.1788895579803</v>
      </c>
    </row>
    <row r="2279" spans="2:7" x14ac:dyDescent="0.25">
      <c r="B2279" s="49"/>
      <c r="C2279" s="89"/>
      <c r="D2279" s="89"/>
      <c r="E2279" s="47">
        <v>2983.4519579975499</v>
      </c>
      <c r="F2279" s="47">
        <v>2132.0543415318798</v>
      </c>
      <c r="G2279" s="47">
        <v>8211.3994880067603</v>
      </c>
    </row>
    <row r="2280" spans="2:7" x14ac:dyDescent="0.25">
      <c r="B2280" s="49"/>
      <c r="C2280" s="89"/>
      <c r="D2280" s="89"/>
      <c r="E2280" s="47">
        <v>3004.0175968559702</v>
      </c>
      <c r="F2280" s="47">
        <v>2132.7233261738102</v>
      </c>
      <c r="G2280" s="47">
        <v>8249.2053356789693</v>
      </c>
    </row>
    <row r="2281" spans="2:7" x14ac:dyDescent="0.25">
      <c r="B2281" s="49"/>
      <c r="C2281" s="89"/>
      <c r="D2281" s="89"/>
      <c r="E2281" s="47">
        <v>3028.8482312472302</v>
      </c>
      <c r="F2281" s="47">
        <v>2133.1171952717</v>
      </c>
      <c r="G2281" s="47">
        <v>8282.2947233865198</v>
      </c>
    </row>
    <row r="2282" spans="2:7" x14ac:dyDescent="0.25">
      <c r="B2282" s="49"/>
      <c r="C2282" s="89"/>
      <c r="D2282" s="89"/>
      <c r="E2282" s="47">
        <v>3058.4624658482098</v>
      </c>
      <c r="F2282" s="47">
        <v>2133.2799989144</v>
      </c>
      <c r="G2282" s="47">
        <v>8312.4458249285799</v>
      </c>
    </row>
    <row r="2283" spans="2:7" x14ac:dyDescent="0.25">
      <c r="B2283" s="49"/>
      <c r="C2283" s="89"/>
      <c r="D2283" s="89"/>
      <c r="E2283" s="47">
        <v>3093.3629994488401</v>
      </c>
      <c r="F2283" s="47">
        <v>2133.2403699760798</v>
      </c>
      <c r="G2283" s="47">
        <v>8340.9555263310904</v>
      </c>
    </row>
    <row r="2284" spans="2:7" x14ac:dyDescent="0.25">
      <c r="B2284" s="49"/>
      <c r="C2284" s="89"/>
      <c r="D2284" s="89">
        <v>800</v>
      </c>
      <c r="E2284" s="47">
        <v>2935.5647896619998</v>
      </c>
      <c r="F2284" s="47">
        <v>2397.1005703023602</v>
      </c>
      <c r="G2284" s="47">
        <v>8155.6265656325904</v>
      </c>
    </row>
    <row r="2285" spans="2:7" x14ac:dyDescent="0.25">
      <c r="B2285" s="49"/>
      <c r="C2285" s="89"/>
      <c r="D2285" s="89"/>
      <c r="E2285" s="47">
        <v>2945.3432581717798</v>
      </c>
      <c r="F2285" s="47">
        <v>2403.4918781879001</v>
      </c>
      <c r="G2285" s="47">
        <v>8333.6174416781596</v>
      </c>
    </row>
    <row r="2286" spans="2:7" x14ac:dyDescent="0.25">
      <c r="B2286" s="49"/>
      <c r="C2286" s="89"/>
      <c r="D2286" s="89"/>
      <c r="E2286" s="47">
        <v>2954.9679924287402</v>
      </c>
      <c r="F2286" s="47">
        <v>2407.5363412205802</v>
      </c>
      <c r="G2286" s="47">
        <v>8449.16363480988</v>
      </c>
    </row>
    <row r="2287" spans="2:7" x14ac:dyDescent="0.25">
      <c r="B2287" s="49"/>
      <c r="C2287" s="89"/>
      <c r="D2287" s="89"/>
      <c r="E2287" s="47">
        <v>2966.0583390116399</v>
      </c>
      <c r="F2287" s="47">
        <v>2410.26700440987</v>
      </c>
      <c r="G2287" s="47">
        <v>8531.0785624951404</v>
      </c>
    </row>
    <row r="2288" spans="2:7" x14ac:dyDescent="0.25">
      <c r="B2288" s="49"/>
      <c r="C2288" s="89"/>
      <c r="D2288" s="89"/>
      <c r="E2288" s="47">
        <v>2979.57843010326</v>
      </c>
      <c r="F2288" s="47">
        <v>2412.1665748719502</v>
      </c>
      <c r="G2288" s="47">
        <v>8593.0003336606005</v>
      </c>
    </row>
    <row r="2289" spans="2:7" x14ac:dyDescent="0.25">
      <c r="B2289" s="49"/>
      <c r="C2289" s="89"/>
      <c r="D2289" s="89"/>
      <c r="E2289" s="47">
        <v>2996.2380307224598</v>
      </c>
      <c r="F2289" s="47">
        <v>2413.4921290424199</v>
      </c>
      <c r="G2289" s="47">
        <v>8642.3582288740508</v>
      </c>
    </row>
    <row r="2290" spans="2:7" x14ac:dyDescent="0.25">
      <c r="B2290" s="49"/>
      <c r="C2290" s="89"/>
      <c r="D2290" s="89"/>
      <c r="E2290" s="47">
        <v>3016.6323520494302</v>
      </c>
      <c r="F2290" s="47">
        <v>2414.39287756679</v>
      </c>
      <c r="G2290" s="47">
        <v>8683.6196631946605</v>
      </c>
    </row>
    <row r="2291" spans="2:7" x14ac:dyDescent="0.25">
      <c r="B2291" s="49"/>
      <c r="C2291" s="89"/>
      <c r="D2291" s="89"/>
      <c r="E2291" s="47">
        <v>3041.3073520990501</v>
      </c>
      <c r="F2291" s="47">
        <v>2414.9576675466001</v>
      </c>
      <c r="G2291" s="47">
        <v>8719.6079089788309</v>
      </c>
    </row>
    <row r="2292" spans="2:7" x14ac:dyDescent="0.25">
      <c r="B2292" s="49"/>
      <c r="C2292" s="89"/>
      <c r="D2292" s="89"/>
      <c r="E2292" s="47">
        <v>3070.7772727742499</v>
      </c>
      <c r="F2292" s="47">
        <v>2415.24361749119</v>
      </c>
      <c r="G2292" s="47">
        <v>8752.2767923018</v>
      </c>
    </row>
    <row r="2293" spans="2:7" x14ac:dyDescent="0.25">
      <c r="B2293" s="49"/>
      <c r="C2293" s="89"/>
      <c r="D2293" s="89"/>
      <c r="E2293" s="47">
        <v>3105.5296319321801</v>
      </c>
      <c r="F2293" s="47">
        <v>2415.2876675766802</v>
      </c>
      <c r="G2293" s="47">
        <v>8783.0213030315499</v>
      </c>
    </row>
    <row r="2294" spans="2:7" x14ac:dyDescent="0.25">
      <c r="B2294" s="49"/>
      <c r="C2294" s="89"/>
      <c r="D2294" s="89">
        <v>900</v>
      </c>
      <c r="E2294" s="47">
        <v>2947.81024436795</v>
      </c>
      <c r="F2294" s="47">
        <v>2669.28470100815</v>
      </c>
      <c r="G2294" s="47">
        <v>8552.6606615843302</v>
      </c>
    </row>
    <row r="2295" spans="2:7" x14ac:dyDescent="0.25">
      <c r="B2295" s="49"/>
      <c r="C2295" s="89"/>
      <c r="D2295" s="89"/>
      <c r="E2295" s="47">
        <v>2956.8764952665701</v>
      </c>
      <c r="F2295" s="47">
        <v>2677.1781114809801</v>
      </c>
      <c r="G2295" s="47">
        <v>8746.5764748475794</v>
      </c>
    </row>
    <row r="2296" spans="2:7" x14ac:dyDescent="0.25">
      <c r="B2296" s="49"/>
      <c r="C2296" s="89"/>
      <c r="D2296" s="89"/>
      <c r="E2296" s="47">
        <v>2966.0078078637198</v>
      </c>
      <c r="F2296" s="47">
        <v>2682.1899439676199</v>
      </c>
      <c r="G2296" s="47">
        <v>8872.5581143687396</v>
      </c>
    </row>
    <row r="2297" spans="2:7" x14ac:dyDescent="0.25">
      <c r="B2297" s="49"/>
      <c r="C2297" s="89"/>
      <c r="D2297" s="89"/>
      <c r="E2297" s="47">
        <v>2976.7430564869401</v>
      </c>
      <c r="F2297" s="47">
        <v>2685.5905998277599</v>
      </c>
      <c r="G2297" s="47">
        <v>8961.8961860453401</v>
      </c>
    </row>
    <row r="2298" spans="2:7" x14ac:dyDescent="0.25">
      <c r="B2298" s="49"/>
      <c r="C2298" s="89"/>
      <c r="D2298" s="89"/>
      <c r="E2298" s="47">
        <v>2989.99374605705</v>
      </c>
      <c r="F2298" s="47">
        <v>2687.9754778770198</v>
      </c>
      <c r="G2298" s="47">
        <v>9029.4147898327392</v>
      </c>
    </row>
    <row r="2299" spans="2:7" x14ac:dyDescent="0.25">
      <c r="B2299" s="49"/>
      <c r="C2299" s="89"/>
      <c r="D2299" s="89"/>
      <c r="E2299" s="47">
        <v>3006.43263996205</v>
      </c>
      <c r="F2299" s="47">
        <v>2689.6628711537701</v>
      </c>
      <c r="G2299" s="47">
        <v>9083.1950338404004</v>
      </c>
    </row>
    <row r="2300" spans="2:7" x14ac:dyDescent="0.25">
      <c r="B2300" s="49"/>
      <c r="C2300" s="89"/>
      <c r="D2300" s="89"/>
      <c r="E2300" s="47">
        <v>3026.6409085720102</v>
      </c>
      <c r="F2300" s="47">
        <v>2690.83516959701</v>
      </c>
      <c r="G2300" s="47">
        <v>9128.0339553712602</v>
      </c>
    </row>
    <row r="2301" spans="2:7" x14ac:dyDescent="0.25">
      <c r="B2301" s="49"/>
      <c r="C2301" s="89"/>
      <c r="D2301" s="89"/>
      <c r="E2301" s="47">
        <v>3051.14878375013</v>
      </c>
      <c r="F2301" s="47">
        <v>2691.60436887067</v>
      </c>
      <c r="G2301" s="47">
        <v>9167.0243830866202</v>
      </c>
    </row>
    <row r="2302" spans="2:7" x14ac:dyDescent="0.25">
      <c r="B2302" s="49"/>
      <c r="C2302" s="89"/>
      <c r="D2302" s="89"/>
      <c r="E2302" s="47">
        <v>3080.4633666168002</v>
      </c>
      <c r="F2302" s="47">
        <v>2692.0413790944099</v>
      </c>
      <c r="G2302" s="47">
        <v>9202.2704265823795</v>
      </c>
    </row>
    <row r="2303" spans="2:7" x14ac:dyDescent="0.25">
      <c r="B2303" s="49"/>
      <c r="C2303" s="89"/>
      <c r="D2303" s="89"/>
      <c r="E2303" s="47">
        <v>3115.06838253665</v>
      </c>
      <c r="F2303" s="47">
        <v>2692.19443812193</v>
      </c>
      <c r="G2303" s="47">
        <v>9235.3210406010603</v>
      </c>
    </row>
    <row r="2304" spans="2:7" x14ac:dyDescent="0.25">
      <c r="B2304" s="49"/>
      <c r="C2304" s="89"/>
      <c r="D2304" s="89">
        <v>1000</v>
      </c>
      <c r="E2304" s="47">
        <v>2957.8301817326601</v>
      </c>
      <c r="F2304" s="47">
        <v>2935.8960608530601</v>
      </c>
      <c r="G2304" s="47">
        <v>8958.8865367796898</v>
      </c>
    </row>
    <row r="2305" spans="2:7" x14ac:dyDescent="0.25">
      <c r="B2305" s="49"/>
      <c r="C2305" s="89"/>
      <c r="D2305" s="89"/>
      <c r="E2305" s="47">
        <v>2966.0833605266498</v>
      </c>
      <c r="F2305" s="47">
        <v>2945.4318082086202</v>
      </c>
      <c r="G2305" s="47">
        <v>9168.2966441219796</v>
      </c>
    </row>
    <row r="2306" spans="2:7" x14ac:dyDescent="0.25">
      <c r="B2306" s="49"/>
      <c r="C2306" s="89"/>
      <c r="D2306" s="89"/>
      <c r="E2306" s="47">
        <v>2974.70080273549</v>
      </c>
      <c r="F2306" s="47">
        <v>2951.5015004273901</v>
      </c>
      <c r="G2306" s="47">
        <v>9304.4380432050002</v>
      </c>
    </row>
    <row r="2307" spans="2:7" x14ac:dyDescent="0.25">
      <c r="B2307" s="49"/>
      <c r="C2307" s="89"/>
      <c r="D2307" s="89"/>
      <c r="E2307" s="47">
        <v>2985.0769206207701</v>
      </c>
      <c r="F2307" s="47">
        <v>2955.6386200607699</v>
      </c>
      <c r="G2307" s="47">
        <v>9401.0564449570902</v>
      </c>
    </row>
    <row r="2308" spans="2:7" x14ac:dyDescent="0.25">
      <c r="B2308" s="49"/>
      <c r="C2308" s="89"/>
      <c r="D2308" s="89"/>
      <c r="E2308" s="47">
        <v>2998.0479875892102</v>
      </c>
      <c r="F2308" s="47">
        <v>2958.5634874493398</v>
      </c>
      <c r="G2308" s="47">
        <v>9474.1542300082401</v>
      </c>
    </row>
    <row r="2309" spans="2:7" x14ac:dyDescent="0.25">
      <c r="B2309" s="49"/>
      <c r="C2309" s="89"/>
      <c r="D2309" s="89"/>
      <c r="E2309" s="47">
        <v>3014.2613934020501</v>
      </c>
      <c r="F2309" s="47">
        <v>2960.6568600987998</v>
      </c>
      <c r="G2309" s="47">
        <v>9532.3642310880696</v>
      </c>
    </row>
    <row r="2310" spans="2:7" x14ac:dyDescent="0.25">
      <c r="B2310" s="49"/>
      <c r="C2310" s="89"/>
      <c r="D2310" s="89"/>
      <c r="E2310" s="47">
        <v>3034.2741733258699</v>
      </c>
      <c r="F2310" s="47">
        <v>2962.13957097908</v>
      </c>
      <c r="G2310" s="47">
        <v>9580.8471759979602</v>
      </c>
    </row>
    <row r="2311" spans="2:7" x14ac:dyDescent="0.25">
      <c r="B2311" s="49"/>
      <c r="C2311" s="89"/>
      <c r="D2311" s="89"/>
      <c r="E2311" s="47">
        <v>3058.6085348000502</v>
      </c>
      <c r="F2311" s="47">
        <v>2963.1484392223301</v>
      </c>
      <c r="G2311" s="47">
        <v>9622.9511575061006</v>
      </c>
    </row>
    <row r="2312" spans="2:7" x14ac:dyDescent="0.25">
      <c r="B2312" s="49"/>
      <c r="C2312" s="89"/>
      <c r="D2312" s="89"/>
      <c r="E2312" s="47">
        <v>3087.7556917002698</v>
      </c>
      <c r="F2312" s="47">
        <v>2963.7689992492201</v>
      </c>
      <c r="G2312" s="47">
        <v>9660.9090105135692</v>
      </c>
    </row>
    <row r="2313" spans="2:7" x14ac:dyDescent="0.25">
      <c r="B2313" s="49"/>
      <c r="C2313" s="89"/>
      <c r="D2313" s="89"/>
      <c r="E2313" s="47">
        <v>3122.2047794688701</v>
      </c>
      <c r="F2313" s="47">
        <v>2964.0574008808999</v>
      </c>
      <c r="G2313" s="47">
        <v>9696.3286769802507</v>
      </c>
    </row>
    <row r="2314" spans="2:7" x14ac:dyDescent="0.25">
      <c r="B2314" s="49"/>
      <c r="C2314" s="89"/>
      <c r="D2314" s="89">
        <v>1100</v>
      </c>
      <c r="E2314" s="47">
        <v>2965.76199425813</v>
      </c>
      <c r="F2314" s="47">
        <v>3196.9927985027598</v>
      </c>
      <c r="G2314" s="47">
        <v>9372.49554232849</v>
      </c>
    </row>
    <row r="2315" spans="2:7" x14ac:dyDescent="0.25">
      <c r="B2315" s="49"/>
      <c r="C2315" s="89"/>
      <c r="D2315" s="89"/>
      <c r="E2315" s="47">
        <v>2973.19748006287</v>
      </c>
      <c r="F2315" s="47">
        <v>3208.3796928185502</v>
      </c>
      <c r="G2315" s="47">
        <v>9598.4703963118009</v>
      </c>
    </row>
    <row r="2316" spans="2:7" x14ac:dyDescent="0.25">
      <c r="B2316" s="49"/>
      <c r="C2316" s="89"/>
      <c r="D2316" s="89"/>
      <c r="E2316" s="47">
        <v>2981.2575844868602</v>
      </c>
      <c r="F2316" s="47">
        <v>3215.6443081730399</v>
      </c>
      <c r="G2316" s="47">
        <v>9745.4430150483495</v>
      </c>
    </row>
    <row r="2317" spans="2:7" x14ac:dyDescent="0.25">
      <c r="B2317" s="49"/>
      <c r="C2317" s="89"/>
      <c r="D2317" s="89"/>
      <c r="E2317" s="47">
        <v>2991.2325823864599</v>
      </c>
      <c r="F2317" s="47">
        <v>3220.6141400247998</v>
      </c>
      <c r="G2317" s="47">
        <v>9849.7766930976795</v>
      </c>
    </row>
    <row r="2318" spans="2:7" x14ac:dyDescent="0.25">
      <c r="B2318" s="49"/>
      <c r="C2318" s="89"/>
      <c r="D2318" s="89"/>
      <c r="E2318" s="47">
        <v>3003.90639302831</v>
      </c>
      <c r="F2318" s="47">
        <v>3224.1454509106202</v>
      </c>
      <c r="G2318" s="47">
        <v>9928.6585618330191</v>
      </c>
    </row>
    <row r="2319" spans="2:7" x14ac:dyDescent="0.25">
      <c r="B2319" s="49"/>
      <c r="C2319" s="89"/>
      <c r="D2319" s="89"/>
      <c r="E2319" s="47">
        <v>3019.8795932757898</v>
      </c>
      <c r="F2319" s="47">
        <v>3226.6960218160498</v>
      </c>
      <c r="G2319" s="47">
        <v>9991.4300432923701</v>
      </c>
    </row>
    <row r="2320" spans="2:7" x14ac:dyDescent="0.25">
      <c r="B2320" s="49"/>
      <c r="C2320" s="89"/>
      <c r="D2320" s="89"/>
      <c r="E2320" s="47">
        <v>3039.6923466059002</v>
      </c>
      <c r="F2320" s="47">
        <v>3228.5305371496001</v>
      </c>
      <c r="G2320" s="47">
        <v>10043.656266344</v>
      </c>
    </row>
    <row r="2321" spans="2:7" x14ac:dyDescent="0.25">
      <c r="B2321" s="49"/>
      <c r="C2321" s="89"/>
      <c r="D2321" s="89"/>
      <c r="E2321" s="47">
        <v>3063.8539508682602</v>
      </c>
      <c r="F2321" s="47">
        <v>3229.8081537445601</v>
      </c>
      <c r="G2321" s="47">
        <v>10088.840546183599</v>
      </c>
    </row>
    <row r="2322" spans="2:7" x14ac:dyDescent="0.25">
      <c r="B2322" s="49"/>
      <c r="C2322" s="89"/>
      <c r="D2322" s="89"/>
      <c r="E2322" s="47">
        <v>3092.84523040367</v>
      </c>
      <c r="F2322" s="47">
        <v>3230.63587824959</v>
      </c>
      <c r="G2322" s="47">
        <v>10129.455382587799</v>
      </c>
    </row>
    <row r="2323" spans="2:7" x14ac:dyDescent="0.25">
      <c r="B2323" s="49"/>
      <c r="C2323" s="89"/>
      <c r="D2323" s="89"/>
      <c r="E2323" s="47">
        <v>3127.1471405362699</v>
      </c>
      <c r="F2323" s="47">
        <v>3231.0815033242202</v>
      </c>
      <c r="G2323" s="47">
        <v>10167.2175488476</v>
      </c>
    </row>
    <row r="2324" spans="2:7" x14ac:dyDescent="0.25">
      <c r="B2324" s="49"/>
      <c r="C2324" s="89"/>
      <c r="D2324" s="89">
        <v>1200</v>
      </c>
      <c r="E2324" s="47">
        <v>2971.75480127231</v>
      </c>
      <c r="F2324" s="47">
        <v>3452.7613919605701</v>
      </c>
      <c r="G2324" s="47">
        <v>9794.6010956799601</v>
      </c>
    </row>
    <row r="2325" spans="2:7" x14ac:dyDescent="0.25">
      <c r="B2325" s="49"/>
      <c r="C2325" s="89"/>
      <c r="D2325" s="89"/>
      <c r="E2325" s="47">
        <v>2978.31661071803</v>
      </c>
      <c r="F2325" s="47">
        <v>3466.1553204301499</v>
      </c>
      <c r="G2325" s="47">
        <v>10036.9611952543</v>
      </c>
    </row>
    <row r="2326" spans="2:7" x14ac:dyDescent="0.25">
      <c r="B2326" s="49"/>
      <c r="C2326" s="89"/>
      <c r="D2326" s="89"/>
      <c r="E2326" s="47">
        <v>2985.8304197683701</v>
      </c>
      <c r="F2326" s="47">
        <v>3474.7163386811699</v>
      </c>
      <c r="G2326" s="47">
        <v>10194.6791919058</v>
      </c>
    </row>
    <row r="2327" spans="2:7" x14ac:dyDescent="0.25">
      <c r="B2327" s="49"/>
      <c r="C2327" s="89"/>
      <c r="D2327" s="89"/>
      <c r="E2327" s="47">
        <v>2995.41143881998</v>
      </c>
      <c r="F2327" s="47">
        <v>3480.5919442218201</v>
      </c>
      <c r="G2327" s="47">
        <v>10306.679438966799</v>
      </c>
    </row>
    <row r="2328" spans="2:7" x14ac:dyDescent="0.25">
      <c r="B2328" s="49"/>
      <c r="C2328" s="89"/>
      <c r="D2328" s="89"/>
      <c r="E2328" s="47">
        <v>3007.78338328581</v>
      </c>
      <c r="F2328" s="47">
        <v>3484.7903998951501</v>
      </c>
      <c r="G2328" s="47">
        <v>10391.4051692749</v>
      </c>
    </row>
    <row r="2329" spans="2:7" x14ac:dyDescent="0.25">
      <c r="B2329" s="49"/>
      <c r="C2329" s="89"/>
      <c r="D2329" s="89"/>
      <c r="E2329" s="47">
        <v>3023.4988897611101</v>
      </c>
      <c r="F2329" s="47">
        <v>3487.8487392525699</v>
      </c>
      <c r="G2329" s="47">
        <v>10458.819644838901</v>
      </c>
    </row>
    <row r="2330" spans="2:7" x14ac:dyDescent="0.25">
      <c r="B2330" s="49"/>
      <c r="C2330" s="89"/>
      <c r="D2330" s="89"/>
      <c r="E2330" s="47">
        <v>3043.10145810108</v>
      </c>
      <c r="F2330" s="47">
        <v>3490.0748301614899</v>
      </c>
      <c r="G2330" s="47">
        <v>10514.8288501117</v>
      </c>
    </row>
    <row r="2331" spans="2:7" x14ac:dyDescent="0.25">
      <c r="B2331" s="49"/>
      <c r="C2331" s="89"/>
      <c r="D2331" s="89"/>
      <c r="E2331" s="47">
        <v>3067.0778406130798</v>
      </c>
      <c r="F2331" s="47">
        <v>3491.6609089927601</v>
      </c>
      <c r="G2331" s="47">
        <v>10563.244641982101</v>
      </c>
    </row>
    <row r="2332" spans="2:7" x14ac:dyDescent="0.25">
      <c r="B2332" s="49"/>
      <c r="C2332" s="89"/>
      <c r="D2332" s="89"/>
      <c r="E2332" s="47">
        <v>3095.8974464766002</v>
      </c>
      <c r="F2332" s="47">
        <v>3492.7307682170999</v>
      </c>
      <c r="G2332" s="47">
        <v>10606.6539567854</v>
      </c>
    </row>
    <row r="2333" spans="2:7" x14ac:dyDescent="0.25">
      <c r="B2333" s="49"/>
      <c r="C2333" s="89"/>
      <c r="D2333" s="89"/>
      <c r="E2333" s="47">
        <v>3130.0318598814602</v>
      </c>
      <c r="F2333" s="47">
        <v>3493.3641397337001</v>
      </c>
      <c r="G2333" s="47">
        <v>10646.8671984465</v>
      </c>
    </row>
    <row r="2334" spans="2:7" x14ac:dyDescent="0.25">
      <c r="B2334" s="49"/>
      <c r="C2334" s="89">
        <v>10</v>
      </c>
      <c r="D2334" s="89">
        <v>0</v>
      </c>
      <c r="E2334" s="47">
        <v>2849.1200779119399</v>
      </c>
      <c r="F2334" s="47">
        <v>0</v>
      </c>
      <c r="G2334" s="47">
        <v>5948.8041542564697</v>
      </c>
    </row>
    <row r="2335" spans="2:7" x14ac:dyDescent="0.25">
      <c r="B2335" s="49"/>
      <c r="C2335" s="89"/>
      <c r="D2335" s="89"/>
      <c r="E2335" s="47">
        <v>2858.5629279831401</v>
      </c>
      <c r="F2335" s="47">
        <v>0</v>
      </c>
      <c r="G2335" s="47">
        <v>5957.8178897838297</v>
      </c>
    </row>
    <row r="2336" spans="2:7" x14ac:dyDescent="0.25">
      <c r="B2336" s="49"/>
      <c r="C2336" s="89"/>
      <c r="D2336" s="89"/>
      <c r="E2336" s="47">
        <v>2868.0057780543402</v>
      </c>
      <c r="F2336" s="47">
        <v>0</v>
      </c>
      <c r="G2336" s="47">
        <v>5966.8316253111898</v>
      </c>
    </row>
    <row r="2337" spans="2:7" x14ac:dyDescent="0.25">
      <c r="B2337" s="49"/>
      <c r="C2337" s="89"/>
      <c r="D2337" s="89"/>
      <c r="E2337" s="47">
        <v>2878.8597810802098</v>
      </c>
      <c r="F2337" s="47">
        <v>0</v>
      </c>
      <c r="G2337" s="47">
        <v>5975.1370734585198</v>
      </c>
    </row>
    <row r="2338" spans="2:7" x14ac:dyDescent="0.25">
      <c r="B2338" s="49"/>
      <c r="C2338" s="89"/>
      <c r="D2338" s="89"/>
      <c r="E2338" s="47">
        <v>2890.1841684243</v>
      </c>
      <c r="F2338" s="47">
        <v>0</v>
      </c>
      <c r="G2338" s="47">
        <v>5983.2064258125101</v>
      </c>
    </row>
    <row r="2339" spans="2:7" x14ac:dyDescent="0.25">
      <c r="B2339" s="49"/>
      <c r="C2339" s="89"/>
      <c r="D2339" s="89"/>
      <c r="E2339" s="47">
        <v>2902.5753671133698</v>
      </c>
      <c r="F2339" s="47">
        <v>0</v>
      </c>
      <c r="G2339" s="47">
        <v>5991.0549765573696</v>
      </c>
    </row>
    <row r="2340" spans="2:7" x14ac:dyDescent="0.25">
      <c r="B2340" s="49"/>
      <c r="C2340" s="89"/>
      <c r="D2340" s="89"/>
      <c r="E2340" s="47">
        <v>2916.0333771474302</v>
      </c>
      <c r="F2340" s="47">
        <v>0</v>
      </c>
      <c r="G2340" s="47">
        <v>5998.6827256931101</v>
      </c>
    </row>
    <row r="2341" spans="2:7" x14ac:dyDescent="0.25">
      <c r="B2341" s="49"/>
      <c r="C2341" s="89"/>
      <c r="D2341" s="89"/>
      <c r="E2341" s="47">
        <v>2930.0832769731301</v>
      </c>
      <c r="F2341" s="47">
        <v>0</v>
      </c>
      <c r="G2341" s="47">
        <v>6006.2877315595497</v>
      </c>
    </row>
    <row r="2342" spans="2:7" x14ac:dyDescent="0.25">
      <c r="B2342" s="49"/>
      <c r="C2342" s="89"/>
      <c r="D2342" s="89"/>
      <c r="E2342" s="47">
        <v>2945.9088461737902</v>
      </c>
      <c r="F2342" s="47">
        <v>0</v>
      </c>
      <c r="G2342" s="47">
        <v>6013.8245076181402</v>
      </c>
    </row>
    <row r="2343" spans="2:7" x14ac:dyDescent="0.25">
      <c r="B2343" s="49"/>
      <c r="C2343" s="89"/>
      <c r="D2343" s="89"/>
      <c r="E2343" s="47">
        <v>2961.7344153744498</v>
      </c>
      <c r="F2343" s="47">
        <v>0</v>
      </c>
      <c r="G2343" s="47">
        <v>6021.3612836767297</v>
      </c>
    </row>
    <row r="2344" spans="2:7" x14ac:dyDescent="0.25">
      <c r="B2344" s="49"/>
      <c r="C2344" s="89"/>
      <c r="D2344" s="89">
        <v>100</v>
      </c>
      <c r="E2344" s="47">
        <v>2849.2619907205599</v>
      </c>
      <c r="F2344" s="47">
        <v>318.85903449840299</v>
      </c>
      <c r="G2344" s="47">
        <v>6258.8020397152504</v>
      </c>
    </row>
    <row r="2345" spans="2:7" x14ac:dyDescent="0.25">
      <c r="B2345" s="49"/>
      <c r="C2345" s="89"/>
      <c r="D2345" s="89"/>
      <c r="E2345" s="47">
        <v>2859.0221588118402</v>
      </c>
      <c r="F2345" s="47">
        <v>318.927673152426</v>
      </c>
      <c r="G2345" s="47">
        <v>6281.7450318783604</v>
      </c>
    </row>
    <row r="2346" spans="2:7" x14ac:dyDescent="0.25">
      <c r="B2346" s="49"/>
      <c r="C2346" s="89"/>
      <c r="D2346" s="89"/>
      <c r="E2346" s="47">
        <v>2869.7559748184499</v>
      </c>
      <c r="F2346" s="47">
        <v>318.98135629888498</v>
      </c>
      <c r="G2346" s="47">
        <v>6302.3345485332402</v>
      </c>
    </row>
    <row r="2347" spans="2:7" x14ac:dyDescent="0.25">
      <c r="B2347" s="49"/>
      <c r="C2347" s="89"/>
      <c r="D2347" s="89"/>
      <c r="E2347" s="47">
        <v>2881.4634387404099</v>
      </c>
      <c r="F2347" s="47">
        <v>319.02008393778101</v>
      </c>
      <c r="G2347" s="47">
        <v>6320.5705896799</v>
      </c>
    </row>
    <row r="2348" spans="2:7" x14ac:dyDescent="0.25">
      <c r="B2348" s="49"/>
      <c r="C2348" s="89"/>
      <c r="D2348" s="89"/>
      <c r="E2348" s="47">
        <v>2895.5830438170901</v>
      </c>
      <c r="F2348" s="47">
        <v>319.03561481989902</v>
      </c>
      <c r="G2348" s="47">
        <v>6335.9263986621299</v>
      </c>
    </row>
    <row r="2349" spans="2:7" x14ac:dyDescent="0.25">
      <c r="B2349" s="49"/>
      <c r="C2349" s="89"/>
      <c r="D2349" s="89"/>
      <c r="E2349" s="47">
        <v>2911.11150670185</v>
      </c>
      <c r="F2349" s="47">
        <v>319.04153484882102</v>
      </c>
      <c r="G2349" s="47">
        <v>6350.4383903766302</v>
      </c>
    </row>
    <row r="2350" spans="2:7" x14ac:dyDescent="0.25">
      <c r="B2350" s="49"/>
      <c r="C2350" s="89"/>
      <c r="D2350" s="89"/>
      <c r="E2350" s="47">
        <v>2928.0488273946999</v>
      </c>
      <c r="F2350" s="47">
        <v>319.03784402454801</v>
      </c>
      <c r="G2350" s="47">
        <v>6364.1065648233998</v>
      </c>
    </row>
    <row r="2351" spans="2:7" x14ac:dyDescent="0.25">
      <c r="B2351" s="49"/>
      <c r="C2351" s="89"/>
      <c r="D2351" s="89"/>
      <c r="E2351" s="47">
        <v>2948.1803074617501</v>
      </c>
      <c r="F2351" s="47">
        <v>319.017346845465</v>
      </c>
      <c r="G2351" s="47">
        <v>6376.9227919539499</v>
      </c>
    </row>
    <row r="2352" spans="2:7" x14ac:dyDescent="0.25">
      <c r="B2352" s="49"/>
      <c r="C2352" s="89"/>
      <c r="D2352" s="89"/>
      <c r="E2352" s="47">
        <v>2970.0815045089498</v>
      </c>
      <c r="F2352" s="47">
        <v>318.98908482859702</v>
      </c>
      <c r="G2352" s="47">
        <v>6389.5961505769001</v>
      </c>
    </row>
    <row r="2353" spans="2:7" x14ac:dyDescent="0.25">
      <c r="B2353" s="49"/>
      <c r="C2353" s="89"/>
      <c r="D2353" s="89"/>
      <c r="E2353" s="47">
        <v>2993.7524185363</v>
      </c>
      <c r="F2353" s="47">
        <v>318.95305797394502</v>
      </c>
      <c r="G2353" s="47">
        <v>6402.1266406922196</v>
      </c>
    </row>
    <row r="2354" spans="2:7" x14ac:dyDescent="0.25">
      <c r="B2354" s="49"/>
      <c r="C2354" s="89"/>
      <c r="D2354" s="89">
        <v>200</v>
      </c>
      <c r="E2354" s="47">
        <v>2865.2422496999702</v>
      </c>
      <c r="F2354" s="47">
        <v>630.87222467525305</v>
      </c>
      <c r="G2354" s="47">
        <v>6580.6477511438497</v>
      </c>
    </row>
    <row r="2355" spans="2:7" x14ac:dyDescent="0.25">
      <c r="B2355" s="49"/>
      <c r="C2355" s="89"/>
      <c r="D2355" s="89"/>
      <c r="E2355" s="47">
        <v>2874.9020246738601</v>
      </c>
      <c r="F2355" s="47">
        <v>631.173552051206</v>
      </c>
      <c r="G2355" s="47">
        <v>6620.9455405259896</v>
      </c>
    </row>
    <row r="2356" spans="2:7" x14ac:dyDescent="0.25">
      <c r="B2356" s="49"/>
      <c r="C2356" s="89"/>
      <c r="D2356" s="89"/>
      <c r="E2356" s="47">
        <v>2885.7281950234601</v>
      </c>
      <c r="F2356" s="47">
        <v>631.39796149565996</v>
      </c>
      <c r="G2356" s="47">
        <v>6654.0535137957804</v>
      </c>
    </row>
    <row r="2357" spans="2:7" x14ac:dyDescent="0.25">
      <c r="B2357" s="49"/>
      <c r="C2357" s="89"/>
      <c r="D2357" s="89"/>
      <c r="E2357" s="47">
        <v>2898.0023961196998</v>
      </c>
      <c r="F2357" s="47">
        <v>631.55883385501704</v>
      </c>
      <c r="G2357" s="47">
        <v>6681.6360624469999</v>
      </c>
    </row>
    <row r="2358" spans="2:7" x14ac:dyDescent="0.25">
      <c r="B2358" s="49"/>
      <c r="C2358" s="89"/>
      <c r="D2358" s="89"/>
      <c r="E2358" s="47">
        <v>2911.9880714865099</v>
      </c>
      <c r="F2358" s="47">
        <v>631.66763087419395</v>
      </c>
      <c r="G2358" s="47">
        <v>6705.13775733897</v>
      </c>
    </row>
    <row r="2359" spans="2:7" x14ac:dyDescent="0.25">
      <c r="B2359" s="49"/>
      <c r="C2359" s="89"/>
      <c r="D2359" s="89"/>
      <c r="E2359" s="47">
        <v>2928.39081170589</v>
      </c>
      <c r="F2359" s="47">
        <v>631.72613515228204</v>
      </c>
      <c r="G2359" s="47">
        <v>6725.3503150645902</v>
      </c>
    </row>
    <row r="2360" spans="2:7" x14ac:dyDescent="0.25">
      <c r="B2360" s="49"/>
      <c r="C2360" s="89"/>
      <c r="D2360" s="89"/>
      <c r="E2360" s="47">
        <v>2947.6137099027301</v>
      </c>
      <c r="F2360" s="47">
        <v>631.74351784358998</v>
      </c>
      <c r="G2360" s="47">
        <v>6743.5935503467399</v>
      </c>
    </row>
    <row r="2361" spans="2:7" x14ac:dyDescent="0.25">
      <c r="B2361" s="49"/>
      <c r="C2361" s="89"/>
      <c r="D2361" s="89"/>
      <c r="E2361" s="47">
        <v>2969.4299257531102</v>
      </c>
      <c r="F2361" s="47">
        <v>631.730239804647</v>
      </c>
      <c r="G2361" s="47">
        <v>6760.7868166149601</v>
      </c>
    </row>
    <row r="2362" spans="2:7" x14ac:dyDescent="0.25">
      <c r="B2362" s="49"/>
      <c r="C2362" s="89"/>
      <c r="D2362" s="89"/>
      <c r="E2362" s="47">
        <v>2994.0162149705602</v>
      </c>
      <c r="F2362" s="47">
        <v>631.68826471623299</v>
      </c>
      <c r="G2362" s="47">
        <v>6777.28975783859</v>
      </c>
    </row>
    <row r="2363" spans="2:7" x14ac:dyDescent="0.25">
      <c r="B2363" s="49"/>
      <c r="C2363" s="89"/>
      <c r="D2363" s="89"/>
      <c r="E2363" s="47">
        <v>3021.5465163732601</v>
      </c>
      <c r="F2363" s="47">
        <v>631.61918537749398</v>
      </c>
      <c r="G2363" s="47">
        <v>6793.4201650883297</v>
      </c>
    </row>
    <row r="2364" spans="2:7" x14ac:dyDescent="0.25">
      <c r="B2364" s="49"/>
      <c r="C2364" s="89"/>
      <c r="D2364" s="89">
        <v>300</v>
      </c>
      <c r="E2364" s="47">
        <v>2866.85283704839</v>
      </c>
      <c r="F2364" s="47">
        <v>934.07413084040604</v>
      </c>
      <c r="G2364" s="47">
        <v>6750.7217834174899</v>
      </c>
    </row>
    <row r="2365" spans="2:7" x14ac:dyDescent="0.25">
      <c r="B2365" s="49"/>
      <c r="C2365" s="89"/>
      <c r="D2365" s="89"/>
      <c r="E2365" s="47">
        <v>2879.0592163901101</v>
      </c>
      <c r="F2365" s="47">
        <v>935.72381228890299</v>
      </c>
      <c r="G2365" s="47">
        <v>6878.0994666703</v>
      </c>
    </row>
    <row r="2366" spans="2:7" x14ac:dyDescent="0.25">
      <c r="B2366" s="49"/>
      <c r="C2366" s="89"/>
      <c r="D2366" s="89"/>
      <c r="E2366" s="47">
        <v>2890.24983030057</v>
      </c>
      <c r="F2366" s="47">
        <v>936.74667391624598</v>
      </c>
      <c r="G2366" s="47">
        <v>6960.1547218721398</v>
      </c>
    </row>
    <row r="2367" spans="2:7" x14ac:dyDescent="0.25">
      <c r="B2367" s="49"/>
      <c r="C2367" s="89"/>
      <c r="D2367" s="89"/>
      <c r="E2367" s="47">
        <v>2902.4412158328601</v>
      </c>
      <c r="F2367" s="47">
        <v>937.41420656446996</v>
      </c>
      <c r="G2367" s="47">
        <v>7017.8671421134704</v>
      </c>
    </row>
    <row r="2368" spans="2:7" x14ac:dyDescent="0.25">
      <c r="B2368" s="49"/>
      <c r="C2368" s="89"/>
      <c r="D2368" s="89"/>
      <c r="E2368" s="47">
        <v>2916.7862811392902</v>
      </c>
      <c r="F2368" s="47">
        <v>937.85270555530894</v>
      </c>
      <c r="G2368" s="47">
        <v>7061.1774009728797</v>
      </c>
    </row>
    <row r="2369" spans="2:7" x14ac:dyDescent="0.25">
      <c r="B2369" s="49"/>
      <c r="C2369" s="89"/>
      <c r="D2369" s="89"/>
      <c r="E2369" s="47">
        <v>2934.10872293382</v>
      </c>
      <c r="F2369" s="47">
        <v>938.13116541590603</v>
      </c>
      <c r="G2369" s="47">
        <v>7095.6801643426197</v>
      </c>
    </row>
    <row r="2370" spans="2:7" x14ac:dyDescent="0.25">
      <c r="B2370" s="49"/>
      <c r="C2370" s="89"/>
      <c r="D2370" s="89"/>
      <c r="E2370" s="47">
        <v>2955.08075415963</v>
      </c>
      <c r="F2370" s="47">
        <v>938.28790697283</v>
      </c>
      <c r="G2370" s="47">
        <v>7124.66590836664</v>
      </c>
    </row>
    <row r="2371" spans="2:7" x14ac:dyDescent="0.25">
      <c r="B2371" s="49"/>
      <c r="C2371" s="89"/>
      <c r="D2371" s="89"/>
      <c r="E2371" s="47">
        <v>2980.28618428763</v>
      </c>
      <c r="F2371" s="47">
        <v>938.34593406209297</v>
      </c>
      <c r="G2371" s="47">
        <v>7150.2630232970896</v>
      </c>
    </row>
    <row r="2372" spans="2:7" x14ac:dyDescent="0.25">
      <c r="B2372" s="49"/>
      <c r="C2372" s="89"/>
      <c r="D2372" s="89"/>
      <c r="E2372" s="47">
        <v>3010.2664783657801</v>
      </c>
      <c r="F2372" s="47">
        <v>938.31892839534703</v>
      </c>
      <c r="G2372" s="47">
        <v>7173.9029525880496</v>
      </c>
    </row>
    <row r="2373" spans="2:7" x14ac:dyDescent="0.25">
      <c r="B2373" s="49"/>
      <c r="C2373" s="89"/>
      <c r="D2373" s="89"/>
      <c r="E2373" s="47">
        <v>3045.5359295929302</v>
      </c>
      <c r="F2373" s="47">
        <v>938.21549574338201</v>
      </c>
      <c r="G2373" s="47">
        <v>7196.6339463971999</v>
      </c>
    </row>
    <row r="2374" spans="2:7" x14ac:dyDescent="0.25">
      <c r="B2374" s="49"/>
      <c r="C2374" s="89"/>
      <c r="D2374" s="89">
        <v>400</v>
      </c>
      <c r="E2374" s="47">
        <v>2889.3073715491601</v>
      </c>
      <c r="F2374" s="47">
        <v>1232.4864194730401</v>
      </c>
      <c r="G2374" s="47">
        <v>7117.4955816765096</v>
      </c>
    </row>
    <row r="2375" spans="2:7" x14ac:dyDescent="0.25">
      <c r="B2375" s="49"/>
      <c r="C2375" s="89"/>
      <c r="D2375" s="89"/>
      <c r="E2375" s="47">
        <v>2900.9263734995502</v>
      </c>
      <c r="F2375" s="47">
        <v>1234.9358731663999</v>
      </c>
      <c r="G2375" s="47">
        <v>7257.5897248183601</v>
      </c>
    </row>
    <row r="2376" spans="2:7" x14ac:dyDescent="0.25">
      <c r="B2376" s="49"/>
      <c r="C2376" s="89"/>
      <c r="D2376" s="89"/>
      <c r="E2376" s="47">
        <v>2911.7485447394802</v>
      </c>
      <c r="F2376" s="47">
        <v>1236.4667343318399</v>
      </c>
      <c r="G2376" s="47">
        <v>7348.1678647203898</v>
      </c>
    </row>
    <row r="2377" spans="2:7" x14ac:dyDescent="0.25">
      <c r="B2377" s="49"/>
      <c r="C2377" s="89"/>
      <c r="D2377" s="89"/>
      <c r="E2377" s="47">
        <v>2923.6923030796602</v>
      </c>
      <c r="F2377" s="47">
        <v>1237.4785757129</v>
      </c>
      <c r="G2377" s="47">
        <v>7412.1135223772399</v>
      </c>
    </row>
    <row r="2378" spans="2:7" x14ac:dyDescent="0.25">
      <c r="B2378" s="49"/>
      <c r="C2378" s="89"/>
      <c r="D2378" s="89"/>
      <c r="E2378" s="47">
        <v>2937.8560098921798</v>
      </c>
      <c r="F2378" s="47">
        <v>1238.1584188368199</v>
      </c>
      <c r="G2378" s="47">
        <v>7460.3056687550798</v>
      </c>
    </row>
    <row r="2379" spans="2:7" x14ac:dyDescent="0.25">
      <c r="B2379" s="49"/>
      <c r="C2379" s="89"/>
      <c r="D2379" s="89"/>
      <c r="E2379" s="47">
        <v>2955.0299754769198</v>
      </c>
      <c r="F2379" s="47">
        <v>1238.6055122728701</v>
      </c>
      <c r="G2379" s="47">
        <v>7498.69353213044</v>
      </c>
    </row>
    <row r="2380" spans="2:7" x14ac:dyDescent="0.25">
      <c r="B2380" s="49"/>
      <c r="C2380" s="89"/>
      <c r="D2380" s="89"/>
      <c r="E2380" s="47">
        <v>2975.86740258805</v>
      </c>
      <c r="F2380" s="47">
        <v>1238.87761844442</v>
      </c>
      <c r="G2380" s="47">
        <v>7530.9039306677896</v>
      </c>
    </row>
    <row r="2381" spans="2:7" x14ac:dyDescent="0.25">
      <c r="B2381" s="49"/>
      <c r="C2381" s="89"/>
      <c r="D2381" s="89"/>
      <c r="E2381" s="47">
        <v>3000.9459271433702</v>
      </c>
      <c r="F2381" s="47">
        <v>1239.0082823550699</v>
      </c>
      <c r="G2381" s="47">
        <v>7559.2120038273197</v>
      </c>
    </row>
    <row r="2382" spans="2:7" x14ac:dyDescent="0.25">
      <c r="B2382" s="49"/>
      <c r="C2382" s="89"/>
      <c r="D2382" s="89"/>
      <c r="E2382" s="47">
        <v>3030.7957888454198</v>
      </c>
      <c r="F2382" s="47">
        <v>1239.0188055854901</v>
      </c>
      <c r="G2382" s="47">
        <v>7585.2012579061502</v>
      </c>
    </row>
    <row r="2383" spans="2:7" x14ac:dyDescent="0.25">
      <c r="B2383" s="49"/>
      <c r="C2383" s="89"/>
      <c r="D2383" s="89"/>
      <c r="E2383" s="47">
        <v>3065.93342191395</v>
      </c>
      <c r="F2383" s="47">
        <v>1238.92248659969</v>
      </c>
      <c r="G2383" s="47">
        <v>7610.0185646016898</v>
      </c>
    </row>
    <row r="2384" spans="2:7" x14ac:dyDescent="0.25">
      <c r="B2384" s="49"/>
      <c r="C2384" s="89"/>
      <c r="D2384" s="89">
        <v>500</v>
      </c>
      <c r="E2384" s="47">
        <v>2908.77463830959</v>
      </c>
      <c r="F2384" s="47">
        <v>1524.7150774334</v>
      </c>
      <c r="G2384" s="47">
        <v>7493.8463028065098</v>
      </c>
    </row>
    <row r="2385" spans="2:7" x14ac:dyDescent="0.25">
      <c r="B2385" s="49"/>
      <c r="C2385" s="89"/>
      <c r="D2385" s="89"/>
      <c r="E2385" s="47">
        <v>2919.7644987669701</v>
      </c>
      <c r="F2385" s="47">
        <v>1528.11779202345</v>
      </c>
      <c r="G2385" s="47">
        <v>7647.8299526045002</v>
      </c>
    </row>
    <row r="2386" spans="2:7" x14ac:dyDescent="0.25">
      <c r="B2386" s="49"/>
      <c r="C2386" s="89"/>
      <c r="D2386" s="89"/>
      <c r="E2386" s="47">
        <v>2930.1759829882199</v>
      </c>
      <c r="F2386" s="47">
        <v>1530.2543840288599</v>
      </c>
      <c r="G2386" s="47">
        <v>7747.4954670563902</v>
      </c>
    </row>
    <row r="2387" spans="2:7" x14ac:dyDescent="0.25">
      <c r="B2387" s="49"/>
      <c r="C2387" s="89"/>
      <c r="D2387" s="89"/>
      <c r="E2387" s="47">
        <v>2941.8173765015099</v>
      </c>
      <c r="F2387" s="47">
        <v>1531.67379446618</v>
      </c>
      <c r="G2387" s="47">
        <v>7817.7252368940899</v>
      </c>
    </row>
    <row r="2388" spans="2:7" x14ac:dyDescent="0.25">
      <c r="B2388" s="49"/>
      <c r="C2388" s="89"/>
      <c r="D2388" s="89"/>
      <c r="E2388" s="47">
        <v>2955.7547992284499</v>
      </c>
      <c r="F2388" s="47">
        <v>1532.64185788038</v>
      </c>
      <c r="G2388" s="47">
        <v>7870.7286206031304</v>
      </c>
    </row>
    <row r="2389" spans="2:7" x14ac:dyDescent="0.25">
      <c r="B2389" s="49"/>
      <c r="C2389" s="89"/>
      <c r="D2389" s="89"/>
      <c r="E2389" s="47">
        <v>2972.75284013593</v>
      </c>
      <c r="F2389" s="47">
        <v>1533.2965669581099</v>
      </c>
      <c r="G2389" s="47">
        <v>7913.0224864127604</v>
      </c>
    </row>
    <row r="2390" spans="2:7" x14ac:dyDescent="0.25">
      <c r="B2390" s="49"/>
      <c r="C2390" s="89"/>
      <c r="D2390" s="89"/>
      <c r="E2390" s="47">
        <v>2993.4384748153698</v>
      </c>
      <c r="F2390" s="47">
        <v>1533.7155112758401</v>
      </c>
      <c r="G2390" s="47">
        <v>7948.4384676242098</v>
      </c>
    </row>
    <row r="2391" spans="2:7" x14ac:dyDescent="0.25">
      <c r="B2391" s="49"/>
      <c r="C2391" s="89"/>
      <c r="D2391" s="89"/>
      <c r="E2391" s="47">
        <v>3018.3754945825299</v>
      </c>
      <c r="F2391" s="47">
        <v>1533.9461527825999</v>
      </c>
      <c r="G2391" s="47">
        <v>7979.4737759912095</v>
      </c>
    </row>
    <row r="2392" spans="2:7" x14ac:dyDescent="0.25">
      <c r="B2392" s="49"/>
      <c r="C2392" s="89"/>
      <c r="D2392" s="89"/>
      <c r="E2392" s="47">
        <v>3048.0934426251001</v>
      </c>
      <c r="F2392" s="47">
        <v>1534.0182809836001</v>
      </c>
      <c r="G2392" s="47">
        <v>8007.8454046469697</v>
      </c>
    </row>
    <row r="2393" spans="2:7" x14ac:dyDescent="0.25">
      <c r="B2393" s="49"/>
      <c r="C2393" s="89"/>
      <c r="D2393" s="89"/>
      <c r="E2393" s="47">
        <v>3083.0946647962401</v>
      </c>
      <c r="F2393" s="47">
        <v>1533.9507642889</v>
      </c>
      <c r="G2393" s="47">
        <v>8034.7827640630403</v>
      </c>
    </row>
    <row r="2394" spans="2:7" x14ac:dyDescent="0.25">
      <c r="B2394" s="49"/>
      <c r="C2394" s="89"/>
      <c r="D2394" s="89">
        <v>600</v>
      </c>
      <c r="E2394" s="47">
        <v>2925.3699466707499</v>
      </c>
      <c r="F2394" s="47">
        <v>1810.88234961956</v>
      </c>
      <c r="G2394" s="47">
        <v>7878.0648070653097</v>
      </c>
    </row>
    <row r="2395" spans="2:7" x14ac:dyDescent="0.25">
      <c r="B2395" s="49"/>
      <c r="C2395" s="89"/>
      <c r="D2395" s="89"/>
      <c r="E2395" s="47">
        <v>2935.6870153945802</v>
      </c>
      <c r="F2395" s="47">
        <v>1815.3761312930301</v>
      </c>
      <c r="G2395" s="47">
        <v>8045.9498194293301</v>
      </c>
    </row>
    <row r="2396" spans="2:7" x14ac:dyDescent="0.25">
      <c r="B2396" s="49"/>
      <c r="C2396" s="89"/>
      <c r="D2396" s="89"/>
      <c r="E2396" s="47">
        <v>2945.6462372809301</v>
      </c>
      <c r="F2396" s="47">
        <v>1818.2132801021</v>
      </c>
      <c r="G2396" s="47">
        <v>8154.8638772022896</v>
      </c>
    </row>
    <row r="2397" spans="2:7" x14ac:dyDescent="0.25">
      <c r="B2397" s="49"/>
      <c r="C2397" s="89"/>
      <c r="D2397" s="89"/>
      <c r="E2397" s="47">
        <v>2956.9717674656799</v>
      </c>
      <c r="F2397" s="47">
        <v>1820.11979370676</v>
      </c>
      <c r="G2397" s="47">
        <v>8231.9907489665293</v>
      </c>
    </row>
    <row r="2398" spans="2:7" x14ac:dyDescent="0.25">
      <c r="B2398" s="49"/>
      <c r="C2398" s="89"/>
      <c r="D2398" s="89"/>
      <c r="E2398" s="47">
        <v>2970.6716589818102</v>
      </c>
      <c r="F2398" s="47">
        <v>1821.4370805109099</v>
      </c>
      <c r="G2398" s="47">
        <v>8290.2793411065104</v>
      </c>
    </row>
    <row r="2399" spans="2:7" x14ac:dyDescent="0.25">
      <c r="B2399" s="49"/>
      <c r="C2399" s="89"/>
      <c r="D2399" s="89"/>
      <c r="E2399" s="47">
        <v>2987.4747297905701</v>
      </c>
      <c r="F2399" s="47">
        <v>1822.34541538649</v>
      </c>
      <c r="G2399" s="47">
        <v>8336.7332148958503</v>
      </c>
    </row>
    <row r="2400" spans="2:7" x14ac:dyDescent="0.25">
      <c r="B2400" s="49"/>
      <c r="C2400" s="89"/>
      <c r="D2400" s="89"/>
      <c r="E2400" s="47">
        <v>3007.99424526135</v>
      </c>
      <c r="F2400" s="47">
        <v>1822.9488080421199</v>
      </c>
      <c r="G2400" s="47">
        <v>8375.5569255025293</v>
      </c>
    </row>
    <row r="2401" spans="2:7" x14ac:dyDescent="0.25">
      <c r="B2401" s="49"/>
      <c r="C2401" s="89"/>
      <c r="D2401" s="89"/>
      <c r="E2401" s="47">
        <v>3032.7788126591499</v>
      </c>
      <c r="F2401" s="47">
        <v>1823.3108947562</v>
      </c>
      <c r="G2401" s="47">
        <v>8409.4701465844792</v>
      </c>
    </row>
    <row r="2402" spans="2:7" x14ac:dyDescent="0.25">
      <c r="B2402" s="49"/>
      <c r="C2402" s="89"/>
      <c r="D2402" s="89"/>
      <c r="E2402" s="47">
        <v>3062.3521430135302</v>
      </c>
      <c r="F2402" s="47">
        <v>1823.4714126398701</v>
      </c>
      <c r="G2402" s="47">
        <v>8440.3256133867708</v>
      </c>
    </row>
    <row r="2403" spans="2:7" x14ac:dyDescent="0.25">
      <c r="B2403" s="49"/>
      <c r="C2403" s="89"/>
      <c r="D2403" s="89"/>
      <c r="E2403" s="47">
        <v>3097.2112380183398</v>
      </c>
      <c r="F2403" s="47">
        <v>1823.45740152228</v>
      </c>
      <c r="G2403" s="47">
        <v>8469.5033362720606</v>
      </c>
    </row>
    <row r="2404" spans="2:7" x14ac:dyDescent="0.25">
      <c r="B2404" s="49"/>
      <c r="C2404" s="89"/>
      <c r="D2404" s="89">
        <v>700</v>
      </c>
      <c r="E2404" s="47">
        <v>2939.3927901387201</v>
      </c>
      <c r="F2404" s="47">
        <v>2091.1609554235401</v>
      </c>
      <c r="G2404" s="47">
        <v>8271.1725023999697</v>
      </c>
    </row>
    <row r="2405" spans="2:7" x14ac:dyDescent="0.25">
      <c r="B2405" s="49"/>
      <c r="C2405" s="89"/>
      <c r="D2405" s="89"/>
      <c r="E2405" s="47">
        <v>2948.9907182830402</v>
      </c>
      <c r="F2405" s="47">
        <v>2096.9327455512098</v>
      </c>
      <c r="G2405" s="47">
        <v>8454.4346489421005</v>
      </c>
    </row>
    <row r="2406" spans="2:7" x14ac:dyDescent="0.25">
      <c r="B2406" s="49"/>
      <c r="C2406" s="89"/>
      <c r="D2406" s="89"/>
      <c r="E2406" s="47">
        <v>2958.4740114043202</v>
      </c>
      <c r="F2406" s="47">
        <v>2100.5729784466398</v>
      </c>
      <c r="G2406" s="47">
        <v>8572.9226945257396</v>
      </c>
    </row>
    <row r="2407" spans="2:7" x14ac:dyDescent="0.25">
      <c r="B2407" s="49"/>
      <c r="C2407" s="89"/>
      <c r="D2407" s="89"/>
      <c r="E2407" s="47">
        <v>2969.4647930402598</v>
      </c>
      <c r="F2407" s="47">
        <v>2103.03073952042</v>
      </c>
      <c r="G2407" s="47">
        <v>8656.8207515861504</v>
      </c>
    </row>
    <row r="2408" spans="2:7" x14ac:dyDescent="0.25">
      <c r="B2408" s="49"/>
      <c r="C2408" s="89"/>
      <c r="D2408" s="89"/>
      <c r="E2408" s="47">
        <v>2982.9054821966802</v>
      </c>
      <c r="F2408" s="47">
        <v>2104.7460193166899</v>
      </c>
      <c r="G2408" s="47">
        <v>8720.2811360898195</v>
      </c>
    </row>
    <row r="2409" spans="2:7" x14ac:dyDescent="0.25">
      <c r="B2409" s="49"/>
      <c r="C2409" s="89"/>
      <c r="D2409" s="89"/>
      <c r="E2409" s="47">
        <v>2999.5012746467</v>
      </c>
      <c r="F2409" s="47">
        <v>2105.9481582543799</v>
      </c>
      <c r="G2409" s="47">
        <v>8770.8622474138301</v>
      </c>
    </row>
    <row r="2410" spans="2:7" x14ac:dyDescent="0.25">
      <c r="B2410" s="49"/>
      <c r="C2410" s="89"/>
      <c r="D2410" s="89"/>
      <c r="E2410" s="47">
        <v>3019.8344393667498</v>
      </c>
      <c r="F2410" s="47">
        <v>2106.7702509569899</v>
      </c>
      <c r="G2410" s="47">
        <v>8813.0966467336202</v>
      </c>
    </row>
    <row r="2411" spans="2:7" x14ac:dyDescent="0.25">
      <c r="B2411" s="49"/>
      <c r="C2411" s="89"/>
      <c r="D2411" s="89"/>
      <c r="E2411" s="47">
        <v>3044.4567504843799</v>
      </c>
      <c r="F2411" s="47">
        <v>2107.2941420724101</v>
      </c>
      <c r="G2411" s="47">
        <v>8849.9371321040398</v>
      </c>
    </row>
    <row r="2412" spans="2:7" x14ac:dyDescent="0.25">
      <c r="B2412" s="49"/>
      <c r="C2412" s="89"/>
      <c r="D2412" s="89"/>
      <c r="E2412" s="47">
        <v>3073.8751808028701</v>
      </c>
      <c r="F2412" s="47">
        <v>2107.5707459031801</v>
      </c>
      <c r="G2412" s="47">
        <v>8883.3593277988402</v>
      </c>
    </row>
    <row r="2413" spans="2:7" x14ac:dyDescent="0.25">
      <c r="B2413" s="49"/>
      <c r="C2413" s="89"/>
      <c r="D2413" s="89"/>
      <c r="E2413" s="47">
        <v>3108.5821770301</v>
      </c>
      <c r="F2413" s="47">
        <v>2107.6329634047802</v>
      </c>
      <c r="G2413" s="47">
        <v>8914.7801775535409</v>
      </c>
    </row>
    <row r="2414" spans="2:7" x14ac:dyDescent="0.25">
      <c r="B2414" s="49"/>
      <c r="C2414" s="89"/>
      <c r="D2414" s="89">
        <v>800</v>
      </c>
      <c r="E2414" s="47">
        <v>2950.9801643088199</v>
      </c>
      <c r="F2414" s="47">
        <v>2365.6179738441801</v>
      </c>
      <c r="G2414" s="47">
        <v>8670.8688277010897</v>
      </c>
    </row>
    <row r="2415" spans="2:7" x14ac:dyDescent="0.25">
      <c r="B2415" s="49"/>
      <c r="C2415" s="89"/>
      <c r="D2415" s="89"/>
      <c r="E2415" s="47">
        <v>2959.8022852867098</v>
      </c>
      <c r="F2415" s="47">
        <v>2372.8129192316401</v>
      </c>
      <c r="G2415" s="47">
        <v>8869.2978576067599</v>
      </c>
    </row>
    <row r="2416" spans="2:7" x14ac:dyDescent="0.25">
      <c r="B2416" s="49"/>
      <c r="C2416" s="89"/>
      <c r="D2416" s="89"/>
      <c r="E2416" s="47">
        <v>2968.78369544509</v>
      </c>
      <c r="F2416" s="47">
        <v>2377.3846502369001</v>
      </c>
      <c r="G2416" s="47">
        <v>8998.2393272336394</v>
      </c>
    </row>
    <row r="2417" spans="2:7" x14ac:dyDescent="0.25">
      <c r="B2417" s="49"/>
      <c r="C2417" s="89"/>
      <c r="D2417" s="89"/>
      <c r="E2417" s="47">
        <v>2979.41602502353</v>
      </c>
      <c r="F2417" s="47">
        <v>2380.4911447219401</v>
      </c>
      <c r="G2417" s="47">
        <v>9089.7028149371199</v>
      </c>
    </row>
    <row r="2418" spans="2:7" x14ac:dyDescent="0.25">
      <c r="B2418" s="49"/>
      <c r="C2418" s="89"/>
      <c r="D2418" s="89"/>
      <c r="E2418" s="47">
        <v>2992.5853210181799</v>
      </c>
      <c r="F2418" s="47">
        <v>2382.6753170458601</v>
      </c>
      <c r="G2418" s="47">
        <v>9158.8518321532192</v>
      </c>
    </row>
    <row r="2419" spans="2:7" x14ac:dyDescent="0.25">
      <c r="B2419" s="49"/>
      <c r="C2419" s="89"/>
      <c r="D2419" s="89"/>
      <c r="E2419" s="47">
        <v>3008.9634261854198</v>
      </c>
      <c r="F2419" s="47">
        <v>2384.2254972670198</v>
      </c>
      <c r="G2419" s="47">
        <v>9213.9098536245692</v>
      </c>
    </row>
    <row r="2420" spans="2:7" x14ac:dyDescent="0.25">
      <c r="B2420" s="49"/>
      <c r="C2420" s="89"/>
      <c r="D2420" s="89"/>
      <c r="E2420" s="47">
        <v>3029.11437761356</v>
      </c>
      <c r="F2420" s="47">
        <v>2385.3102599939202</v>
      </c>
      <c r="G2420" s="47">
        <v>9259.8294485606493</v>
      </c>
    </row>
    <row r="2421" spans="2:7" x14ac:dyDescent="0.25">
      <c r="B2421" s="49"/>
      <c r="C2421" s="89"/>
      <c r="D2421" s="89"/>
      <c r="E2421" s="47">
        <v>3053.5739109001502</v>
      </c>
      <c r="F2421" s="47">
        <v>2386.0302285082598</v>
      </c>
      <c r="G2421" s="47">
        <v>9299.7368007482601</v>
      </c>
    </row>
    <row r="2422" spans="2:7" x14ac:dyDescent="0.25">
      <c r="B2422" s="49"/>
      <c r="C2422" s="89"/>
      <c r="D2422" s="89"/>
      <c r="E2422" s="47">
        <v>3082.8425005822701</v>
      </c>
      <c r="F2422" s="47">
        <v>2386.4505011807</v>
      </c>
      <c r="G2422" s="47">
        <v>9335.7848432505507</v>
      </c>
    </row>
    <row r="2423" spans="2:7" x14ac:dyDescent="0.25">
      <c r="B2423" s="49"/>
      <c r="C2423" s="89"/>
      <c r="D2423" s="89"/>
      <c r="E2423" s="47">
        <v>3117.40585861197</v>
      </c>
      <c r="F2423" s="47">
        <v>2386.6132679144998</v>
      </c>
      <c r="G2423" s="47">
        <v>9369.5060813820692</v>
      </c>
    </row>
    <row r="2424" spans="2:7" x14ac:dyDescent="0.25">
      <c r="B2424" s="49"/>
      <c r="C2424" s="89"/>
      <c r="D2424" s="89">
        <v>900</v>
      </c>
      <c r="E2424" s="47">
        <v>2960.3634960569302</v>
      </c>
      <c r="F2424" s="47">
        <v>2634.4676941857001</v>
      </c>
      <c r="G2424" s="47">
        <v>9079.4834965808295</v>
      </c>
    </row>
    <row r="2425" spans="2:7" x14ac:dyDescent="0.25">
      <c r="B2425" s="49"/>
      <c r="C2425" s="89"/>
      <c r="D2425" s="89"/>
      <c r="E2425" s="47">
        <v>2968.3852325609801</v>
      </c>
      <c r="F2425" s="47">
        <v>2643.2679685306398</v>
      </c>
      <c r="G2425" s="47">
        <v>9293.8234087596302</v>
      </c>
    </row>
    <row r="2426" spans="2:7" x14ac:dyDescent="0.25">
      <c r="B2426" s="49"/>
      <c r="C2426" s="89"/>
      <c r="D2426" s="89"/>
      <c r="E2426" s="47">
        <v>2976.8495667243201</v>
      </c>
      <c r="F2426" s="47">
        <v>2648.8659940450498</v>
      </c>
      <c r="G2426" s="47">
        <v>9433.0145159574004</v>
      </c>
    </row>
    <row r="2427" spans="2:7" x14ac:dyDescent="0.25">
      <c r="B2427" s="49"/>
      <c r="C2427" s="89"/>
      <c r="D2427" s="89"/>
      <c r="E2427" s="47">
        <v>2987.11061953739</v>
      </c>
      <c r="F2427" s="47">
        <v>2652.6857173336002</v>
      </c>
      <c r="G2427" s="47">
        <v>9531.7984095863394</v>
      </c>
    </row>
    <row r="2428" spans="2:7" x14ac:dyDescent="0.25">
      <c r="B2428" s="49"/>
      <c r="C2428" s="89"/>
      <c r="D2428" s="89"/>
      <c r="E2428" s="47">
        <v>2999.9875744256401</v>
      </c>
      <c r="F2428" s="47">
        <v>2655.39075561762</v>
      </c>
      <c r="G2428" s="47">
        <v>9606.5232133026002</v>
      </c>
    </row>
    <row r="2429" spans="2:7" x14ac:dyDescent="0.25">
      <c r="B2429" s="49"/>
      <c r="C2429" s="89"/>
      <c r="D2429" s="89"/>
      <c r="E2429" s="47">
        <v>3016.1213148636898</v>
      </c>
      <c r="F2429" s="47">
        <v>2657.3335218182701</v>
      </c>
      <c r="G2429" s="47">
        <v>9666.0451598404397</v>
      </c>
    </row>
    <row r="2430" spans="2:7" x14ac:dyDescent="0.25">
      <c r="B2430" s="49"/>
      <c r="C2430" s="89"/>
      <c r="D2430" s="89"/>
      <c r="E2430" s="47">
        <v>3036.0747099492501</v>
      </c>
      <c r="F2430" s="47">
        <v>2658.71619640366</v>
      </c>
      <c r="G2430" s="47">
        <v>9715.6110506111308</v>
      </c>
    </row>
    <row r="2431" spans="2:7" x14ac:dyDescent="0.25">
      <c r="B2431" s="49"/>
      <c r="C2431" s="89"/>
      <c r="D2431" s="89"/>
      <c r="E2431" s="47">
        <v>3060.3598375131801</v>
      </c>
      <c r="F2431" s="47">
        <v>2659.6634287364</v>
      </c>
      <c r="G2431" s="47">
        <v>9758.5954824288492</v>
      </c>
    </row>
    <row r="2432" spans="2:7" x14ac:dyDescent="0.25">
      <c r="B2432" s="49"/>
      <c r="C2432" s="89"/>
      <c r="D2432" s="89"/>
      <c r="E2432" s="47">
        <v>3089.4643169844098</v>
      </c>
      <c r="F2432" s="47">
        <v>2660.2561458947198</v>
      </c>
      <c r="G2432" s="47">
        <v>9797.3210211802598</v>
      </c>
    </row>
    <row r="2433" spans="2:7" x14ac:dyDescent="0.25">
      <c r="B2433" s="49"/>
      <c r="C2433" s="89"/>
      <c r="D2433" s="89"/>
      <c r="E2433" s="47">
        <v>3123.8677437432698</v>
      </c>
      <c r="F2433" s="47">
        <v>2660.5471980904499</v>
      </c>
      <c r="G2433" s="47">
        <v>9833.4415717634001</v>
      </c>
    </row>
    <row r="2434" spans="2:7" x14ac:dyDescent="0.25">
      <c r="B2434" s="49"/>
      <c r="C2434" s="89"/>
      <c r="D2434" s="89">
        <v>1000</v>
      </c>
      <c r="E2434" s="47">
        <v>2967.7220935953701</v>
      </c>
      <c r="F2434" s="47">
        <v>2897.7813798627499</v>
      </c>
      <c r="G2434" s="47">
        <v>9495.4182477267004</v>
      </c>
    </row>
    <row r="2435" spans="2:7" x14ac:dyDescent="0.25">
      <c r="B2435" s="49"/>
      <c r="C2435" s="89"/>
      <c r="D2435" s="89"/>
      <c r="E2435" s="47">
        <v>2974.8877851166299</v>
      </c>
      <c r="F2435" s="47">
        <v>2908.3704732245801</v>
      </c>
      <c r="G2435" s="47">
        <v>9726.1831415640099</v>
      </c>
    </row>
    <row r="2436" spans="2:7" x14ac:dyDescent="0.25">
      <c r="B2436" s="49"/>
      <c r="C2436" s="89"/>
      <c r="D2436" s="89"/>
      <c r="E2436" s="47">
        <v>2982.7900141465798</v>
      </c>
      <c r="F2436" s="47">
        <v>2915.1282882768101</v>
      </c>
      <c r="G2436" s="47">
        <v>9876.2707897564396</v>
      </c>
    </row>
    <row r="2437" spans="2:7" x14ac:dyDescent="0.25">
      <c r="B2437" s="49"/>
      <c r="C2437" s="89"/>
      <c r="D2437" s="89"/>
      <c r="E2437" s="47">
        <v>2992.65757993941</v>
      </c>
      <c r="F2437" s="47">
        <v>2919.7563738631802</v>
      </c>
      <c r="G2437" s="47">
        <v>9982.8412706140498</v>
      </c>
    </row>
    <row r="2438" spans="2:7" x14ac:dyDescent="0.25">
      <c r="B2438" s="49"/>
      <c r="C2438" s="89"/>
      <c r="D2438" s="89"/>
      <c r="E2438" s="47">
        <v>3005.2392584992199</v>
      </c>
      <c r="F2438" s="47">
        <v>2923.0524316344699</v>
      </c>
      <c r="G2438" s="47">
        <v>10063.458896042601</v>
      </c>
    </row>
    <row r="2439" spans="2:7" x14ac:dyDescent="0.25">
      <c r="B2439" s="49"/>
      <c r="C2439" s="89"/>
      <c r="D2439" s="89"/>
      <c r="E2439" s="47">
        <v>3021.1426094775202</v>
      </c>
      <c r="F2439" s="47">
        <v>2925.4377960123502</v>
      </c>
      <c r="G2439" s="47">
        <v>10127.580988481301</v>
      </c>
    </row>
    <row r="2440" spans="2:7" x14ac:dyDescent="0.25">
      <c r="B2440" s="49"/>
      <c r="C2440" s="89"/>
      <c r="D2440" s="89"/>
      <c r="E2440" s="47">
        <v>3040.90060599246</v>
      </c>
      <c r="F2440" s="47">
        <v>2927.1597328398602</v>
      </c>
      <c r="G2440" s="47">
        <v>10180.907068677299</v>
      </c>
    </row>
    <row r="2441" spans="2:7" x14ac:dyDescent="0.25">
      <c r="B2441" s="49"/>
      <c r="C2441" s="89"/>
      <c r="D2441" s="89"/>
      <c r="E2441" s="47">
        <v>3065.0082495668298</v>
      </c>
      <c r="F2441" s="47">
        <v>2928.3702319837198</v>
      </c>
      <c r="G2441" s="47">
        <v>10227.0824032483</v>
      </c>
    </row>
    <row r="2442" spans="2:7" x14ac:dyDescent="0.25">
      <c r="B2442" s="49"/>
      <c r="C2442" s="89"/>
      <c r="D2442" s="89"/>
      <c r="E2442" s="47">
        <v>3093.9518977849598</v>
      </c>
      <c r="F2442" s="47">
        <v>2929.1646587145601</v>
      </c>
      <c r="G2442" s="47">
        <v>10268.5439027996</v>
      </c>
    </row>
    <row r="2443" spans="2:7" x14ac:dyDescent="0.25">
      <c r="B2443" s="49"/>
      <c r="C2443" s="89"/>
      <c r="D2443" s="89"/>
      <c r="E2443" s="47">
        <v>3128.2064559652599</v>
      </c>
      <c r="F2443" s="47">
        <v>2929.6064264544002</v>
      </c>
      <c r="G2443" s="47">
        <v>10307.040716685</v>
      </c>
    </row>
    <row r="2444" spans="2:7" x14ac:dyDescent="0.25">
      <c r="B2444" s="49"/>
      <c r="C2444" s="89"/>
      <c r="D2444" s="89">
        <v>1100</v>
      </c>
      <c r="E2444" s="47">
        <v>2973.1686752600099</v>
      </c>
      <c r="F2444" s="47">
        <v>3155.7551534281502</v>
      </c>
      <c r="G2444" s="47">
        <v>9920.0614097090001</v>
      </c>
    </row>
    <row r="2445" spans="2:7" x14ac:dyDescent="0.25">
      <c r="B2445" s="49"/>
      <c r="C2445" s="89"/>
      <c r="D2445" s="89"/>
      <c r="E2445" s="47">
        <v>2979.4811076616002</v>
      </c>
      <c r="F2445" s="47">
        <v>3168.2983447022202</v>
      </c>
      <c r="G2445" s="47">
        <v>10167.3130981918</v>
      </c>
    </row>
    <row r="2446" spans="2:7" x14ac:dyDescent="0.25">
      <c r="B2446" s="49"/>
      <c r="C2446" s="89"/>
      <c r="D2446" s="89"/>
      <c r="E2446" s="47">
        <v>2986.8239701255602</v>
      </c>
      <c r="F2446" s="47">
        <v>3176.31983991688</v>
      </c>
      <c r="G2446" s="47">
        <v>10328.2290752726</v>
      </c>
    </row>
    <row r="2447" spans="2:7" x14ac:dyDescent="0.25">
      <c r="B2447" s="49"/>
      <c r="C2447" s="89"/>
      <c r="D2447" s="89"/>
      <c r="E2447" s="47">
        <v>2996.27683623128</v>
      </c>
      <c r="F2447" s="47">
        <v>3181.8293697959198</v>
      </c>
      <c r="G2447" s="47">
        <v>10442.495582891301</v>
      </c>
    </row>
    <row r="2448" spans="2:7" x14ac:dyDescent="0.25">
      <c r="B2448" s="49"/>
      <c r="C2448" s="89"/>
      <c r="D2448" s="89"/>
      <c r="E2448" s="47">
        <v>3008.54118697888</v>
      </c>
      <c r="F2448" s="47">
        <v>3185.7710024144299</v>
      </c>
      <c r="G2448" s="47">
        <v>10528.9180111564</v>
      </c>
    </row>
    <row r="2449" spans="2:7" x14ac:dyDescent="0.25">
      <c r="B2449" s="49"/>
      <c r="C2449" s="89"/>
      <c r="D2449" s="89"/>
      <c r="E2449" s="47">
        <v>3024.1884783441701</v>
      </c>
      <c r="F2449" s="47">
        <v>3188.6473733602602</v>
      </c>
      <c r="G2449" s="47">
        <v>10597.676149814801</v>
      </c>
    </row>
    <row r="2450" spans="2:7" x14ac:dyDescent="0.25">
      <c r="B2450" s="49"/>
      <c r="C2450" s="89"/>
      <c r="D2450" s="89"/>
      <c r="E2450" s="47">
        <v>3043.72344994684</v>
      </c>
      <c r="F2450" s="47">
        <v>3190.74923264978</v>
      </c>
      <c r="G2450" s="47">
        <v>10654.805666253</v>
      </c>
    </row>
    <row r="2451" spans="2:7" x14ac:dyDescent="0.25">
      <c r="B2451" s="49"/>
      <c r="C2451" s="89"/>
      <c r="D2451" s="89"/>
      <c r="E2451" s="47">
        <v>3067.6476723216401</v>
      </c>
      <c r="F2451" s="47">
        <v>3192.2541501052901</v>
      </c>
      <c r="G2451" s="47">
        <v>10704.1578372928</v>
      </c>
    </row>
    <row r="2452" spans="2:7" x14ac:dyDescent="0.25">
      <c r="B2452" s="49"/>
      <c r="C2452" s="89"/>
      <c r="D2452" s="89"/>
      <c r="E2452" s="47">
        <v>3096.4272463010702</v>
      </c>
      <c r="F2452" s="47">
        <v>3193.2778021015502</v>
      </c>
      <c r="G2452" s="47">
        <v>10748.359027161499</v>
      </c>
    </row>
    <row r="2453" spans="2:7" x14ac:dyDescent="0.25">
      <c r="B2453" s="49"/>
      <c r="C2453" s="89"/>
      <c r="D2453" s="89"/>
      <c r="E2453" s="47">
        <v>3130.5201314600499</v>
      </c>
      <c r="F2453" s="47">
        <v>3193.8983283494499</v>
      </c>
      <c r="G2453" s="47">
        <v>10789.3047586302</v>
      </c>
    </row>
    <row r="2454" spans="2:7" x14ac:dyDescent="0.25">
      <c r="B2454" s="49"/>
      <c r="C2454" s="89"/>
      <c r="D2454" s="89">
        <v>1200</v>
      </c>
      <c r="E2454" s="47">
        <v>2976.8708821509899</v>
      </c>
      <c r="F2454" s="47">
        <v>3408.3029429150802</v>
      </c>
      <c r="G2454" s="47">
        <v>10349.4357752458</v>
      </c>
    </row>
    <row r="2455" spans="2:7" x14ac:dyDescent="0.25">
      <c r="B2455" s="49"/>
      <c r="C2455" s="89"/>
      <c r="D2455" s="89"/>
      <c r="E2455" s="47">
        <v>2982.2685495300898</v>
      </c>
      <c r="F2455" s="47">
        <v>3423.07960000103</v>
      </c>
      <c r="G2455" s="47">
        <v>10615.1791818318</v>
      </c>
    </row>
    <row r="2456" spans="2:7" x14ac:dyDescent="0.25">
      <c r="B2456" s="49"/>
      <c r="C2456" s="89"/>
      <c r="D2456" s="89"/>
      <c r="E2456" s="47">
        <v>2989.01578083394</v>
      </c>
      <c r="F2456" s="47">
        <v>3432.53638230755</v>
      </c>
      <c r="G2456" s="47">
        <v>10788.034299389999</v>
      </c>
    </row>
    <row r="2457" spans="2:7" x14ac:dyDescent="0.25">
      <c r="B2457" s="49"/>
      <c r="C2457" s="89"/>
      <c r="D2457" s="89"/>
      <c r="E2457" s="47">
        <v>2998.0503138977201</v>
      </c>
      <c r="F2457" s="47">
        <v>3439.0456833574299</v>
      </c>
      <c r="G2457" s="47">
        <v>10910.7393809482</v>
      </c>
    </row>
    <row r="2458" spans="2:7" x14ac:dyDescent="0.25">
      <c r="B2458" s="49"/>
      <c r="C2458" s="89"/>
      <c r="D2458" s="89"/>
      <c r="E2458" s="47">
        <v>3010.0027896133902</v>
      </c>
      <c r="F2458" s="47">
        <v>3443.71881373109</v>
      </c>
      <c r="G2458" s="47">
        <v>11003.474619299801</v>
      </c>
    </row>
    <row r="2459" spans="2:7" x14ac:dyDescent="0.25">
      <c r="B2459" s="49"/>
      <c r="C2459" s="89"/>
      <c r="D2459" s="89"/>
      <c r="E2459" s="47">
        <v>3025.3993577511501</v>
      </c>
      <c r="F2459" s="47">
        <v>3447.1389338261702</v>
      </c>
      <c r="G2459" s="47">
        <v>11076.9944457949</v>
      </c>
    </row>
    <row r="2460" spans="2:7" x14ac:dyDescent="0.25">
      <c r="B2460" s="49"/>
      <c r="C2460" s="89"/>
      <c r="D2460" s="89"/>
      <c r="E2460" s="47">
        <v>3044.7363674579001</v>
      </c>
      <c r="F2460" s="47">
        <v>3449.6552742108202</v>
      </c>
      <c r="G2460" s="47">
        <v>11137.893241576299</v>
      </c>
    </row>
    <row r="2461" spans="2:7" x14ac:dyDescent="0.25">
      <c r="B2461" s="49"/>
      <c r="C2461" s="89"/>
      <c r="D2461" s="89"/>
      <c r="E2461" s="47">
        <v>3068.4732287674001</v>
      </c>
      <c r="F2461" s="47">
        <v>3451.4874342176399</v>
      </c>
      <c r="G2461" s="47">
        <v>11190.4417307487</v>
      </c>
    </row>
    <row r="2462" spans="2:7" x14ac:dyDescent="0.25">
      <c r="B2462" s="49"/>
      <c r="C2462" s="89"/>
      <c r="D2462" s="89"/>
      <c r="E2462" s="47">
        <v>3097.07962362743</v>
      </c>
      <c r="F2462" s="47">
        <v>3452.7688082801101</v>
      </c>
      <c r="G2462" s="47">
        <v>11237.396757234899</v>
      </c>
    </row>
    <row r="2463" spans="2:7" x14ac:dyDescent="0.25">
      <c r="B2463" s="49"/>
      <c r="C2463" s="89"/>
      <c r="D2463" s="89"/>
      <c r="E2463" s="47">
        <v>3131.0200615510598</v>
      </c>
      <c r="F2463" s="47">
        <v>3453.5887651558901</v>
      </c>
      <c r="G2463" s="47">
        <v>11280.7326363709</v>
      </c>
    </row>
    <row r="2464" spans="2:7" x14ac:dyDescent="0.25">
      <c r="B2464" s="49"/>
      <c r="C2464" s="89">
        <v>15</v>
      </c>
      <c r="D2464" s="89">
        <v>0</v>
      </c>
      <c r="E2464" s="47">
        <v>2890.1521976612898</v>
      </c>
      <c r="F2464" s="47">
        <v>0</v>
      </c>
      <c r="G2464" s="47">
        <v>6431.46323759391</v>
      </c>
    </row>
    <row r="2465" spans="2:7" x14ac:dyDescent="0.25">
      <c r="B2465" s="49"/>
      <c r="C2465" s="89"/>
      <c r="D2465" s="89"/>
      <c r="E2465" s="47">
        <v>2899.5576791721101</v>
      </c>
      <c r="F2465" s="47">
        <v>0</v>
      </c>
      <c r="G2465" s="47">
        <v>6442.0945074968204</v>
      </c>
    </row>
    <row r="2466" spans="2:7" x14ac:dyDescent="0.25">
      <c r="B2466" s="49"/>
      <c r="C2466" s="89"/>
      <c r="D2466" s="89"/>
      <c r="E2466" s="47">
        <v>2908.9631606829298</v>
      </c>
      <c r="F2466" s="47">
        <v>0</v>
      </c>
      <c r="G2466" s="47">
        <v>6452.7257773997399</v>
      </c>
    </row>
    <row r="2467" spans="2:7" x14ac:dyDescent="0.25">
      <c r="B2467" s="49"/>
      <c r="C2467" s="89"/>
      <c r="D2467" s="89"/>
      <c r="E2467" s="47">
        <v>2919.7748857167699</v>
      </c>
      <c r="F2467" s="47">
        <v>0</v>
      </c>
      <c r="G2467" s="47">
        <v>6462.4617648462499</v>
      </c>
    </row>
    <row r="2468" spans="2:7" x14ac:dyDescent="0.25">
      <c r="B2468" s="49"/>
      <c r="C2468" s="89"/>
      <c r="D2468" s="89"/>
      <c r="E2468" s="47">
        <v>2931.05535859162</v>
      </c>
      <c r="F2468" s="47">
        <v>0</v>
      </c>
      <c r="G2468" s="47">
        <v>6471.8993248072902</v>
      </c>
    </row>
    <row r="2469" spans="2:7" x14ac:dyDescent="0.25">
      <c r="B2469" s="49"/>
      <c r="C2469" s="89"/>
      <c r="D2469" s="89"/>
      <c r="E2469" s="47">
        <v>2943.3977730246702</v>
      </c>
      <c r="F2469" s="47">
        <v>0</v>
      </c>
      <c r="G2469" s="47">
        <v>6481.0213389354703</v>
      </c>
    </row>
    <row r="2470" spans="2:7" x14ac:dyDescent="0.25">
      <c r="B2470" s="49"/>
      <c r="C2470" s="89"/>
      <c r="D2470" s="89"/>
      <c r="E2470" s="47">
        <v>2956.8021290159299</v>
      </c>
      <c r="F2470" s="47">
        <v>0</v>
      </c>
      <c r="G2470" s="47">
        <v>6489.8278072307703</v>
      </c>
    </row>
    <row r="2471" spans="2:7" x14ac:dyDescent="0.25">
      <c r="B2471" s="49"/>
      <c r="C2471" s="89"/>
      <c r="D2471" s="89"/>
      <c r="E2471" s="47">
        <v>2970.7961166609498</v>
      </c>
      <c r="F2471" s="47">
        <v>0</v>
      </c>
      <c r="G2471" s="47">
        <v>6498.5784019864795</v>
      </c>
    </row>
    <row r="2472" spans="2:7" x14ac:dyDescent="0.25">
      <c r="B2472" s="49"/>
      <c r="C2472" s="89"/>
      <c r="D2472" s="89"/>
      <c r="E2472" s="47">
        <v>2986.5589992672299</v>
      </c>
      <c r="F2472" s="47">
        <v>0</v>
      </c>
      <c r="G2472" s="47">
        <v>6507.1613761234203</v>
      </c>
    </row>
    <row r="2473" spans="2:7" x14ac:dyDescent="0.25">
      <c r="B2473" s="49"/>
      <c r="C2473" s="89"/>
      <c r="D2473" s="89"/>
      <c r="E2473" s="47">
        <v>3002.3218818735099</v>
      </c>
      <c r="F2473" s="47">
        <v>0</v>
      </c>
      <c r="G2473" s="47">
        <v>6515.7443502603601</v>
      </c>
    </row>
    <row r="2474" spans="2:7" x14ac:dyDescent="0.25">
      <c r="B2474" s="49"/>
      <c r="C2474" s="89"/>
      <c r="D2474" s="89">
        <v>100</v>
      </c>
      <c r="E2474" s="47">
        <v>2885.2869517765498</v>
      </c>
      <c r="F2474" s="47">
        <v>314.69567490586297</v>
      </c>
      <c r="G2474" s="47">
        <v>6744.2441929114802</v>
      </c>
    </row>
    <row r="2475" spans="2:7" x14ac:dyDescent="0.25">
      <c r="B2475" s="49"/>
      <c r="C2475" s="89"/>
      <c r="D2475" s="89"/>
      <c r="E2475" s="47">
        <v>2894.9409354949998</v>
      </c>
      <c r="F2475" s="47">
        <v>314.78296797392699</v>
      </c>
      <c r="G2475" s="47">
        <v>6771.0469017816504</v>
      </c>
    </row>
    <row r="2476" spans="2:7" x14ac:dyDescent="0.25">
      <c r="B2476" s="49"/>
      <c r="C2476" s="89"/>
      <c r="D2476" s="89"/>
      <c r="E2476" s="47">
        <v>2905.5789504730501</v>
      </c>
      <c r="F2476" s="47">
        <v>314.85347612571502</v>
      </c>
      <c r="G2476" s="47">
        <v>6795.1176175741803</v>
      </c>
    </row>
    <row r="2477" spans="2:7" x14ac:dyDescent="0.25">
      <c r="B2477" s="49"/>
      <c r="C2477" s="89"/>
      <c r="D2477" s="89"/>
      <c r="E2477" s="47">
        <v>2917.2009967107001</v>
      </c>
      <c r="F2477" s="47">
        <v>314.90719936122503</v>
      </c>
      <c r="G2477" s="47">
        <v>6816.4563402890599</v>
      </c>
    </row>
    <row r="2478" spans="2:7" x14ac:dyDescent="0.25">
      <c r="B2478" s="49"/>
      <c r="C2478" s="89"/>
      <c r="D2478" s="89"/>
      <c r="E2478" s="47">
        <v>2931.2432364901001</v>
      </c>
      <c r="F2478" s="47">
        <v>314.93517827575602</v>
      </c>
      <c r="G2478" s="47">
        <v>6834.3819702749697</v>
      </c>
    </row>
    <row r="2479" spans="2:7" x14ac:dyDescent="0.25">
      <c r="B2479" s="49"/>
      <c r="C2479" s="89"/>
      <c r="D2479" s="89"/>
      <c r="E2479" s="47">
        <v>2946.6929531445699</v>
      </c>
      <c r="F2479" s="47">
        <v>314.95262851632498</v>
      </c>
      <c r="G2479" s="47">
        <v>6851.2679611809099</v>
      </c>
    </row>
    <row r="2480" spans="2:7" x14ac:dyDescent="0.25">
      <c r="B2480" s="49"/>
      <c r="C2480" s="89"/>
      <c r="D2480" s="89"/>
      <c r="E2480" s="47">
        <v>2963.5501466740898</v>
      </c>
      <c r="F2480" s="47">
        <v>314.959550082931</v>
      </c>
      <c r="G2480" s="47">
        <v>6867.1143130068804</v>
      </c>
    </row>
    <row r="2481" spans="2:7" x14ac:dyDescent="0.25">
      <c r="B2481" s="49"/>
      <c r="C2481" s="89"/>
      <c r="D2481" s="89"/>
      <c r="E2481" s="47">
        <v>2983.5909694489001</v>
      </c>
      <c r="F2481" s="47">
        <v>314.94827516002698</v>
      </c>
      <c r="G2481" s="47">
        <v>6881.8045457110402</v>
      </c>
    </row>
    <row r="2482" spans="2:7" x14ac:dyDescent="0.25">
      <c r="B2482" s="49"/>
      <c r="C2482" s="89"/>
      <c r="D2482" s="89"/>
      <c r="E2482" s="47">
        <v>3005.3968157681902</v>
      </c>
      <c r="F2482" s="47">
        <v>314.928766558559</v>
      </c>
      <c r="G2482" s="47">
        <v>6896.2483065064998</v>
      </c>
    </row>
    <row r="2483" spans="2:7" x14ac:dyDescent="0.25">
      <c r="B2483" s="49"/>
      <c r="C2483" s="89"/>
      <c r="D2483" s="89"/>
      <c r="E2483" s="47">
        <v>3028.9676856319602</v>
      </c>
      <c r="F2483" s="47">
        <v>314.90102427852702</v>
      </c>
      <c r="G2483" s="47">
        <v>6910.4455953932902</v>
      </c>
    </row>
    <row r="2484" spans="2:7" x14ac:dyDescent="0.25">
      <c r="B2484" s="49"/>
      <c r="C2484" s="89"/>
      <c r="D2484" s="89">
        <v>200</v>
      </c>
      <c r="E2484" s="47">
        <v>2896.88225030999</v>
      </c>
      <c r="F2484" s="47">
        <v>622.64621684088604</v>
      </c>
      <c r="G2484" s="47">
        <v>7072.8199647394003</v>
      </c>
    </row>
    <row r="2485" spans="2:7" x14ac:dyDescent="0.25">
      <c r="B2485" s="49"/>
      <c r="C2485" s="89"/>
      <c r="D2485" s="89"/>
      <c r="E2485" s="47">
        <v>2906.3095314717498</v>
      </c>
      <c r="F2485" s="47">
        <v>623.00615157599998</v>
      </c>
      <c r="G2485" s="47">
        <v>7119.1216808322497</v>
      </c>
    </row>
    <row r="2486" spans="2:7" x14ac:dyDescent="0.25">
      <c r="B2486" s="49"/>
      <c r="C2486" s="89"/>
      <c r="D2486" s="89"/>
      <c r="E2486" s="47">
        <v>2916.95079102721</v>
      </c>
      <c r="F2486" s="47">
        <v>623.27957026817</v>
      </c>
      <c r="G2486" s="47">
        <v>7157.2589127781903</v>
      </c>
    </row>
    <row r="2487" spans="2:7" x14ac:dyDescent="0.25">
      <c r="B2487" s="49"/>
      <c r="C2487" s="89"/>
      <c r="D2487" s="89"/>
      <c r="E2487" s="47">
        <v>2929.07198368323</v>
      </c>
      <c r="F2487" s="47">
        <v>623.48177839737605</v>
      </c>
      <c r="G2487" s="47">
        <v>7189.0859761069196</v>
      </c>
    </row>
    <row r="2488" spans="2:7" x14ac:dyDescent="0.25">
      <c r="B2488" s="49"/>
      <c r="C2488" s="89"/>
      <c r="D2488" s="89"/>
      <c r="E2488" s="47">
        <v>2942.92433853274</v>
      </c>
      <c r="F2488" s="47">
        <v>623.625908569334</v>
      </c>
      <c r="G2488" s="47">
        <v>7216.2135824676598</v>
      </c>
    </row>
    <row r="2489" spans="2:7" x14ac:dyDescent="0.25">
      <c r="B2489" s="49"/>
      <c r="C2489" s="89"/>
      <c r="D2489" s="89"/>
      <c r="E2489" s="47">
        <v>2959.2089325985298</v>
      </c>
      <c r="F2489" s="47">
        <v>623.71440416408598</v>
      </c>
      <c r="G2489" s="47">
        <v>7239.4994466879898</v>
      </c>
    </row>
    <row r="2490" spans="2:7" x14ac:dyDescent="0.25">
      <c r="B2490" s="49"/>
      <c r="C2490" s="89"/>
      <c r="D2490" s="89"/>
      <c r="E2490" s="47">
        <v>2978.3131599602798</v>
      </c>
      <c r="F2490" s="47">
        <v>623.75787277161498</v>
      </c>
      <c r="G2490" s="47">
        <v>7260.40153855689</v>
      </c>
    </row>
    <row r="2491" spans="2:7" x14ac:dyDescent="0.25">
      <c r="B2491" s="49"/>
      <c r="C2491" s="89"/>
      <c r="D2491" s="89"/>
      <c r="E2491" s="47">
        <v>3000.0092777975501</v>
      </c>
      <c r="F2491" s="47">
        <v>623.76813506050303</v>
      </c>
      <c r="G2491" s="47">
        <v>7279.9825518600201</v>
      </c>
    </row>
    <row r="2492" spans="2:7" x14ac:dyDescent="0.25">
      <c r="B2492" s="49"/>
      <c r="C2492" s="89"/>
      <c r="D2492" s="89"/>
      <c r="E2492" s="47">
        <v>3024.47260530931</v>
      </c>
      <c r="F2492" s="47">
        <v>623.74768111402295</v>
      </c>
      <c r="G2492" s="47">
        <v>7298.6566450013997</v>
      </c>
    </row>
    <row r="2493" spans="2:7" x14ac:dyDescent="0.25">
      <c r="B2493" s="49"/>
      <c r="C2493" s="89"/>
      <c r="D2493" s="89"/>
      <c r="E2493" s="47">
        <v>3051.8752977706799</v>
      </c>
      <c r="F2493" s="47">
        <v>623.69862749306799</v>
      </c>
      <c r="G2493" s="47">
        <v>7316.7955311894002</v>
      </c>
    </row>
    <row r="2494" spans="2:7" x14ac:dyDescent="0.25">
      <c r="B2494" s="49"/>
      <c r="C2494" s="89"/>
      <c r="D2494" s="89">
        <v>300</v>
      </c>
      <c r="E2494" s="47">
        <v>2895.3314318265402</v>
      </c>
      <c r="F2494" s="47">
        <v>921.55244914888704</v>
      </c>
      <c r="G2494" s="47">
        <v>7227.1384725960997</v>
      </c>
    </row>
    <row r="2495" spans="2:7" x14ac:dyDescent="0.25">
      <c r="B2495" s="49"/>
      <c r="C2495" s="89"/>
      <c r="D2495" s="89"/>
      <c r="E2495" s="47">
        <v>2906.76884721442</v>
      </c>
      <c r="F2495" s="47">
        <v>923.44584915315397</v>
      </c>
      <c r="G2495" s="47">
        <v>7371.0488722126202</v>
      </c>
    </row>
    <row r="2496" spans="2:7" x14ac:dyDescent="0.25">
      <c r="B2496" s="49"/>
      <c r="C2496" s="89"/>
      <c r="D2496" s="89"/>
      <c r="E2496" s="47">
        <v>2917.4710083462701</v>
      </c>
      <c r="F2496" s="47">
        <v>924.63100953408002</v>
      </c>
      <c r="G2496" s="47">
        <v>7464.1350085034901</v>
      </c>
    </row>
    <row r="2497" spans="2:7" x14ac:dyDescent="0.25">
      <c r="B2497" s="49"/>
      <c r="C2497" s="89"/>
      <c r="D2497" s="89"/>
      <c r="E2497" s="47">
        <v>2929.3215751084799</v>
      </c>
      <c r="F2497" s="47">
        <v>925.41682446439597</v>
      </c>
      <c r="G2497" s="47">
        <v>7529.9003624289599</v>
      </c>
    </row>
    <row r="2498" spans="2:7" x14ac:dyDescent="0.25">
      <c r="B2498" s="49"/>
      <c r="C2498" s="89"/>
      <c r="D2498" s="89"/>
      <c r="E2498" s="47">
        <v>2943.4185701833599</v>
      </c>
      <c r="F2498" s="47">
        <v>925.94774500241999</v>
      </c>
      <c r="G2498" s="47">
        <v>7579.5193723045304</v>
      </c>
    </row>
    <row r="2499" spans="2:7" x14ac:dyDescent="0.25">
      <c r="B2499" s="49"/>
      <c r="C2499" s="89"/>
      <c r="D2499" s="89"/>
      <c r="E2499" s="47">
        <v>2960.5417754794898</v>
      </c>
      <c r="F2499" s="47">
        <v>926.300093125128</v>
      </c>
      <c r="G2499" s="47">
        <v>7619.0650521999396</v>
      </c>
    </row>
    <row r="2500" spans="2:7" x14ac:dyDescent="0.25">
      <c r="B2500" s="49"/>
      <c r="C2500" s="89"/>
      <c r="D2500" s="89"/>
      <c r="E2500" s="47">
        <v>2981.33431001184</v>
      </c>
      <c r="F2500" s="47">
        <v>926.51780386326402</v>
      </c>
      <c r="G2500" s="47">
        <v>7652.1984835732201</v>
      </c>
    </row>
    <row r="2501" spans="2:7" x14ac:dyDescent="0.25">
      <c r="B2501" s="49"/>
      <c r="C2501" s="89"/>
      <c r="D2501" s="89"/>
      <c r="E2501" s="47">
        <v>3006.3696223963798</v>
      </c>
      <c r="F2501" s="47">
        <v>926.62727808417696</v>
      </c>
      <c r="G2501" s="47">
        <v>7681.2788237736104</v>
      </c>
    </row>
    <row r="2502" spans="2:7" x14ac:dyDescent="0.25">
      <c r="B2502" s="49"/>
      <c r="C2502" s="89"/>
      <c r="D2502" s="89"/>
      <c r="E2502" s="47">
        <v>3036.18638455788</v>
      </c>
      <c r="F2502" s="47">
        <v>926.645743443524</v>
      </c>
      <c r="G2502" s="47">
        <v>7707.9856186011602</v>
      </c>
    </row>
    <row r="2503" spans="2:7" x14ac:dyDescent="0.25">
      <c r="B2503" s="49"/>
      <c r="C2503" s="89"/>
      <c r="D2503" s="89"/>
      <c r="E2503" s="47">
        <v>3071.2857341000899</v>
      </c>
      <c r="F2503" s="47">
        <v>926.58308799201404</v>
      </c>
      <c r="G2503" s="47">
        <v>7733.4459107399198</v>
      </c>
    </row>
    <row r="2504" spans="2:7" x14ac:dyDescent="0.25">
      <c r="B2504" s="49"/>
      <c r="C2504" s="89"/>
      <c r="D2504" s="89">
        <v>400</v>
      </c>
      <c r="E2504" s="47">
        <v>2913.9120170698502</v>
      </c>
      <c r="F2504" s="47">
        <v>1216.07534220919</v>
      </c>
      <c r="G2504" s="47">
        <v>7605.5058476607901</v>
      </c>
    </row>
    <row r="2505" spans="2:7" x14ac:dyDescent="0.25">
      <c r="B2505" s="49"/>
      <c r="C2505" s="89"/>
      <c r="D2505" s="89"/>
      <c r="E2505" s="47">
        <v>2924.7131530944098</v>
      </c>
      <c r="F2505" s="47">
        <v>1218.87716775947</v>
      </c>
      <c r="G2505" s="47">
        <v>7763.54179268598</v>
      </c>
    </row>
    <row r="2506" spans="2:7" x14ac:dyDescent="0.25">
      <c r="B2506" s="49"/>
      <c r="C2506" s="89"/>
      <c r="D2506" s="89"/>
      <c r="E2506" s="47">
        <v>2935.0000733285801</v>
      </c>
      <c r="F2506" s="47">
        <v>1220.63975528069</v>
      </c>
      <c r="G2506" s="47">
        <v>7865.9211756306204</v>
      </c>
    </row>
    <row r="2507" spans="2:7" x14ac:dyDescent="0.25">
      <c r="B2507" s="49"/>
      <c r="C2507" s="89"/>
      <c r="D2507" s="89"/>
      <c r="E2507" s="47">
        <v>2946.5632900763399</v>
      </c>
      <c r="F2507" s="47">
        <v>1221.8173366496301</v>
      </c>
      <c r="G2507" s="47">
        <v>7938.3096747727504</v>
      </c>
    </row>
    <row r="2508" spans="2:7" x14ac:dyDescent="0.25">
      <c r="B2508" s="49"/>
      <c r="C2508" s="89"/>
      <c r="D2508" s="89"/>
      <c r="E2508" s="47">
        <v>2960.4388615725502</v>
      </c>
      <c r="F2508" s="47">
        <v>1222.6236256808099</v>
      </c>
      <c r="G2508" s="47">
        <v>7992.9450485288799</v>
      </c>
    </row>
    <row r="2509" spans="2:7" x14ac:dyDescent="0.25">
      <c r="B2509" s="49"/>
      <c r="C2509" s="89"/>
      <c r="D2509" s="89"/>
      <c r="E2509" s="47">
        <v>2977.3833212869999</v>
      </c>
      <c r="F2509" s="47">
        <v>1223.17150676348</v>
      </c>
      <c r="G2509" s="47">
        <v>8036.4689146252003</v>
      </c>
    </row>
    <row r="2510" spans="2:7" x14ac:dyDescent="0.25">
      <c r="B2510" s="49"/>
      <c r="C2510" s="89"/>
      <c r="D2510" s="89"/>
      <c r="E2510" s="47">
        <v>2998.0227155611501</v>
      </c>
      <c r="F2510" s="47">
        <v>1223.52628460545</v>
      </c>
      <c r="G2510" s="47">
        <v>8072.8834426558797</v>
      </c>
    </row>
    <row r="2511" spans="2:7" x14ac:dyDescent="0.25">
      <c r="B2511" s="49"/>
      <c r="C2511" s="89"/>
      <c r="D2511" s="89"/>
      <c r="E2511" s="47">
        <v>3022.9152561348601</v>
      </c>
      <c r="F2511" s="47">
        <v>1223.7277922483299</v>
      </c>
      <c r="G2511" s="47">
        <v>8104.7796001508004</v>
      </c>
    </row>
    <row r="2512" spans="2:7" x14ac:dyDescent="0.25">
      <c r="B2512" s="49"/>
      <c r="C2512" s="89"/>
      <c r="D2512" s="89"/>
      <c r="E2512" s="47">
        <v>3052.5859217010302</v>
      </c>
      <c r="F2512" s="47">
        <v>1223.80008845768</v>
      </c>
      <c r="G2512" s="47">
        <v>8133.8823147554003</v>
      </c>
    </row>
    <row r="2513" spans="2:7" x14ac:dyDescent="0.25">
      <c r="B2513" s="49"/>
      <c r="C2513" s="89"/>
      <c r="D2513" s="89"/>
      <c r="E2513" s="47">
        <v>3087.5426165191002</v>
      </c>
      <c r="F2513" s="47">
        <v>1223.75896616572</v>
      </c>
      <c r="G2513" s="47">
        <v>8161.4630101248904</v>
      </c>
    </row>
    <row r="2514" spans="2:7" x14ac:dyDescent="0.25">
      <c r="B2514" s="49"/>
      <c r="C2514" s="89"/>
      <c r="D2514" s="89">
        <v>500</v>
      </c>
      <c r="E2514" s="47">
        <v>2929.7568294273601</v>
      </c>
      <c r="F2514" s="47">
        <v>1504.5333404836999</v>
      </c>
      <c r="G2514" s="47">
        <v>7992.6794158864795</v>
      </c>
    </row>
    <row r="2515" spans="2:7" x14ac:dyDescent="0.25">
      <c r="B2515" s="49"/>
      <c r="C2515" s="89"/>
      <c r="D2515" s="89"/>
      <c r="E2515" s="47">
        <v>2939.8501178982501</v>
      </c>
      <c r="F2515" s="47">
        <v>1508.38130907853</v>
      </c>
      <c r="G2515" s="47">
        <v>8164.7371170531496</v>
      </c>
    </row>
    <row r="2516" spans="2:7" x14ac:dyDescent="0.25">
      <c r="B2516" s="49"/>
      <c r="C2516" s="89"/>
      <c r="D2516" s="89"/>
      <c r="E2516" s="47">
        <v>2949.66730367738</v>
      </c>
      <c r="F2516" s="47">
        <v>1510.8132432894199</v>
      </c>
      <c r="G2516" s="47">
        <v>8276.3917711776503</v>
      </c>
    </row>
    <row r="2517" spans="2:7" x14ac:dyDescent="0.25">
      <c r="B2517" s="49"/>
      <c r="C2517" s="89"/>
      <c r="D2517" s="89"/>
      <c r="E2517" s="47">
        <v>2960.8996605334701</v>
      </c>
      <c r="F2517" s="47">
        <v>1512.4510815399401</v>
      </c>
      <c r="G2517" s="47">
        <v>8355.5159090014204</v>
      </c>
    </row>
    <row r="2518" spans="2:7" x14ac:dyDescent="0.25">
      <c r="B2518" s="49"/>
      <c r="C2518" s="89"/>
      <c r="D2518" s="89"/>
      <c r="E2518" s="47">
        <v>2974.52570014303</v>
      </c>
      <c r="F2518" s="47">
        <v>1513.58580264495</v>
      </c>
      <c r="G2518" s="47">
        <v>8415.3062874172192</v>
      </c>
    </row>
    <row r="2519" spans="2:7" x14ac:dyDescent="0.25">
      <c r="B2519" s="49"/>
      <c r="C2519" s="89"/>
      <c r="D2519" s="89"/>
      <c r="E2519" s="47">
        <v>2991.2714624699202</v>
      </c>
      <c r="F2519" s="47">
        <v>1514.3723789211899</v>
      </c>
      <c r="G2519" s="47">
        <v>8462.9651061109107</v>
      </c>
    </row>
    <row r="2520" spans="2:7" x14ac:dyDescent="0.25">
      <c r="B2520" s="49"/>
      <c r="C2520" s="89"/>
      <c r="D2520" s="89"/>
      <c r="E2520" s="47">
        <v>3011.7381686502199</v>
      </c>
      <c r="F2520" s="47">
        <v>1514.9004589595099</v>
      </c>
      <c r="G2520" s="47">
        <v>8502.8121877766807</v>
      </c>
    </row>
    <row r="2521" spans="2:7" x14ac:dyDescent="0.25">
      <c r="B2521" s="49"/>
      <c r="C2521" s="89"/>
      <c r="D2521" s="89"/>
      <c r="E2521" s="47">
        <v>3036.4789758781098</v>
      </c>
      <c r="F2521" s="47">
        <v>1515.22349312552</v>
      </c>
      <c r="G2521" s="47">
        <v>8537.5891228967703</v>
      </c>
    </row>
    <row r="2522" spans="2:7" x14ac:dyDescent="0.25">
      <c r="B2522" s="49"/>
      <c r="C2522" s="89"/>
      <c r="D2522" s="89"/>
      <c r="E2522" s="47">
        <v>3066.00946754505</v>
      </c>
      <c r="F2522" s="47">
        <v>1515.37593859907</v>
      </c>
      <c r="G2522" s="47">
        <v>8569.1982775762008</v>
      </c>
    </row>
    <row r="2523" spans="2:7" x14ac:dyDescent="0.25">
      <c r="B2523" s="49"/>
      <c r="C2523" s="89"/>
      <c r="D2523" s="89"/>
      <c r="E2523" s="47">
        <v>3100.8244486072699</v>
      </c>
      <c r="F2523" s="47">
        <v>1515.3800562276199</v>
      </c>
      <c r="G2523" s="47">
        <v>8599.0061390189603</v>
      </c>
    </row>
    <row r="2524" spans="2:7" x14ac:dyDescent="0.25">
      <c r="B2524" s="49"/>
      <c r="C2524" s="89"/>
      <c r="D2524" s="89">
        <v>600</v>
      </c>
      <c r="E2524" s="47">
        <v>2943.02315845265</v>
      </c>
      <c r="F2524" s="47">
        <v>1787.04837763195</v>
      </c>
      <c r="G2524" s="47">
        <v>8387.4753566971103</v>
      </c>
    </row>
    <row r="2525" spans="2:7" x14ac:dyDescent="0.25">
      <c r="B2525" s="49"/>
      <c r="C2525" s="89"/>
      <c r="D2525" s="89"/>
      <c r="E2525" s="47">
        <v>2952.4029549052798</v>
      </c>
      <c r="F2525" s="47">
        <v>1792.12550505691</v>
      </c>
      <c r="G2525" s="47">
        <v>8575.1307668364407</v>
      </c>
    </row>
    <row r="2526" spans="2:7" x14ac:dyDescent="0.25">
      <c r="B2526" s="49"/>
      <c r="C2526" s="89"/>
      <c r="D2526" s="89"/>
      <c r="E2526" s="47">
        <v>2961.7565168962901</v>
      </c>
      <c r="F2526" s="47">
        <v>1795.34390110448</v>
      </c>
      <c r="G2526" s="47">
        <v>8696.9720744198803</v>
      </c>
    </row>
    <row r="2527" spans="2:7" x14ac:dyDescent="0.25">
      <c r="B2527" s="49"/>
      <c r="C2527" s="89"/>
      <c r="D2527" s="89"/>
      <c r="E2527" s="47">
        <v>2972.65059956499</v>
      </c>
      <c r="F2527" s="47">
        <v>1797.5219351512101</v>
      </c>
      <c r="G2527" s="47">
        <v>8783.3055680556299</v>
      </c>
    </row>
    <row r="2528" spans="2:7" x14ac:dyDescent="0.25">
      <c r="B2528" s="49"/>
      <c r="C2528" s="89"/>
      <c r="D2528" s="89"/>
      <c r="E2528" s="47">
        <v>2986.00780924642</v>
      </c>
      <c r="F2528" s="47">
        <v>1799.0429668967799</v>
      </c>
      <c r="G2528" s="47">
        <v>8848.4857081070095</v>
      </c>
    </row>
    <row r="2529" spans="2:7" x14ac:dyDescent="0.25">
      <c r="B2529" s="49"/>
      <c r="C2529" s="89"/>
      <c r="D2529" s="89"/>
      <c r="E2529" s="47">
        <v>3002.52988601064</v>
      </c>
      <c r="F2529" s="47">
        <v>1800.11002396963</v>
      </c>
      <c r="G2529" s="47">
        <v>8900.29571602947</v>
      </c>
    </row>
    <row r="2530" spans="2:7" x14ac:dyDescent="0.25">
      <c r="B2530" s="49"/>
      <c r="C2530" s="89"/>
      <c r="D2530" s="89"/>
      <c r="E2530" s="47">
        <v>3022.80991944376</v>
      </c>
      <c r="F2530" s="47">
        <v>1800.84486549289</v>
      </c>
      <c r="G2530" s="47">
        <v>8943.5492140291408</v>
      </c>
    </row>
    <row r="2531" spans="2:7" x14ac:dyDescent="0.25">
      <c r="B2531" s="49"/>
      <c r="C2531" s="89"/>
      <c r="D2531" s="89"/>
      <c r="E2531" s="47">
        <v>3047.3860071887698</v>
      </c>
      <c r="F2531" s="47">
        <v>1801.3187539518301</v>
      </c>
      <c r="G2531" s="47">
        <v>8981.22591501647</v>
      </c>
    </row>
    <row r="2532" spans="2:7" x14ac:dyDescent="0.25">
      <c r="B2532" s="49"/>
      <c r="C2532" s="89"/>
      <c r="D2532" s="89"/>
      <c r="E2532" s="47">
        <v>3076.7604791086201</v>
      </c>
      <c r="F2532" s="47">
        <v>1801.5770388247499</v>
      </c>
      <c r="G2532" s="47">
        <v>9015.3576453592796</v>
      </c>
    </row>
    <row r="2533" spans="2:7" x14ac:dyDescent="0.25">
      <c r="B2533" s="49"/>
      <c r="C2533" s="89"/>
      <c r="D2533" s="89"/>
      <c r="E2533" s="47">
        <v>3111.4247761664001</v>
      </c>
      <c r="F2533" s="47">
        <v>1801.65036002951</v>
      </c>
      <c r="G2533" s="47">
        <v>9047.4466364222008</v>
      </c>
    </row>
    <row r="2534" spans="2:7" x14ac:dyDescent="0.25">
      <c r="B2534" s="49"/>
      <c r="C2534" s="89"/>
      <c r="D2534" s="89">
        <v>700</v>
      </c>
      <c r="E2534" s="47">
        <v>2953.9601247168198</v>
      </c>
      <c r="F2534" s="47">
        <v>2063.7532805771898</v>
      </c>
      <c r="G2534" s="47">
        <v>8789.8798075615196</v>
      </c>
    </row>
    <row r="2535" spans="2:7" x14ac:dyDescent="0.25">
      <c r="B2535" s="49"/>
      <c r="C2535" s="89"/>
      <c r="D2535" s="89"/>
      <c r="E2535" s="47">
        <v>2962.53904557851</v>
      </c>
      <c r="F2535" s="47">
        <v>2070.20635151239</v>
      </c>
      <c r="G2535" s="47">
        <v>8992.8603210483707</v>
      </c>
    </row>
    <row r="2536" spans="2:7" x14ac:dyDescent="0.25">
      <c r="B2536" s="49"/>
      <c r="C2536" s="89"/>
      <c r="D2536" s="89"/>
      <c r="E2536" s="47">
        <v>2971.3699545096401</v>
      </c>
      <c r="F2536" s="47">
        <v>2074.3089402556302</v>
      </c>
      <c r="G2536" s="47">
        <v>9124.7656680756008</v>
      </c>
    </row>
    <row r="2537" spans="2:7" x14ac:dyDescent="0.25">
      <c r="B2537" s="49"/>
      <c r="C2537" s="89"/>
      <c r="D2537" s="89"/>
      <c r="E2537" s="47">
        <v>2981.8996978488299</v>
      </c>
      <c r="F2537" s="47">
        <v>2077.1003736553098</v>
      </c>
      <c r="G2537" s="47">
        <v>9218.3555559515298</v>
      </c>
    </row>
    <row r="2538" spans="2:7" x14ac:dyDescent="0.25">
      <c r="B2538" s="49"/>
      <c r="C2538" s="89"/>
      <c r="D2538" s="89"/>
      <c r="E2538" s="47">
        <v>2994.9844598392701</v>
      </c>
      <c r="F2538" s="47">
        <v>2079.0682393140701</v>
      </c>
      <c r="G2538" s="47">
        <v>9289.1463728847993</v>
      </c>
    </row>
    <row r="2539" spans="2:7" x14ac:dyDescent="0.25">
      <c r="B2539" s="49"/>
      <c r="C2539" s="89"/>
      <c r="D2539" s="89"/>
      <c r="E2539" s="47">
        <v>3011.2963695489402</v>
      </c>
      <c r="F2539" s="47">
        <v>2080.4700606769902</v>
      </c>
      <c r="G2539" s="47">
        <v>9345.5204059486296</v>
      </c>
    </row>
    <row r="2540" spans="2:7" x14ac:dyDescent="0.25">
      <c r="B2540" s="49"/>
      <c r="C2540" s="89"/>
      <c r="D2540" s="89"/>
      <c r="E2540" s="47">
        <v>3031.39587241557</v>
      </c>
      <c r="F2540" s="47">
        <v>2081.4554086468902</v>
      </c>
      <c r="G2540" s="47">
        <v>9392.4896351889802</v>
      </c>
    </row>
    <row r="2541" spans="2:7" x14ac:dyDescent="0.25">
      <c r="B2541" s="49"/>
      <c r="C2541" s="89"/>
      <c r="D2541" s="89"/>
      <c r="E2541" s="47">
        <v>3055.8048878206901</v>
      </c>
      <c r="F2541" s="47">
        <v>2082.11704707936</v>
      </c>
      <c r="G2541" s="47">
        <v>9433.3107302891694</v>
      </c>
    </row>
    <row r="2542" spans="2:7" x14ac:dyDescent="0.25">
      <c r="B2542" s="49"/>
      <c r="C2542" s="89"/>
      <c r="D2542" s="89"/>
      <c r="E2542" s="47">
        <v>3085.0279296826602</v>
      </c>
      <c r="F2542" s="47">
        <v>2082.5124709741799</v>
      </c>
      <c r="G2542" s="47">
        <v>9470.1564335293697</v>
      </c>
    </row>
    <row r="2543" spans="2:7" x14ac:dyDescent="0.25">
      <c r="B2543" s="49"/>
      <c r="C2543" s="89"/>
      <c r="D2543" s="89"/>
      <c r="E2543" s="47">
        <v>3119.54572975976</v>
      </c>
      <c r="F2543" s="47">
        <v>2082.67976429698</v>
      </c>
      <c r="G2543" s="47">
        <v>9504.5901413080101</v>
      </c>
    </row>
    <row r="2544" spans="2:7" x14ac:dyDescent="0.25">
      <c r="B2544" s="49"/>
      <c r="C2544" s="89"/>
      <c r="D2544" s="89">
        <v>800</v>
      </c>
      <c r="E2544" s="47">
        <v>2962.7233683705399</v>
      </c>
      <c r="F2544" s="47">
        <v>2334.80731248962</v>
      </c>
      <c r="G2544" s="47">
        <v>9200.6144489083908</v>
      </c>
    </row>
    <row r="2545" spans="2:7" x14ac:dyDescent="0.25">
      <c r="B2545" s="49"/>
      <c r="C2545" s="89"/>
      <c r="D2545" s="89"/>
      <c r="E2545" s="47">
        <v>2970.51030327631</v>
      </c>
      <c r="F2545" s="47">
        <v>2342.8237442047198</v>
      </c>
      <c r="G2545" s="47">
        <v>9419.8837247031497</v>
      </c>
    </row>
    <row r="2546" spans="2:7" x14ac:dyDescent="0.25">
      <c r="B2546" s="49"/>
      <c r="C2546" s="89"/>
      <c r="D2546" s="89"/>
      <c r="E2546" s="47">
        <v>2978.8147293094798</v>
      </c>
      <c r="F2546" s="47">
        <v>2347.9316069490301</v>
      </c>
      <c r="G2546" s="47">
        <v>9562.4250905153895</v>
      </c>
    </row>
    <row r="2547" spans="2:7" x14ac:dyDescent="0.25">
      <c r="B2547" s="49"/>
      <c r="C2547" s="89"/>
      <c r="D2547" s="89"/>
      <c r="E2547" s="47">
        <v>2988.94547943004</v>
      </c>
      <c r="F2547" s="47">
        <v>2351.4135320680998</v>
      </c>
      <c r="G2547" s="47">
        <v>9663.3873101920799</v>
      </c>
    </row>
    <row r="2548" spans="2:7" x14ac:dyDescent="0.25">
      <c r="B2548" s="49"/>
      <c r="C2548" s="89"/>
      <c r="D2548" s="89"/>
      <c r="E2548" s="47">
        <v>3001.7348104795701</v>
      </c>
      <c r="F2548" s="47">
        <v>2353.88287049581</v>
      </c>
      <c r="G2548" s="47">
        <v>9739.7522754761794</v>
      </c>
    </row>
    <row r="2549" spans="2:7" x14ac:dyDescent="0.25">
      <c r="B2549" s="49"/>
      <c r="C2549" s="89"/>
      <c r="D2549" s="89"/>
      <c r="E2549" s="47">
        <v>3017.8049384390501</v>
      </c>
      <c r="F2549" s="47">
        <v>2355.6603519530599</v>
      </c>
      <c r="G2549" s="47">
        <v>9800.5574926146091</v>
      </c>
    </row>
    <row r="2550" spans="2:7" x14ac:dyDescent="0.25">
      <c r="B2550" s="49"/>
      <c r="C2550" s="89"/>
      <c r="D2550" s="89"/>
      <c r="E2550" s="47">
        <v>3037.6981044593599</v>
      </c>
      <c r="F2550" s="47">
        <v>2356.9320742177601</v>
      </c>
      <c r="G2550" s="47">
        <v>9851.2003393262294</v>
      </c>
    </row>
    <row r="2551" spans="2:7" x14ac:dyDescent="0.25">
      <c r="B2551" s="49"/>
      <c r="C2551" s="89"/>
      <c r="D2551" s="89"/>
      <c r="E2551" s="47">
        <v>3061.93242653076</v>
      </c>
      <c r="F2551" s="47">
        <v>2357.8105566535701</v>
      </c>
      <c r="G2551" s="47">
        <v>9895.1064336171603</v>
      </c>
    </row>
    <row r="2552" spans="2:7" x14ac:dyDescent="0.25">
      <c r="B2552" s="49"/>
      <c r="C2552" s="89"/>
      <c r="D2552" s="89"/>
      <c r="E2552" s="47">
        <v>3090.9922666424</v>
      </c>
      <c r="F2552" s="47">
        <v>2358.3684563121601</v>
      </c>
      <c r="G2552" s="47">
        <v>9934.6145431745299</v>
      </c>
    </row>
    <row r="2553" spans="2:7" x14ac:dyDescent="0.25">
      <c r="B2553" s="49"/>
      <c r="C2553" s="89"/>
      <c r="D2553" s="89"/>
      <c r="E2553" s="47">
        <v>3125.3556048256</v>
      </c>
      <c r="F2553" s="47">
        <v>2358.6535328902601</v>
      </c>
      <c r="G2553" s="47">
        <v>9971.39783904873</v>
      </c>
    </row>
    <row r="2554" spans="2:7" x14ac:dyDescent="0.25">
      <c r="B2554" s="49"/>
      <c r="C2554" s="89"/>
      <c r="D2554" s="89">
        <v>900</v>
      </c>
      <c r="E2554" s="47">
        <v>2969.5102153149801</v>
      </c>
      <c r="F2554" s="47">
        <v>2600.32435215343</v>
      </c>
      <c r="G2554" s="47">
        <v>9619.11081055664</v>
      </c>
    </row>
    <row r="2555" spans="2:7" x14ac:dyDescent="0.25">
      <c r="B2555" s="49"/>
      <c r="C2555" s="89"/>
      <c r="D2555" s="89"/>
      <c r="E2555" s="47">
        <v>2976.41989878309</v>
      </c>
      <c r="F2555" s="47">
        <v>2610.06765901984</v>
      </c>
      <c r="G2555" s="47">
        <v>9854.6661071913495</v>
      </c>
    </row>
    <row r="2556" spans="2:7" x14ac:dyDescent="0.25">
      <c r="B2556" s="49"/>
      <c r="C2556" s="89"/>
      <c r="D2556" s="89"/>
      <c r="E2556" s="47">
        <v>2984.1646778010099</v>
      </c>
      <c r="F2556" s="47">
        <v>2616.2893476603899</v>
      </c>
      <c r="G2556" s="47">
        <v>10007.9020954756</v>
      </c>
    </row>
    <row r="2557" spans="2:7" x14ac:dyDescent="0.25">
      <c r="B2557" s="49"/>
      <c r="C2557" s="89"/>
      <c r="D2557" s="89"/>
      <c r="E2557" s="47">
        <v>2993.9126356770798</v>
      </c>
      <c r="F2557" s="47">
        <v>2620.5547058287598</v>
      </c>
      <c r="G2557" s="47">
        <v>10116.722689798</v>
      </c>
    </row>
    <row r="2558" spans="2:7" x14ac:dyDescent="0.25">
      <c r="B2558" s="49"/>
      <c r="C2558" s="89"/>
      <c r="D2558" s="89"/>
      <c r="E2558" s="47">
        <v>3006.4093394834799</v>
      </c>
      <c r="F2558" s="47">
        <v>2623.5965183877902</v>
      </c>
      <c r="G2558" s="47">
        <v>10199.039235194499</v>
      </c>
    </row>
    <row r="2559" spans="2:7" x14ac:dyDescent="0.25">
      <c r="B2559" s="49"/>
      <c r="C2559" s="89"/>
      <c r="D2559" s="89"/>
      <c r="E2559" s="47">
        <v>3022.2406754266999</v>
      </c>
      <c r="F2559" s="47">
        <v>2625.80500146551</v>
      </c>
      <c r="G2559" s="47">
        <v>10264.5490471784</v>
      </c>
    </row>
    <row r="2560" spans="2:7" x14ac:dyDescent="0.25">
      <c r="B2560" s="49"/>
      <c r="C2560" s="89"/>
      <c r="D2560" s="89"/>
      <c r="E2560" s="47">
        <v>3041.9375658614099</v>
      </c>
      <c r="F2560" s="47">
        <v>2627.4042702838501</v>
      </c>
      <c r="G2560" s="47">
        <v>10318.9869294608</v>
      </c>
    </row>
    <row r="2561" spans="2:7" x14ac:dyDescent="0.25">
      <c r="B2561" s="49"/>
      <c r="C2561" s="89"/>
      <c r="D2561" s="89"/>
      <c r="E2561" s="47">
        <v>3065.9979362526801</v>
      </c>
      <c r="F2561" s="47">
        <v>2628.5342189929902</v>
      </c>
      <c r="G2561" s="47">
        <v>10366.073889495099</v>
      </c>
    </row>
    <row r="2562" spans="2:7" x14ac:dyDescent="0.25">
      <c r="B2562" s="49"/>
      <c r="C2562" s="89"/>
      <c r="D2562" s="89"/>
      <c r="E2562" s="47">
        <v>3094.8901498861901</v>
      </c>
      <c r="F2562" s="47">
        <v>2629.2858309334101</v>
      </c>
      <c r="G2562" s="47">
        <v>10408.352077776301</v>
      </c>
    </row>
    <row r="2563" spans="2:7" x14ac:dyDescent="0.25">
      <c r="B2563" s="49"/>
      <c r="C2563" s="89"/>
      <c r="D2563" s="89"/>
      <c r="E2563" s="47">
        <v>3129.0893798054699</v>
      </c>
      <c r="F2563" s="47">
        <v>2629.7162585385599</v>
      </c>
      <c r="G2563" s="47">
        <v>10447.5727792538</v>
      </c>
    </row>
    <row r="2564" spans="2:7" x14ac:dyDescent="0.25">
      <c r="B2564" s="49"/>
      <c r="C2564" s="89"/>
      <c r="D2564" s="89">
        <v>1000</v>
      </c>
      <c r="E2564" s="47">
        <v>2974.4227863946599</v>
      </c>
      <c r="F2564" s="47">
        <v>2860.4282386764398</v>
      </c>
      <c r="G2564" s="47">
        <v>10045.224347851699</v>
      </c>
    </row>
    <row r="2565" spans="2:7" x14ac:dyDescent="0.25">
      <c r="B2565" s="49"/>
      <c r="C2565" s="89"/>
      <c r="D2565" s="89"/>
      <c r="E2565" s="47">
        <v>2980.4878433762501</v>
      </c>
      <c r="F2565" s="47">
        <v>2872.1222604145801</v>
      </c>
      <c r="G2565" s="47">
        <v>10298.4258684615</v>
      </c>
    </row>
    <row r="2566" spans="2:7" x14ac:dyDescent="0.25">
      <c r="B2566" s="49"/>
      <c r="C2566" s="89"/>
      <c r="D2566" s="89"/>
      <c r="E2566" s="47">
        <v>2987.65037613205</v>
      </c>
      <c r="F2566" s="47">
        <v>2879.5735713481699</v>
      </c>
      <c r="G2566" s="47">
        <v>10462.5516517289</v>
      </c>
    </row>
    <row r="2567" spans="2:7" x14ac:dyDescent="0.25">
      <c r="B2567" s="49"/>
      <c r="C2567" s="89"/>
      <c r="D2567" s="89"/>
      <c r="E2567" s="47">
        <v>2996.9760291991702</v>
      </c>
      <c r="F2567" s="47">
        <v>2884.6944852105498</v>
      </c>
      <c r="G2567" s="47">
        <v>10579.083670379199</v>
      </c>
    </row>
    <row r="2568" spans="2:7" x14ac:dyDescent="0.25">
      <c r="B2568" s="49"/>
      <c r="C2568" s="89"/>
      <c r="D2568" s="89"/>
      <c r="E2568" s="47">
        <v>3009.1419979206498</v>
      </c>
      <c r="F2568" s="47">
        <v>2888.36313079615</v>
      </c>
      <c r="G2568" s="47">
        <v>10667.2270710748</v>
      </c>
    </row>
    <row r="2569" spans="2:7" x14ac:dyDescent="0.25">
      <c r="B2569" s="49"/>
      <c r="C2569" s="89"/>
      <c r="D2569" s="89"/>
      <c r="E2569" s="47">
        <v>3024.7241556777699</v>
      </c>
      <c r="F2569" s="47">
        <v>2891.0442413978999</v>
      </c>
      <c r="G2569" s="47">
        <v>10737.3308269549</v>
      </c>
    </row>
    <row r="2570" spans="2:7" x14ac:dyDescent="0.25">
      <c r="B2570" s="49"/>
      <c r="C2570" s="89"/>
      <c r="D2570" s="89"/>
      <c r="E2570" s="47">
        <v>3044.2033406751002</v>
      </c>
      <c r="F2570" s="47">
        <v>2893.0099507800601</v>
      </c>
      <c r="G2570" s="47">
        <v>10795.5748046674</v>
      </c>
    </row>
    <row r="2571" spans="2:7" x14ac:dyDescent="0.25">
      <c r="B2571" s="49"/>
      <c r="C2571" s="89"/>
      <c r="D2571" s="89"/>
      <c r="E2571" s="47">
        <v>3068.0685123230701</v>
      </c>
      <c r="F2571" s="47">
        <v>2894.4250809895598</v>
      </c>
      <c r="G2571" s="47">
        <v>10845.8709173595</v>
      </c>
    </row>
    <row r="2572" spans="2:7" x14ac:dyDescent="0.25">
      <c r="B2572" s="49"/>
      <c r="C2572" s="89"/>
      <c r="D2572" s="89"/>
      <c r="E2572" s="47">
        <v>3096.7960851248699</v>
      </c>
      <c r="F2572" s="47">
        <v>2895.3960784138299</v>
      </c>
      <c r="G2572" s="47">
        <v>10890.882081572299</v>
      </c>
    </row>
    <row r="2573" spans="2:7" x14ac:dyDescent="0.25">
      <c r="B2573" s="49"/>
      <c r="C2573" s="89"/>
      <c r="D2573" s="89"/>
      <c r="E2573" s="47">
        <v>3130.8507031642798</v>
      </c>
      <c r="F2573" s="47">
        <v>2895.9938324426098</v>
      </c>
      <c r="G2573" s="47">
        <v>10932.5067262348</v>
      </c>
    </row>
    <row r="2574" spans="2:7" x14ac:dyDescent="0.25">
      <c r="B2574" s="49"/>
      <c r="C2574" s="89"/>
      <c r="D2574" s="89">
        <v>1100</v>
      </c>
      <c r="E2574" s="47">
        <v>2977.6301507316002</v>
      </c>
      <c r="F2574" s="47">
        <v>3115.1354123394099</v>
      </c>
      <c r="G2574" s="47">
        <v>10476.8866464731</v>
      </c>
    </row>
    <row r="2575" spans="2:7" x14ac:dyDescent="0.25">
      <c r="B2575" s="49"/>
      <c r="C2575" s="89"/>
      <c r="D2575" s="89"/>
      <c r="E2575" s="47">
        <v>2982.76804183886</v>
      </c>
      <c r="F2575" s="47">
        <v>3128.96008190461</v>
      </c>
      <c r="G2575" s="47">
        <v>10747.781689203201</v>
      </c>
    </row>
    <row r="2576" spans="2:7" x14ac:dyDescent="0.25">
      <c r="B2576" s="49"/>
      <c r="C2576" s="89"/>
      <c r="D2576" s="89"/>
      <c r="E2576" s="47">
        <v>2989.3416895522701</v>
      </c>
      <c r="F2576" s="47">
        <v>3137.80988472119</v>
      </c>
      <c r="G2576" s="47">
        <v>10923.971011555201</v>
      </c>
    </row>
    <row r="2577" spans="2:7" x14ac:dyDescent="0.25">
      <c r="B2577" s="49"/>
      <c r="C2577" s="89"/>
      <c r="D2577" s="89"/>
      <c r="E2577" s="47">
        <v>2998.25039067956</v>
      </c>
      <c r="F2577" s="47">
        <v>3143.9059779007598</v>
      </c>
      <c r="G2577" s="47">
        <v>11049.053844239599</v>
      </c>
    </row>
    <row r="2578" spans="2:7" x14ac:dyDescent="0.25">
      <c r="B2578" s="49"/>
      <c r="C2578" s="89"/>
      <c r="D2578" s="89"/>
      <c r="E2578" s="47">
        <v>3010.1150753500801</v>
      </c>
      <c r="F2578" s="47">
        <v>3148.2874818124501</v>
      </c>
      <c r="G2578" s="47">
        <v>11143.595214302601</v>
      </c>
    </row>
    <row r="2579" spans="2:7" x14ac:dyDescent="0.25">
      <c r="B2579" s="49"/>
      <c r="C2579" s="89"/>
      <c r="D2579" s="89"/>
      <c r="E2579" s="47">
        <v>3025.4354056826101</v>
      </c>
      <c r="F2579" s="47">
        <v>3151.50815691158</v>
      </c>
      <c r="G2579" s="47">
        <v>11218.695733001399</v>
      </c>
    </row>
    <row r="2580" spans="2:7" x14ac:dyDescent="0.25">
      <c r="B2580" s="49"/>
      <c r="C2580" s="89"/>
      <c r="D2580" s="89"/>
      <c r="E2580" s="47">
        <v>3044.7052685717999</v>
      </c>
      <c r="F2580" s="47">
        <v>3153.8877616369</v>
      </c>
      <c r="G2580" s="47">
        <v>11280.940443470001</v>
      </c>
    </row>
    <row r="2581" spans="2:7" x14ac:dyDescent="0.25">
      <c r="B2581" s="49"/>
      <c r="C2581" s="89"/>
      <c r="D2581" s="89"/>
      <c r="E2581" s="47">
        <v>3068.3924249708698</v>
      </c>
      <c r="F2581" s="47">
        <v>3155.6247025439802</v>
      </c>
      <c r="G2581" s="47">
        <v>11334.551828375001</v>
      </c>
    </row>
    <row r="2582" spans="2:7" x14ac:dyDescent="0.25">
      <c r="B2582" s="49"/>
      <c r="C2582" s="89"/>
      <c r="D2582" s="89"/>
      <c r="E2582" s="47">
        <v>3096.9427804439902</v>
      </c>
      <c r="F2582" s="47">
        <v>3156.8488195148898</v>
      </c>
      <c r="G2582" s="47">
        <v>11382.4110847219</v>
      </c>
    </row>
    <row r="2583" spans="2:7" x14ac:dyDescent="0.25">
      <c r="B2583" s="49"/>
      <c r="C2583" s="89"/>
      <c r="D2583" s="89"/>
      <c r="E2583" s="47">
        <v>3130.8293134190499</v>
      </c>
      <c r="F2583" s="47">
        <v>3157.6428723958702</v>
      </c>
      <c r="G2583" s="47">
        <v>11426.5163133277</v>
      </c>
    </row>
    <row r="2584" spans="2:7" x14ac:dyDescent="0.25">
      <c r="B2584" s="49"/>
      <c r="C2584" s="89"/>
      <c r="D2584" s="89">
        <v>1200</v>
      </c>
      <c r="E2584" s="47">
        <v>2979.2294574658199</v>
      </c>
      <c r="F2584" s="47">
        <v>3364.6700156024999</v>
      </c>
      <c r="G2584" s="47">
        <v>10916.374580258</v>
      </c>
    </row>
    <row r="2585" spans="2:7" x14ac:dyDescent="0.25">
      <c r="B2585" s="49"/>
      <c r="C2585" s="89"/>
      <c r="D2585" s="89"/>
      <c r="E2585" s="47">
        <v>2983.4567971431002</v>
      </c>
      <c r="F2585" s="47">
        <v>3380.8007747454899</v>
      </c>
      <c r="G2585" s="47">
        <v>11204.989934151001</v>
      </c>
    </row>
    <row r="2586" spans="2:7" x14ac:dyDescent="0.25">
      <c r="B2586" s="49"/>
      <c r="C2586" s="89"/>
      <c r="D2586" s="89"/>
      <c r="E2586" s="47">
        <v>2989.4248680237001</v>
      </c>
      <c r="F2586" s="47">
        <v>3391.1398511277298</v>
      </c>
      <c r="G2586" s="47">
        <v>11392.7328547171</v>
      </c>
    </row>
    <row r="2587" spans="2:7" x14ac:dyDescent="0.25">
      <c r="B2587" s="49"/>
      <c r="C2587" s="89"/>
      <c r="D2587" s="89"/>
      <c r="E2587" s="47">
        <v>2997.8890371541002</v>
      </c>
      <c r="F2587" s="47">
        <v>3398.2747559517902</v>
      </c>
      <c r="G2587" s="47">
        <v>11525.978313703299</v>
      </c>
    </row>
    <row r="2588" spans="2:7" x14ac:dyDescent="0.25">
      <c r="B2588" s="49"/>
      <c r="C2588" s="89"/>
      <c r="D2588" s="89"/>
      <c r="E2588" s="47">
        <v>3009.40027580776</v>
      </c>
      <c r="F2588" s="47">
        <v>3403.4205971767001</v>
      </c>
      <c r="G2588" s="47">
        <v>11626.6687702279</v>
      </c>
    </row>
    <row r="2589" spans="2:7" x14ac:dyDescent="0.25">
      <c r="B2589" s="49"/>
      <c r="C2589" s="89"/>
      <c r="D2589" s="89"/>
      <c r="E2589" s="47">
        <v>3024.4595516701602</v>
      </c>
      <c r="F2589" s="47">
        <v>3407.22198611779</v>
      </c>
      <c r="G2589" s="47">
        <v>11706.6217569825</v>
      </c>
    </row>
    <row r="2590" spans="2:7" x14ac:dyDescent="0.25">
      <c r="B2590" s="49"/>
      <c r="C2590" s="89"/>
      <c r="D2590" s="89"/>
      <c r="E2590" s="47">
        <v>3043.4941942324199</v>
      </c>
      <c r="F2590" s="47">
        <v>3410.0558473492101</v>
      </c>
      <c r="G2590" s="47">
        <v>11772.8588613271</v>
      </c>
    </row>
    <row r="2591" spans="2:7" x14ac:dyDescent="0.25">
      <c r="B2591" s="49"/>
      <c r="C2591" s="89"/>
      <c r="D2591" s="89"/>
      <c r="E2591" s="47">
        <v>3066.9833858314601</v>
      </c>
      <c r="F2591" s="47">
        <v>3412.1508200041899</v>
      </c>
      <c r="G2591" s="47">
        <v>11829.8283313797</v>
      </c>
    </row>
    <row r="2592" spans="2:7" x14ac:dyDescent="0.25">
      <c r="B2592" s="49"/>
      <c r="C2592" s="89"/>
      <c r="D2592" s="89"/>
      <c r="E2592" s="47">
        <v>3095.3731239018498</v>
      </c>
      <c r="F2592" s="47">
        <v>3413.6563052312799</v>
      </c>
      <c r="G2592" s="47">
        <v>11880.5485198556</v>
      </c>
    </row>
    <row r="2593" spans="2:7" x14ac:dyDescent="0.25">
      <c r="B2593" s="49"/>
      <c r="C2593" s="89"/>
      <c r="D2593" s="89"/>
      <c r="E2593" s="47">
        <v>3129.1051684420599</v>
      </c>
      <c r="F2593" s="47">
        <v>3414.6730633553002</v>
      </c>
      <c r="G2593" s="47">
        <v>11927.1745486777</v>
      </c>
    </row>
    <row r="2594" spans="2:7" x14ac:dyDescent="0.25">
      <c r="B2594" s="49"/>
      <c r="C2594" s="89">
        <v>20</v>
      </c>
      <c r="D2594" s="89">
        <v>0</v>
      </c>
      <c r="E2594" s="47">
        <v>2924.43906570233</v>
      </c>
      <c r="F2594" s="47">
        <v>0</v>
      </c>
      <c r="G2594" s="47">
        <v>6931.6303578585603</v>
      </c>
    </row>
    <row r="2595" spans="2:7" x14ac:dyDescent="0.25">
      <c r="B2595" s="49"/>
      <c r="C2595" s="89"/>
      <c r="D2595" s="89"/>
      <c r="E2595" s="47">
        <v>2933.7851319931001</v>
      </c>
      <c r="F2595" s="47">
        <v>0</v>
      </c>
      <c r="G2595" s="47">
        <v>6943.97685923885</v>
      </c>
    </row>
    <row r="2596" spans="2:7" x14ac:dyDescent="0.25">
      <c r="B2596" s="49"/>
      <c r="C2596" s="89"/>
      <c r="D2596" s="89"/>
      <c r="E2596" s="47">
        <v>2943.1311982838702</v>
      </c>
      <c r="F2596" s="47">
        <v>0</v>
      </c>
      <c r="G2596" s="47">
        <v>6956.3233606191297</v>
      </c>
    </row>
    <row r="2597" spans="2:7" x14ac:dyDescent="0.25">
      <c r="B2597" s="49"/>
      <c r="C2597" s="89"/>
      <c r="D2597" s="89"/>
      <c r="E2597" s="47">
        <v>2953.8854247273598</v>
      </c>
      <c r="F2597" s="47">
        <v>0</v>
      </c>
      <c r="G2597" s="47">
        <v>6967.5897990082804</v>
      </c>
    </row>
    <row r="2598" spans="2:7" x14ac:dyDescent="0.25">
      <c r="B2598" s="49"/>
      <c r="C2598" s="89"/>
      <c r="D2598" s="89"/>
      <c r="E2598" s="47">
        <v>2965.1090378884301</v>
      </c>
      <c r="F2598" s="47">
        <v>0</v>
      </c>
      <c r="G2598" s="47">
        <v>6978.4962164004</v>
      </c>
    </row>
    <row r="2599" spans="2:7" x14ac:dyDescent="0.25">
      <c r="B2599" s="49"/>
      <c r="C2599" s="89"/>
      <c r="D2599" s="89"/>
      <c r="E2599" s="47">
        <v>2977.3936351868001</v>
      </c>
      <c r="F2599" s="47">
        <v>0</v>
      </c>
      <c r="G2599" s="47">
        <v>6988.9957268931603</v>
      </c>
    </row>
    <row r="2600" spans="2:7" x14ac:dyDescent="0.25">
      <c r="B2600" s="49"/>
      <c r="C2600" s="89"/>
      <c r="D2600" s="89"/>
      <c r="E2600" s="47">
        <v>2990.7392166224899</v>
      </c>
      <c r="F2600" s="47">
        <v>0</v>
      </c>
      <c r="G2600" s="47">
        <v>6999.0883304865802</v>
      </c>
    </row>
    <row r="2601" spans="2:7" x14ac:dyDescent="0.25">
      <c r="B2601" s="49"/>
      <c r="C2601" s="89"/>
      <c r="D2601" s="89"/>
      <c r="E2601" s="47">
        <v>3004.6727949934102</v>
      </c>
      <c r="F2601" s="47">
        <v>0</v>
      </c>
      <c r="G2601" s="47">
        <v>7009.0911960184403</v>
      </c>
    </row>
    <row r="2602" spans="2:7" x14ac:dyDescent="0.25">
      <c r="B2602" s="49"/>
      <c r="C2602" s="89"/>
      <c r="D2602" s="89"/>
      <c r="E2602" s="47">
        <v>3020.3703641700299</v>
      </c>
      <c r="F2602" s="47">
        <v>0</v>
      </c>
      <c r="G2602" s="47">
        <v>7018.8248473656204</v>
      </c>
    </row>
    <row r="2603" spans="2:7" x14ac:dyDescent="0.25">
      <c r="B2603" s="49"/>
      <c r="C2603" s="89"/>
      <c r="D2603" s="89"/>
      <c r="E2603" s="47">
        <v>3036.0679333466401</v>
      </c>
      <c r="F2603" s="47">
        <v>0</v>
      </c>
      <c r="G2603" s="47">
        <v>7028.5584987127904</v>
      </c>
    </row>
    <row r="2604" spans="2:7" x14ac:dyDescent="0.25">
      <c r="B2604" s="49"/>
      <c r="C2604" s="89"/>
      <c r="D2604" s="89">
        <v>100</v>
      </c>
      <c r="E2604" s="47">
        <v>2915.29434100464</v>
      </c>
      <c r="F2604" s="47">
        <v>310.64337312997202</v>
      </c>
      <c r="G2604" s="47">
        <v>7247.8174832324303</v>
      </c>
    </row>
    <row r="2605" spans="2:7" x14ac:dyDescent="0.25">
      <c r="B2605" s="49"/>
      <c r="C2605" s="89"/>
      <c r="D2605" s="89"/>
      <c r="E2605" s="47">
        <v>2924.7905336493</v>
      </c>
      <c r="F2605" s="47">
        <v>310.750172044713</v>
      </c>
      <c r="G2605" s="47">
        <v>7278.6139885325501</v>
      </c>
    </row>
    <row r="2606" spans="2:7" x14ac:dyDescent="0.25">
      <c r="B2606" s="49"/>
      <c r="C2606" s="89"/>
      <c r="D2606" s="89"/>
      <c r="E2606" s="47">
        <v>2935.2874754794202</v>
      </c>
      <c r="F2606" s="47">
        <v>310.838277882726</v>
      </c>
      <c r="G2606" s="47">
        <v>7306.2889869336404</v>
      </c>
    </row>
    <row r="2607" spans="2:7" x14ac:dyDescent="0.25">
      <c r="B2607" s="49"/>
      <c r="C2607" s="89"/>
      <c r="D2607" s="89"/>
      <c r="E2607" s="47">
        <v>2946.7851664949899</v>
      </c>
      <c r="F2607" s="47">
        <v>310.90769064401297</v>
      </c>
      <c r="G2607" s="47">
        <v>7330.8424784357103</v>
      </c>
    </row>
    <row r="2608" spans="2:7" x14ac:dyDescent="0.25">
      <c r="B2608" s="49"/>
      <c r="C2608" s="89"/>
      <c r="D2608" s="89"/>
      <c r="E2608" s="47">
        <v>2960.7202457105</v>
      </c>
      <c r="F2608" s="47">
        <v>310.94872193094801</v>
      </c>
      <c r="G2608" s="47">
        <v>7351.4392491521303</v>
      </c>
    </row>
    <row r="2609" spans="2:7" x14ac:dyDescent="0.25">
      <c r="B2609" s="49"/>
      <c r="C2609" s="89"/>
      <c r="D2609" s="89"/>
      <c r="E2609" s="47">
        <v>2976.0655284071299</v>
      </c>
      <c r="F2609" s="47">
        <v>310.978272983951</v>
      </c>
      <c r="G2609" s="47">
        <v>7370.79710183103</v>
      </c>
    </row>
    <row r="2610" spans="2:7" x14ac:dyDescent="0.25">
      <c r="B2610" s="49"/>
      <c r="C2610" s="89"/>
      <c r="D2610" s="89"/>
      <c r="E2610" s="47">
        <v>2992.8210145848702</v>
      </c>
      <c r="F2610" s="47">
        <v>310.99634380302098</v>
      </c>
      <c r="G2610" s="47">
        <v>7388.9160364724103</v>
      </c>
    </row>
    <row r="2611" spans="2:7" x14ac:dyDescent="0.25">
      <c r="B2611" s="49"/>
      <c r="C2611" s="89"/>
      <c r="D2611" s="89"/>
      <c r="E2611" s="47">
        <v>3012.75965678177</v>
      </c>
      <c r="F2611" s="47">
        <v>310.994822168545</v>
      </c>
      <c r="G2611" s="47">
        <v>7405.5824941702203</v>
      </c>
    </row>
    <row r="2612" spans="2:7" x14ac:dyDescent="0.25">
      <c r="B2612" s="49"/>
      <c r="C2612" s="89"/>
      <c r="D2612" s="89"/>
      <c r="E2612" s="47">
        <v>3034.4604128191199</v>
      </c>
      <c r="F2612" s="47">
        <v>310.98456109260701</v>
      </c>
      <c r="G2612" s="47">
        <v>7421.8926526291798</v>
      </c>
    </row>
    <row r="2613" spans="2:7" x14ac:dyDescent="0.25">
      <c r="B2613" s="49"/>
      <c r="C2613" s="89"/>
      <c r="D2613" s="89"/>
      <c r="E2613" s="47">
        <v>3057.9232826969101</v>
      </c>
      <c r="F2613" s="47">
        <v>310.96556057521002</v>
      </c>
      <c r="G2613" s="47">
        <v>7437.8465118493004</v>
      </c>
    </row>
    <row r="2614" spans="2:7" x14ac:dyDescent="0.25">
      <c r="B2614" s="49"/>
      <c r="C2614" s="89"/>
      <c r="D2614" s="89">
        <v>200</v>
      </c>
      <c r="E2614" s="47">
        <v>2922.9218718372799</v>
      </c>
      <c r="F2614" s="47">
        <v>614.61962235337603</v>
      </c>
      <c r="G2614" s="47">
        <v>7581.0920619915796</v>
      </c>
    </row>
    <row r="2615" spans="2:7" x14ac:dyDescent="0.25">
      <c r="B2615" s="49"/>
      <c r="C2615" s="89"/>
      <c r="D2615" s="89"/>
      <c r="E2615" s="47">
        <v>2932.0701704006401</v>
      </c>
      <c r="F2615" s="47">
        <v>615.04109095695196</v>
      </c>
      <c r="G2615" s="47">
        <v>7633.6661095396803</v>
      </c>
    </row>
    <row r="2616" spans="2:7" x14ac:dyDescent="0.25">
      <c r="B2616" s="49"/>
      <c r="C2616" s="89"/>
      <c r="D2616" s="89"/>
      <c r="E2616" s="47">
        <v>2942.4800693485699</v>
      </c>
      <c r="F2616" s="47">
        <v>615.36578008428296</v>
      </c>
      <c r="G2616" s="47">
        <v>7677.0305086276903</v>
      </c>
    </row>
    <row r="2617" spans="2:7" x14ac:dyDescent="0.25">
      <c r="B2617" s="49"/>
      <c r="C2617" s="89"/>
      <c r="D2617" s="89"/>
      <c r="E2617" s="47">
        <v>2954.4080895632601</v>
      </c>
      <c r="F2617" s="47">
        <v>615.61126050235703</v>
      </c>
      <c r="G2617" s="47">
        <v>7713.2712346506296</v>
      </c>
    </row>
    <row r="2618" spans="2:7" x14ac:dyDescent="0.25">
      <c r="B2618" s="49"/>
      <c r="C2618" s="89"/>
      <c r="D2618" s="89"/>
      <c r="E2618" s="47">
        <v>2968.0961896102899</v>
      </c>
      <c r="F2618" s="47">
        <v>615.79255981374899</v>
      </c>
      <c r="G2618" s="47">
        <v>7744.1915508662896</v>
      </c>
    </row>
    <row r="2619" spans="2:7" x14ac:dyDescent="0.25">
      <c r="B2619" s="49"/>
      <c r="C2619" s="89"/>
      <c r="D2619" s="89"/>
      <c r="E2619" s="47">
        <v>2984.2369197478001</v>
      </c>
      <c r="F2619" s="47">
        <v>615.91274783512301</v>
      </c>
      <c r="G2619" s="47">
        <v>7770.7079176864299</v>
      </c>
    </row>
    <row r="2620" spans="2:7" x14ac:dyDescent="0.25">
      <c r="B2620" s="49"/>
      <c r="C2620" s="89"/>
      <c r="D2620" s="89"/>
      <c r="E2620" s="47">
        <v>3003.2068799478302</v>
      </c>
      <c r="F2620" s="47">
        <v>615.98401700140198</v>
      </c>
      <c r="G2620" s="47">
        <v>7794.4366080048503</v>
      </c>
    </row>
    <row r="2621" spans="2:7" x14ac:dyDescent="0.25">
      <c r="B2621" s="49"/>
      <c r="C2621" s="89"/>
      <c r="D2621" s="89"/>
      <c r="E2621" s="47">
        <v>3024.7717424198599</v>
      </c>
      <c r="F2621" s="47">
        <v>616.01954966555797</v>
      </c>
      <c r="G2621" s="47">
        <v>7816.5787402627202</v>
      </c>
    </row>
    <row r="2622" spans="2:7" x14ac:dyDescent="0.25">
      <c r="B2622" s="49"/>
      <c r="C2622" s="89"/>
      <c r="D2622" s="89"/>
      <c r="E2622" s="47">
        <v>3049.1039117299902</v>
      </c>
      <c r="F2622" s="47">
        <v>616.02220618296496</v>
      </c>
      <c r="G2622" s="47">
        <v>7837.5851056199799</v>
      </c>
    </row>
    <row r="2623" spans="2:7" x14ac:dyDescent="0.25">
      <c r="B2623" s="49"/>
      <c r="C2623" s="89"/>
      <c r="D2623" s="89"/>
      <c r="E2623" s="47">
        <v>3076.3730407699099</v>
      </c>
      <c r="F2623" s="47">
        <v>615.99439113276605</v>
      </c>
      <c r="G2623" s="47">
        <v>7857.8557011824296</v>
      </c>
    </row>
    <row r="2624" spans="2:7" x14ac:dyDescent="0.25">
      <c r="B2624" s="49"/>
      <c r="C2624" s="89"/>
      <c r="D2624" s="89">
        <v>300</v>
      </c>
      <c r="E2624" s="47">
        <v>2929.42783212108</v>
      </c>
      <c r="F2624" s="47">
        <v>911.46087846224896</v>
      </c>
      <c r="G2624" s="47">
        <v>7880.1598595625001</v>
      </c>
    </row>
    <row r="2625" spans="2:7" x14ac:dyDescent="0.25">
      <c r="B2625" s="49"/>
      <c r="C2625" s="89"/>
      <c r="D2625" s="89"/>
      <c r="E2625" s="47">
        <v>2938.4588525883901</v>
      </c>
      <c r="F2625" s="47">
        <v>912.671372508427</v>
      </c>
      <c r="G2625" s="47">
        <v>7973.5665603586704</v>
      </c>
    </row>
    <row r="2626" spans="2:7" x14ac:dyDescent="0.25">
      <c r="B2626" s="49"/>
      <c r="C2626" s="89"/>
      <c r="D2626" s="89"/>
      <c r="E2626" s="47">
        <v>2948.5091648860598</v>
      </c>
      <c r="F2626" s="47">
        <v>913.53201396656596</v>
      </c>
      <c r="G2626" s="47">
        <v>8043.0632475709099</v>
      </c>
    </row>
    <row r="2627" spans="2:7" x14ac:dyDescent="0.25">
      <c r="B2627" s="49"/>
      <c r="C2627" s="89"/>
      <c r="D2627" s="89"/>
      <c r="E2627" s="47">
        <v>2960.2599115611802</v>
      </c>
      <c r="F2627" s="47">
        <v>914.15267323672299</v>
      </c>
      <c r="G2627" s="47">
        <v>8097.0127990255996</v>
      </c>
    </row>
    <row r="2628" spans="2:7" x14ac:dyDescent="0.25">
      <c r="B2628" s="49"/>
      <c r="C2628" s="89"/>
      <c r="D2628" s="89"/>
      <c r="E2628" s="47">
        <v>2974.23961242013</v>
      </c>
      <c r="F2628" s="47">
        <v>914.59996968645805</v>
      </c>
      <c r="G2628" s="47">
        <v>8140.5839775342602</v>
      </c>
    </row>
    <row r="2629" spans="2:7" x14ac:dyDescent="0.25">
      <c r="B2629" s="49"/>
      <c r="C2629" s="89"/>
      <c r="D2629" s="89"/>
      <c r="E2629" s="47">
        <v>2990.8921740506999</v>
      </c>
      <c r="F2629" s="47">
        <v>914.91544382347001</v>
      </c>
      <c r="G2629" s="47">
        <v>8177.0969529753102</v>
      </c>
    </row>
    <row r="2630" spans="2:7" x14ac:dyDescent="0.25">
      <c r="B2630" s="49"/>
      <c r="C2630" s="89"/>
      <c r="D2630" s="89"/>
      <c r="E2630" s="47">
        <v>3010.6107726146902</v>
      </c>
      <c r="F2630" s="47">
        <v>915.125911666771</v>
      </c>
      <c r="G2630" s="47">
        <v>8208.7855893208398</v>
      </c>
    </row>
    <row r="2631" spans="2:7" x14ac:dyDescent="0.25">
      <c r="B2631" s="49"/>
      <c r="C2631" s="89"/>
      <c r="D2631" s="89"/>
      <c r="E2631" s="47">
        <v>3033.7589850330701</v>
      </c>
      <c r="F2631" s="47">
        <v>915.24920089600403</v>
      </c>
      <c r="G2631" s="47">
        <v>8237.2218636429207</v>
      </c>
    </row>
    <row r="2632" spans="2:7" x14ac:dyDescent="0.25">
      <c r="B2632" s="49"/>
      <c r="C2632" s="89"/>
      <c r="D2632" s="89"/>
      <c r="E2632" s="47">
        <v>3060.6853419899098</v>
      </c>
      <c r="F2632" s="47">
        <v>915.29742492653395</v>
      </c>
      <c r="G2632" s="47">
        <v>8263.5603583374104</v>
      </c>
    </row>
    <row r="2633" spans="2:7" x14ac:dyDescent="0.25">
      <c r="B2633" s="49"/>
      <c r="C2633" s="89"/>
      <c r="D2633" s="89"/>
      <c r="E2633" s="47">
        <v>3091.7222744852802</v>
      </c>
      <c r="F2633" s="47">
        <v>915.27890762602397</v>
      </c>
      <c r="G2633" s="47">
        <v>8288.6733420062101</v>
      </c>
    </row>
    <row r="2634" spans="2:7" x14ac:dyDescent="0.25">
      <c r="B2634" s="49"/>
      <c r="C2634" s="89"/>
      <c r="D2634" s="89">
        <v>400</v>
      </c>
      <c r="E2634" s="47">
        <v>2933.9274249369</v>
      </c>
      <c r="F2634" s="47">
        <v>1200.0187966019</v>
      </c>
      <c r="G2634" s="47">
        <v>8108.17812264242</v>
      </c>
    </row>
    <row r="2635" spans="2:7" x14ac:dyDescent="0.25">
      <c r="B2635" s="49"/>
      <c r="C2635" s="89"/>
      <c r="D2635" s="89"/>
      <c r="E2635" s="47">
        <v>2943.7922862792202</v>
      </c>
      <c r="F2635" s="47">
        <v>1203.1803237770901</v>
      </c>
      <c r="G2635" s="47">
        <v>8284.4378234038104</v>
      </c>
    </row>
    <row r="2636" spans="2:7" x14ac:dyDescent="0.25">
      <c r="B2636" s="49"/>
      <c r="C2636" s="89"/>
      <c r="D2636" s="89"/>
      <c r="E2636" s="47">
        <v>2953.47282251657</v>
      </c>
      <c r="F2636" s="47">
        <v>1205.1803773163001</v>
      </c>
      <c r="G2636" s="47">
        <v>8398.8586651072401</v>
      </c>
    </row>
    <row r="2637" spans="2:7" x14ac:dyDescent="0.25">
      <c r="B2637" s="49"/>
      <c r="C2637" s="89"/>
      <c r="D2637" s="89"/>
      <c r="E2637" s="47">
        <v>2964.60633331912</v>
      </c>
      <c r="F2637" s="47">
        <v>1206.5295333502099</v>
      </c>
      <c r="G2637" s="47">
        <v>8479.9550279364703</v>
      </c>
    </row>
    <row r="2638" spans="2:7" x14ac:dyDescent="0.25">
      <c r="B2638" s="49"/>
      <c r="C2638" s="89"/>
      <c r="D2638" s="89"/>
      <c r="E2638" s="47">
        <v>2978.1577732332798</v>
      </c>
      <c r="F2638" s="47">
        <v>1207.4672963370399</v>
      </c>
      <c r="G2638" s="47">
        <v>8541.2677460308805</v>
      </c>
    </row>
    <row r="2639" spans="2:7" x14ac:dyDescent="0.25">
      <c r="B2639" s="49"/>
      <c r="C2639" s="89"/>
      <c r="D2639" s="89"/>
      <c r="E2639" s="47">
        <v>2994.8406919029399</v>
      </c>
      <c r="F2639" s="47">
        <v>1208.12039289875</v>
      </c>
      <c r="G2639" s="47">
        <v>8590.1334820901502</v>
      </c>
    </row>
    <row r="2640" spans="2:7" x14ac:dyDescent="0.25">
      <c r="B2640" s="49"/>
      <c r="C2640" s="89"/>
      <c r="D2640" s="89"/>
      <c r="E2640" s="47">
        <v>3015.2578319393001</v>
      </c>
      <c r="F2640" s="47">
        <v>1208.56202154935</v>
      </c>
      <c r="G2640" s="47">
        <v>8630.9518584061807</v>
      </c>
    </row>
    <row r="2641" spans="2:7" x14ac:dyDescent="0.25">
      <c r="B2641" s="49"/>
      <c r="C2641" s="89"/>
      <c r="D2641" s="89"/>
      <c r="E2641" s="47">
        <v>3039.9531905129902</v>
      </c>
      <c r="F2641" s="47">
        <v>1208.8376630948601</v>
      </c>
      <c r="G2641" s="47">
        <v>8666.6004227230496</v>
      </c>
    </row>
    <row r="2642" spans="2:7" x14ac:dyDescent="0.25">
      <c r="B2642" s="49"/>
      <c r="C2642" s="89"/>
      <c r="D2642" s="89"/>
      <c r="E2642" s="47">
        <v>3069.43849936165</v>
      </c>
      <c r="F2642" s="47">
        <v>1208.9748914935999</v>
      </c>
      <c r="G2642" s="47">
        <v>8698.9785146498598</v>
      </c>
    </row>
    <row r="2643" spans="2:7" x14ac:dyDescent="0.25">
      <c r="B2643" s="49"/>
      <c r="C2643" s="89"/>
      <c r="D2643" s="89"/>
      <c r="E2643" s="47">
        <v>3104.2126394510801</v>
      </c>
      <c r="F2643" s="47">
        <v>1208.9917275836301</v>
      </c>
      <c r="G2643" s="47">
        <v>8729.4675372385609</v>
      </c>
    </row>
    <row r="2644" spans="2:7" x14ac:dyDescent="0.25">
      <c r="B2644" s="49"/>
      <c r="C2644" s="89"/>
      <c r="D2644" s="89">
        <v>500</v>
      </c>
      <c r="E2644" s="47">
        <v>2946.4596437498699</v>
      </c>
      <c r="F2644" s="47">
        <v>1484.75059366038</v>
      </c>
      <c r="G2644" s="47">
        <v>8504.5802009071995</v>
      </c>
    </row>
    <row r="2645" spans="2:7" x14ac:dyDescent="0.25">
      <c r="B2645" s="49"/>
      <c r="C2645" s="89"/>
      <c r="D2645" s="89"/>
      <c r="E2645" s="47">
        <v>2955.6177223004702</v>
      </c>
      <c r="F2645" s="47">
        <v>1489.0907597686601</v>
      </c>
      <c r="G2645" s="47">
        <v>8696.6678109510704</v>
      </c>
    </row>
    <row r="2646" spans="2:7" x14ac:dyDescent="0.25">
      <c r="B2646" s="49"/>
      <c r="C2646" s="89"/>
      <c r="D2646" s="89"/>
      <c r="E2646" s="47">
        <v>2964.8175720811901</v>
      </c>
      <c r="F2646" s="47">
        <v>1491.84515637601</v>
      </c>
      <c r="G2646" s="47">
        <v>8821.4408999572697</v>
      </c>
    </row>
    <row r="2647" spans="2:7" x14ac:dyDescent="0.25">
      <c r="B2647" s="49"/>
      <c r="C2647" s="89"/>
      <c r="D2647" s="89"/>
      <c r="E2647" s="47">
        <v>2975.5957802159401</v>
      </c>
      <c r="F2647" s="47">
        <v>1493.7131373940399</v>
      </c>
      <c r="G2647" s="47">
        <v>8909.9155794222097</v>
      </c>
    </row>
    <row r="2648" spans="2:7" x14ac:dyDescent="0.25">
      <c r="B2648" s="49"/>
      <c r="C2648" s="89"/>
      <c r="D2648" s="89"/>
      <c r="E2648" s="47">
        <v>2988.8778709091698</v>
      </c>
      <c r="F2648" s="47">
        <v>1495.0217167538999</v>
      </c>
      <c r="G2648" s="47">
        <v>8976.7689885807995</v>
      </c>
    </row>
    <row r="2649" spans="2:7" x14ac:dyDescent="0.25">
      <c r="B2649" s="49"/>
      <c r="C2649" s="89"/>
      <c r="D2649" s="89"/>
      <c r="E2649" s="47">
        <v>3005.3429384210399</v>
      </c>
      <c r="F2649" s="47">
        <v>1495.9459409210799</v>
      </c>
      <c r="G2649" s="47">
        <v>9030.0123248241507</v>
      </c>
    </row>
    <row r="2650" spans="2:7" x14ac:dyDescent="0.25">
      <c r="B2650" s="49"/>
      <c r="C2650" s="89"/>
      <c r="D2650" s="89"/>
      <c r="E2650" s="47">
        <v>3025.5729826177098</v>
      </c>
      <c r="F2650" s="47">
        <v>1496.58674931225</v>
      </c>
      <c r="G2650" s="47">
        <v>9074.4269043514105</v>
      </c>
    </row>
    <row r="2651" spans="2:7" x14ac:dyDescent="0.25">
      <c r="B2651" s="49"/>
      <c r="C2651" s="89"/>
      <c r="D2651" s="89"/>
      <c r="E2651" s="47">
        <v>3050.1014414240599</v>
      </c>
      <c r="F2651" s="47">
        <v>1497.00521107849</v>
      </c>
      <c r="G2651" s="47">
        <v>9113.0596469821703</v>
      </c>
    </row>
    <row r="2652" spans="2:7" x14ac:dyDescent="0.25">
      <c r="B2652" s="49"/>
      <c r="C2652" s="89"/>
      <c r="D2652" s="89"/>
      <c r="E2652" s="47">
        <v>3079.43097812408</v>
      </c>
      <c r="F2652" s="47">
        <v>1497.2404293468701</v>
      </c>
      <c r="G2652" s="47">
        <v>9147.9983114985898</v>
      </c>
    </row>
    <row r="2653" spans="2:7" x14ac:dyDescent="0.25">
      <c r="B2653" s="49"/>
      <c r="C2653" s="89"/>
      <c r="D2653" s="89"/>
      <c r="E2653" s="47">
        <v>3114.0539210038</v>
      </c>
      <c r="F2653" s="47">
        <v>1497.3177115942799</v>
      </c>
      <c r="G2653" s="47">
        <v>9180.7363551281305</v>
      </c>
    </row>
    <row r="2654" spans="2:7" x14ac:dyDescent="0.25">
      <c r="B2654" s="49"/>
      <c r="C2654" s="89"/>
      <c r="D2654" s="89">
        <v>600</v>
      </c>
      <c r="E2654" s="47">
        <v>2956.7430627460399</v>
      </c>
      <c r="F2654" s="47">
        <v>1763.67691121501</v>
      </c>
      <c r="G2654" s="47">
        <v>8909.6896581990004</v>
      </c>
    </row>
    <row r="2655" spans="2:7" x14ac:dyDescent="0.25">
      <c r="B2655" s="49"/>
      <c r="C2655" s="89"/>
      <c r="D2655" s="89"/>
      <c r="E2655" s="47">
        <v>2965.0920059284199</v>
      </c>
      <c r="F2655" s="47">
        <v>1769.3432479578601</v>
      </c>
      <c r="G2655" s="47">
        <v>9117.2384484069407</v>
      </c>
    </row>
    <row r="2656" spans="2:7" x14ac:dyDescent="0.25">
      <c r="B2656" s="49"/>
      <c r="C2656" s="89"/>
      <c r="D2656" s="89"/>
      <c r="E2656" s="47">
        <v>2973.7726225640999</v>
      </c>
      <c r="F2656" s="47">
        <v>1772.94838123605</v>
      </c>
      <c r="G2656" s="47">
        <v>9252.1404509141394</v>
      </c>
    </row>
    <row r="2657" spans="2:7" x14ac:dyDescent="0.25">
      <c r="B2657" s="49"/>
      <c r="C2657" s="89"/>
      <c r="D2657" s="89"/>
      <c r="E2657" s="47">
        <v>2984.19204081101</v>
      </c>
      <c r="F2657" s="47">
        <v>1775.4047745204</v>
      </c>
      <c r="G2657" s="47">
        <v>9347.8833354171202</v>
      </c>
    </row>
    <row r="2658" spans="2:7" x14ac:dyDescent="0.25">
      <c r="B2658" s="49"/>
      <c r="C2658" s="89"/>
      <c r="D2658" s="89"/>
      <c r="E2658" s="47">
        <v>2997.1972171882499</v>
      </c>
      <c r="F2658" s="47">
        <v>1777.13950113639</v>
      </c>
      <c r="G2658" s="47">
        <v>9420.2982090093392</v>
      </c>
    </row>
    <row r="2659" spans="2:7" x14ac:dyDescent="0.25">
      <c r="B2659" s="49"/>
      <c r="C2659" s="89"/>
      <c r="D2659" s="89"/>
      <c r="E2659" s="47">
        <v>3013.4411255117102</v>
      </c>
      <c r="F2659" s="47">
        <v>1778.37996999749</v>
      </c>
      <c r="G2659" s="47">
        <v>9477.9859809958598</v>
      </c>
    </row>
    <row r="2660" spans="2:7" x14ac:dyDescent="0.25">
      <c r="B2660" s="49"/>
      <c r="C2660" s="89"/>
      <c r="D2660" s="89"/>
      <c r="E2660" s="47">
        <v>3033.4821961080402</v>
      </c>
      <c r="F2660" s="47">
        <v>1779.25685838972</v>
      </c>
      <c r="G2660" s="47">
        <v>9526.0442318801597</v>
      </c>
    </row>
    <row r="2661" spans="2:7" x14ac:dyDescent="0.25">
      <c r="B2661" s="49"/>
      <c r="C2661" s="89"/>
      <c r="D2661" s="89"/>
      <c r="E2661" s="47">
        <v>3057.8372459309098</v>
      </c>
      <c r="F2661" s="47">
        <v>1779.85059185153</v>
      </c>
      <c r="G2661" s="47">
        <v>9567.7573272279406</v>
      </c>
    </row>
    <row r="2662" spans="2:7" x14ac:dyDescent="0.25">
      <c r="B2662" s="49"/>
      <c r="C2662" s="89"/>
      <c r="D2662" s="89"/>
      <c r="E2662" s="47">
        <v>3087.0085047911498</v>
      </c>
      <c r="F2662" s="47">
        <v>1780.2128364042201</v>
      </c>
      <c r="G2662" s="47">
        <v>9605.3802246627201</v>
      </c>
    </row>
    <row r="2663" spans="2:7" x14ac:dyDescent="0.25">
      <c r="B2663" s="49"/>
      <c r="C2663" s="89"/>
      <c r="D2663" s="89"/>
      <c r="E2663" s="47">
        <v>3121.47520495245</v>
      </c>
      <c r="F2663" s="47">
        <v>1780.37757140606</v>
      </c>
      <c r="G2663" s="47">
        <v>9640.5221845977794</v>
      </c>
    </row>
    <row r="2664" spans="2:7" x14ac:dyDescent="0.25">
      <c r="B2664" s="49"/>
      <c r="C2664" s="89"/>
      <c r="D2664" s="89">
        <v>700</v>
      </c>
      <c r="E2664" s="47">
        <v>2964.9112638726301</v>
      </c>
      <c r="F2664" s="47">
        <v>2036.9114287529601</v>
      </c>
      <c r="G2664" s="47">
        <v>9322.4708467545206</v>
      </c>
    </row>
    <row r="2665" spans="2:7" x14ac:dyDescent="0.25">
      <c r="B2665" s="49"/>
      <c r="C2665" s="89"/>
      <c r="D2665" s="89"/>
      <c r="E2665" s="47">
        <v>2972.4557999345898</v>
      </c>
      <c r="F2665" s="47">
        <v>2044.0900858799</v>
      </c>
      <c r="G2665" s="47">
        <v>9546.4978588363101</v>
      </c>
    </row>
    <row r="2666" spans="2:7" x14ac:dyDescent="0.25">
      <c r="B2666" s="49"/>
      <c r="C2666" s="89"/>
      <c r="D2666" s="89"/>
      <c r="E2666" s="47">
        <v>2980.5814256650701</v>
      </c>
      <c r="F2666" s="47">
        <v>2048.66947564667</v>
      </c>
      <c r="G2666" s="47">
        <v>9692.2104285796795</v>
      </c>
    </row>
    <row r="2667" spans="2:7" x14ac:dyDescent="0.25">
      <c r="B2667" s="49"/>
      <c r="C2667" s="89"/>
      <c r="D2667" s="89"/>
      <c r="E2667" s="47">
        <v>2990.60775936755</v>
      </c>
      <c r="F2667" s="47">
        <v>2051.8002645309002</v>
      </c>
      <c r="G2667" s="47">
        <v>9795.6261523881403</v>
      </c>
    </row>
    <row r="2668" spans="2:7" x14ac:dyDescent="0.25">
      <c r="B2668" s="49"/>
      <c r="C2668" s="89"/>
      <c r="D2668" s="89"/>
      <c r="E2668" s="47">
        <v>3003.3096991070702</v>
      </c>
      <c r="F2668" s="47">
        <v>2054.0236683384001</v>
      </c>
      <c r="G2668" s="47">
        <v>9873.8126215590801</v>
      </c>
    </row>
    <row r="2669" spans="2:7" x14ac:dyDescent="0.25">
      <c r="B2669" s="49"/>
      <c r="C2669" s="89"/>
      <c r="D2669" s="89"/>
      <c r="E2669" s="47">
        <v>3019.3133254181098</v>
      </c>
      <c r="F2669" s="47">
        <v>2055.62445558019</v>
      </c>
      <c r="G2669" s="47">
        <v>9935.9359179084495</v>
      </c>
    </row>
    <row r="2670" spans="2:7" x14ac:dyDescent="0.25">
      <c r="B2670" s="49"/>
      <c r="C2670" s="89"/>
      <c r="D2670" s="89"/>
      <c r="E2670" s="47">
        <v>3039.1517403606199</v>
      </c>
      <c r="F2670" s="47">
        <v>2056.77379176466</v>
      </c>
      <c r="G2670" s="47">
        <v>9987.6375029797291</v>
      </c>
    </row>
    <row r="2671" spans="2:7" x14ac:dyDescent="0.25">
      <c r="B2671" s="49"/>
      <c r="C2671" s="89"/>
      <c r="D2671" s="89"/>
      <c r="E2671" s="47">
        <v>3063.3306493719101</v>
      </c>
      <c r="F2671" s="47">
        <v>2057.5743841864601</v>
      </c>
      <c r="G2671" s="47">
        <v>10032.4606404236</v>
      </c>
    </row>
    <row r="2672" spans="2:7" x14ac:dyDescent="0.25">
      <c r="B2672" s="49"/>
      <c r="C2672" s="89"/>
      <c r="D2672" s="89"/>
      <c r="E2672" s="47">
        <v>3092.3435823652599</v>
      </c>
      <c r="F2672" s="47">
        <v>2058.0903114545399</v>
      </c>
      <c r="G2672" s="47">
        <v>10072.767607068499</v>
      </c>
    </row>
    <row r="2673" spans="2:7" x14ac:dyDescent="0.25">
      <c r="B2673" s="49"/>
      <c r="C2673" s="89"/>
      <c r="D2673" s="89"/>
      <c r="E2673" s="47">
        <v>3126.6601609235599</v>
      </c>
      <c r="F2673" s="47">
        <v>2058.3644857526701</v>
      </c>
      <c r="G2673" s="47">
        <v>10110.258051053999</v>
      </c>
    </row>
    <row r="2674" spans="2:7" x14ac:dyDescent="0.25">
      <c r="B2674" s="49"/>
      <c r="C2674" s="89"/>
      <c r="D2674" s="89">
        <v>800</v>
      </c>
      <c r="E2674" s="47">
        <v>2971.1327530787098</v>
      </c>
      <c r="F2674" s="47">
        <v>2304.60709175083</v>
      </c>
      <c r="G2674" s="47">
        <v>9743.5381540145409</v>
      </c>
    </row>
    <row r="2675" spans="2:7" x14ac:dyDescent="0.25">
      <c r="B2675" s="49"/>
      <c r="C2675" s="89"/>
      <c r="D2675" s="89"/>
      <c r="E2675" s="47">
        <v>2977.8012542206402</v>
      </c>
      <c r="F2675" s="47">
        <v>2313.4583678203899</v>
      </c>
      <c r="G2675" s="47">
        <v>9983.92678248841</v>
      </c>
    </row>
    <row r="2676" spans="2:7" x14ac:dyDescent="0.25">
      <c r="B2676" s="49"/>
      <c r="C2676" s="89"/>
      <c r="D2676" s="89"/>
      <c r="E2676" s="47">
        <v>2985.3788353569398</v>
      </c>
      <c r="F2676" s="47">
        <v>2319.1140099394502</v>
      </c>
      <c r="G2676" s="47">
        <v>10140.331871443001</v>
      </c>
    </row>
    <row r="2677" spans="2:7" x14ac:dyDescent="0.25">
      <c r="B2677" s="49"/>
      <c r="C2677" s="89"/>
      <c r="D2677" s="89"/>
      <c r="E2677" s="47">
        <v>2995.0095865339999</v>
      </c>
      <c r="F2677" s="47">
        <v>2322.9945982240502</v>
      </c>
      <c r="G2677" s="47">
        <v>10251.4099821165</v>
      </c>
    </row>
    <row r="2678" spans="2:7" x14ac:dyDescent="0.25">
      <c r="B2678" s="49"/>
      <c r="C2678" s="89"/>
      <c r="D2678" s="89"/>
      <c r="E2678" s="47">
        <v>3007.4167440441802</v>
      </c>
      <c r="F2678" s="47">
        <v>2325.7658490286399</v>
      </c>
      <c r="G2678" s="47">
        <v>10335.432735763199</v>
      </c>
    </row>
    <row r="2679" spans="2:7" x14ac:dyDescent="0.25">
      <c r="B2679" s="49"/>
      <c r="C2679" s="89"/>
      <c r="D2679" s="89"/>
      <c r="E2679" s="47">
        <v>3023.1765858875101</v>
      </c>
      <c r="F2679" s="47">
        <v>2327.7823655092898</v>
      </c>
      <c r="G2679" s="47">
        <v>10402.294051544601</v>
      </c>
    </row>
    <row r="2680" spans="2:7" x14ac:dyDescent="0.25">
      <c r="B2680" s="49"/>
      <c r="C2680" s="89"/>
      <c r="D2680" s="89"/>
      <c r="E2680" s="47">
        <v>3042.7992549509499</v>
      </c>
      <c r="F2680" s="47">
        <v>2329.2493818592502</v>
      </c>
      <c r="G2680" s="47">
        <v>10457.8695990097</v>
      </c>
    </row>
    <row r="2681" spans="2:7" x14ac:dyDescent="0.25">
      <c r="B2681" s="49"/>
      <c r="C2681" s="89"/>
      <c r="D2681" s="89"/>
      <c r="E2681" s="47">
        <v>3066.7951843986398</v>
      </c>
      <c r="F2681" s="47">
        <v>2330.2914777035799</v>
      </c>
      <c r="G2681" s="47">
        <v>10505.8977205843</v>
      </c>
    </row>
    <row r="2682" spans="2:7" x14ac:dyDescent="0.25">
      <c r="B2682" s="49"/>
      <c r="C2682" s="89"/>
      <c r="D2682" s="89"/>
      <c r="E2682" s="47">
        <v>3095.6403563502499</v>
      </c>
      <c r="F2682" s="47">
        <v>2330.9901578131899</v>
      </c>
      <c r="G2682" s="47">
        <v>10548.9441406679</v>
      </c>
    </row>
    <row r="2683" spans="2:7" x14ac:dyDescent="0.25">
      <c r="B2683" s="49"/>
      <c r="C2683" s="89"/>
      <c r="D2683" s="89"/>
      <c r="E2683" s="47">
        <v>3129.7957929241702</v>
      </c>
      <c r="F2683" s="47">
        <v>2331.4011253365902</v>
      </c>
      <c r="G2683" s="47">
        <v>10588.877300723099</v>
      </c>
    </row>
    <row r="2684" spans="2:7" x14ac:dyDescent="0.25">
      <c r="B2684" s="49"/>
      <c r="C2684" s="89"/>
      <c r="D2684" s="89">
        <v>900</v>
      </c>
      <c r="E2684" s="47">
        <v>2975.5396645344599</v>
      </c>
      <c r="F2684" s="47">
        <v>2566.8224700204501</v>
      </c>
      <c r="G2684" s="47">
        <v>10171.0442507523</v>
      </c>
    </row>
    <row r="2685" spans="2:7" x14ac:dyDescent="0.25">
      <c r="B2685" s="49"/>
      <c r="C2685" s="89"/>
      <c r="D2685" s="89"/>
      <c r="E2685" s="47">
        <v>2981.3397901345602</v>
      </c>
      <c r="F2685" s="47">
        <v>2577.5852834826301</v>
      </c>
      <c r="G2685" s="47">
        <v>10429.618772432301</v>
      </c>
    </row>
    <row r="2686" spans="2:7" x14ac:dyDescent="0.25">
      <c r="B2686" s="49"/>
      <c r="C2686" s="89"/>
      <c r="D2686" s="89"/>
      <c r="E2686" s="47">
        <v>2988.32134436561</v>
      </c>
      <c r="F2686" s="47">
        <v>2584.46328933013</v>
      </c>
      <c r="G2686" s="47">
        <v>10597.629609702601</v>
      </c>
    </row>
    <row r="2687" spans="2:7" x14ac:dyDescent="0.25">
      <c r="B2687" s="49"/>
      <c r="C2687" s="89"/>
      <c r="D2687" s="89"/>
      <c r="E2687" s="47">
        <v>2997.5228097444001</v>
      </c>
      <c r="F2687" s="47">
        <v>2589.17462317027</v>
      </c>
      <c r="G2687" s="47">
        <v>10716.4648710152</v>
      </c>
    </row>
    <row r="2688" spans="2:7" x14ac:dyDescent="0.25">
      <c r="B2688" s="49"/>
      <c r="C2688" s="89"/>
      <c r="D2688" s="89"/>
      <c r="E2688" s="47">
        <v>3009.6047414551899</v>
      </c>
      <c r="F2688" s="47">
        <v>2592.5526240217</v>
      </c>
      <c r="G2688" s="47">
        <v>10806.328277198099</v>
      </c>
    </row>
    <row r="2689" spans="2:7" x14ac:dyDescent="0.25">
      <c r="B2689" s="49"/>
      <c r="C2689" s="89"/>
      <c r="D2689" s="89"/>
      <c r="E2689" s="47">
        <v>3025.1047705483802</v>
      </c>
      <c r="F2689" s="47">
        <v>2595.02669624692</v>
      </c>
      <c r="G2689" s="47">
        <v>10877.7969303766</v>
      </c>
    </row>
    <row r="2690" spans="2:7" x14ac:dyDescent="0.25">
      <c r="B2690" s="49"/>
      <c r="C2690" s="89"/>
      <c r="D2690" s="89"/>
      <c r="E2690" s="47">
        <v>3044.53152371953</v>
      </c>
      <c r="F2690" s="47">
        <v>2596.8440418221298</v>
      </c>
      <c r="G2690" s="47">
        <v>10937.1294594928</v>
      </c>
    </row>
    <row r="2691" spans="2:7" x14ac:dyDescent="0.25">
      <c r="B2691" s="49"/>
      <c r="C2691" s="89"/>
      <c r="D2691" s="89"/>
      <c r="E2691" s="47">
        <v>3068.34348359759</v>
      </c>
      <c r="F2691" s="47">
        <v>2598.15963492232</v>
      </c>
      <c r="G2691" s="47">
        <v>10988.366638981999</v>
      </c>
    </row>
    <row r="2692" spans="2:7" x14ac:dyDescent="0.25">
      <c r="B2692" s="49"/>
      <c r="C2692" s="89"/>
      <c r="D2692" s="89"/>
      <c r="E2692" s="47">
        <v>3097.0177863591498</v>
      </c>
      <c r="F2692" s="47">
        <v>2599.0701087996099</v>
      </c>
      <c r="G2692" s="47">
        <v>11034.191624991599</v>
      </c>
    </row>
    <row r="2693" spans="2:7" x14ac:dyDescent="0.25">
      <c r="B2693" s="49"/>
      <c r="C2693" s="89"/>
      <c r="D2693" s="89"/>
      <c r="E2693" s="47">
        <v>3131.0219048537301</v>
      </c>
      <c r="F2693" s="47">
        <v>2599.6405517205999</v>
      </c>
      <c r="G2693" s="47">
        <v>11076.535734523301</v>
      </c>
    </row>
    <row r="2694" spans="2:7" x14ac:dyDescent="0.25">
      <c r="B2694" s="49"/>
      <c r="C2694" s="89"/>
      <c r="D2694" s="89">
        <v>1000</v>
      </c>
      <c r="E2694" s="47">
        <v>2978.2549445621498</v>
      </c>
      <c r="F2694" s="47">
        <v>2823.66826717301</v>
      </c>
      <c r="G2694" s="47">
        <v>10605.025398965199</v>
      </c>
    </row>
    <row r="2695" spans="2:7" x14ac:dyDescent="0.25">
      <c r="B2695" s="49"/>
      <c r="C2695" s="89"/>
      <c r="D2695" s="89"/>
      <c r="E2695" s="47">
        <v>2983.1236764978498</v>
      </c>
      <c r="F2695" s="47">
        <v>2836.48977075826</v>
      </c>
      <c r="G2695" s="47">
        <v>10881.0556111102</v>
      </c>
    </row>
    <row r="2696" spans="2:7" x14ac:dyDescent="0.25">
      <c r="B2696" s="49"/>
      <c r="C2696" s="89"/>
      <c r="D2696" s="89"/>
      <c r="E2696" s="47">
        <v>2989.52576962081</v>
      </c>
      <c r="F2696" s="47">
        <v>2844.7019083830701</v>
      </c>
      <c r="G2696" s="47">
        <v>11060.6284370097</v>
      </c>
    </row>
    <row r="2697" spans="2:7" x14ac:dyDescent="0.25">
      <c r="B2697" s="49"/>
      <c r="C2697" s="89"/>
      <c r="D2697" s="89"/>
      <c r="E2697" s="47">
        <v>2998.3186228501299</v>
      </c>
      <c r="F2697" s="47">
        <v>2850.3615854443301</v>
      </c>
      <c r="G2697" s="47">
        <v>11188.1041288245</v>
      </c>
    </row>
    <row r="2698" spans="2:7" x14ac:dyDescent="0.25">
      <c r="B2698" s="49"/>
      <c r="C2698" s="89"/>
      <c r="D2698" s="89"/>
      <c r="E2698" s="47">
        <v>3010.0828223564999</v>
      </c>
      <c r="F2698" s="47">
        <v>2854.4342190049001</v>
      </c>
      <c r="G2698" s="47">
        <v>11284.4516151649</v>
      </c>
    </row>
    <row r="2699" spans="2:7" x14ac:dyDescent="0.25">
      <c r="B2699" s="49"/>
      <c r="C2699" s="89"/>
      <c r="D2699" s="89"/>
      <c r="E2699" s="47">
        <v>3025.32897135746</v>
      </c>
      <c r="F2699" s="47">
        <v>2857.4321803559601</v>
      </c>
      <c r="G2699" s="47">
        <v>11360.9711747893</v>
      </c>
    </row>
    <row r="2700" spans="2:7" x14ac:dyDescent="0.25">
      <c r="B2700" s="49"/>
      <c r="C2700" s="89"/>
      <c r="D2700" s="89"/>
      <c r="E2700" s="47">
        <v>3044.5239075857298</v>
      </c>
      <c r="F2700" s="47">
        <v>2859.6539405080298</v>
      </c>
      <c r="G2700" s="47">
        <v>11424.3884952893</v>
      </c>
    </row>
    <row r="2701" spans="2:7" x14ac:dyDescent="0.25">
      <c r="B2701" s="49"/>
      <c r="C2701" s="89"/>
      <c r="D2701" s="89"/>
      <c r="E2701" s="47">
        <v>3068.1425026359102</v>
      </c>
      <c r="F2701" s="47">
        <v>2861.2820370115401</v>
      </c>
      <c r="G2701" s="47">
        <v>11478.9784264887</v>
      </c>
    </row>
    <row r="2702" spans="2:7" x14ac:dyDescent="0.25">
      <c r="B2702" s="49"/>
      <c r="C2702" s="89"/>
      <c r="D2702" s="89"/>
      <c r="E2702" s="47">
        <v>3096.6458045478098</v>
      </c>
      <c r="F2702" s="47">
        <v>2862.4356398342002</v>
      </c>
      <c r="G2702" s="47">
        <v>11527.659832788</v>
      </c>
    </row>
    <row r="2703" spans="2:7" x14ac:dyDescent="0.25">
      <c r="B2703" s="49"/>
      <c r="C2703" s="89"/>
      <c r="D2703" s="89"/>
      <c r="E2703" s="47">
        <v>3130.4802773455999</v>
      </c>
      <c r="F2703" s="47">
        <v>2863.1949666190599</v>
      </c>
      <c r="G2703" s="47">
        <v>11572.512571649901</v>
      </c>
    </row>
    <row r="2704" spans="2:7" x14ac:dyDescent="0.25">
      <c r="B2704" s="49"/>
      <c r="C2704" s="89"/>
      <c r="D2704" s="89">
        <v>1100</v>
      </c>
      <c r="E2704" s="47">
        <v>2979.4157148536401</v>
      </c>
      <c r="F2704" s="47">
        <v>3075.2735138684002</v>
      </c>
      <c r="G2704" s="47">
        <v>11045.9109229148</v>
      </c>
    </row>
    <row r="2705" spans="2:7" x14ac:dyDescent="0.25">
      <c r="B2705" s="49"/>
      <c r="C2705" s="89"/>
      <c r="D2705" s="89"/>
      <c r="E2705" s="47">
        <v>2983.3755603167801</v>
      </c>
      <c r="F2705" s="47">
        <v>3090.3917138249899</v>
      </c>
      <c r="G2705" s="47">
        <v>11340.6784709162</v>
      </c>
    </row>
    <row r="2706" spans="2:7" x14ac:dyDescent="0.25">
      <c r="B2706" s="49"/>
      <c r="C2706" s="89"/>
      <c r="D2706" s="89"/>
      <c r="E2706" s="47">
        <v>2989.1398714895699</v>
      </c>
      <c r="F2706" s="47">
        <v>3100.0539442577901</v>
      </c>
      <c r="G2706" s="47">
        <v>11531.798946049301</v>
      </c>
    </row>
    <row r="2707" spans="2:7" x14ac:dyDescent="0.25">
      <c r="B2707" s="49"/>
      <c r="C2707" s="89"/>
      <c r="D2707" s="89"/>
      <c r="E2707" s="47">
        <v>2997.4742115398899</v>
      </c>
      <c r="F2707" s="47">
        <v>3106.72647587853</v>
      </c>
      <c r="G2707" s="47">
        <v>11667.4757708364</v>
      </c>
    </row>
    <row r="2708" spans="2:7" x14ac:dyDescent="0.25">
      <c r="B2708" s="49"/>
      <c r="C2708" s="89"/>
      <c r="D2708" s="89"/>
      <c r="E2708" s="47">
        <v>3008.8927125892901</v>
      </c>
      <c r="F2708" s="47">
        <v>3111.54208196944</v>
      </c>
      <c r="G2708" s="47">
        <v>11769.9830157177</v>
      </c>
    </row>
    <row r="2709" spans="2:7" x14ac:dyDescent="0.25">
      <c r="B2709" s="49"/>
      <c r="C2709" s="89"/>
      <c r="D2709" s="89"/>
      <c r="E2709" s="47">
        <v>3023.8704515106801</v>
      </c>
      <c r="F2709" s="47">
        <v>3115.1049208311802</v>
      </c>
      <c r="G2709" s="47">
        <v>11851.370587388101</v>
      </c>
    </row>
    <row r="2710" spans="2:7" x14ac:dyDescent="0.25">
      <c r="B2710" s="49"/>
      <c r="C2710" s="89"/>
      <c r="D2710" s="89"/>
      <c r="E2710" s="47">
        <v>3042.8576510111898</v>
      </c>
      <c r="F2710" s="47">
        <v>3117.7647003740199</v>
      </c>
      <c r="G2710" s="47">
        <v>11918.7615124041</v>
      </c>
    </row>
    <row r="2711" spans="2:7" x14ac:dyDescent="0.25">
      <c r="B2711" s="49"/>
      <c r="C2711" s="89"/>
      <c r="D2711" s="89"/>
      <c r="E2711" s="47">
        <v>3066.2827298407601</v>
      </c>
      <c r="F2711" s="47">
        <v>3119.7391478594</v>
      </c>
      <c r="G2711" s="47">
        <v>11976.71527787</v>
      </c>
    </row>
    <row r="2712" spans="2:7" x14ac:dyDescent="0.25">
      <c r="B2712" s="49"/>
      <c r="C2712" s="89"/>
      <c r="D2712" s="89"/>
      <c r="E2712" s="47">
        <v>3094.6150482316302</v>
      </c>
      <c r="F2712" s="47">
        <v>3121.16586023641</v>
      </c>
      <c r="G2712" s="47">
        <v>12028.2837142883</v>
      </c>
    </row>
    <row r="2713" spans="2:7" x14ac:dyDescent="0.25">
      <c r="B2713" s="49"/>
      <c r="C2713" s="89"/>
      <c r="D2713" s="89"/>
      <c r="E2713" s="47">
        <v>3128.3043448571002</v>
      </c>
      <c r="F2713" s="47">
        <v>3122.13752144306</v>
      </c>
      <c r="G2713" s="47">
        <v>12075.635299996</v>
      </c>
    </row>
    <row r="2714" spans="2:7" x14ac:dyDescent="0.25">
      <c r="B2714" s="49"/>
      <c r="C2714" s="89"/>
      <c r="D2714" s="89">
        <v>1200</v>
      </c>
      <c r="E2714" s="47">
        <v>2979.13937251486</v>
      </c>
      <c r="F2714" s="47">
        <v>3321.6658594795299</v>
      </c>
      <c r="G2714" s="47">
        <v>11492.2191502971</v>
      </c>
    </row>
    <row r="2715" spans="2:7" x14ac:dyDescent="0.25">
      <c r="B2715" s="49"/>
      <c r="C2715" s="89"/>
      <c r="D2715" s="89"/>
      <c r="E2715" s="47">
        <v>2982.0919554769898</v>
      </c>
      <c r="F2715" s="47">
        <v>3339.26985134289</v>
      </c>
      <c r="G2715" s="47">
        <v>11805.717346560201</v>
      </c>
    </row>
    <row r="2716" spans="2:7" x14ac:dyDescent="0.25">
      <c r="B2716" s="49"/>
      <c r="C2716" s="89"/>
      <c r="D2716" s="89"/>
      <c r="E2716" s="47">
        <v>2987.2434118832098</v>
      </c>
      <c r="F2716" s="47">
        <v>3350.5631830437601</v>
      </c>
      <c r="G2716" s="47">
        <v>12009.585818707999</v>
      </c>
    </row>
    <row r="2717" spans="2:7" x14ac:dyDescent="0.25">
      <c r="B2717" s="49"/>
      <c r="C2717" s="89"/>
      <c r="D2717" s="89"/>
      <c r="E2717" s="47">
        <v>2995.14442447594</v>
      </c>
      <c r="F2717" s="47">
        <v>3358.3716386373098</v>
      </c>
      <c r="G2717" s="47">
        <v>12154.225297503999</v>
      </c>
    </row>
    <row r="2718" spans="2:7" x14ac:dyDescent="0.25">
      <c r="B2718" s="49"/>
      <c r="C2718" s="89"/>
      <c r="D2718" s="89"/>
      <c r="E2718" s="47">
        <v>3006.2339197463598</v>
      </c>
      <c r="F2718" s="47">
        <v>3364.02047689342</v>
      </c>
      <c r="G2718" s="47">
        <v>12263.4236312383</v>
      </c>
    </row>
    <row r="2719" spans="2:7" x14ac:dyDescent="0.25">
      <c r="B2719" s="49"/>
      <c r="C2719" s="89"/>
      <c r="D2719" s="89"/>
      <c r="E2719" s="47">
        <v>3020.93536217985</v>
      </c>
      <c r="F2719" s="47">
        <v>3368.21527408764</v>
      </c>
      <c r="G2719" s="47">
        <v>12350.0057798866</v>
      </c>
    </row>
    <row r="2720" spans="2:7" x14ac:dyDescent="0.25">
      <c r="B2720" s="49"/>
      <c r="C2720" s="89"/>
      <c r="D2720" s="89"/>
      <c r="E2720" s="47">
        <v>3039.69483553896</v>
      </c>
      <c r="F2720" s="47">
        <v>3371.35743876776</v>
      </c>
      <c r="G2720" s="47">
        <v>12421.442815766501</v>
      </c>
    </row>
    <row r="2721" spans="2:7" x14ac:dyDescent="0.25">
      <c r="B2721" s="49"/>
      <c r="C2721" s="89"/>
      <c r="D2721" s="89"/>
      <c r="E2721" s="47">
        <v>3062.93667718302</v>
      </c>
      <c r="F2721" s="47">
        <v>3373.7072227127101</v>
      </c>
      <c r="G2721" s="47">
        <v>12482.6921883214</v>
      </c>
    </row>
    <row r="2722" spans="2:7" x14ac:dyDescent="0.25">
      <c r="B2722" s="49"/>
      <c r="C2722" s="89"/>
      <c r="D2722" s="89"/>
      <c r="E2722" s="47">
        <v>3091.07862718758</v>
      </c>
      <c r="F2722" s="47">
        <v>3375.43450621178</v>
      </c>
      <c r="G2722" s="47">
        <v>12537.1086659834</v>
      </c>
    </row>
    <row r="2723" spans="2:7" x14ac:dyDescent="0.25">
      <c r="B2723" s="49"/>
      <c r="C2723" s="89"/>
      <c r="D2723" s="89"/>
      <c r="E2723" s="47">
        <v>3124.59243931024</v>
      </c>
      <c r="F2723" s="47">
        <v>3376.6447372920802</v>
      </c>
      <c r="G2723" s="47">
        <v>12586.957198977199</v>
      </c>
    </row>
    <row r="2724" spans="2:7" x14ac:dyDescent="0.25">
      <c r="B2724" s="49"/>
      <c r="C2724" s="89">
        <v>25</v>
      </c>
      <c r="D2724" s="89">
        <v>0</v>
      </c>
      <c r="E2724" s="47">
        <v>2952.6984234694901</v>
      </c>
      <c r="F2724" s="47">
        <v>0</v>
      </c>
      <c r="G2724" s="47">
        <v>7449.8139803439999</v>
      </c>
    </row>
    <row r="2725" spans="2:7" x14ac:dyDescent="0.25">
      <c r="B2725" s="49"/>
      <c r="C2725" s="89"/>
      <c r="D2725" s="89"/>
      <c r="E2725" s="47">
        <v>2961.9677050405298</v>
      </c>
      <c r="F2725" s="47">
        <v>0</v>
      </c>
      <c r="G2725" s="47">
        <v>7463.9435182009602</v>
      </c>
    </row>
    <row r="2726" spans="2:7" x14ac:dyDescent="0.25">
      <c r="B2726" s="49"/>
      <c r="C2726" s="89"/>
      <c r="D2726" s="89"/>
      <c r="E2726" s="47">
        <v>2971.2369866115801</v>
      </c>
      <c r="F2726" s="47">
        <v>0</v>
      </c>
      <c r="G2726" s="47">
        <v>7478.0730560579104</v>
      </c>
    </row>
    <row r="2727" spans="2:7" x14ac:dyDescent="0.25">
      <c r="B2727" s="49"/>
      <c r="C2727" s="89"/>
      <c r="D2727" s="89"/>
      <c r="E2727" s="47">
        <v>2981.9183858312399</v>
      </c>
      <c r="F2727" s="47">
        <v>0</v>
      </c>
      <c r="G2727" s="47">
        <v>7490.9300360779798</v>
      </c>
    </row>
    <row r="2728" spans="2:7" x14ac:dyDescent="0.25">
      <c r="B2728" s="49"/>
      <c r="C2728" s="89"/>
      <c r="D2728" s="89"/>
      <c r="E2728" s="47">
        <v>2993.0704909337701</v>
      </c>
      <c r="F2728" s="47">
        <v>0</v>
      </c>
      <c r="G2728" s="47">
        <v>7503.3628301524304</v>
      </c>
    </row>
    <row r="2729" spans="2:7" x14ac:dyDescent="0.25">
      <c r="B2729" s="49"/>
      <c r="C2729" s="89"/>
      <c r="D2729" s="89"/>
      <c r="E2729" s="47">
        <v>3005.2837378292002</v>
      </c>
      <c r="F2729" s="47">
        <v>0</v>
      </c>
      <c r="G2729" s="47">
        <v>7515.2935143825598</v>
      </c>
    </row>
    <row r="2730" spans="2:7" x14ac:dyDescent="0.25">
      <c r="B2730" s="49"/>
      <c r="C2730" s="89"/>
      <c r="D2730" s="89"/>
      <c r="E2730" s="47">
        <v>3018.5581265175301</v>
      </c>
      <c r="F2730" s="47">
        <v>0</v>
      </c>
      <c r="G2730" s="47">
        <v>7526.7220887683898</v>
      </c>
    </row>
    <row r="2731" spans="2:7" x14ac:dyDescent="0.25">
      <c r="B2731" s="49"/>
      <c r="C2731" s="89"/>
      <c r="D2731" s="89"/>
      <c r="E2731" s="47">
        <v>3032.4201131490199</v>
      </c>
      <c r="F2731" s="47">
        <v>0</v>
      </c>
      <c r="G2731" s="47">
        <v>7538.0239600024097</v>
      </c>
    </row>
    <row r="2732" spans="2:7" x14ac:dyDescent="0.25">
      <c r="B2732" s="49"/>
      <c r="C2732" s="89"/>
      <c r="D2732" s="89"/>
      <c r="E2732" s="47">
        <v>3048.0448936099801</v>
      </c>
      <c r="F2732" s="47">
        <v>0</v>
      </c>
      <c r="G2732" s="47">
        <v>7548.9457217810304</v>
      </c>
    </row>
    <row r="2733" spans="2:7" x14ac:dyDescent="0.25">
      <c r="B2733" s="49"/>
      <c r="C2733" s="89"/>
      <c r="D2733" s="89"/>
      <c r="E2733" s="47">
        <v>3063.6696740709499</v>
      </c>
      <c r="F2733" s="47">
        <v>0</v>
      </c>
      <c r="G2733" s="47">
        <v>7559.8674835596403</v>
      </c>
    </row>
    <row r="2734" spans="2:7" x14ac:dyDescent="0.25">
      <c r="B2734" s="49"/>
      <c r="C2734" s="89"/>
      <c r="D2734" s="89">
        <v>100</v>
      </c>
      <c r="E2734" s="47">
        <v>2939.7998453786399</v>
      </c>
      <c r="F2734" s="47">
        <v>306.69505991029001</v>
      </c>
      <c r="G2734" s="47">
        <v>7768.4871672216595</v>
      </c>
    </row>
    <row r="2735" spans="2:7" x14ac:dyDescent="0.25">
      <c r="B2735" s="49"/>
      <c r="C2735" s="89"/>
      <c r="D2735" s="89"/>
      <c r="E2735" s="47">
        <v>2949.1099348942398</v>
      </c>
      <c r="F2735" s="47">
        <v>306.8222788402</v>
      </c>
      <c r="G2735" s="47">
        <v>7803.4458164422003</v>
      </c>
    </row>
    <row r="2736" spans="2:7" x14ac:dyDescent="0.25">
      <c r="B2736" s="49"/>
      <c r="C2736" s="89"/>
      <c r="D2736" s="89"/>
      <c r="E2736" s="47">
        <v>2959.4380568380702</v>
      </c>
      <c r="F2736" s="47">
        <v>306.92873377689301</v>
      </c>
      <c r="G2736" s="47">
        <v>7834.8594463376503</v>
      </c>
    </row>
    <row r="2737" spans="2:7" x14ac:dyDescent="0.25">
      <c r="B2737" s="49"/>
      <c r="C2737" s="89"/>
      <c r="D2737" s="89"/>
      <c r="E2737" s="47">
        <v>2970.7842112101198</v>
      </c>
      <c r="F2737" s="47">
        <v>307.014424720367</v>
      </c>
      <c r="G2737" s="47">
        <v>7862.7280569080303</v>
      </c>
    </row>
    <row r="2738" spans="2:7" x14ac:dyDescent="0.25">
      <c r="B2738" s="49"/>
      <c r="C2738" s="89"/>
      <c r="D2738" s="89"/>
      <c r="E2738" s="47">
        <v>2984.5868266304201</v>
      </c>
      <c r="F2738" s="47">
        <v>307.069031802891</v>
      </c>
      <c r="G2738" s="47">
        <v>7886.0841800734097</v>
      </c>
    </row>
    <row r="2739" spans="2:7" x14ac:dyDescent="0.25">
      <c r="B2739" s="49"/>
      <c r="C2739" s="89"/>
      <c r="D2739" s="89"/>
      <c r="E2739" s="47">
        <v>2999.8072000028701</v>
      </c>
      <c r="F2739" s="47">
        <v>307.111188840978</v>
      </c>
      <c r="G2739" s="47">
        <v>7908.0025830730401</v>
      </c>
    </row>
    <row r="2740" spans="2:7" x14ac:dyDescent="0.25">
      <c r="B2740" s="49"/>
      <c r="C2740" s="89"/>
      <c r="D2740" s="89"/>
      <c r="E2740" s="47">
        <v>3016.4453313274498</v>
      </c>
      <c r="F2740" s="47">
        <v>307.14089583462697</v>
      </c>
      <c r="G2740" s="47">
        <v>7928.4832659068998</v>
      </c>
    </row>
    <row r="2741" spans="2:7" x14ac:dyDescent="0.25">
      <c r="B2741" s="49"/>
      <c r="C2741" s="89"/>
      <c r="D2741" s="89"/>
      <c r="E2741" s="47">
        <v>3036.26766216427</v>
      </c>
      <c r="F2741" s="47">
        <v>307.14961203805598</v>
      </c>
      <c r="G2741" s="47">
        <v>7947.2159791809499</v>
      </c>
    </row>
    <row r="2742" spans="2:7" x14ac:dyDescent="0.25">
      <c r="B2742" s="49"/>
      <c r="C2742" s="89"/>
      <c r="D2742" s="89"/>
      <c r="E2742" s="47">
        <v>3057.8518533227202</v>
      </c>
      <c r="F2742" s="47">
        <v>307.14906494203899</v>
      </c>
      <c r="G2742" s="47">
        <v>7965.4811218329596</v>
      </c>
    </row>
    <row r="2743" spans="2:7" x14ac:dyDescent="0.25">
      <c r="B2743" s="49"/>
      <c r="C2743" s="89"/>
      <c r="D2743" s="89"/>
      <c r="E2743" s="47">
        <v>3081.1979048028102</v>
      </c>
      <c r="F2743" s="47">
        <v>307.13925454657601</v>
      </c>
      <c r="G2743" s="47">
        <v>7983.2786938629297</v>
      </c>
    </row>
    <row r="2744" spans="2:7" x14ac:dyDescent="0.25">
      <c r="B2744" s="49"/>
      <c r="C2744" s="89"/>
      <c r="D2744" s="89">
        <v>200</v>
      </c>
      <c r="E2744" s="47">
        <v>2943.9404325144401</v>
      </c>
      <c r="F2744" s="47">
        <v>606.78753497084301</v>
      </c>
      <c r="G2744" s="47">
        <v>8105.4653154603802</v>
      </c>
    </row>
    <row r="2745" spans="2:7" x14ac:dyDescent="0.25">
      <c r="B2745" s="49"/>
      <c r="C2745" s="89"/>
      <c r="D2745" s="89"/>
      <c r="E2745" s="47">
        <v>2952.7804592177899</v>
      </c>
      <c r="F2745" s="47">
        <v>607.27571607798802</v>
      </c>
      <c r="G2745" s="47">
        <v>8164.8343330317302</v>
      </c>
    </row>
    <row r="2746" spans="2:7" x14ac:dyDescent="0.25">
      <c r="B2746" s="49"/>
      <c r="C2746" s="89"/>
      <c r="D2746" s="89"/>
      <c r="E2746" s="47">
        <v>2962.9314836774602</v>
      </c>
      <c r="F2746" s="47">
        <v>607.65565442221896</v>
      </c>
      <c r="G2746" s="47">
        <v>8213.8229364204999</v>
      </c>
    </row>
    <row r="2747" spans="2:7" x14ac:dyDescent="0.25">
      <c r="B2747" s="49"/>
      <c r="C2747" s="89"/>
      <c r="D2747" s="89"/>
      <c r="E2747" s="47">
        <v>2974.6405296814701</v>
      </c>
      <c r="F2747" s="47">
        <v>607.94729402232997</v>
      </c>
      <c r="G2747" s="47">
        <v>8254.7601494164992</v>
      </c>
    </row>
    <row r="2748" spans="2:7" x14ac:dyDescent="0.25">
      <c r="B2748" s="49"/>
      <c r="C2748" s="89"/>
      <c r="D2748" s="89"/>
      <c r="E2748" s="47">
        <v>2988.1401752332199</v>
      </c>
      <c r="F2748" s="47">
        <v>608.167755389077</v>
      </c>
      <c r="G2748" s="47">
        <v>8289.6626687266307</v>
      </c>
    </row>
    <row r="2749" spans="2:7" x14ac:dyDescent="0.25">
      <c r="B2749" s="49"/>
      <c r="C2749" s="89"/>
      <c r="D2749" s="89"/>
      <c r="E2749" s="47">
        <v>3004.1144385371399</v>
      </c>
      <c r="F2749" s="47">
        <v>608.32116046726696</v>
      </c>
      <c r="G2749" s="47">
        <v>8319.5508236795904</v>
      </c>
    </row>
    <row r="2750" spans="2:7" x14ac:dyDescent="0.25">
      <c r="B2750" s="49"/>
      <c r="C2750" s="89"/>
      <c r="D2750" s="89"/>
      <c r="E2750" s="47">
        <v>3022.9334495339399</v>
      </c>
      <c r="F2750" s="47">
        <v>608.42132117011897</v>
      </c>
      <c r="G2750" s="47">
        <v>8346.2067531419507</v>
      </c>
    </row>
    <row r="2751" spans="2:7" x14ac:dyDescent="0.25">
      <c r="B2751" s="49"/>
      <c r="C2751" s="89"/>
      <c r="D2751" s="89"/>
      <c r="E2751" s="47">
        <v>3044.35273389537</v>
      </c>
      <c r="F2751" s="47">
        <v>608.48296611683202</v>
      </c>
      <c r="G2751" s="47">
        <v>8370.9863625964499</v>
      </c>
    </row>
    <row r="2752" spans="2:7" x14ac:dyDescent="0.25">
      <c r="B2752" s="49"/>
      <c r="C2752" s="89"/>
      <c r="D2752" s="89"/>
      <c r="E2752" s="47">
        <v>3068.5412364784102</v>
      </c>
      <c r="F2752" s="47">
        <v>608.50943391529199</v>
      </c>
      <c r="G2752" s="47">
        <v>8394.3880323315807</v>
      </c>
    </row>
    <row r="2753" spans="2:7" x14ac:dyDescent="0.25">
      <c r="B2753" s="49"/>
      <c r="C2753" s="89"/>
      <c r="D2753" s="89"/>
      <c r="E2753" s="47">
        <v>3095.6662557108498</v>
      </c>
      <c r="F2753" s="47">
        <v>608.50353701858501</v>
      </c>
      <c r="G2753" s="47">
        <v>8416.8528823172001</v>
      </c>
    </row>
    <row r="2754" spans="2:7" x14ac:dyDescent="0.25">
      <c r="B2754" s="49"/>
      <c r="C2754" s="89"/>
      <c r="D2754" s="89">
        <v>300</v>
      </c>
      <c r="E2754" s="47">
        <v>2947.5268459594599</v>
      </c>
      <c r="F2754" s="47">
        <v>899.75718613952904</v>
      </c>
      <c r="G2754" s="47">
        <v>8405.0461450717903</v>
      </c>
    </row>
    <row r="2755" spans="2:7" x14ac:dyDescent="0.25">
      <c r="B2755" s="49"/>
      <c r="C2755" s="89"/>
      <c r="D2755" s="89"/>
      <c r="E2755" s="47">
        <v>2956.0053857040398</v>
      </c>
      <c r="F2755" s="47">
        <v>901.12705077157295</v>
      </c>
      <c r="G2755" s="47">
        <v>8509.2191474714</v>
      </c>
    </row>
    <row r="2756" spans="2:7" x14ac:dyDescent="0.25">
      <c r="B2756" s="49"/>
      <c r="C2756" s="89"/>
      <c r="D2756" s="89"/>
      <c r="E2756" s="47">
        <v>2965.6454071406301</v>
      </c>
      <c r="F2756" s="47">
        <v>902.10811207483005</v>
      </c>
      <c r="G2756" s="47">
        <v>8586.8573033748708</v>
      </c>
    </row>
    <row r="2757" spans="2:7" x14ac:dyDescent="0.25">
      <c r="B2757" s="49"/>
      <c r="C2757" s="89"/>
      <c r="D2757" s="89"/>
      <c r="E2757" s="47">
        <v>2977.0809415684098</v>
      </c>
      <c r="F2757" s="47">
        <v>902.82332467291496</v>
      </c>
      <c r="G2757" s="47">
        <v>8647.2058186619197</v>
      </c>
    </row>
    <row r="2758" spans="2:7" x14ac:dyDescent="0.25">
      <c r="B2758" s="49"/>
      <c r="C2758" s="89"/>
      <c r="D2758" s="89"/>
      <c r="E2758" s="47">
        <v>2990.8063639452698</v>
      </c>
      <c r="F2758" s="47">
        <v>903.34748117482695</v>
      </c>
      <c r="G2758" s="47">
        <v>8695.9803723546502</v>
      </c>
    </row>
    <row r="2759" spans="2:7" x14ac:dyDescent="0.25">
      <c r="B2759" s="49"/>
      <c r="C2759" s="89"/>
      <c r="D2759" s="89"/>
      <c r="E2759" s="47">
        <v>3007.2444501824698</v>
      </c>
      <c r="F2759" s="47">
        <v>903.72719424255001</v>
      </c>
      <c r="G2759" s="47">
        <v>8736.8405949746502</v>
      </c>
    </row>
    <row r="2760" spans="2:7" x14ac:dyDescent="0.25">
      <c r="B2760" s="49"/>
      <c r="C2760" s="89"/>
      <c r="D2760" s="89"/>
      <c r="E2760" s="47">
        <v>3026.77193984017</v>
      </c>
      <c r="F2760" s="47">
        <v>903.99262986115104</v>
      </c>
      <c r="G2760" s="47">
        <v>8772.2423206444601</v>
      </c>
    </row>
    <row r="2761" spans="2:7" x14ac:dyDescent="0.25">
      <c r="B2761" s="49"/>
      <c r="C2761" s="89"/>
      <c r="D2761" s="89"/>
      <c r="E2761" s="47">
        <v>3049.7399908734101</v>
      </c>
      <c r="F2761" s="47">
        <v>904.16395852471805</v>
      </c>
      <c r="G2761" s="47">
        <v>8803.9119323283194</v>
      </c>
    </row>
    <row r="2762" spans="2:7" x14ac:dyDescent="0.25">
      <c r="B2762" s="49"/>
      <c r="C2762" s="89"/>
      <c r="D2762" s="89"/>
      <c r="E2762" s="47">
        <v>3076.4937100717402</v>
      </c>
      <c r="F2762" s="47">
        <v>904.25490069780301</v>
      </c>
      <c r="G2762" s="47">
        <v>8833.1145139182208</v>
      </c>
    </row>
    <row r="2763" spans="2:7" x14ac:dyDescent="0.25">
      <c r="B2763" s="49"/>
      <c r="C2763" s="89"/>
      <c r="D2763" s="89"/>
      <c r="E2763" s="47">
        <v>3107.3617398291199</v>
      </c>
      <c r="F2763" s="47">
        <v>904.27515255830701</v>
      </c>
      <c r="G2763" s="47">
        <v>8860.8159171811803</v>
      </c>
    </row>
    <row r="2764" spans="2:7" x14ac:dyDescent="0.25">
      <c r="B2764" s="49"/>
      <c r="C2764" s="89"/>
      <c r="D2764" s="89">
        <v>400</v>
      </c>
      <c r="E2764" s="47">
        <v>2949.7067952360499</v>
      </c>
      <c r="F2764" s="47">
        <v>1184.2534249743401</v>
      </c>
      <c r="G2764" s="47">
        <v>8622.4719449717395</v>
      </c>
    </row>
    <row r="2765" spans="2:7" x14ac:dyDescent="0.25">
      <c r="B2765" s="49"/>
      <c r="C2765" s="89"/>
      <c r="D2765" s="89"/>
      <c r="E2765" s="47">
        <v>2958.63020196466</v>
      </c>
      <c r="F2765" s="47">
        <v>1187.81422104955</v>
      </c>
      <c r="G2765" s="47">
        <v>8819.0480455277902</v>
      </c>
    </row>
    <row r="2766" spans="2:7" x14ac:dyDescent="0.25">
      <c r="B2766" s="49"/>
      <c r="C2766" s="89"/>
      <c r="D2766" s="89"/>
      <c r="E2766" s="47">
        <v>2967.6693438033799</v>
      </c>
      <c r="F2766" s="47">
        <v>1190.0762262941</v>
      </c>
      <c r="G2766" s="47">
        <v>8946.7767291062792</v>
      </c>
    </row>
    <row r="2767" spans="2:7" x14ac:dyDescent="0.25">
      <c r="B2767" s="49"/>
      <c r="C2767" s="89"/>
      <c r="D2767" s="89"/>
      <c r="E2767" s="47">
        <v>2978.3471959150802</v>
      </c>
      <c r="F2767" s="47">
        <v>1191.6122862101599</v>
      </c>
      <c r="G2767" s="47">
        <v>9037.3701449416803</v>
      </c>
    </row>
    <row r="2768" spans="2:7" x14ac:dyDescent="0.25">
      <c r="B2768" s="49"/>
      <c r="C2768" s="89"/>
      <c r="D2768" s="89"/>
      <c r="E2768" s="47">
        <v>2991.5510220790702</v>
      </c>
      <c r="F2768" s="47">
        <v>1192.69138200408</v>
      </c>
      <c r="G2768" s="47">
        <v>9105.8616573442996</v>
      </c>
    </row>
    <row r="2769" spans="2:7" x14ac:dyDescent="0.25">
      <c r="B2769" s="49"/>
      <c r="C2769" s="89"/>
      <c r="D2769" s="89"/>
      <c r="E2769" s="47">
        <v>3007.9507663910199</v>
      </c>
      <c r="F2769" s="47">
        <v>1193.45613798463</v>
      </c>
      <c r="G2769" s="47">
        <v>9160.3913640970095</v>
      </c>
    </row>
    <row r="2770" spans="2:7" x14ac:dyDescent="0.25">
      <c r="B2770" s="49"/>
      <c r="C2770" s="89"/>
      <c r="D2770" s="89"/>
      <c r="E2770" s="47">
        <v>3028.12985716086</v>
      </c>
      <c r="F2770" s="47">
        <v>1193.9892295931199</v>
      </c>
      <c r="G2770" s="47">
        <v>9205.8438474157301</v>
      </c>
    </row>
    <row r="2771" spans="2:7" x14ac:dyDescent="0.25">
      <c r="B2771" s="49"/>
      <c r="C2771" s="89"/>
      <c r="D2771" s="89"/>
      <c r="E2771" s="47">
        <v>3052.6081478364499</v>
      </c>
      <c r="F2771" s="47">
        <v>1194.3421179182001</v>
      </c>
      <c r="G2771" s="47">
        <v>9245.3919240717205</v>
      </c>
    </row>
    <row r="2772" spans="2:7" x14ac:dyDescent="0.25">
      <c r="B2772" s="49"/>
      <c r="C2772" s="89"/>
      <c r="D2772" s="89"/>
      <c r="E2772" s="47">
        <v>3081.8922358933701</v>
      </c>
      <c r="F2772" s="47">
        <v>1194.54615658992</v>
      </c>
      <c r="G2772" s="47">
        <v>9281.1306654952405</v>
      </c>
    </row>
    <row r="2773" spans="2:7" x14ac:dyDescent="0.25">
      <c r="B2773" s="49"/>
      <c r="C2773" s="89"/>
      <c r="D2773" s="89"/>
      <c r="E2773" s="47">
        <v>3116.4720538153101</v>
      </c>
      <c r="F2773" s="47">
        <v>1194.6221507652299</v>
      </c>
      <c r="G2773" s="47">
        <v>9314.5810139594705</v>
      </c>
    </row>
    <row r="2774" spans="2:7" x14ac:dyDescent="0.25">
      <c r="B2774" s="49"/>
      <c r="C2774" s="89"/>
      <c r="D2774" s="89">
        <v>500</v>
      </c>
      <c r="E2774" s="47">
        <v>2959.3520113087202</v>
      </c>
      <c r="F2774" s="47">
        <v>1465.37262607662</v>
      </c>
      <c r="G2774" s="47">
        <v>9030.2161827830205</v>
      </c>
    </row>
    <row r="2775" spans="2:7" x14ac:dyDescent="0.25">
      <c r="B2775" s="49"/>
      <c r="C2775" s="89"/>
      <c r="D2775" s="89"/>
      <c r="E2775" s="47">
        <v>2967.4677535071801</v>
      </c>
      <c r="F2775" s="47">
        <v>1470.2094691013999</v>
      </c>
      <c r="G2775" s="47">
        <v>9242.42723674441</v>
      </c>
    </row>
    <row r="2776" spans="2:7" x14ac:dyDescent="0.25">
      <c r="B2776" s="49"/>
      <c r="C2776" s="89"/>
      <c r="D2776" s="89"/>
      <c r="E2776" s="47">
        <v>2975.9954638067402</v>
      </c>
      <c r="F2776" s="47">
        <v>1473.2886537689899</v>
      </c>
      <c r="G2776" s="47">
        <v>9380.3680558015003</v>
      </c>
    </row>
    <row r="2777" spans="2:7" x14ac:dyDescent="0.25">
      <c r="B2777" s="49"/>
      <c r="C2777" s="89"/>
      <c r="D2777" s="89"/>
      <c r="E2777" s="47">
        <v>2986.3024360419599</v>
      </c>
      <c r="F2777" s="47">
        <v>1475.3889565121001</v>
      </c>
      <c r="G2777" s="47">
        <v>9478.2702941349107</v>
      </c>
    </row>
    <row r="2778" spans="2:7" x14ac:dyDescent="0.25">
      <c r="B2778" s="49"/>
      <c r="C2778" s="89"/>
      <c r="D2778" s="89"/>
      <c r="E2778" s="47">
        <v>2999.2190439050901</v>
      </c>
      <c r="F2778" s="47">
        <v>1476.87515446884</v>
      </c>
      <c r="G2778" s="47">
        <v>9552.3268053679403</v>
      </c>
    </row>
    <row r="2779" spans="2:7" x14ac:dyDescent="0.25">
      <c r="B2779" s="49"/>
      <c r="C2779" s="89"/>
      <c r="D2779" s="89"/>
      <c r="E2779" s="47">
        <v>3015.3864708589199</v>
      </c>
      <c r="F2779" s="47">
        <v>1477.94092707697</v>
      </c>
      <c r="G2779" s="47">
        <v>9611.3048035187603</v>
      </c>
    </row>
    <row r="2780" spans="2:7" x14ac:dyDescent="0.25">
      <c r="B2780" s="49"/>
      <c r="C2780" s="89"/>
      <c r="D2780" s="89"/>
      <c r="E2780" s="47">
        <v>3035.3600857872102</v>
      </c>
      <c r="F2780" s="47">
        <v>1478.6985820678101</v>
      </c>
      <c r="G2780" s="47">
        <v>9660.4437198698506</v>
      </c>
    </row>
    <row r="2781" spans="2:7" x14ac:dyDescent="0.25">
      <c r="B2781" s="49"/>
      <c r="C2781" s="89"/>
      <c r="D2781" s="89"/>
      <c r="E2781" s="47">
        <v>3059.66274088921</v>
      </c>
      <c r="F2781" s="47">
        <v>1479.2161898234599</v>
      </c>
      <c r="G2781" s="47">
        <v>9703.0778382976405</v>
      </c>
    </row>
    <row r="2782" spans="2:7" x14ac:dyDescent="0.25">
      <c r="B2782" s="49"/>
      <c r="C2782" s="89"/>
      <c r="D2782" s="89"/>
      <c r="E2782" s="47">
        <v>3088.7875006225199</v>
      </c>
      <c r="F2782" s="47">
        <v>1479.53735494949</v>
      </c>
      <c r="G2782" s="47">
        <v>9741.4771710396108</v>
      </c>
    </row>
    <row r="2783" spans="2:7" x14ac:dyDescent="0.25">
      <c r="B2783" s="49"/>
      <c r="C2783" s="89"/>
      <c r="D2783" s="89"/>
      <c r="E2783" s="47">
        <v>3123.2142598241599</v>
      </c>
      <c r="F2783" s="47">
        <v>1479.6910889389201</v>
      </c>
      <c r="G2783" s="47">
        <v>9777.2810613987895</v>
      </c>
    </row>
    <row r="2784" spans="2:7" x14ac:dyDescent="0.25">
      <c r="B2784" s="49"/>
      <c r="C2784" s="89"/>
      <c r="D2784" s="89">
        <v>600</v>
      </c>
      <c r="E2784" s="47">
        <v>2966.9392317739098</v>
      </c>
      <c r="F2784" s="47">
        <v>1740.76846880325</v>
      </c>
      <c r="G2784" s="47">
        <v>9445.0946460004507</v>
      </c>
    </row>
    <row r="2785" spans="2:7" x14ac:dyDescent="0.25">
      <c r="B2785" s="49"/>
      <c r="C2785" s="89"/>
      <c r="D2785" s="89"/>
      <c r="E2785" s="47">
        <v>2974.2144397440902</v>
      </c>
      <c r="F2785" s="47">
        <v>1747.0636541251999</v>
      </c>
      <c r="G2785" s="47">
        <v>9673.8989675860103</v>
      </c>
    </row>
    <row r="2786" spans="2:7" x14ac:dyDescent="0.25">
      <c r="B2786" s="49"/>
      <c r="C2786" s="89"/>
      <c r="D2786" s="89"/>
      <c r="E2786" s="47">
        <v>2982.1834421610201</v>
      </c>
      <c r="F2786" s="47">
        <v>1751.08055283523</v>
      </c>
      <c r="G2786" s="47">
        <v>9822.7112947000005</v>
      </c>
    </row>
    <row r="2787" spans="2:7" x14ac:dyDescent="0.25">
      <c r="B2787" s="49"/>
      <c r="C2787" s="89"/>
      <c r="D2787" s="89"/>
      <c r="E2787" s="47">
        <v>2992.09626809875</v>
      </c>
      <c r="F2787" s="47">
        <v>1753.8303700798899</v>
      </c>
      <c r="G2787" s="47">
        <v>9928.3671854159802</v>
      </c>
    </row>
    <row r="2788" spans="2:7" x14ac:dyDescent="0.25">
      <c r="B2788" s="49"/>
      <c r="C2788" s="89"/>
      <c r="D2788" s="89"/>
      <c r="E2788" s="47">
        <v>3004.7141388118298</v>
      </c>
      <c r="F2788" s="47">
        <v>1755.78694259383</v>
      </c>
      <c r="G2788" s="47">
        <v>10008.2730886929</v>
      </c>
    </row>
    <row r="2789" spans="2:7" x14ac:dyDescent="0.25">
      <c r="B2789" s="49"/>
      <c r="C2789" s="89"/>
      <c r="D2789" s="89"/>
      <c r="E2789" s="47">
        <v>3020.6468764381598</v>
      </c>
      <c r="F2789" s="47">
        <v>1757.2020163648699</v>
      </c>
      <c r="G2789" s="47">
        <v>10071.851093404401</v>
      </c>
    </row>
    <row r="2790" spans="2:7" x14ac:dyDescent="0.25">
      <c r="B2790" s="49"/>
      <c r="C2790" s="89"/>
      <c r="D2790" s="89"/>
      <c r="E2790" s="47">
        <v>3040.4262489318198</v>
      </c>
      <c r="F2790" s="47">
        <v>1758.22186561998</v>
      </c>
      <c r="G2790" s="47">
        <v>10124.7259467204</v>
      </c>
    </row>
    <row r="2791" spans="2:7" x14ac:dyDescent="0.25">
      <c r="B2791" s="49"/>
      <c r="C2791" s="89"/>
      <c r="D2791" s="89"/>
      <c r="E2791" s="47">
        <v>3064.5590370876198</v>
      </c>
      <c r="F2791" s="47">
        <v>1758.9360391366899</v>
      </c>
      <c r="G2791" s="47">
        <v>10170.4953809818</v>
      </c>
    </row>
    <row r="2792" spans="2:7" x14ac:dyDescent="0.25">
      <c r="B2792" s="49"/>
      <c r="C2792" s="89"/>
      <c r="D2792" s="89"/>
      <c r="E2792" s="47">
        <v>3093.5213204318202</v>
      </c>
      <c r="F2792" s="47">
        <v>1759.4032107954799</v>
      </c>
      <c r="G2792" s="47">
        <v>10211.638461643301</v>
      </c>
    </row>
    <row r="2793" spans="2:7" x14ac:dyDescent="0.25">
      <c r="B2793" s="49"/>
      <c r="C2793" s="89"/>
      <c r="D2793" s="89"/>
      <c r="E2793" s="47">
        <v>3127.7938915751201</v>
      </c>
      <c r="F2793" s="47">
        <v>1759.65995630213</v>
      </c>
      <c r="G2793" s="47">
        <v>10249.857607124901</v>
      </c>
    </row>
    <row r="2794" spans="2:7" x14ac:dyDescent="0.25">
      <c r="B2794" s="49"/>
      <c r="C2794" s="89"/>
      <c r="D2794" s="89">
        <v>700</v>
      </c>
      <c r="E2794" s="47">
        <v>2972.6049457112399</v>
      </c>
      <c r="F2794" s="47">
        <v>2010.61643000969</v>
      </c>
      <c r="G2794" s="47">
        <v>9868.6938999287304</v>
      </c>
    </row>
    <row r="2795" spans="2:7" x14ac:dyDescent="0.25">
      <c r="B2795" s="49"/>
      <c r="C2795" s="89"/>
      <c r="D2795" s="89"/>
      <c r="E2795" s="47">
        <v>2979.02199113301</v>
      </c>
      <c r="F2795" s="47">
        <v>2018.5293504732199</v>
      </c>
      <c r="G2795" s="47">
        <v>10113.9464411464</v>
      </c>
    </row>
    <row r="2796" spans="2:7" x14ac:dyDescent="0.25">
      <c r="B2796" s="49"/>
      <c r="C2796" s="89"/>
      <c r="D2796" s="89"/>
      <c r="E2796" s="47">
        <v>2986.4349464433199</v>
      </c>
      <c r="F2796" s="47">
        <v>2023.5887452014199</v>
      </c>
      <c r="G2796" s="47">
        <v>10273.556632646199</v>
      </c>
    </row>
    <row r="2797" spans="2:7" x14ac:dyDescent="0.25">
      <c r="B2797" s="49"/>
      <c r="C2797" s="89"/>
      <c r="D2797" s="89"/>
      <c r="E2797" s="47">
        <v>2995.9510361741</v>
      </c>
      <c r="F2797" s="47">
        <v>2027.0623831333301</v>
      </c>
      <c r="G2797" s="47">
        <v>10386.897858750001</v>
      </c>
    </row>
    <row r="2798" spans="2:7" x14ac:dyDescent="0.25">
      <c r="B2798" s="49"/>
      <c r="C2798" s="89"/>
      <c r="D2798" s="89"/>
      <c r="E2798" s="47">
        <v>3008.2472134382601</v>
      </c>
      <c r="F2798" s="47">
        <v>2029.54710588087</v>
      </c>
      <c r="G2798" s="47">
        <v>10472.634428187401</v>
      </c>
    </row>
    <row r="2799" spans="2:7" x14ac:dyDescent="0.25">
      <c r="B2799" s="49"/>
      <c r="C2799" s="89"/>
      <c r="D2799" s="89"/>
      <c r="E2799" s="47">
        <v>3023.9273069076198</v>
      </c>
      <c r="F2799" s="47">
        <v>2031.3578660846899</v>
      </c>
      <c r="G2799" s="47">
        <v>10540.8266556293</v>
      </c>
    </row>
    <row r="2800" spans="2:7" x14ac:dyDescent="0.25">
      <c r="B2800" s="49"/>
      <c r="C2800" s="89"/>
      <c r="D2800" s="89"/>
      <c r="E2800" s="47">
        <v>3043.4921648264499</v>
      </c>
      <c r="F2800" s="47">
        <v>2032.6796546022899</v>
      </c>
      <c r="G2800" s="47">
        <v>10597.505739899399</v>
      </c>
    </row>
    <row r="2801" spans="2:7" x14ac:dyDescent="0.25">
      <c r="B2801" s="49"/>
      <c r="C2801" s="89"/>
      <c r="D2801" s="89"/>
      <c r="E2801" s="47">
        <v>3067.4291045127302</v>
      </c>
      <c r="F2801" s="47">
        <v>2033.6247378110399</v>
      </c>
      <c r="G2801" s="47">
        <v>10646.487939365201</v>
      </c>
    </row>
    <row r="2802" spans="2:7" x14ac:dyDescent="0.25">
      <c r="B2802" s="49"/>
      <c r="C2802" s="89"/>
      <c r="D2802" s="89"/>
      <c r="E2802" s="47">
        <v>3096.2241922415201</v>
      </c>
      <c r="F2802" s="47">
        <v>2034.26503390829</v>
      </c>
      <c r="G2802" s="47">
        <v>10690.366275435599</v>
      </c>
    </row>
    <row r="2803" spans="2:7" x14ac:dyDescent="0.25">
      <c r="B2803" s="49"/>
      <c r="C2803" s="89"/>
      <c r="D2803" s="89"/>
      <c r="E2803" s="47">
        <v>3130.3416275834402</v>
      </c>
      <c r="F2803" s="47">
        <v>2034.64853274148</v>
      </c>
      <c r="G2803" s="47">
        <v>10730.9893218445</v>
      </c>
    </row>
    <row r="2804" spans="2:7" x14ac:dyDescent="0.25">
      <c r="B2804" s="49"/>
      <c r="C2804" s="89"/>
      <c r="D2804" s="89">
        <v>800</v>
      </c>
      <c r="E2804" s="47">
        <v>2976.5095876764499</v>
      </c>
      <c r="F2804" s="47">
        <v>2274.9274439384299</v>
      </c>
      <c r="G2804" s="47">
        <v>10297.5293217609</v>
      </c>
    </row>
    <row r="2805" spans="2:7" x14ac:dyDescent="0.25">
      <c r="B2805" s="49"/>
      <c r="C2805" s="89"/>
      <c r="D2805" s="89"/>
      <c r="E2805" s="47">
        <v>2982.03100550918</v>
      </c>
      <c r="F2805" s="47">
        <v>2284.6965089013302</v>
      </c>
      <c r="G2805" s="47">
        <v>10561.2097981638</v>
      </c>
    </row>
    <row r="2806" spans="2:7" x14ac:dyDescent="0.25">
      <c r="B2806" s="49"/>
      <c r="C2806" s="89"/>
      <c r="D2806" s="89"/>
      <c r="E2806" s="47">
        <v>2988.8432092238199</v>
      </c>
      <c r="F2806" s="47">
        <v>2290.9472228816999</v>
      </c>
      <c r="G2806" s="47">
        <v>10732.697321469401</v>
      </c>
    </row>
    <row r="2807" spans="2:7" x14ac:dyDescent="0.25">
      <c r="B2807" s="49"/>
      <c r="C2807" s="89"/>
      <c r="D2807" s="89"/>
      <c r="E2807" s="47">
        <v>2997.92374902964</v>
      </c>
      <c r="F2807" s="47">
        <v>2295.2485374968401</v>
      </c>
      <c r="G2807" s="47">
        <v>10854.4308678543</v>
      </c>
    </row>
    <row r="2808" spans="2:7" x14ac:dyDescent="0.25">
      <c r="B2808" s="49"/>
      <c r="C2808" s="89"/>
      <c r="D2808" s="89"/>
      <c r="E2808" s="47">
        <v>3009.9212160172801</v>
      </c>
      <c r="F2808" s="47">
        <v>2298.32657218944</v>
      </c>
      <c r="G2808" s="47">
        <v>10946.2157537522</v>
      </c>
    </row>
    <row r="2809" spans="2:7" x14ac:dyDescent="0.25">
      <c r="B2809" s="49"/>
      <c r="C2809" s="89"/>
      <c r="D2809" s="89"/>
      <c r="E2809" s="47">
        <v>3025.3440221307601</v>
      </c>
      <c r="F2809" s="47">
        <v>2300.57980086732</v>
      </c>
      <c r="G2809" s="47">
        <v>11019.0475323705</v>
      </c>
    </row>
    <row r="2810" spans="2:7" x14ac:dyDescent="0.25">
      <c r="B2810" s="49"/>
      <c r="C2810" s="89"/>
      <c r="D2810" s="89"/>
      <c r="E2810" s="47">
        <v>3044.7016606420002</v>
      </c>
      <c r="F2810" s="47">
        <v>2302.2397825141002</v>
      </c>
      <c r="G2810" s="47">
        <v>11079.4989829596</v>
      </c>
    </row>
    <row r="2811" spans="2:7" x14ac:dyDescent="0.25">
      <c r="B2811" s="49"/>
      <c r="C2811" s="89"/>
      <c r="D2811" s="89"/>
      <c r="E2811" s="47">
        <v>3068.4679055154702</v>
      </c>
      <c r="F2811" s="47">
        <v>2303.4450398712802</v>
      </c>
      <c r="G2811" s="47">
        <v>11131.644997278299</v>
      </c>
    </row>
    <row r="2812" spans="2:7" x14ac:dyDescent="0.25">
      <c r="B2812" s="49"/>
      <c r="C2812" s="89"/>
      <c r="D2812" s="89"/>
      <c r="E2812" s="47">
        <v>3097.0947391446998</v>
      </c>
      <c r="F2812" s="47">
        <v>2304.2865412326</v>
      </c>
      <c r="G2812" s="47">
        <v>11178.280519788001</v>
      </c>
    </row>
    <row r="2813" spans="2:7" x14ac:dyDescent="0.25">
      <c r="B2813" s="49"/>
      <c r="C2813" s="89"/>
      <c r="D2813" s="89"/>
      <c r="E2813" s="47">
        <v>3131.0506252036298</v>
      </c>
      <c r="F2813" s="47">
        <v>2304.8222793648702</v>
      </c>
      <c r="G2813" s="47">
        <v>11221.341379387</v>
      </c>
    </row>
    <row r="2814" spans="2:7" x14ac:dyDescent="0.25">
      <c r="B2814" s="49"/>
      <c r="C2814" s="89"/>
      <c r="D2814" s="89">
        <v>900</v>
      </c>
      <c r="E2814" s="47">
        <v>2978.7499630943698</v>
      </c>
      <c r="F2814" s="47">
        <v>2533.8901814237802</v>
      </c>
      <c r="G2814" s="47">
        <v>10733.8590779481</v>
      </c>
    </row>
    <row r="2815" spans="2:7" x14ac:dyDescent="0.25">
      <c r="B2815" s="49"/>
      <c r="C2815" s="89"/>
      <c r="D2815" s="89"/>
      <c r="E2815" s="47">
        <v>2983.3534680975599</v>
      </c>
      <c r="F2815" s="47">
        <v>2545.6584958619101</v>
      </c>
      <c r="G2815" s="47">
        <v>11015.044519786001</v>
      </c>
    </row>
    <row r="2816" spans="2:7" x14ac:dyDescent="0.25">
      <c r="B2816" s="49"/>
      <c r="C2816" s="89"/>
      <c r="D2816" s="89"/>
      <c r="E2816" s="47">
        <v>2989.58287961731</v>
      </c>
      <c r="F2816" s="47">
        <v>2553.2002357956599</v>
      </c>
      <c r="G2816" s="47">
        <v>11198.014910566801</v>
      </c>
    </row>
    <row r="2817" spans="2:7" x14ac:dyDescent="0.25">
      <c r="B2817" s="49"/>
      <c r="C2817" s="89"/>
      <c r="D2817" s="89"/>
      <c r="E2817" s="47">
        <v>2998.2498865929701</v>
      </c>
      <c r="F2817" s="47">
        <v>2558.4001250329302</v>
      </c>
      <c r="G2817" s="47">
        <v>11327.8787770044</v>
      </c>
    </row>
    <row r="2818" spans="2:7" x14ac:dyDescent="0.25">
      <c r="B2818" s="49"/>
      <c r="C2818" s="89"/>
      <c r="D2818" s="89"/>
      <c r="E2818" s="47">
        <v>3009.9028599846702</v>
      </c>
      <c r="F2818" s="47">
        <v>2562.1457725939699</v>
      </c>
      <c r="G2818" s="47">
        <v>11426.0173881108</v>
      </c>
    </row>
    <row r="2819" spans="2:7" x14ac:dyDescent="0.25">
      <c r="B2819" s="49"/>
      <c r="C2819" s="89"/>
      <c r="D2819" s="89"/>
      <c r="E2819" s="47">
        <v>3025.0613711634201</v>
      </c>
      <c r="F2819" s="47">
        <v>2564.9076288870201</v>
      </c>
      <c r="G2819" s="47">
        <v>11503.9585700548</v>
      </c>
    </row>
    <row r="2820" spans="2:7" x14ac:dyDescent="0.25">
      <c r="B2820" s="49"/>
      <c r="C2820" s="89"/>
      <c r="D2820" s="89"/>
      <c r="E2820" s="47">
        <v>3044.18805000884</v>
      </c>
      <c r="F2820" s="47">
        <v>2566.9597557934499</v>
      </c>
      <c r="G2820" s="47">
        <v>11568.552334087201</v>
      </c>
    </row>
    <row r="2821" spans="2:7" x14ac:dyDescent="0.25">
      <c r="B2821" s="49"/>
      <c r="C2821" s="89"/>
      <c r="D2821" s="89"/>
      <c r="E2821" s="47">
        <v>3067.7511027874002</v>
      </c>
      <c r="F2821" s="47">
        <v>2568.4696743643999</v>
      </c>
      <c r="G2821" s="47">
        <v>11624.1437969463</v>
      </c>
    </row>
    <row r="2822" spans="2:7" x14ac:dyDescent="0.25">
      <c r="B2822" s="49"/>
      <c r="C2822" s="89"/>
      <c r="D2822" s="89"/>
      <c r="E2822" s="47">
        <v>3096.2089200514802</v>
      </c>
      <c r="F2822" s="47">
        <v>2569.5453151453198</v>
      </c>
      <c r="G2822" s="47">
        <v>11673.665395489699</v>
      </c>
    </row>
    <row r="2823" spans="2:7" x14ac:dyDescent="0.25">
      <c r="B2823" s="49"/>
      <c r="C2823" s="89"/>
      <c r="D2823" s="89"/>
      <c r="E2823" s="47">
        <v>3130.0052812613299</v>
      </c>
      <c r="F2823" s="47">
        <v>2570.26057983397</v>
      </c>
      <c r="G2823" s="47">
        <v>11719.2347588537</v>
      </c>
    </row>
    <row r="2824" spans="2:7" x14ac:dyDescent="0.25">
      <c r="B2824" s="49"/>
      <c r="C2824" s="89"/>
      <c r="D2824" s="89">
        <v>1000</v>
      </c>
      <c r="E2824" s="47">
        <v>2979.4878302963298</v>
      </c>
      <c r="F2824" s="47">
        <v>2787.5503874503802</v>
      </c>
      <c r="G2824" s="47">
        <v>11176.101003546901</v>
      </c>
    </row>
    <row r="2825" spans="2:7" x14ac:dyDescent="0.25">
      <c r="B2825" s="49"/>
      <c r="C2825" s="89"/>
      <c r="D2825" s="89"/>
      <c r="E2825" s="47">
        <v>2983.1432239485598</v>
      </c>
      <c r="F2825" s="47">
        <v>2801.5770083534399</v>
      </c>
      <c r="G2825" s="47">
        <v>11476.5906571084</v>
      </c>
    </row>
    <row r="2826" spans="2:7" x14ac:dyDescent="0.25">
      <c r="B2826" s="49"/>
      <c r="C2826" s="89"/>
      <c r="D2826" s="89"/>
      <c r="E2826" s="47">
        <v>2988.7274234453398</v>
      </c>
      <c r="F2826" s="47">
        <v>2810.55034663992</v>
      </c>
      <c r="G2826" s="47">
        <v>11671.566745772599</v>
      </c>
    </row>
    <row r="2827" spans="2:7" x14ac:dyDescent="0.25">
      <c r="B2827" s="49"/>
      <c r="C2827" s="89"/>
      <c r="D2827" s="89"/>
      <c r="E2827" s="47">
        <v>2996.9319675249999</v>
      </c>
      <c r="F2827" s="47">
        <v>2816.7367729817101</v>
      </c>
      <c r="G2827" s="47">
        <v>11809.681426109</v>
      </c>
    </row>
    <row r="2828" spans="2:7" x14ac:dyDescent="0.25">
      <c r="B2828" s="49"/>
      <c r="C2828" s="89"/>
      <c r="D2828" s="89"/>
      <c r="E2828" s="47">
        <v>3008.2699945939898</v>
      </c>
      <c r="F2828" s="47">
        <v>2821.2041133662601</v>
      </c>
      <c r="G2828" s="47">
        <v>11914.014248233299</v>
      </c>
    </row>
    <row r="2829" spans="2:7" x14ac:dyDescent="0.25">
      <c r="B2829" s="49"/>
      <c r="C2829" s="89"/>
      <c r="D2829" s="89"/>
      <c r="E2829" s="47">
        <v>3023.1581409855398</v>
      </c>
      <c r="F2829" s="47">
        <v>2824.5144891151299</v>
      </c>
      <c r="G2829" s="47">
        <v>11996.835749006599</v>
      </c>
    </row>
    <row r="2830" spans="2:7" x14ac:dyDescent="0.25">
      <c r="B2830" s="49"/>
      <c r="C2830" s="89"/>
      <c r="D2830" s="89"/>
      <c r="E2830" s="47">
        <v>3042.0765975311801</v>
      </c>
      <c r="F2830" s="47">
        <v>2826.9903942432102</v>
      </c>
      <c r="G2830" s="47">
        <v>12065.3929869719</v>
      </c>
    </row>
    <row r="2831" spans="2:7" x14ac:dyDescent="0.25">
      <c r="B2831" s="49"/>
      <c r="C2831" s="89"/>
      <c r="D2831" s="89"/>
      <c r="E2831" s="47">
        <v>3065.4568033635501</v>
      </c>
      <c r="F2831" s="47">
        <v>2828.8328868150902</v>
      </c>
      <c r="G2831" s="47">
        <v>12124.314409647501</v>
      </c>
    </row>
    <row r="2832" spans="2:7" x14ac:dyDescent="0.25">
      <c r="B2832" s="49"/>
      <c r="C2832" s="89"/>
      <c r="D2832" s="89"/>
      <c r="E2832" s="47">
        <v>3093.7383135770501</v>
      </c>
      <c r="F2832" s="47">
        <v>2830.1718697565898</v>
      </c>
      <c r="G2832" s="47">
        <v>12176.7271118717</v>
      </c>
    </row>
    <row r="2833" spans="2:7" x14ac:dyDescent="0.25">
      <c r="B2833" s="49"/>
      <c r="C2833" s="89"/>
      <c r="D2833" s="89"/>
      <c r="E2833" s="47">
        <v>3127.3754284073598</v>
      </c>
      <c r="F2833" s="47">
        <v>2831.09218185809</v>
      </c>
      <c r="G2833" s="47">
        <v>12224.815997892199</v>
      </c>
    </row>
    <row r="2834" spans="2:7" x14ac:dyDescent="0.25">
      <c r="B2834" s="49"/>
      <c r="C2834" s="89"/>
      <c r="D2834" s="89">
        <v>1100</v>
      </c>
      <c r="E2834" s="47">
        <v>2978.7807830501902</v>
      </c>
      <c r="F2834" s="47">
        <v>3036.0207939121001</v>
      </c>
      <c r="G2834" s="47">
        <v>11624.4986247534</v>
      </c>
    </row>
    <row r="2835" spans="2:7" x14ac:dyDescent="0.25">
      <c r="B2835" s="49"/>
      <c r="C2835" s="89"/>
      <c r="D2835" s="89"/>
      <c r="E2835" s="47">
        <v>2981.46760840249</v>
      </c>
      <c r="F2835" s="47">
        <v>3052.45355497229</v>
      </c>
      <c r="G2835" s="47">
        <v>11943.4585649817</v>
      </c>
    </row>
    <row r="2836" spans="2:7" x14ac:dyDescent="0.25">
      <c r="B2836" s="49"/>
      <c r="C2836" s="89"/>
      <c r="D2836" s="89"/>
      <c r="E2836" s="47">
        <v>2986.4334129672802</v>
      </c>
      <c r="F2836" s="47">
        <v>3062.9991296127801</v>
      </c>
      <c r="G2836" s="47">
        <v>12150.8868486839</v>
      </c>
    </row>
    <row r="2837" spans="2:7" x14ac:dyDescent="0.25">
      <c r="B2837" s="49"/>
      <c r="C2837" s="89"/>
      <c r="D2837" s="89"/>
      <c r="E2837" s="47">
        <v>2994.2021568359801</v>
      </c>
      <c r="F2837" s="47">
        <v>3070.2920329172598</v>
      </c>
      <c r="G2837" s="47">
        <v>12298.0123627885</v>
      </c>
    </row>
    <row r="2838" spans="2:7" x14ac:dyDescent="0.25">
      <c r="B2838" s="49"/>
      <c r="C2838" s="89"/>
      <c r="D2838" s="89"/>
      <c r="E2838" s="47">
        <v>3005.1832641902001</v>
      </c>
      <c r="F2838" s="47">
        <v>3075.5722949001402</v>
      </c>
      <c r="G2838" s="47">
        <v>12409.0823160362</v>
      </c>
    </row>
    <row r="2839" spans="2:7" x14ac:dyDescent="0.25">
      <c r="B2839" s="49"/>
      <c r="C2839" s="89"/>
      <c r="D2839" s="89"/>
      <c r="E2839" s="47">
        <v>3019.8076181139199</v>
      </c>
      <c r="F2839" s="47">
        <v>3079.4985141508901</v>
      </c>
      <c r="G2839" s="47">
        <v>12497.156179805899</v>
      </c>
    </row>
    <row r="2840" spans="2:7" x14ac:dyDescent="0.25">
      <c r="B2840" s="49"/>
      <c r="C2840" s="89"/>
      <c r="D2840" s="89"/>
      <c r="E2840" s="47">
        <v>3038.47391773248</v>
      </c>
      <c r="F2840" s="47">
        <v>3082.4535053446698</v>
      </c>
      <c r="G2840" s="47">
        <v>12569.9487479451</v>
      </c>
    </row>
    <row r="2841" spans="2:7" x14ac:dyDescent="0.25">
      <c r="B2841" s="49"/>
      <c r="C2841" s="89"/>
      <c r="D2841" s="89"/>
      <c r="E2841" s="47">
        <v>3061.64611426888</v>
      </c>
      <c r="F2841" s="47">
        <v>3084.67075894662</v>
      </c>
      <c r="G2841" s="47">
        <v>12632.355329665501</v>
      </c>
    </row>
    <row r="2842" spans="2:7" x14ac:dyDescent="0.25">
      <c r="B2842" s="49"/>
      <c r="C2842" s="89"/>
      <c r="D2842" s="89"/>
      <c r="E2842" s="47">
        <v>3089.7530709719999</v>
      </c>
      <c r="F2842" s="47">
        <v>3086.3043693887098</v>
      </c>
      <c r="G2842" s="47">
        <v>12687.7093041101</v>
      </c>
    </row>
    <row r="2843" spans="2:7" x14ac:dyDescent="0.25">
      <c r="B2843" s="49"/>
      <c r="C2843" s="89"/>
      <c r="D2843" s="89"/>
      <c r="E2843" s="47">
        <v>3123.2182314503002</v>
      </c>
      <c r="F2843" s="47">
        <v>3087.4583619834002</v>
      </c>
      <c r="G2843" s="47">
        <v>12738.374096370901</v>
      </c>
    </row>
    <row r="2844" spans="2:7" x14ac:dyDescent="0.25">
      <c r="B2844" s="49"/>
      <c r="C2844" s="89"/>
      <c r="D2844" s="89">
        <v>1200</v>
      </c>
      <c r="E2844" s="47">
        <v>2976.77012476032</v>
      </c>
      <c r="F2844" s="47">
        <v>3279.40388407502</v>
      </c>
      <c r="G2844" s="47">
        <v>12079.1258285889</v>
      </c>
    </row>
    <row r="2845" spans="2:7" x14ac:dyDescent="0.25">
      <c r="B2845" s="49"/>
      <c r="C2845" s="89"/>
      <c r="D2845" s="89"/>
      <c r="E2845" s="47">
        <v>2977.9040662889101</v>
      </c>
      <c r="F2845" s="47">
        <v>3292.1283048902001</v>
      </c>
      <c r="G2845" s="47">
        <v>12304.837840877801</v>
      </c>
    </row>
    <row r="2846" spans="2:7" x14ac:dyDescent="0.25">
      <c r="B2846" s="49"/>
      <c r="C2846" s="89"/>
      <c r="D2846" s="89"/>
      <c r="E2846" s="47">
        <v>2979.90097386971</v>
      </c>
      <c r="F2846" s="47">
        <v>3302.5651985722602</v>
      </c>
      <c r="G2846" s="47">
        <v>12490.8730560843</v>
      </c>
    </row>
    <row r="2847" spans="2:7" x14ac:dyDescent="0.25">
      <c r="B2847" s="49"/>
      <c r="C2847" s="89"/>
      <c r="D2847" s="89"/>
      <c r="E2847" s="47">
        <v>2982.76084750272</v>
      </c>
      <c r="F2847" s="47">
        <v>3310.7145651211899</v>
      </c>
      <c r="G2847" s="47">
        <v>12637.2314742083</v>
      </c>
    </row>
    <row r="2848" spans="2:7" x14ac:dyDescent="0.25">
      <c r="B2848" s="49"/>
      <c r="C2848" s="89"/>
      <c r="D2848" s="89"/>
      <c r="E2848" s="47">
        <v>2987.6162239431901</v>
      </c>
      <c r="F2848" s="47">
        <v>3316.3607880146301</v>
      </c>
      <c r="G2848" s="47">
        <v>12741.071670675101</v>
      </c>
    </row>
    <row r="2849" spans="2:7" x14ac:dyDescent="0.25">
      <c r="B2849" s="49"/>
      <c r="C2849" s="89"/>
      <c r="D2849" s="89"/>
      <c r="E2849" s="47">
        <v>2993.5863827604799</v>
      </c>
      <c r="F2849" s="47">
        <v>3321.2320630936601</v>
      </c>
      <c r="G2849" s="47">
        <v>12832.171817165899</v>
      </c>
    </row>
    <row r="2850" spans="2:7" x14ac:dyDescent="0.25">
      <c r="B2850" s="49"/>
      <c r="C2850" s="89"/>
      <c r="D2850" s="89"/>
      <c r="E2850" s="47">
        <v>3000.6713239545802</v>
      </c>
      <c r="F2850" s="47">
        <v>3325.3283903582801</v>
      </c>
      <c r="G2850" s="47">
        <v>12910.531913680699</v>
      </c>
    </row>
    <row r="2851" spans="2:7" x14ac:dyDescent="0.25">
      <c r="B2851" s="49"/>
      <c r="C2851" s="89"/>
      <c r="D2851" s="89"/>
      <c r="E2851" s="47">
        <v>3010.2298350076499</v>
      </c>
      <c r="F2851" s="47">
        <v>3328.3852598578101</v>
      </c>
      <c r="G2851" s="47">
        <v>12972.6351091342</v>
      </c>
    </row>
    <row r="2852" spans="2:7" x14ac:dyDescent="0.25">
      <c r="B2852" s="49"/>
      <c r="C2852" s="89"/>
      <c r="D2852" s="89"/>
      <c r="E2852" s="47">
        <v>3021.16327708975</v>
      </c>
      <c r="F2852" s="47">
        <v>3331.0696069413202</v>
      </c>
      <c r="G2852" s="47">
        <v>13029.3275451355</v>
      </c>
    </row>
    <row r="2853" spans="2:7" x14ac:dyDescent="0.25">
      <c r="B2853" s="49"/>
      <c r="C2853" s="89"/>
      <c r="D2853" s="89"/>
      <c r="E2853" s="47">
        <v>3033.47165020086</v>
      </c>
      <c r="F2853" s="47">
        <v>3333.3814316088201</v>
      </c>
      <c r="G2853" s="47">
        <v>13080.609221684699</v>
      </c>
    </row>
    <row r="2854" spans="2:7" x14ac:dyDescent="0.25">
      <c r="B2854" s="49"/>
      <c r="C2854" s="89">
        <v>30</v>
      </c>
      <c r="D2854" s="89">
        <v>0</v>
      </c>
      <c r="E2854" s="47">
        <v>2975.5271523884498</v>
      </c>
      <c r="F2854" s="47">
        <v>0</v>
      </c>
      <c r="G2854" s="47">
        <v>7986.0779397633096</v>
      </c>
    </row>
    <row r="2855" spans="2:7" x14ac:dyDescent="0.25">
      <c r="B2855" s="49"/>
      <c r="C2855" s="89"/>
      <c r="D2855" s="89"/>
      <c r="E2855" s="47">
        <v>2984.7081178352501</v>
      </c>
      <c r="F2855" s="47">
        <v>0</v>
      </c>
      <c r="G2855" s="47">
        <v>8002.0558675974298</v>
      </c>
    </row>
    <row r="2856" spans="2:7" x14ac:dyDescent="0.25">
      <c r="B2856" s="49"/>
      <c r="C2856" s="89"/>
      <c r="D2856" s="89"/>
      <c r="E2856" s="47">
        <v>2993.8890832820598</v>
      </c>
      <c r="F2856" s="47">
        <v>0</v>
      </c>
      <c r="G2856" s="47">
        <v>8018.0337954315501</v>
      </c>
    </row>
    <row r="2857" spans="2:7" x14ac:dyDescent="0.25">
      <c r="B2857" s="49"/>
      <c r="C2857" s="89"/>
      <c r="D2857" s="89"/>
      <c r="E2857" s="47">
        <v>3004.4874823410901</v>
      </c>
      <c r="F2857" s="47">
        <v>0</v>
      </c>
      <c r="G2857" s="47">
        <v>8032.52496033634</v>
      </c>
    </row>
    <row r="2858" spans="2:7" x14ac:dyDescent="0.25">
      <c r="B2858" s="49"/>
      <c r="C2858" s="89"/>
      <c r="D2858" s="89"/>
      <c r="E2858" s="47">
        <v>3015.5583592708599</v>
      </c>
      <c r="F2858" s="47">
        <v>0</v>
      </c>
      <c r="G2858" s="47">
        <v>8046.5205375980304</v>
      </c>
    </row>
    <row r="2859" spans="2:7" x14ac:dyDescent="0.25">
      <c r="B2859" s="49"/>
      <c r="C2859" s="89"/>
      <c r="D2859" s="89"/>
      <c r="E2859" s="47">
        <v>3027.6923895515902</v>
      </c>
      <c r="F2859" s="47">
        <v>0</v>
      </c>
      <c r="G2859" s="47">
        <v>8059.91759807995</v>
      </c>
    </row>
    <row r="2860" spans="2:7" x14ac:dyDescent="0.25">
      <c r="B2860" s="49"/>
      <c r="C2860" s="89"/>
      <c r="D2860" s="89"/>
      <c r="E2860" s="47">
        <v>3040.8895731832899</v>
      </c>
      <c r="F2860" s="47">
        <v>0</v>
      </c>
      <c r="G2860" s="47">
        <v>8072.7161417821098</v>
      </c>
    </row>
    <row r="2861" spans="2:7" x14ac:dyDescent="0.25">
      <c r="B2861" s="49"/>
      <c r="C2861" s="89"/>
      <c r="D2861" s="89"/>
      <c r="E2861" s="47">
        <v>3054.6734575361402</v>
      </c>
      <c r="F2861" s="47">
        <v>0</v>
      </c>
      <c r="G2861" s="47">
        <v>8085.3524533493601</v>
      </c>
    </row>
    <row r="2862" spans="2:7" x14ac:dyDescent="0.25">
      <c r="B2862" s="49"/>
      <c r="C2862" s="89"/>
      <c r="D2862" s="89"/>
      <c r="E2862" s="47">
        <v>3070.21744405242</v>
      </c>
      <c r="F2862" s="47">
        <v>0</v>
      </c>
      <c r="G2862" s="47">
        <v>8097.5020685118498</v>
      </c>
    </row>
    <row r="2863" spans="2:7" x14ac:dyDescent="0.25">
      <c r="B2863" s="49"/>
      <c r="C2863" s="89"/>
      <c r="D2863" s="89"/>
      <c r="E2863" s="47">
        <v>3085.7614305687098</v>
      </c>
      <c r="F2863" s="47">
        <v>0</v>
      </c>
      <c r="G2863" s="47">
        <v>8109.6516836743403</v>
      </c>
    </row>
    <row r="2864" spans="2:7" x14ac:dyDescent="0.25">
      <c r="B2864" s="49"/>
      <c r="C2864" s="89"/>
      <c r="D2864" s="89">
        <v>100</v>
      </c>
      <c r="E2864" s="47">
        <v>2959.3203862507798</v>
      </c>
      <c r="F2864" s="47">
        <v>302.84227846338803</v>
      </c>
      <c r="G2864" s="47">
        <v>8304.9254332220607</v>
      </c>
    </row>
    <row r="2865" spans="2:7" x14ac:dyDescent="0.25">
      <c r="B2865" s="49"/>
      <c r="C2865" s="89"/>
      <c r="D2865" s="89"/>
      <c r="E2865" s="47">
        <v>2968.42650458973</v>
      </c>
      <c r="F2865" s="47">
        <v>302.99157321493601</v>
      </c>
      <c r="G2865" s="47">
        <v>8344.3812149553705</v>
      </c>
    </row>
    <row r="2866" spans="2:7" x14ac:dyDescent="0.25">
      <c r="B2866" s="49"/>
      <c r="C2866" s="89"/>
      <c r="D2866" s="89"/>
      <c r="E2866" s="47">
        <v>2978.5685094314499</v>
      </c>
      <c r="F2866" s="47">
        <v>303.11785146669001</v>
      </c>
      <c r="G2866" s="47">
        <v>8379.8304766139208</v>
      </c>
    </row>
    <row r="2867" spans="2:7" x14ac:dyDescent="0.25">
      <c r="B2867" s="49"/>
      <c r="C2867" s="89"/>
      <c r="D2867" s="89"/>
      <c r="E2867" s="47">
        <v>2989.7464007759399</v>
      </c>
      <c r="F2867" s="47">
        <v>303.22111321864799</v>
      </c>
      <c r="G2867" s="47">
        <v>8411.2732181977099</v>
      </c>
    </row>
    <row r="2868" spans="2:7" x14ac:dyDescent="0.25">
      <c r="B2868" s="49"/>
      <c r="C2868" s="89"/>
      <c r="D2868" s="89"/>
      <c r="E2868" s="47">
        <v>3003.4064228113498</v>
      </c>
      <c r="F2868" s="47">
        <v>303.29006735088302</v>
      </c>
      <c r="G2868" s="47">
        <v>8437.5430978770091</v>
      </c>
    </row>
    <row r="2869" spans="2:7" x14ac:dyDescent="0.25">
      <c r="B2869" s="49"/>
      <c r="C2869" s="89"/>
      <c r="D2869" s="89"/>
      <c r="E2869" s="47">
        <v>3018.4891759243501</v>
      </c>
      <c r="F2869" s="47">
        <v>303.34552329155798</v>
      </c>
      <c r="G2869" s="47">
        <v>8462.1575218018497</v>
      </c>
    </row>
    <row r="2870" spans="2:7" x14ac:dyDescent="0.25">
      <c r="B2870" s="49"/>
      <c r="C2870" s="89"/>
      <c r="D2870" s="89"/>
      <c r="E2870" s="47">
        <v>3034.99466011494</v>
      </c>
      <c r="F2870" s="47">
        <v>303.38748104067298</v>
      </c>
      <c r="G2870" s="47">
        <v>8485.1164899722498</v>
      </c>
    </row>
    <row r="2871" spans="2:7" x14ac:dyDescent="0.25">
      <c r="B2871" s="49"/>
      <c r="C2871" s="89"/>
      <c r="D2871" s="89"/>
      <c r="E2871" s="47">
        <v>3054.69267946644</v>
      </c>
      <c r="F2871" s="47">
        <v>303.40684853361103</v>
      </c>
      <c r="G2871" s="47">
        <v>8505.9959161790994</v>
      </c>
    </row>
    <row r="2872" spans="2:7" x14ac:dyDescent="0.25">
      <c r="B2872" s="49"/>
      <c r="C2872" s="89"/>
      <c r="D2872" s="89"/>
      <c r="E2872" s="47">
        <v>3076.1532155681002</v>
      </c>
      <c r="F2872" s="47">
        <v>303.416375985939</v>
      </c>
      <c r="G2872" s="47">
        <v>8526.28610677082</v>
      </c>
    </row>
    <row r="2873" spans="2:7" x14ac:dyDescent="0.25">
      <c r="B2873" s="49"/>
      <c r="C2873" s="89"/>
      <c r="D2873" s="89"/>
      <c r="E2873" s="47">
        <v>3099.3762684199201</v>
      </c>
      <c r="F2873" s="47">
        <v>303.41606339765599</v>
      </c>
      <c r="G2873" s="47">
        <v>8545.9870617474207</v>
      </c>
    </row>
    <row r="2874" spans="2:7" x14ac:dyDescent="0.25">
      <c r="B2874" s="49"/>
      <c r="C2874" s="89"/>
      <c r="D2874" s="89">
        <v>200</v>
      </c>
      <c r="E2874" s="47">
        <v>2960.4455499032201</v>
      </c>
      <c r="F2874" s="47">
        <v>599.149483231928</v>
      </c>
      <c r="G2874" s="47">
        <v>8646.3465924949196</v>
      </c>
    </row>
    <row r="2875" spans="2:7" x14ac:dyDescent="0.25">
      <c r="B2875" s="49"/>
      <c r="C2875" s="89"/>
      <c r="D2875" s="89"/>
      <c r="E2875" s="47">
        <v>2968.9482799602501</v>
      </c>
      <c r="F2875" s="47">
        <v>599.70620917154201</v>
      </c>
      <c r="G2875" s="47">
        <v>8712.6787078474299</v>
      </c>
    </row>
    <row r="2876" spans="2:7" x14ac:dyDescent="0.25">
      <c r="B2876" s="49"/>
      <c r="C2876" s="89"/>
      <c r="D2876" s="89"/>
      <c r="E2876" s="47">
        <v>2978.8166752651</v>
      </c>
      <c r="F2876" s="47">
        <v>600.14242541492797</v>
      </c>
      <c r="G2876" s="47">
        <v>8767.3791911402404</v>
      </c>
    </row>
    <row r="2877" spans="2:7" x14ac:dyDescent="0.25">
      <c r="B2877" s="49"/>
      <c r="C2877" s="89"/>
      <c r="D2877" s="89"/>
      <c r="E2877" s="47">
        <v>2990.2845437896399</v>
      </c>
      <c r="F2877" s="47">
        <v>600.48102942131095</v>
      </c>
      <c r="G2877" s="47">
        <v>8813.0782748900492</v>
      </c>
    </row>
    <row r="2878" spans="2:7" x14ac:dyDescent="0.25">
      <c r="B2878" s="49"/>
      <c r="C2878" s="89"/>
      <c r="D2878" s="89"/>
      <c r="E2878" s="47">
        <v>3003.5736175735201</v>
      </c>
      <c r="F2878" s="47">
        <v>600.74157166821101</v>
      </c>
      <c r="G2878" s="47">
        <v>8852.0405028680198</v>
      </c>
    </row>
    <row r="2879" spans="2:7" x14ac:dyDescent="0.25">
      <c r="B2879" s="49"/>
      <c r="C2879" s="89"/>
      <c r="D2879" s="89"/>
      <c r="E2879" s="47">
        <v>3019.3642659489501</v>
      </c>
      <c r="F2879" s="47">
        <v>600.92901022630701</v>
      </c>
      <c r="G2879" s="47">
        <v>8885.3715699678905</v>
      </c>
    </row>
    <row r="2880" spans="2:7" x14ac:dyDescent="0.25">
      <c r="B2880" s="49"/>
      <c r="C2880" s="89"/>
      <c r="D2880" s="89"/>
      <c r="E2880" s="47">
        <v>3038.0148242649602</v>
      </c>
      <c r="F2880" s="47">
        <v>601.05889862631398</v>
      </c>
      <c r="G2880" s="47">
        <v>8915.0276376544698</v>
      </c>
    </row>
    <row r="2881" spans="2:7" x14ac:dyDescent="0.25">
      <c r="B2881" s="49"/>
      <c r="C2881" s="89"/>
      <c r="D2881" s="89"/>
      <c r="E2881" s="47">
        <v>3059.2756076123901</v>
      </c>
      <c r="F2881" s="47">
        <v>601.14743525684401</v>
      </c>
      <c r="G2881" s="47">
        <v>8942.5157312194606</v>
      </c>
    </row>
    <row r="2882" spans="2:7" x14ac:dyDescent="0.25">
      <c r="B2882" s="49"/>
      <c r="C2882" s="89"/>
      <c r="D2882" s="89"/>
      <c r="E2882" s="47">
        <v>3083.31272409038</v>
      </c>
      <c r="F2882" s="47">
        <v>601.19842859610696</v>
      </c>
      <c r="G2882" s="47">
        <v>8968.3814924604703</v>
      </c>
    </row>
    <row r="2883" spans="2:7" x14ac:dyDescent="0.25">
      <c r="B2883" s="49"/>
      <c r="C2883" s="89"/>
      <c r="D2883" s="89"/>
      <c r="E2883" s="47">
        <v>3110.2902233172799</v>
      </c>
      <c r="F2883" s="47">
        <v>601.21511385056499</v>
      </c>
      <c r="G2883" s="47">
        <v>8993.1079370528296</v>
      </c>
    </row>
    <row r="2884" spans="2:7" x14ac:dyDescent="0.25">
      <c r="B2884" s="49"/>
      <c r="C2884" s="89"/>
      <c r="D2884" s="89">
        <v>300</v>
      </c>
      <c r="E2884" s="47">
        <v>2952.7667664523001</v>
      </c>
      <c r="F2884" s="47">
        <v>885.54321406415897</v>
      </c>
      <c r="G2884" s="47">
        <v>8741.1445864323305</v>
      </c>
    </row>
    <row r="2885" spans="2:7" x14ac:dyDescent="0.25">
      <c r="B2885" s="49"/>
      <c r="C2885" s="89"/>
      <c r="D2885" s="89"/>
      <c r="E2885" s="47">
        <v>2961.4397533634701</v>
      </c>
      <c r="F2885" s="47">
        <v>888.28126713099903</v>
      </c>
      <c r="G2885" s="47">
        <v>8942.26275409952</v>
      </c>
    </row>
    <row r="2886" spans="2:7" x14ac:dyDescent="0.25">
      <c r="B2886" s="49"/>
      <c r="C2886" s="89"/>
      <c r="D2886" s="89"/>
      <c r="E2886" s="47">
        <v>2970.3349977139201</v>
      </c>
      <c r="F2886" s="47">
        <v>890.02160964916402</v>
      </c>
      <c r="G2886" s="47">
        <v>9072.9602261620093</v>
      </c>
    </row>
    <row r="2887" spans="2:7" x14ac:dyDescent="0.25">
      <c r="B2887" s="49"/>
      <c r="C2887" s="89"/>
      <c r="D2887" s="89"/>
      <c r="E2887" s="47">
        <v>2980.9053171517899</v>
      </c>
      <c r="F2887" s="47">
        <v>891.20507124128198</v>
      </c>
      <c r="G2887" s="47">
        <v>9165.6772503950906</v>
      </c>
    </row>
    <row r="2888" spans="2:7" x14ac:dyDescent="0.25">
      <c r="B2888" s="49"/>
      <c r="C2888" s="89"/>
      <c r="D2888" s="89"/>
      <c r="E2888" s="47">
        <v>2994.0297440487602</v>
      </c>
      <c r="F2888" s="47">
        <v>892.03835538277804</v>
      </c>
      <c r="G2888" s="47">
        <v>9235.7908661987003</v>
      </c>
    </row>
    <row r="2889" spans="2:7" x14ac:dyDescent="0.25">
      <c r="B2889" s="49"/>
      <c r="C2889" s="89"/>
      <c r="D2889" s="89"/>
      <c r="E2889" s="47">
        <v>3010.3634781825799</v>
      </c>
      <c r="F2889" s="47">
        <v>892.63149306214598</v>
      </c>
      <c r="G2889" s="47">
        <v>9291.6443625853408</v>
      </c>
    </row>
    <row r="2890" spans="2:7" x14ac:dyDescent="0.25">
      <c r="B2890" s="49"/>
      <c r="C2890" s="89"/>
      <c r="D2890" s="89"/>
      <c r="E2890" s="47">
        <v>3030.48624783376</v>
      </c>
      <c r="F2890" s="47">
        <v>893.04738778557601</v>
      </c>
      <c r="G2890" s="47">
        <v>9338.1823833356302</v>
      </c>
    </row>
    <row r="2891" spans="2:7" x14ac:dyDescent="0.25">
      <c r="B2891" s="49"/>
      <c r="C2891" s="89"/>
      <c r="D2891" s="89"/>
      <c r="E2891" s="47">
        <v>3054.9187866657498</v>
      </c>
      <c r="F2891" s="47">
        <v>893.32505776556297</v>
      </c>
      <c r="G2891" s="47">
        <v>9378.6083918275908</v>
      </c>
    </row>
    <row r="2892" spans="2:7" x14ac:dyDescent="0.25">
      <c r="B2892" s="49"/>
      <c r="C2892" s="89"/>
      <c r="D2892" s="89"/>
      <c r="E2892" s="47">
        <v>3084.15821952648</v>
      </c>
      <c r="F2892" s="47">
        <v>893.48961084423001</v>
      </c>
      <c r="G2892" s="47">
        <v>9415.1214935989592</v>
      </c>
    </row>
    <row r="2893" spans="2:7" x14ac:dyDescent="0.25">
      <c r="B2893" s="49"/>
      <c r="C2893" s="89"/>
      <c r="D2893" s="89"/>
      <c r="E2893" s="47">
        <v>3118.6938762486998</v>
      </c>
      <c r="F2893" s="47">
        <v>893.55723458589296</v>
      </c>
      <c r="G2893" s="47">
        <v>9449.2833426592006</v>
      </c>
    </row>
    <row r="2894" spans="2:7" x14ac:dyDescent="0.25">
      <c r="B2894" s="49"/>
      <c r="C2894" s="89"/>
      <c r="D2894" s="89">
        <v>400</v>
      </c>
      <c r="E2894" s="47">
        <v>2961.7775763595901</v>
      </c>
      <c r="F2894" s="47">
        <v>1168.81986365689</v>
      </c>
      <c r="G2894" s="47">
        <v>9151.0159909704598</v>
      </c>
    </row>
    <row r="2895" spans="2:7" x14ac:dyDescent="0.25">
      <c r="B2895" s="49"/>
      <c r="C2895" s="89"/>
      <c r="D2895" s="89"/>
      <c r="E2895" s="47">
        <v>2969.6663436837898</v>
      </c>
      <c r="F2895" s="47">
        <v>1172.79020593118</v>
      </c>
      <c r="G2895" s="47">
        <v>9368.3693831692508</v>
      </c>
    </row>
    <row r="2896" spans="2:7" x14ac:dyDescent="0.25">
      <c r="B2896" s="49"/>
      <c r="C2896" s="89"/>
      <c r="D2896" s="89"/>
      <c r="E2896" s="47">
        <v>2978.0363916875199</v>
      </c>
      <c r="F2896" s="47">
        <v>1175.3154066842201</v>
      </c>
      <c r="G2896" s="47">
        <v>9509.4469058612904</v>
      </c>
    </row>
    <row r="2897" spans="2:7" x14ac:dyDescent="0.25">
      <c r="B2897" s="49"/>
      <c r="C2897" s="89"/>
      <c r="D2897" s="89"/>
      <c r="E2897" s="47">
        <v>2988.2201254534998</v>
      </c>
      <c r="F2897" s="47">
        <v>1177.0384749606101</v>
      </c>
      <c r="G2897" s="47">
        <v>9609.5082944622991</v>
      </c>
    </row>
    <row r="2898" spans="2:7" x14ac:dyDescent="0.25">
      <c r="B2898" s="49"/>
      <c r="C2898" s="89"/>
      <c r="D2898" s="89"/>
      <c r="E2898" s="47">
        <v>3001.0393872210502</v>
      </c>
      <c r="F2898" s="47">
        <v>1178.26021025366</v>
      </c>
      <c r="G2898" s="47">
        <v>9685.2146067342801</v>
      </c>
    </row>
    <row r="2899" spans="2:7" x14ac:dyDescent="0.25">
      <c r="B2899" s="49"/>
      <c r="C2899" s="89"/>
      <c r="D2899" s="89"/>
      <c r="E2899" s="47">
        <v>3017.1381974333499</v>
      </c>
      <c r="F2899" s="47">
        <v>1179.1384203155501</v>
      </c>
      <c r="G2899" s="47">
        <v>9745.4874295373102</v>
      </c>
    </row>
    <row r="2900" spans="2:7" x14ac:dyDescent="0.25">
      <c r="B2900" s="49"/>
      <c r="C2900" s="89"/>
      <c r="D2900" s="89"/>
      <c r="E2900" s="47">
        <v>3037.0589102039698</v>
      </c>
      <c r="F2900" s="47">
        <v>1179.7652225767999</v>
      </c>
      <c r="G2900" s="47">
        <v>9795.6748685043003</v>
      </c>
    </row>
    <row r="2901" spans="2:7" x14ac:dyDescent="0.25">
      <c r="B2901" s="49"/>
      <c r="C2901" s="89"/>
      <c r="D2901" s="89"/>
      <c r="E2901" s="47">
        <v>3061.3089052005498</v>
      </c>
      <c r="F2901" s="47">
        <v>1180.1973841807801</v>
      </c>
      <c r="G2901" s="47">
        <v>9839.2197749128609</v>
      </c>
    </row>
    <row r="2902" spans="2:7" x14ac:dyDescent="0.25">
      <c r="B2902" s="49"/>
      <c r="C2902" s="89"/>
      <c r="D2902" s="89"/>
      <c r="E2902" s="47">
        <v>3090.3865019185901</v>
      </c>
      <c r="F2902" s="47">
        <v>1180.47021842245</v>
      </c>
      <c r="G2902" s="47">
        <v>9878.4196641775306</v>
      </c>
    </row>
    <row r="2903" spans="2:7" x14ac:dyDescent="0.25">
      <c r="B2903" s="49"/>
      <c r="C2903" s="89"/>
      <c r="D2903" s="89"/>
      <c r="E2903" s="47">
        <v>3124.7697448808099</v>
      </c>
      <c r="F2903" s="47">
        <v>1180.60729129881</v>
      </c>
      <c r="G2903" s="47">
        <v>9914.9311287007804</v>
      </c>
    </row>
    <row r="2904" spans="2:7" x14ac:dyDescent="0.25">
      <c r="B2904" s="49"/>
      <c r="C2904" s="89"/>
      <c r="D2904" s="89">
        <v>500</v>
      </c>
      <c r="E2904" s="47">
        <v>2968.79981015879</v>
      </c>
      <c r="F2904" s="47">
        <v>1446.36550185892</v>
      </c>
      <c r="G2904" s="47">
        <v>9568.4776050012606</v>
      </c>
    </row>
    <row r="2905" spans="2:7" x14ac:dyDescent="0.25">
      <c r="B2905" s="49"/>
      <c r="C2905" s="89"/>
      <c r="D2905" s="89"/>
      <c r="E2905" s="47">
        <v>2975.8152557814901</v>
      </c>
      <c r="F2905" s="47">
        <v>1451.72993902541</v>
      </c>
      <c r="G2905" s="47">
        <v>9802.0709783509392</v>
      </c>
    </row>
    <row r="2906" spans="2:7" x14ac:dyDescent="0.25">
      <c r="B2906" s="49"/>
      <c r="C2906" s="89"/>
      <c r="D2906" s="89"/>
      <c r="E2906" s="47">
        <v>2983.6246001723398</v>
      </c>
      <c r="F2906" s="47">
        <v>1455.1545773532</v>
      </c>
      <c r="G2906" s="47">
        <v>9954.0142473344604</v>
      </c>
    </row>
    <row r="2907" spans="2:7" x14ac:dyDescent="0.25">
      <c r="B2907" s="49"/>
      <c r="C2907" s="89"/>
      <c r="D2907" s="89"/>
      <c r="E2907" s="47">
        <v>2993.41850634599</v>
      </c>
      <c r="F2907" s="47">
        <v>1457.5015997181299</v>
      </c>
      <c r="G2907" s="47">
        <v>10061.9169425738</v>
      </c>
    </row>
    <row r="2908" spans="2:7" x14ac:dyDescent="0.25">
      <c r="B2908" s="49"/>
      <c r="C2908" s="89"/>
      <c r="D2908" s="89"/>
      <c r="E2908" s="47">
        <v>3005.95102325465</v>
      </c>
      <c r="F2908" s="47">
        <v>1459.17419516261</v>
      </c>
      <c r="G2908" s="47">
        <v>10143.5320840313</v>
      </c>
    </row>
    <row r="2909" spans="2:7" x14ac:dyDescent="0.25">
      <c r="B2909" s="49"/>
      <c r="C2909" s="89"/>
      <c r="D2909" s="89"/>
      <c r="E2909" s="47">
        <v>3021.8127574011301</v>
      </c>
      <c r="F2909" s="47">
        <v>1460.38721069945</v>
      </c>
      <c r="G2909" s="47">
        <v>10208.478981086701</v>
      </c>
    </row>
    <row r="2910" spans="2:7" x14ac:dyDescent="0.25">
      <c r="B2910" s="49"/>
      <c r="C2910" s="89"/>
      <c r="D2910" s="89"/>
      <c r="E2910" s="47">
        <v>3041.5326033641099</v>
      </c>
      <c r="F2910" s="47">
        <v>1461.26469692156</v>
      </c>
      <c r="G2910" s="47">
        <v>10262.4711961059</v>
      </c>
    </row>
    <row r="2911" spans="2:7" x14ac:dyDescent="0.25">
      <c r="B2911" s="49"/>
      <c r="C2911" s="89"/>
      <c r="D2911" s="89"/>
      <c r="E2911" s="47">
        <v>3065.6106110453102</v>
      </c>
      <c r="F2911" s="47">
        <v>1461.8832150728699</v>
      </c>
      <c r="G2911" s="47">
        <v>10309.182554585201</v>
      </c>
    </row>
    <row r="2912" spans="2:7" x14ac:dyDescent="0.25">
      <c r="B2912" s="49"/>
      <c r="C2912" s="89"/>
      <c r="D2912" s="89"/>
      <c r="E2912" s="47">
        <v>3094.53076262273</v>
      </c>
      <c r="F2912" s="47">
        <v>1462.2917263158099</v>
      </c>
      <c r="G2912" s="47">
        <v>10351.1020459597</v>
      </c>
    </row>
    <row r="2913" spans="2:7" x14ac:dyDescent="0.25">
      <c r="B2913" s="49"/>
      <c r="C2913" s="89"/>
      <c r="D2913" s="89"/>
      <c r="E2913" s="47">
        <v>3128.7578464544499</v>
      </c>
      <c r="F2913" s="47">
        <v>1462.52353093337</v>
      </c>
      <c r="G2913" s="47">
        <v>10390.037290300799</v>
      </c>
    </row>
    <row r="2914" spans="2:7" x14ac:dyDescent="0.25">
      <c r="B2914" s="49"/>
      <c r="C2914" s="89"/>
      <c r="D2914" s="89">
        <v>600</v>
      </c>
      <c r="E2914" s="47">
        <v>2973.9289431187299</v>
      </c>
      <c r="F2914" s="47">
        <v>1718.3244199082301</v>
      </c>
      <c r="G2914" s="47">
        <v>9994.0242652080797</v>
      </c>
    </row>
    <row r="2915" spans="2:7" x14ac:dyDescent="0.25">
      <c r="B2915" s="49"/>
      <c r="C2915" s="89"/>
      <c r="D2915" s="89"/>
      <c r="E2915" s="47">
        <v>2980.0942795330998</v>
      </c>
      <c r="F2915" s="47">
        <v>1725.26817975207</v>
      </c>
      <c r="G2915" s="47">
        <v>10244.7486608282</v>
      </c>
    </row>
    <row r="2916" spans="2:7" x14ac:dyDescent="0.25">
      <c r="B2916" s="49"/>
      <c r="C2916" s="89"/>
      <c r="D2916" s="89"/>
      <c r="E2916" s="47">
        <v>2987.3383617408899</v>
      </c>
      <c r="F2916" s="47">
        <v>1729.7000383643699</v>
      </c>
      <c r="G2916" s="47">
        <v>10407.572220976401</v>
      </c>
    </row>
    <row r="2917" spans="2:7" x14ac:dyDescent="0.25">
      <c r="B2917" s="49"/>
      <c r="C2917" s="89"/>
      <c r="D2917" s="89"/>
      <c r="E2917" s="47">
        <v>2996.70808286495</v>
      </c>
      <c r="F2917" s="47">
        <v>1732.7450425533</v>
      </c>
      <c r="G2917" s="47">
        <v>10523.170554124699</v>
      </c>
    </row>
    <row r="2918" spans="2:7" x14ac:dyDescent="0.25">
      <c r="B2918" s="49"/>
      <c r="C2918" s="89"/>
      <c r="D2918" s="89"/>
      <c r="E2918" s="47">
        <v>3008.9166870149002</v>
      </c>
      <c r="F2918" s="47">
        <v>1734.92526833835</v>
      </c>
      <c r="G2918" s="47">
        <v>10610.6115863796</v>
      </c>
    </row>
    <row r="2919" spans="2:7" x14ac:dyDescent="0.25">
      <c r="B2919" s="49"/>
      <c r="C2919" s="89"/>
      <c r="D2919" s="89"/>
      <c r="E2919" s="47">
        <v>3024.51725436993</v>
      </c>
      <c r="F2919" s="47">
        <v>1736.51801864564</v>
      </c>
      <c r="G2919" s="47">
        <v>10680.169461019599</v>
      </c>
    </row>
    <row r="2920" spans="2:7" x14ac:dyDescent="0.25">
      <c r="B2920" s="49"/>
      <c r="C2920" s="89"/>
      <c r="D2920" s="89"/>
      <c r="E2920" s="47">
        <v>3044.0295000797601</v>
      </c>
      <c r="F2920" s="47">
        <v>1737.68322353862</v>
      </c>
      <c r="G2920" s="47">
        <v>10737.9406462835</v>
      </c>
    </row>
    <row r="2921" spans="2:7" x14ac:dyDescent="0.25">
      <c r="B2921" s="49"/>
      <c r="C2921" s="89"/>
      <c r="D2921" s="89"/>
      <c r="E2921" s="47">
        <v>3067.9188458886301</v>
      </c>
      <c r="F2921" s="47">
        <v>1738.52108469056</v>
      </c>
      <c r="G2921" s="47">
        <v>10787.862103788801</v>
      </c>
    </row>
    <row r="2922" spans="2:7" x14ac:dyDescent="0.25">
      <c r="B2922" s="49"/>
      <c r="C2922" s="89"/>
      <c r="D2922" s="89"/>
      <c r="E2922" s="47">
        <v>3096.66178490015</v>
      </c>
      <c r="F2922" s="47">
        <v>1739.09428746924</v>
      </c>
      <c r="G2922" s="47">
        <v>10832.555037849301</v>
      </c>
    </row>
    <row r="2923" spans="2:7" x14ac:dyDescent="0.25">
      <c r="B2923" s="49"/>
      <c r="C2923" s="89"/>
      <c r="D2923" s="89"/>
      <c r="E2923" s="47">
        <v>3130.72854039819</v>
      </c>
      <c r="F2923" s="47">
        <v>1739.44482481307</v>
      </c>
      <c r="G2923" s="47">
        <v>10873.9037945368</v>
      </c>
    </row>
    <row r="2924" spans="2:7" x14ac:dyDescent="0.25">
      <c r="B2924" s="49"/>
      <c r="C2924" s="89"/>
      <c r="D2924" s="89">
        <v>700</v>
      </c>
      <c r="E2924" s="47">
        <v>2977.3400769587702</v>
      </c>
      <c r="F2924" s="47">
        <v>1984.7329386203201</v>
      </c>
      <c r="G2924" s="47">
        <v>10424.7184744683</v>
      </c>
    </row>
    <row r="2925" spans="2:7" x14ac:dyDescent="0.25">
      <c r="B2925" s="49"/>
      <c r="C2925" s="89"/>
      <c r="D2925" s="89"/>
      <c r="E2925" s="47">
        <v>2982.5757968421899</v>
      </c>
      <c r="F2925" s="47">
        <v>1993.45783694138</v>
      </c>
      <c r="G2925" s="47">
        <v>10693.5019998802</v>
      </c>
    </row>
    <row r="2926" spans="2:7" x14ac:dyDescent="0.25">
      <c r="B2926" s="49"/>
      <c r="C2926" s="89"/>
      <c r="D2926" s="89"/>
      <c r="E2926" s="47">
        <v>2989.2202073582998</v>
      </c>
      <c r="F2926" s="47">
        <v>1999.0424731958799</v>
      </c>
      <c r="G2926" s="47">
        <v>10868.3297008886</v>
      </c>
    </row>
    <row r="2927" spans="2:7" x14ac:dyDescent="0.25">
      <c r="B2927" s="49"/>
      <c r="C2927" s="89"/>
      <c r="D2927" s="89"/>
      <c r="E2927" s="47">
        <v>2998.1877538877002</v>
      </c>
      <c r="F2927" s="47">
        <v>2002.88805116002</v>
      </c>
      <c r="G2927" s="47">
        <v>10992.443101720201</v>
      </c>
    </row>
    <row r="2928" spans="2:7" x14ac:dyDescent="0.25">
      <c r="B2928" s="49"/>
      <c r="C2928" s="89"/>
      <c r="D2928" s="89"/>
      <c r="E2928" s="47">
        <v>3010.0835237095998</v>
      </c>
      <c r="F2928" s="47">
        <v>2005.6510641449099</v>
      </c>
      <c r="G2928" s="47">
        <v>11086.2486387923</v>
      </c>
    </row>
    <row r="2929" spans="2:7" x14ac:dyDescent="0.25">
      <c r="B2929" s="49"/>
      <c r="C2929" s="89"/>
      <c r="D2929" s="89"/>
      <c r="E2929" s="47">
        <v>3025.4403101241501</v>
      </c>
      <c r="F2929" s="47">
        <v>2007.6797642823201</v>
      </c>
      <c r="G2929" s="47">
        <v>11160.7513167414</v>
      </c>
    </row>
    <row r="2930" spans="2:7" x14ac:dyDescent="0.25">
      <c r="B2930" s="49"/>
      <c r="C2930" s="89"/>
      <c r="D2930" s="89"/>
      <c r="E2930" s="47">
        <v>3044.7332760210902</v>
      </c>
      <c r="F2930" s="47">
        <v>2009.1779762777401</v>
      </c>
      <c r="G2930" s="47">
        <v>11222.529687140501</v>
      </c>
    </row>
    <row r="2931" spans="2:7" x14ac:dyDescent="0.25">
      <c r="B2931" s="49"/>
      <c r="C2931" s="89"/>
      <c r="D2931" s="89"/>
      <c r="E2931" s="47">
        <v>3068.4397556404101</v>
      </c>
      <c r="F2931" s="47">
        <v>2010.2693373675099</v>
      </c>
      <c r="G2931" s="47">
        <v>11275.735445501001</v>
      </c>
    </row>
    <row r="2932" spans="2:7" x14ac:dyDescent="0.25">
      <c r="B2932" s="49"/>
      <c r="C2932" s="89"/>
      <c r="D2932" s="89"/>
      <c r="E2932" s="47">
        <v>3097.0252329398199</v>
      </c>
      <c r="F2932" s="47">
        <v>2011.0322096357299</v>
      </c>
      <c r="G2932" s="47">
        <v>11323.138277350199</v>
      </c>
    </row>
    <row r="2933" spans="2:7" x14ac:dyDescent="0.25">
      <c r="B2933" s="49"/>
      <c r="C2933" s="89"/>
      <c r="D2933" s="89"/>
      <c r="E2933" s="47">
        <v>3130.92943774887</v>
      </c>
      <c r="F2933" s="47">
        <v>2011.5257760797899</v>
      </c>
      <c r="G2933" s="47">
        <v>11366.903772551699</v>
      </c>
    </row>
    <row r="2934" spans="2:7" x14ac:dyDescent="0.25">
      <c r="B2934" s="49"/>
      <c r="C2934" s="89"/>
      <c r="D2934" s="89">
        <v>800</v>
      </c>
      <c r="E2934" s="47">
        <v>2979.1117473878398</v>
      </c>
      <c r="F2934" s="47">
        <v>2245.7876622947301</v>
      </c>
      <c r="G2934" s="47">
        <v>10863.3313670762</v>
      </c>
    </row>
    <row r="2935" spans="2:7" x14ac:dyDescent="0.25">
      <c r="B2935" s="49"/>
      <c r="C2935" s="89"/>
      <c r="D2935" s="89"/>
      <c r="E2935" s="47">
        <v>2983.4549957173499</v>
      </c>
      <c r="F2935" s="47">
        <v>2256.45471044327</v>
      </c>
      <c r="G2935" s="47">
        <v>11149.7508032894</v>
      </c>
    </row>
    <row r="2936" spans="2:7" x14ac:dyDescent="0.25">
      <c r="B2936" s="49"/>
      <c r="C2936" s="89"/>
      <c r="D2936" s="89"/>
      <c r="E2936" s="47">
        <v>2989.5056410428401</v>
      </c>
      <c r="F2936" s="47">
        <v>2263.2926481284499</v>
      </c>
      <c r="G2936" s="47">
        <v>11336.1162011544</v>
      </c>
    </row>
    <row r="2937" spans="2:7" x14ac:dyDescent="0.25">
      <c r="B2937" s="49"/>
      <c r="C2937" s="89"/>
      <c r="D2937" s="89"/>
      <c r="E2937" s="47">
        <v>2998.0189925206701</v>
      </c>
      <c r="F2937" s="47">
        <v>2268.00978249851</v>
      </c>
      <c r="G2937" s="47">
        <v>11468.3598705024</v>
      </c>
    </row>
    <row r="2938" spans="2:7" x14ac:dyDescent="0.25">
      <c r="B2938" s="49"/>
      <c r="C2938" s="89"/>
      <c r="D2938" s="89"/>
      <c r="E2938" s="47">
        <v>3009.5726396045502</v>
      </c>
      <c r="F2938" s="47">
        <v>2271.4110176823901</v>
      </c>
      <c r="G2938" s="47">
        <v>11568.3112626315</v>
      </c>
    </row>
    <row r="2939" spans="2:7" x14ac:dyDescent="0.25">
      <c r="B2939" s="49"/>
      <c r="C2939" s="89"/>
      <c r="D2939" s="89"/>
      <c r="E2939" s="47">
        <v>3024.6543975186501</v>
      </c>
      <c r="F2939" s="47">
        <v>2273.9226893761102</v>
      </c>
      <c r="G2939" s="47">
        <v>11647.6858247358</v>
      </c>
    </row>
    <row r="2940" spans="2:7" x14ac:dyDescent="0.25">
      <c r="B2940" s="49"/>
      <c r="C2940" s="89"/>
      <c r="D2940" s="89"/>
      <c r="E2940" s="47">
        <v>3043.7296708220001</v>
      </c>
      <c r="F2940" s="47">
        <v>2275.7920183804799</v>
      </c>
      <c r="G2940" s="47">
        <v>11713.4317492551</v>
      </c>
    </row>
    <row r="2941" spans="2:7" x14ac:dyDescent="0.25">
      <c r="B2941" s="49"/>
      <c r="C2941" s="89"/>
      <c r="D2941" s="89"/>
      <c r="E2941" s="47">
        <v>3067.23209738593</v>
      </c>
      <c r="F2941" s="47">
        <v>2277.17351000295</v>
      </c>
      <c r="G2941" s="47">
        <v>11770.011399073999</v>
      </c>
    </row>
    <row r="2942" spans="2:7" x14ac:dyDescent="0.25">
      <c r="B2942" s="49"/>
      <c r="C2942" s="89"/>
      <c r="D2942" s="89"/>
      <c r="E2942" s="47">
        <v>3095.6362667117101</v>
      </c>
      <c r="F2942" s="47">
        <v>2278.1640682708698</v>
      </c>
      <c r="G2942" s="47">
        <v>11820.3973874361</v>
      </c>
    </row>
    <row r="2943" spans="2:7" x14ac:dyDescent="0.25">
      <c r="B2943" s="49"/>
      <c r="C2943" s="89"/>
      <c r="D2943" s="89"/>
      <c r="E2943" s="47">
        <v>3129.3896753477402</v>
      </c>
      <c r="F2943" s="47">
        <v>2278.8293689736502</v>
      </c>
      <c r="G2943" s="47">
        <v>11866.710303407101</v>
      </c>
    </row>
    <row r="2944" spans="2:7" x14ac:dyDescent="0.25">
      <c r="B2944" s="49"/>
      <c r="C2944" s="89"/>
      <c r="D2944" s="89">
        <v>900</v>
      </c>
      <c r="E2944" s="47">
        <v>2979.4380699997901</v>
      </c>
      <c r="F2944" s="47">
        <v>2501.48920969237</v>
      </c>
      <c r="G2944" s="47">
        <v>11306.920824787399</v>
      </c>
    </row>
    <row r="2945" spans="2:7" x14ac:dyDescent="0.25">
      <c r="B2945" s="49"/>
      <c r="C2945" s="89"/>
      <c r="D2945" s="89"/>
      <c r="E2945" s="47">
        <v>2982.7863297374502</v>
      </c>
      <c r="F2945" s="47">
        <v>2514.35298052284</v>
      </c>
      <c r="G2945" s="47">
        <v>11612.783617245899</v>
      </c>
    </row>
    <row r="2946" spans="2:7" x14ac:dyDescent="0.25">
      <c r="B2946" s="49"/>
      <c r="C2946" s="89"/>
      <c r="D2946" s="89"/>
      <c r="E2946" s="47">
        <v>2988.1908433928002</v>
      </c>
      <c r="F2946" s="47">
        <v>2522.6015708530899</v>
      </c>
      <c r="G2946" s="47">
        <v>11811.663824523899</v>
      </c>
    </row>
    <row r="2947" spans="2:7" x14ac:dyDescent="0.25">
      <c r="B2947" s="49"/>
      <c r="C2947" s="89"/>
      <c r="D2947" s="89"/>
      <c r="E2947" s="47">
        <v>2996.2763767157599</v>
      </c>
      <c r="F2947" s="47">
        <v>2528.2928487551699</v>
      </c>
      <c r="G2947" s="47">
        <v>11952.5807253606</v>
      </c>
    </row>
    <row r="2948" spans="2:7" x14ac:dyDescent="0.25">
      <c r="B2948" s="49"/>
      <c r="C2948" s="89"/>
      <c r="D2948" s="89"/>
      <c r="E2948" s="47">
        <v>3007.5044367499499</v>
      </c>
      <c r="F2948" s="47">
        <v>2532.3961188696398</v>
      </c>
      <c r="G2948" s="47">
        <v>12058.7620240416</v>
      </c>
    </row>
    <row r="2949" spans="2:7" x14ac:dyDescent="0.25">
      <c r="B2949" s="49"/>
      <c r="C2949" s="89"/>
      <c r="D2949" s="89"/>
      <c r="E2949" s="47">
        <v>3022.3265520922801</v>
      </c>
      <c r="F2949" s="47">
        <v>2535.4386220994502</v>
      </c>
      <c r="G2949" s="47">
        <v>12143.012199758699</v>
      </c>
    </row>
    <row r="2950" spans="2:7" x14ac:dyDescent="0.25">
      <c r="B2950" s="49"/>
      <c r="C2950" s="89"/>
      <c r="D2950" s="89"/>
      <c r="E2950" s="47">
        <v>3041.1755163750699</v>
      </c>
      <c r="F2950" s="47">
        <v>2537.71912854532</v>
      </c>
      <c r="G2950" s="47">
        <v>12212.7365037279</v>
      </c>
    </row>
    <row r="2951" spans="2:7" x14ac:dyDescent="0.25">
      <c r="B2951" s="49"/>
      <c r="C2951" s="89"/>
      <c r="D2951" s="89"/>
      <c r="E2951" s="47">
        <v>3064.49990457795</v>
      </c>
      <c r="F2951" s="47">
        <v>2539.4200833835798</v>
      </c>
      <c r="G2951" s="47">
        <v>12272.6139811293</v>
      </c>
    </row>
    <row r="2952" spans="2:7" x14ac:dyDescent="0.25">
      <c r="B2952" s="49"/>
      <c r="C2952" s="89"/>
      <c r="D2952" s="89"/>
      <c r="E2952" s="47">
        <v>3092.72897338759</v>
      </c>
      <c r="F2952" s="47">
        <v>2540.6620571727599</v>
      </c>
      <c r="G2952" s="47">
        <v>12325.848629955401</v>
      </c>
    </row>
    <row r="2953" spans="2:7" x14ac:dyDescent="0.25">
      <c r="B2953" s="49"/>
      <c r="C2953" s="89"/>
      <c r="D2953" s="89"/>
      <c r="E2953" s="47">
        <v>3126.3169266517698</v>
      </c>
      <c r="F2953" s="47">
        <v>2541.5234031217701</v>
      </c>
      <c r="G2953" s="47">
        <v>12374.6723392935</v>
      </c>
    </row>
    <row r="2954" spans="2:7" x14ac:dyDescent="0.25">
      <c r="B2954" s="49"/>
      <c r="C2954" s="89"/>
      <c r="D2954" s="89">
        <v>1000</v>
      </c>
      <c r="E2954" s="47">
        <v>2978.3188380827301</v>
      </c>
      <c r="F2954" s="47">
        <v>2752.0170576739602</v>
      </c>
      <c r="G2954" s="47">
        <v>11757.4087911427</v>
      </c>
    </row>
    <row r="2955" spans="2:7" x14ac:dyDescent="0.25">
      <c r="B2955" s="49"/>
      <c r="C2955" s="89"/>
      <c r="D2955" s="89"/>
      <c r="E2955" s="47">
        <v>2980.7243297813302</v>
      </c>
      <c r="F2955" s="47">
        <v>2767.2260279530401</v>
      </c>
      <c r="G2955" s="47">
        <v>12081.842241439301</v>
      </c>
    </row>
    <row r="2956" spans="2:7" x14ac:dyDescent="0.25">
      <c r="B2956" s="49"/>
      <c r="C2956" s="89"/>
      <c r="D2956" s="89"/>
      <c r="E2956" s="47">
        <v>2985.5081891916798</v>
      </c>
      <c r="F2956" s="47">
        <v>2776.9884750359802</v>
      </c>
      <c r="G2956" s="47">
        <v>12292.829109578701</v>
      </c>
    </row>
    <row r="2957" spans="2:7" x14ac:dyDescent="0.25">
      <c r="B2957" s="49"/>
      <c r="C2957" s="89"/>
      <c r="D2957" s="89"/>
      <c r="E2957" s="47">
        <v>2993.1363124951799</v>
      </c>
      <c r="F2957" s="47">
        <v>2783.7414078215502</v>
      </c>
      <c r="G2957" s="47">
        <v>12442.4364281</v>
      </c>
    </row>
    <row r="2958" spans="2:7" x14ac:dyDescent="0.25">
      <c r="B2958" s="49"/>
      <c r="C2958" s="89"/>
      <c r="D2958" s="89"/>
      <c r="E2958" s="47">
        <v>3003.9971535622799</v>
      </c>
      <c r="F2958" s="47">
        <v>2788.6362607793599</v>
      </c>
      <c r="G2958" s="47">
        <v>12555.404239507499</v>
      </c>
    </row>
    <row r="2959" spans="2:7" x14ac:dyDescent="0.25">
      <c r="B2959" s="49"/>
      <c r="C2959" s="89"/>
      <c r="D2959" s="89"/>
      <c r="E2959" s="47">
        <v>3018.5297642739301</v>
      </c>
      <c r="F2959" s="47">
        <v>2792.2797279383299</v>
      </c>
      <c r="G2959" s="47">
        <v>12644.968312049999</v>
      </c>
    </row>
    <row r="2960" spans="2:7" x14ac:dyDescent="0.25">
      <c r="B2960" s="49"/>
      <c r="C2960" s="89"/>
      <c r="D2960" s="89"/>
      <c r="E2960" s="47">
        <v>3037.1406254673002</v>
      </c>
      <c r="F2960" s="47">
        <v>2795.0258495972798</v>
      </c>
      <c r="G2960" s="47">
        <v>12718.9782309287</v>
      </c>
    </row>
    <row r="2961" spans="2:7" x14ac:dyDescent="0.25">
      <c r="B2961" s="49"/>
      <c r="C2961" s="89"/>
      <c r="D2961" s="89"/>
      <c r="E2961" s="47">
        <v>3060.2538284545999</v>
      </c>
      <c r="F2961" s="47">
        <v>2797.0928643247998</v>
      </c>
      <c r="G2961" s="47">
        <v>12782.420107113699</v>
      </c>
    </row>
    <row r="2962" spans="2:7" x14ac:dyDescent="0.25">
      <c r="B2962" s="49"/>
      <c r="C2962" s="89"/>
      <c r="D2962" s="89"/>
      <c r="E2962" s="47">
        <v>3088.3076331448801</v>
      </c>
      <c r="F2962" s="47">
        <v>2798.62113219395</v>
      </c>
      <c r="G2962" s="47">
        <v>12838.6415927701</v>
      </c>
    </row>
    <row r="2963" spans="2:7" x14ac:dyDescent="0.25">
      <c r="B2963" s="49"/>
      <c r="C2963" s="89"/>
      <c r="D2963" s="89"/>
      <c r="E2963" s="47">
        <v>3121.7342085175601</v>
      </c>
      <c r="F2963" s="47">
        <v>2799.70691549598</v>
      </c>
      <c r="G2963" s="47">
        <v>12890.0498807473</v>
      </c>
    </row>
    <row r="2964" spans="2:7" x14ac:dyDescent="0.25">
      <c r="B2964" s="49"/>
      <c r="C2964" s="89"/>
      <c r="D2964" s="89">
        <v>1100</v>
      </c>
      <c r="E2964" s="47">
        <v>2975.9468550305701</v>
      </c>
      <c r="F2964" s="47">
        <v>2997.3905078458301</v>
      </c>
      <c r="G2964" s="47">
        <v>12213.104596573599</v>
      </c>
    </row>
    <row r="2965" spans="2:7" x14ac:dyDescent="0.25">
      <c r="B2965" s="49"/>
      <c r="C2965" s="89"/>
      <c r="D2965" s="89"/>
      <c r="E2965" s="47">
        <v>2976.56053899268</v>
      </c>
      <c r="F2965" s="47">
        <v>3005.3210918745799</v>
      </c>
      <c r="G2965" s="47">
        <v>12366.4301488152</v>
      </c>
    </row>
    <row r="2966" spans="2:7" x14ac:dyDescent="0.25">
      <c r="B2966" s="49"/>
      <c r="C2966" s="89"/>
      <c r="D2966" s="89"/>
      <c r="E2966" s="47">
        <v>2977.1742229547899</v>
      </c>
      <c r="F2966" s="47">
        <v>3013.2516759033301</v>
      </c>
      <c r="G2966" s="47">
        <v>12519.7557010569</v>
      </c>
    </row>
    <row r="2967" spans="2:7" x14ac:dyDescent="0.25">
      <c r="B2967" s="49"/>
      <c r="C2967" s="89"/>
      <c r="D2967" s="89"/>
      <c r="E2967" s="47">
        <v>2978.6941098960001</v>
      </c>
      <c r="F2967" s="47">
        <v>3019.0360529345398</v>
      </c>
      <c r="G2967" s="47">
        <v>12632.4929803101</v>
      </c>
    </row>
    <row r="2968" spans="2:7" x14ac:dyDescent="0.25">
      <c r="B2968" s="49"/>
      <c r="C2968" s="89"/>
      <c r="D2968" s="89"/>
      <c r="E2968" s="47">
        <v>2980.5160644969101</v>
      </c>
      <c r="F2968" s="47">
        <v>3024.1050276332398</v>
      </c>
      <c r="G2968" s="47">
        <v>12731.7008352339</v>
      </c>
    </row>
    <row r="2969" spans="2:7" x14ac:dyDescent="0.25">
      <c r="B2969" s="49"/>
      <c r="C2969" s="89"/>
      <c r="D2969" s="89"/>
      <c r="E2969" s="47">
        <v>2983.0158012111401</v>
      </c>
      <c r="F2969" s="47">
        <v>3028.3955006548799</v>
      </c>
      <c r="G2969" s="47">
        <v>12816.484158847101</v>
      </c>
    </row>
    <row r="2970" spans="2:7" x14ac:dyDescent="0.25">
      <c r="B2970" s="49"/>
      <c r="C2970" s="89"/>
      <c r="D2970" s="89"/>
      <c r="E2970" s="47">
        <v>2986.1933200386802</v>
      </c>
      <c r="F2970" s="47">
        <v>3031.9074719994801</v>
      </c>
      <c r="G2970" s="47">
        <v>12886.8429511498</v>
      </c>
    </row>
    <row r="2971" spans="2:7" x14ac:dyDescent="0.25">
      <c r="B2971" s="49"/>
      <c r="C2971" s="89"/>
      <c r="D2971" s="89"/>
      <c r="E2971" s="47">
        <v>2989.7472230759799</v>
      </c>
      <c r="F2971" s="47">
        <v>3035.1788294093899</v>
      </c>
      <c r="G2971" s="47">
        <v>12952.885658736401</v>
      </c>
    </row>
    <row r="2972" spans="2:7" x14ac:dyDescent="0.25">
      <c r="B2972" s="49"/>
      <c r="C2972" s="89"/>
      <c r="D2972" s="89"/>
      <c r="E2972" s="47">
        <v>2994.43027874257</v>
      </c>
      <c r="F2972" s="47">
        <v>3037.72834501527</v>
      </c>
      <c r="G2972" s="47">
        <v>13005.980112175001</v>
      </c>
    </row>
    <row r="2973" spans="2:7" x14ac:dyDescent="0.25">
      <c r="B2973" s="49"/>
      <c r="C2973" s="89"/>
      <c r="D2973" s="89"/>
      <c r="E2973" s="47">
        <v>2999.11333440915</v>
      </c>
      <c r="F2973" s="47">
        <v>3040.27786062114</v>
      </c>
      <c r="G2973" s="47">
        <v>13059.0745656136</v>
      </c>
    </row>
    <row r="2974" spans="2:7" x14ac:dyDescent="0.25">
      <c r="B2974" s="49"/>
      <c r="C2974" s="89"/>
      <c r="D2974" s="89">
        <v>1200</v>
      </c>
      <c r="E2974" s="47">
        <v>2972.3464078653401</v>
      </c>
      <c r="F2974" s="47">
        <v>3237.69449119512</v>
      </c>
      <c r="G2974" s="47">
        <v>12673.9468899644</v>
      </c>
    </row>
    <row r="2975" spans="2:7" x14ac:dyDescent="0.25">
      <c r="B2975" s="49"/>
      <c r="C2975" s="89"/>
      <c r="D2975" s="89"/>
      <c r="E2975" s="47">
        <v>2972.3847198304802</v>
      </c>
      <c r="F2975" s="47">
        <v>3239.9852294950101</v>
      </c>
      <c r="G2975" s="47">
        <v>12714.433655540999</v>
      </c>
    </row>
    <row r="2976" spans="2:7" x14ac:dyDescent="0.25">
      <c r="B2976" s="49"/>
      <c r="C2976" s="89"/>
      <c r="D2976" s="89"/>
      <c r="E2976" s="47">
        <v>2972.4230317956199</v>
      </c>
      <c r="F2976" s="47">
        <v>3242.2759677949098</v>
      </c>
      <c r="G2976" s="47">
        <v>12754.9204211177</v>
      </c>
    </row>
    <row r="2977" spans="2:7" x14ac:dyDescent="0.25">
      <c r="B2977" s="49"/>
      <c r="C2977" s="89"/>
      <c r="D2977" s="89"/>
      <c r="E2977" s="47">
        <v>2972.46134376077</v>
      </c>
      <c r="F2977" s="47">
        <v>3244.5667060948099</v>
      </c>
      <c r="G2977" s="47">
        <v>12795.4071866943</v>
      </c>
    </row>
    <row r="2978" spans="2:7" x14ac:dyDescent="0.25">
      <c r="B2978" s="49"/>
      <c r="C2978" s="89"/>
      <c r="D2978" s="89"/>
      <c r="E2978" s="47">
        <v>2972.4996557259101</v>
      </c>
      <c r="F2978" s="47">
        <v>3246.8574443947</v>
      </c>
      <c r="G2978" s="47">
        <v>12835.893952270901</v>
      </c>
    </row>
    <row r="2979" spans="2:7" x14ac:dyDescent="0.25">
      <c r="B2979" s="49"/>
      <c r="C2979" s="89"/>
      <c r="D2979" s="89"/>
      <c r="E2979" s="47">
        <v>2972.5379676910502</v>
      </c>
      <c r="F2979" s="47">
        <v>3249.1481826946001</v>
      </c>
      <c r="G2979" s="47">
        <v>12876.3807178476</v>
      </c>
    </row>
    <row r="2980" spans="2:7" x14ac:dyDescent="0.25">
      <c r="B2980" s="49"/>
      <c r="C2980" s="89"/>
      <c r="D2980" s="89"/>
      <c r="E2980" s="47">
        <v>2972.5762796561999</v>
      </c>
      <c r="F2980" s="47">
        <v>3251.4389209944902</v>
      </c>
      <c r="G2980" s="47">
        <v>12916.867483424199</v>
      </c>
    </row>
    <row r="2981" spans="2:7" x14ac:dyDescent="0.25">
      <c r="B2981" s="49"/>
      <c r="C2981" s="89"/>
      <c r="D2981" s="89"/>
      <c r="E2981" s="47">
        <v>2972.61459162134</v>
      </c>
      <c r="F2981" s="47">
        <v>3253.7296592943899</v>
      </c>
      <c r="G2981" s="47">
        <v>12957.3542490009</v>
      </c>
    </row>
    <row r="2982" spans="2:7" x14ac:dyDescent="0.25">
      <c r="B2982" s="49"/>
      <c r="C2982" s="89"/>
      <c r="D2982" s="89"/>
      <c r="E2982" s="47">
        <v>2972.6529035864801</v>
      </c>
      <c r="F2982" s="47">
        <v>3256.02039759429</v>
      </c>
      <c r="G2982" s="47">
        <v>12997.8410145775</v>
      </c>
    </row>
    <row r="2983" spans="2:7" x14ac:dyDescent="0.25">
      <c r="B2983" s="49"/>
      <c r="C2983" s="89"/>
      <c r="D2983" s="89"/>
      <c r="E2983" s="47">
        <v>2972.6912155516302</v>
      </c>
      <c r="F2983" s="47">
        <v>3258.3111358941801</v>
      </c>
      <c r="G2983" s="47">
        <v>13038.327780154201</v>
      </c>
    </row>
    <row r="2984" spans="2:7" x14ac:dyDescent="0.25">
      <c r="B2984" s="49"/>
      <c r="C2984" s="89">
        <v>35</v>
      </c>
      <c r="D2984" s="89">
        <v>0</v>
      </c>
      <c r="E2984" s="47">
        <v>2993.40852178871</v>
      </c>
      <c r="F2984" s="47">
        <v>0</v>
      </c>
      <c r="G2984" s="47">
        <v>8538.0632729920508</v>
      </c>
    </row>
    <row r="2985" spans="2:7" x14ac:dyDescent="0.25">
      <c r="B2985" s="49"/>
      <c r="C2985" s="89"/>
      <c r="D2985" s="89"/>
      <c r="E2985" s="47">
        <v>3002.4920836207102</v>
      </c>
      <c r="F2985" s="47">
        <v>0</v>
      </c>
      <c r="G2985" s="47">
        <v>8556.0287850173409</v>
      </c>
    </row>
    <row r="2986" spans="2:7" x14ac:dyDescent="0.25">
      <c r="B2986" s="49"/>
      <c r="C2986" s="89"/>
      <c r="D2986" s="89"/>
      <c r="E2986" s="47">
        <v>3011.57564545272</v>
      </c>
      <c r="F2986" s="47">
        <v>0</v>
      </c>
      <c r="G2986" s="47">
        <v>8573.9942970426291</v>
      </c>
    </row>
    <row r="2987" spans="2:7" x14ac:dyDescent="0.25">
      <c r="B2987" s="49"/>
      <c r="C2987" s="89"/>
      <c r="D2987" s="89"/>
      <c r="E2987" s="47">
        <v>3022.0841014074299</v>
      </c>
      <c r="F2987" s="47">
        <v>0</v>
      </c>
      <c r="G2987" s="47">
        <v>8590.2421559571594</v>
      </c>
    </row>
    <row r="2988" spans="2:7" x14ac:dyDescent="0.25">
      <c r="B2988" s="49"/>
      <c r="C2988" s="89"/>
      <c r="D2988" s="89"/>
      <c r="E2988" s="47">
        <v>3033.0675220697199</v>
      </c>
      <c r="F2988" s="47">
        <v>0</v>
      </c>
      <c r="G2988" s="47">
        <v>8605.9174638347704</v>
      </c>
    </row>
    <row r="2989" spans="2:7" x14ac:dyDescent="0.25">
      <c r="B2989" s="49"/>
      <c r="C2989" s="89"/>
      <c r="D2989" s="89"/>
      <c r="E2989" s="47">
        <v>3045.11607032756</v>
      </c>
      <c r="F2989" s="47">
        <v>0</v>
      </c>
      <c r="G2989" s="47">
        <v>8620.8793643929203</v>
      </c>
    </row>
    <row r="2990" spans="2:7" x14ac:dyDescent="0.25">
      <c r="B2990" s="49"/>
      <c r="C2990" s="89"/>
      <c r="D2990" s="89"/>
      <c r="E2990" s="47">
        <v>3058.2297461809499</v>
      </c>
      <c r="F2990" s="47">
        <v>0</v>
      </c>
      <c r="G2990" s="47">
        <v>8635.1278576316308</v>
      </c>
    </row>
    <row r="2991" spans="2:7" x14ac:dyDescent="0.25">
      <c r="B2991" s="49"/>
      <c r="C2991" s="89"/>
      <c r="D2991" s="89"/>
      <c r="E2991" s="47">
        <v>3071.9306634872</v>
      </c>
      <c r="F2991" s="47">
        <v>0</v>
      </c>
      <c r="G2991" s="47">
        <v>8649.17243610898</v>
      </c>
    </row>
    <row r="2992" spans="2:7" x14ac:dyDescent="0.25">
      <c r="B2992" s="49"/>
      <c r="C2992" s="89"/>
      <c r="D2992" s="89"/>
      <c r="E2992" s="47">
        <v>3087.3933051520598</v>
      </c>
      <c r="F2992" s="47">
        <v>0</v>
      </c>
      <c r="G2992" s="47">
        <v>8662.6052703022706</v>
      </c>
    </row>
    <row r="2993" spans="2:7" x14ac:dyDescent="0.25">
      <c r="B2993" s="49"/>
      <c r="C2993" s="89"/>
      <c r="D2993" s="89"/>
      <c r="E2993" s="47">
        <v>3102.8559468169101</v>
      </c>
      <c r="F2993" s="47">
        <v>0</v>
      </c>
      <c r="G2993" s="47">
        <v>8676.0381044955593</v>
      </c>
    </row>
    <row r="2994" spans="2:7" x14ac:dyDescent="0.25">
      <c r="B2994" s="49"/>
      <c r="C2994" s="89"/>
      <c r="D2994" s="89">
        <v>100</v>
      </c>
      <c r="E2994" s="47">
        <v>2974.4172829532699</v>
      </c>
      <c r="F2994" s="47">
        <v>299.08706200158502</v>
      </c>
      <c r="G2994" s="47">
        <v>8858.0685593245598</v>
      </c>
    </row>
    <row r="2995" spans="2:7" x14ac:dyDescent="0.25">
      <c r="B2995" s="49"/>
      <c r="C2995" s="89"/>
      <c r="D2995" s="89"/>
      <c r="E2995" s="47">
        <v>2983.2911261505301</v>
      </c>
      <c r="F2995" s="47">
        <v>299.259411164146</v>
      </c>
      <c r="G2995" s="47">
        <v>8902.2034882714797</v>
      </c>
    </row>
    <row r="2996" spans="2:7" x14ac:dyDescent="0.25">
      <c r="B2996" s="49"/>
      <c r="C2996" s="89"/>
      <c r="D2996" s="89"/>
      <c r="E2996" s="47">
        <v>2993.2252769358902</v>
      </c>
      <c r="F2996" s="47">
        <v>299.40633410445997</v>
      </c>
      <c r="G2996" s="47">
        <v>8941.8429741805394</v>
      </c>
    </row>
    <row r="2997" spans="2:7" x14ac:dyDescent="0.25">
      <c r="B2997" s="49"/>
      <c r="C2997" s="89"/>
      <c r="D2997" s="89"/>
      <c r="E2997" s="47">
        <v>3004.2197353093402</v>
      </c>
      <c r="F2997" s="47">
        <v>299.52783082252603</v>
      </c>
      <c r="G2997" s="47">
        <v>8976.9870170517606</v>
      </c>
    </row>
    <row r="2998" spans="2:7" x14ac:dyDescent="0.25">
      <c r="B2998" s="49"/>
      <c r="C2998" s="89"/>
      <c r="D2998" s="89"/>
      <c r="E2998" s="47">
        <v>3017.72140622493</v>
      </c>
      <c r="F2998" s="47">
        <v>299.61178618083699</v>
      </c>
      <c r="G2998" s="47">
        <v>9006.2951808066191</v>
      </c>
    </row>
    <row r="2999" spans="2:7" x14ac:dyDescent="0.25">
      <c r="B2999" s="49"/>
      <c r="C2999" s="89"/>
      <c r="D2999" s="89"/>
      <c r="E2999" s="47">
        <v>3032.6543855720502</v>
      </c>
      <c r="F2999" s="47">
        <v>299.68107369620702</v>
      </c>
      <c r="G2999" s="47">
        <v>9033.7076367928894</v>
      </c>
    </row>
    <row r="3000" spans="2:7" x14ac:dyDescent="0.25">
      <c r="B3000" s="49"/>
      <c r="C3000" s="89"/>
      <c r="D3000" s="89"/>
      <c r="E3000" s="47">
        <v>3049.0186733506998</v>
      </c>
      <c r="F3000" s="47">
        <v>299.73569336863699</v>
      </c>
      <c r="G3000" s="47">
        <v>9059.2243850105697</v>
      </c>
    </row>
    <row r="3001" spans="2:7" x14ac:dyDescent="0.25">
      <c r="B3001" s="49"/>
      <c r="C3001" s="89"/>
      <c r="D3001" s="89"/>
      <c r="E3001" s="47">
        <v>3068.58482583163</v>
      </c>
      <c r="F3001" s="47">
        <v>299.76603164421601</v>
      </c>
      <c r="G3001" s="47">
        <v>9082.3114719028399</v>
      </c>
    </row>
    <row r="3002" spans="2:7" x14ac:dyDescent="0.25">
      <c r="B3002" s="49"/>
      <c r="C3002" s="89"/>
      <c r="D3002" s="89"/>
      <c r="E3002" s="47">
        <v>3089.9144028344699</v>
      </c>
      <c r="F3002" s="47">
        <v>299.78590262615802</v>
      </c>
      <c r="G3002" s="47">
        <v>9104.6771739286596</v>
      </c>
    </row>
    <row r="3003" spans="2:7" x14ac:dyDescent="0.25">
      <c r="B3003" s="49"/>
      <c r="C3003" s="89"/>
      <c r="D3003" s="89"/>
      <c r="E3003" s="47">
        <v>3113.0074043592299</v>
      </c>
      <c r="F3003" s="47">
        <v>299.79530631446198</v>
      </c>
      <c r="G3003" s="47">
        <v>9126.3214910880306</v>
      </c>
    </row>
    <row r="3004" spans="2:7" x14ac:dyDescent="0.25">
      <c r="B3004" s="49"/>
      <c r="C3004" s="89"/>
      <c r="D3004" s="89">
        <v>200</v>
      </c>
      <c r="E3004" s="47">
        <v>2972.8147096775201</v>
      </c>
      <c r="F3004" s="47">
        <v>591.66686879804695</v>
      </c>
      <c r="G3004" s="47">
        <v>9199.9837459030405</v>
      </c>
    </row>
    <row r="3005" spans="2:7" x14ac:dyDescent="0.25">
      <c r="B3005" s="49"/>
      <c r="C3005" s="89"/>
      <c r="D3005" s="89"/>
      <c r="E3005" s="47">
        <v>2980.9502324390301</v>
      </c>
      <c r="F3005" s="47">
        <v>592.297020015729</v>
      </c>
      <c r="G3005" s="47">
        <v>9273.7694255584702</v>
      </c>
    </row>
    <row r="3006" spans="2:7" x14ac:dyDescent="0.25">
      <c r="B3006" s="49"/>
      <c r="C3006" s="89"/>
      <c r="D3006" s="89"/>
      <c r="E3006" s="47">
        <v>2990.5207092517298</v>
      </c>
      <c r="F3006" s="47">
        <v>592.79461974757601</v>
      </c>
      <c r="G3006" s="47">
        <v>9334.7092816572604</v>
      </c>
    </row>
    <row r="3007" spans="2:7" x14ac:dyDescent="0.25">
      <c r="B3007" s="49"/>
      <c r="C3007" s="89"/>
      <c r="D3007" s="89"/>
      <c r="E3007" s="47">
        <v>3001.74051818102</v>
      </c>
      <c r="F3007" s="47">
        <v>593.18471693706897</v>
      </c>
      <c r="G3007" s="47">
        <v>9385.6441455790391</v>
      </c>
    </row>
    <row r="3008" spans="2:7" x14ac:dyDescent="0.25">
      <c r="B3008" s="49"/>
      <c r="C3008" s="89"/>
      <c r="D3008" s="89"/>
      <c r="E3008" s="47">
        <v>3014.81605012401</v>
      </c>
      <c r="F3008" s="47">
        <v>593.48882661414302</v>
      </c>
      <c r="G3008" s="47">
        <v>9429.0330228003404</v>
      </c>
    </row>
    <row r="3009" spans="2:7" x14ac:dyDescent="0.25">
      <c r="B3009" s="49"/>
      <c r="C3009" s="89"/>
      <c r="D3009" s="89"/>
      <c r="E3009" s="47">
        <v>3030.42311618044</v>
      </c>
      <c r="F3009" s="47">
        <v>593.71286680085802</v>
      </c>
      <c r="G3009" s="47">
        <v>9466.0792818535592</v>
      </c>
    </row>
    <row r="3010" spans="2:7" x14ac:dyDescent="0.25">
      <c r="B3010" s="49"/>
      <c r="C3010" s="89"/>
      <c r="D3010" s="89"/>
      <c r="E3010" s="47">
        <v>3048.9066540449799</v>
      </c>
      <c r="F3010" s="47">
        <v>593.87441515840601</v>
      </c>
      <c r="G3010" s="47">
        <v>9498.9416133923605</v>
      </c>
    </row>
    <row r="3011" spans="2:7" x14ac:dyDescent="0.25">
      <c r="B3011" s="49"/>
      <c r="C3011" s="89"/>
      <c r="D3011" s="89"/>
      <c r="E3011" s="47">
        <v>3070.0074100870302</v>
      </c>
      <c r="F3011" s="47">
        <v>593.99138797123999</v>
      </c>
      <c r="G3011" s="47">
        <v>9529.3005445629205</v>
      </c>
    </row>
    <row r="3012" spans="2:7" x14ac:dyDescent="0.25">
      <c r="B3012" s="49"/>
      <c r="C3012" s="89"/>
      <c r="D3012" s="89"/>
      <c r="E3012" s="47">
        <v>3093.8886206705902</v>
      </c>
      <c r="F3012" s="47">
        <v>594.06813982373296</v>
      </c>
      <c r="G3012" s="47">
        <v>9557.7570290836193</v>
      </c>
    </row>
    <row r="3013" spans="2:7" x14ac:dyDescent="0.25">
      <c r="B3013" s="49"/>
      <c r="C3013" s="89"/>
      <c r="D3013" s="89"/>
      <c r="E3013" s="47">
        <v>3120.7125809651802</v>
      </c>
      <c r="F3013" s="47">
        <v>594.10838972509805</v>
      </c>
      <c r="G3013" s="47">
        <v>9584.8437953218399</v>
      </c>
    </row>
    <row r="3014" spans="2:7" x14ac:dyDescent="0.25">
      <c r="B3014" s="49"/>
      <c r="C3014" s="89"/>
      <c r="D3014" s="89">
        <v>300</v>
      </c>
      <c r="E3014" s="47">
        <v>2964.0356137692702</v>
      </c>
      <c r="F3014" s="47">
        <v>874.01918593837399</v>
      </c>
      <c r="G3014" s="47">
        <v>9272.5813997733094</v>
      </c>
    </row>
    <row r="3015" spans="2:7" x14ac:dyDescent="0.25">
      <c r="B3015" s="49"/>
      <c r="C3015" s="89"/>
      <c r="D3015" s="89"/>
      <c r="E3015" s="47">
        <v>2971.6836079274499</v>
      </c>
      <c r="F3015" s="47">
        <v>877.06685414701803</v>
      </c>
      <c r="G3015" s="47">
        <v>9494.6590820397196</v>
      </c>
    </row>
    <row r="3016" spans="2:7" x14ac:dyDescent="0.25">
      <c r="B3016" s="49"/>
      <c r="C3016" s="89"/>
      <c r="D3016" s="89"/>
      <c r="E3016" s="47">
        <v>2979.8824403922699</v>
      </c>
      <c r="F3016" s="47">
        <v>879.01059934507305</v>
      </c>
      <c r="G3016" s="47">
        <v>9639.1052824514009</v>
      </c>
    </row>
    <row r="3017" spans="2:7" x14ac:dyDescent="0.25">
      <c r="B3017" s="49"/>
      <c r="C3017" s="89"/>
      <c r="D3017" s="89"/>
      <c r="E3017" s="47">
        <v>2989.9497699010999</v>
      </c>
      <c r="F3017" s="47">
        <v>880.33871579647496</v>
      </c>
      <c r="G3017" s="47">
        <v>9741.5931670906502</v>
      </c>
    </row>
    <row r="3018" spans="2:7" x14ac:dyDescent="0.25">
      <c r="B3018" s="49"/>
      <c r="C3018" s="89"/>
      <c r="D3018" s="89"/>
      <c r="E3018" s="47">
        <v>3002.6873256661202</v>
      </c>
      <c r="F3018" s="47">
        <v>881.27911202703399</v>
      </c>
      <c r="G3018" s="47">
        <v>9818.9288701809292</v>
      </c>
    </row>
    <row r="3019" spans="2:7" x14ac:dyDescent="0.25">
      <c r="B3019" s="49"/>
      <c r="C3019" s="89"/>
      <c r="D3019" s="89"/>
      <c r="E3019" s="47">
        <v>3018.71511195944</v>
      </c>
      <c r="F3019" s="47">
        <v>881.95729692306202</v>
      </c>
      <c r="G3019" s="47">
        <v>9880.5179088285604</v>
      </c>
    </row>
    <row r="3020" spans="2:7" x14ac:dyDescent="0.25">
      <c r="B3020" s="49"/>
      <c r="C3020" s="89"/>
      <c r="D3020" s="89"/>
      <c r="E3020" s="47">
        <v>3038.5799023188702</v>
      </c>
      <c r="F3020" s="47">
        <v>882.44333412015203</v>
      </c>
      <c r="G3020" s="47">
        <v>9931.7813156543998</v>
      </c>
    </row>
    <row r="3021" spans="2:7" x14ac:dyDescent="0.25">
      <c r="B3021" s="49"/>
      <c r="C3021" s="89"/>
      <c r="D3021" s="89"/>
      <c r="E3021" s="47">
        <v>3062.7834315004202</v>
      </c>
      <c r="F3021" s="47">
        <v>882.78050067024401</v>
      </c>
      <c r="G3021" s="47">
        <v>9976.2064553186901</v>
      </c>
    </row>
    <row r="3022" spans="2:7" x14ac:dyDescent="0.25">
      <c r="B3022" s="49"/>
      <c r="C3022" s="89"/>
      <c r="D3022" s="89"/>
      <c r="E3022" s="47">
        <v>3091.81100700143</v>
      </c>
      <c r="F3022" s="47">
        <v>882.99705313658706</v>
      </c>
      <c r="G3022" s="47">
        <v>10016.204340750601</v>
      </c>
    </row>
    <row r="3023" spans="2:7" x14ac:dyDescent="0.25">
      <c r="B3023" s="49"/>
      <c r="C3023" s="89"/>
      <c r="D3023" s="89"/>
      <c r="E3023" s="47">
        <v>3126.1466739023899</v>
      </c>
      <c r="F3023" s="47">
        <v>883.11048778455995</v>
      </c>
      <c r="G3023" s="47">
        <v>10053.424370042299</v>
      </c>
    </row>
    <row r="3024" spans="2:7" x14ac:dyDescent="0.25">
      <c r="B3024" s="49"/>
      <c r="C3024" s="89"/>
      <c r="D3024" s="89">
        <v>400</v>
      </c>
      <c r="E3024" s="47">
        <v>2970.4851612891398</v>
      </c>
      <c r="F3024" s="47">
        <v>1153.6893960412201</v>
      </c>
      <c r="G3024" s="47">
        <v>9692.5989585861007</v>
      </c>
    </row>
    <row r="3025" spans="2:7" x14ac:dyDescent="0.25">
      <c r="B3025" s="49"/>
      <c r="C3025" s="89"/>
      <c r="D3025" s="89"/>
      <c r="E3025" s="47">
        <v>2977.2566529987098</v>
      </c>
      <c r="F3025" s="47">
        <v>1158.07601653454</v>
      </c>
      <c r="G3025" s="47">
        <v>9931.0121088957294</v>
      </c>
    </row>
    <row r="3026" spans="2:7" x14ac:dyDescent="0.25">
      <c r="B3026" s="49"/>
      <c r="C3026" s="89"/>
      <c r="D3026" s="89"/>
      <c r="E3026" s="47">
        <v>2984.9020633984901</v>
      </c>
      <c r="F3026" s="47">
        <v>1160.87815511946</v>
      </c>
      <c r="G3026" s="47">
        <v>10086.116911073001</v>
      </c>
    </row>
    <row r="3027" spans="2:7" x14ac:dyDescent="0.25">
      <c r="B3027" s="49"/>
      <c r="C3027" s="89"/>
      <c r="D3027" s="89"/>
      <c r="E3027" s="47">
        <v>2994.5816440420299</v>
      </c>
      <c r="F3027" s="47">
        <v>1162.80020561534</v>
      </c>
      <c r="G3027" s="47">
        <v>10196.2719346707</v>
      </c>
    </row>
    <row r="3028" spans="2:7" x14ac:dyDescent="0.25">
      <c r="B3028" s="49"/>
      <c r="C3028" s="89"/>
      <c r="D3028" s="89"/>
      <c r="E3028" s="47">
        <v>3007.0226116681702</v>
      </c>
      <c r="F3028" s="47">
        <v>1164.17218317622</v>
      </c>
      <c r="G3028" s="47">
        <v>10279.601685232399</v>
      </c>
    </row>
    <row r="3029" spans="2:7" x14ac:dyDescent="0.25">
      <c r="B3029" s="49"/>
      <c r="C3029" s="89"/>
      <c r="D3029" s="89"/>
      <c r="E3029" s="47">
        <v>3022.8161977239602</v>
      </c>
      <c r="F3029" s="47">
        <v>1165.1692118570299</v>
      </c>
      <c r="G3029" s="47">
        <v>10345.8981174766</v>
      </c>
    </row>
    <row r="3030" spans="2:7" x14ac:dyDescent="0.25">
      <c r="B3030" s="49"/>
      <c r="C3030" s="89"/>
      <c r="D3030" s="89"/>
      <c r="E3030" s="47">
        <v>3042.47502044251</v>
      </c>
      <c r="F3030" s="47">
        <v>1165.8935929068</v>
      </c>
      <c r="G3030" s="47">
        <v>10401.0223862372</v>
      </c>
    </row>
    <row r="3031" spans="2:7" x14ac:dyDescent="0.25">
      <c r="B3031" s="49"/>
      <c r="C3031" s="89"/>
      <c r="D3031" s="89"/>
      <c r="E3031" s="47">
        <v>3066.4886432698599</v>
      </c>
      <c r="F3031" s="47">
        <v>1166.4073168530299</v>
      </c>
      <c r="G3031" s="47">
        <v>10448.6781865704</v>
      </c>
    </row>
    <row r="3032" spans="2:7" x14ac:dyDescent="0.25">
      <c r="B3032" s="49"/>
      <c r="C3032" s="89"/>
      <c r="D3032" s="89"/>
      <c r="E3032" s="47">
        <v>3095.3495097925202</v>
      </c>
      <c r="F3032" s="47">
        <v>1166.75039643114</v>
      </c>
      <c r="G3032" s="47">
        <v>10491.4068516196</v>
      </c>
    </row>
    <row r="3033" spans="2:7" x14ac:dyDescent="0.25">
      <c r="B3033" s="49"/>
      <c r="C3033" s="89"/>
      <c r="D3033" s="89"/>
      <c r="E3033" s="47">
        <v>3129.5270358306898</v>
      </c>
      <c r="F3033" s="47">
        <v>1166.9495441966101</v>
      </c>
      <c r="G3033" s="47">
        <v>10531.0240017831</v>
      </c>
    </row>
    <row r="3034" spans="2:7" x14ac:dyDescent="0.25">
      <c r="B3034" s="49"/>
      <c r="C3034" s="89"/>
      <c r="D3034" s="89">
        <v>500</v>
      </c>
      <c r="E3034" s="47">
        <v>2975.0988611664802</v>
      </c>
      <c r="F3034" s="47">
        <v>1427.7270399617801</v>
      </c>
      <c r="G3034" s="47">
        <v>10119.5382207774</v>
      </c>
    </row>
    <row r="3035" spans="2:7" x14ac:dyDescent="0.25">
      <c r="B3035" s="49"/>
      <c r="C3035" s="89"/>
      <c r="D3035" s="89"/>
      <c r="E3035" s="47">
        <v>2981.01753557235</v>
      </c>
      <c r="F3035" s="47">
        <v>1433.65532708911</v>
      </c>
      <c r="G3035" s="47">
        <v>10376.0545092458</v>
      </c>
    </row>
    <row r="3036" spans="2:7" x14ac:dyDescent="0.25">
      <c r="B3036" s="49"/>
      <c r="C3036" s="89"/>
      <c r="D3036" s="89"/>
      <c r="E3036" s="47">
        <v>2988.0670489219001</v>
      </c>
      <c r="F3036" s="47">
        <v>1437.4342537954101</v>
      </c>
      <c r="G3036" s="47">
        <v>10542.3375426968</v>
      </c>
    </row>
    <row r="3037" spans="2:7" x14ac:dyDescent="0.25">
      <c r="B3037" s="49"/>
      <c r="C3037" s="89"/>
      <c r="D3037" s="89"/>
      <c r="E3037" s="47">
        <v>2997.31141009867</v>
      </c>
      <c r="F3037" s="47">
        <v>1440.02849925542</v>
      </c>
      <c r="G3037" s="47">
        <v>10660.2292099034</v>
      </c>
    </row>
    <row r="3038" spans="2:7" x14ac:dyDescent="0.25">
      <c r="B3038" s="49"/>
      <c r="C3038" s="89"/>
      <c r="D3038" s="89"/>
      <c r="E3038" s="47">
        <v>3009.4386202086398</v>
      </c>
      <c r="F3038" s="47">
        <v>1441.8874689689901</v>
      </c>
      <c r="G3038" s="47">
        <v>10749.3828964561</v>
      </c>
    </row>
    <row r="3039" spans="2:7" x14ac:dyDescent="0.25">
      <c r="B3039" s="49"/>
      <c r="C3039" s="89"/>
      <c r="D3039" s="89"/>
      <c r="E3039" s="47">
        <v>3024.96639773473</v>
      </c>
      <c r="F3039" s="47">
        <v>1443.24846517632</v>
      </c>
      <c r="G3039" s="47">
        <v>10820.3045300495</v>
      </c>
    </row>
    <row r="3040" spans="2:7" x14ac:dyDescent="0.25">
      <c r="B3040" s="49"/>
      <c r="C3040" s="89"/>
      <c r="D3040" s="89"/>
      <c r="E3040" s="47">
        <v>3044.4099815936302</v>
      </c>
      <c r="F3040" s="47">
        <v>1444.24730082925</v>
      </c>
      <c r="G3040" s="47">
        <v>10879.1941761937</v>
      </c>
    </row>
    <row r="3041" spans="2:7" x14ac:dyDescent="0.25">
      <c r="B3041" s="49"/>
      <c r="C3041" s="89"/>
      <c r="D3041" s="89"/>
      <c r="E3041" s="47">
        <v>3068.2526101834401</v>
      </c>
      <c r="F3041" s="47">
        <v>1444.96798500417</v>
      </c>
      <c r="G3041" s="47">
        <v>10930.0263595539</v>
      </c>
    </row>
    <row r="3042" spans="2:7" x14ac:dyDescent="0.25">
      <c r="B3042" s="49"/>
      <c r="C3042" s="89"/>
      <c r="D3042" s="89"/>
      <c r="E3042" s="47">
        <v>3096.9491987352599</v>
      </c>
      <c r="F3042" s="47">
        <v>1445.4656891514801</v>
      </c>
      <c r="G3042" s="47">
        <v>10975.5272630498</v>
      </c>
    </row>
    <row r="3043" spans="2:7" x14ac:dyDescent="0.25">
      <c r="B3043" s="49"/>
      <c r="C3043" s="89"/>
      <c r="D3043" s="89"/>
      <c r="E3043" s="47">
        <v>3130.9681223307498</v>
      </c>
      <c r="F3043" s="47">
        <v>1445.77574715281</v>
      </c>
      <c r="G3043" s="47">
        <v>11017.593977316699</v>
      </c>
    </row>
    <row r="3044" spans="2:7" x14ac:dyDescent="0.25">
      <c r="B3044" s="49"/>
      <c r="C3044" s="89"/>
      <c r="D3044" s="89">
        <v>600</v>
      </c>
      <c r="E3044" s="47">
        <v>2978.01942734873</v>
      </c>
      <c r="F3044" s="47">
        <v>1696.22704224934</v>
      </c>
      <c r="G3044" s="47">
        <v>10552.5950282412</v>
      </c>
    </row>
    <row r="3045" spans="2:7" x14ac:dyDescent="0.25">
      <c r="B3045" s="49"/>
      <c r="C3045" s="89"/>
      <c r="D3045" s="89"/>
      <c r="E3045" s="47">
        <v>2982.9930391262501</v>
      </c>
      <c r="F3045" s="47">
        <v>1703.8572062959799</v>
      </c>
      <c r="G3045" s="47">
        <v>10826.502629147801</v>
      </c>
    </row>
    <row r="3046" spans="2:7" x14ac:dyDescent="0.25">
      <c r="B3046" s="49"/>
      <c r="C3046" s="89"/>
      <c r="D3046" s="89"/>
      <c r="E3046" s="47">
        <v>2989.4668243646902</v>
      </c>
      <c r="F3046" s="47">
        <v>1708.74357575923</v>
      </c>
      <c r="G3046" s="47">
        <v>11004.6942092585</v>
      </c>
    </row>
    <row r="3047" spans="2:7" x14ac:dyDescent="0.25">
      <c r="B3047" s="49"/>
      <c r="C3047" s="89"/>
      <c r="D3047" s="89"/>
      <c r="E3047" s="47">
        <v>2998.31126883665</v>
      </c>
      <c r="F3047" s="47">
        <v>1712.11043603439</v>
      </c>
      <c r="G3047" s="47">
        <v>11131.193449018499</v>
      </c>
    </row>
    <row r="3048" spans="2:7" x14ac:dyDescent="0.25">
      <c r="B3048" s="49"/>
      <c r="C3048" s="89"/>
      <c r="D3048" s="89"/>
      <c r="E3048" s="47">
        <v>3010.11058601384</v>
      </c>
      <c r="F3048" s="47">
        <v>1714.5322628475999</v>
      </c>
      <c r="G3048" s="47">
        <v>11226.8038218652</v>
      </c>
    </row>
    <row r="3049" spans="2:7" x14ac:dyDescent="0.25">
      <c r="B3049" s="49"/>
      <c r="C3049" s="89"/>
      <c r="D3049" s="89"/>
      <c r="E3049" s="47">
        <v>3025.3924200574702</v>
      </c>
      <c r="F3049" s="47">
        <v>1716.3137955874599</v>
      </c>
      <c r="G3049" s="47">
        <v>11302.7461189226</v>
      </c>
    </row>
    <row r="3050" spans="2:7" x14ac:dyDescent="0.25">
      <c r="B3050" s="49"/>
      <c r="C3050" s="89"/>
      <c r="D3050" s="89"/>
      <c r="E3050" s="47">
        <v>3044.6198937961199</v>
      </c>
      <c r="F3050" s="47">
        <v>1717.63226930822</v>
      </c>
      <c r="G3050" s="47">
        <v>11365.677396085701</v>
      </c>
    </row>
    <row r="3051" spans="2:7" x14ac:dyDescent="0.25">
      <c r="B3051" s="49"/>
      <c r="C3051" s="89"/>
      <c r="D3051" s="89"/>
      <c r="E3051" s="47">
        <v>3068.26167235401</v>
      </c>
      <c r="F3051" s="47">
        <v>1718.5975250526701</v>
      </c>
      <c r="G3051" s="47">
        <v>11419.8781720016</v>
      </c>
    </row>
    <row r="3052" spans="2:7" x14ac:dyDescent="0.25">
      <c r="B3052" s="49"/>
      <c r="C3052" s="89"/>
      <c r="D3052" s="89"/>
      <c r="E3052" s="47">
        <v>3096.7829962270698</v>
      </c>
      <c r="F3052" s="47">
        <v>1719.27957238466</v>
      </c>
      <c r="G3052" s="47">
        <v>11468.218345567901</v>
      </c>
    </row>
    <row r="3053" spans="2:7" x14ac:dyDescent="0.25">
      <c r="B3053" s="49"/>
      <c r="C3053" s="89"/>
      <c r="D3053" s="89"/>
      <c r="E3053" s="47">
        <v>3130.6442115226901</v>
      </c>
      <c r="F3053" s="47">
        <v>1719.72521205726</v>
      </c>
      <c r="G3053" s="47">
        <v>11512.743274791699</v>
      </c>
    </row>
    <row r="3054" spans="2:7" x14ac:dyDescent="0.25">
      <c r="B3054" s="49"/>
      <c r="C3054" s="89"/>
      <c r="D3054" s="89">
        <v>700</v>
      </c>
      <c r="E3054" s="47">
        <v>2979.35628676032</v>
      </c>
      <c r="F3054" s="47">
        <v>1959.3314901553799</v>
      </c>
      <c r="G3054" s="47">
        <v>10992.8966988757</v>
      </c>
    </row>
    <row r="3055" spans="2:7" x14ac:dyDescent="0.25">
      <c r="B3055" s="49"/>
      <c r="C3055" s="89"/>
      <c r="D3055" s="89"/>
      <c r="E3055" s="47">
        <v>2983.4226468147099</v>
      </c>
      <c r="F3055" s="47">
        <v>1968.86595036888</v>
      </c>
      <c r="G3055" s="47">
        <v>11285.148801458299</v>
      </c>
    </row>
    <row r="3056" spans="2:7" x14ac:dyDescent="0.25">
      <c r="B3056" s="49"/>
      <c r="C3056" s="89"/>
      <c r="D3056" s="89"/>
      <c r="E3056" s="47">
        <v>2989.2711494975001</v>
      </c>
      <c r="F3056" s="47">
        <v>1974.9663404810301</v>
      </c>
      <c r="G3056" s="47">
        <v>11474.8820154407</v>
      </c>
    </row>
    <row r="3057" spans="2:7" x14ac:dyDescent="0.25">
      <c r="B3057" s="49"/>
      <c r="C3057" s="89"/>
      <c r="D3057" s="89"/>
      <c r="E3057" s="47">
        <v>2997.6535792705999</v>
      </c>
      <c r="F3057" s="47">
        <v>1979.1782444723401</v>
      </c>
      <c r="G3057" s="47">
        <v>11609.5646314227</v>
      </c>
    </row>
    <row r="3058" spans="2:7" x14ac:dyDescent="0.25">
      <c r="B3058" s="49"/>
      <c r="C3058" s="89"/>
      <c r="D3058" s="89"/>
      <c r="E3058" s="47">
        <v>3009.12377162336</v>
      </c>
      <c r="F3058" s="47">
        <v>1982.2166393616201</v>
      </c>
      <c r="G3058" s="47">
        <v>11711.3283910679</v>
      </c>
    </row>
    <row r="3059" spans="2:7" x14ac:dyDescent="0.25">
      <c r="B3059" s="49"/>
      <c r="C3059" s="89"/>
      <c r="D3059" s="89"/>
      <c r="E3059" s="47">
        <v>3024.12071320515</v>
      </c>
      <c r="F3059" s="47">
        <v>1984.46417621655</v>
      </c>
      <c r="G3059" s="47">
        <v>11792.135795644699</v>
      </c>
    </row>
    <row r="3060" spans="2:7" x14ac:dyDescent="0.25">
      <c r="B3060" s="49"/>
      <c r="C3060" s="89"/>
      <c r="D3060" s="89"/>
      <c r="E3060" s="47">
        <v>3043.1307688270999</v>
      </c>
      <c r="F3060" s="47">
        <v>1986.1404371367501</v>
      </c>
      <c r="G3060" s="47">
        <v>11859.052764279</v>
      </c>
    </row>
    <row r="3061" spans="2:7" x14ac:dyDescent="0.25">
      <c r="B3061" s="49"/>
      <c r="C3061" s="89"/>
      <c r="D3061" s="89"/>
      <c r="E3061" s="47">
        <v>3066.5932219587999</v>
      </c>
      <c r="F3061" s="47">
        <v>1987.3821655955701</v>
      </c>
      <c r="G3061" s="47">
        <v>11916.593731090899</v>
      </c>
    </row>
    <row r="3062" spans="2:7" x14ac:dyDescent="0.25">
      <c r="B3062" s="49"/>
      <c r="C3062" s="89"/>
      <c r="D3062" s="89"/>
      <c r="E3062" s="47">
        <v>3094.9404067086102</v>
      </c>
      <c r="F3062" s="47">
        <v>1988.2785739451899</v>
      </c>
      <c r="G3062" s="47">
        <v>11967.8271993096</v>
      </c>
    </row>
    <row r="3063" spans="2:7" x14ac:dyDescent="0.25">
      <c r="B3063" s="49"/>
      <c r="C3063" s="89"/>
      <c r="D3063" s="89"/>
      <c r="E3063" s="47">
        <v>3128.64080249071</v>
      </c>
      <c r="F3063" s="47">
        <v>1988.88709737313</v>
      </c>
      <c r="G3063" s="47">
        <v>12014.8917013888</v>
      </c>
    </row>
    <row r="3064" spans="2:7" x14ac:dyDescent="0.25">
      <c r="B3064" s="49"/>
      <c r="C3064" s="89"/>
      <c r="D3064" s="89">
        <v>800</v>
      </c>
      <c r="E3064" s="47">
        <v>2979.2510692677702</v>
      </c>
      <c r="F3064" s="47">
        <v>2217.0782859946398</v>
      </c>
      <c r="G3064" s="47">
        <v>11438.3239019674</v>
      </c>
    </row>
    <row r="3065" spans="2:7" x14ac:dyDescent="0.25">
      <c r="B3065" s="49"/>
      <c r="C3065" s="89"/>
      <c r="D3065" s="89"/>
      <c r="E3065" s="47">
        <v>2982.3195868714602</v>
      </c>
      <c r="F3065" s="47">
        <v>2228.7273746340302</v>
      </c>
      <c r="G3065" s="47">
        <v>11749.6231654576</v>
      </c>
    </row>
    <row r="3066" spans="2:7" x14ac:dyDescent="0.25">
      <c r="B3066" s="49"/>
      <c r="C3066" s="89"/>
      <c r="D3066" s="89"/>
      <c r="E3066" s="47">
        <v>2987.54676044188</v>
      </c>
      <c r="F3066" s="47">
        <v>2236.1987586988298</v>
      </c>
      <c r="G3066" s="47">
        <v>11952.035753714399</v>
      </c>
    </row>
    <row r="3067" spans="2:7" x14ac:dyDescent="0.25">
      <c r="B3067" s="49"/>
      <c r="C3067" s="89"/>
      <c r="D3067" s="89"/>
      <c r="E3067" s="47">
        <v>2995.5017704801098</v>
      </c>
      <c r="F3067" s="47">
        <v>2241.3639963201899</v>
      </c>
      <c r="G3067" s="47">
        <v>12095.653113119701</v>
      </c>
    </row>
    <row r="3068" spans="2:7" x14ac:dyDescent="0.25">
      <c r="B3068" s="49"/>
      <c r="C3068" s="89"/>
      <c r="D3068" s="89"/>
      <c r="E3068" s="47">
        <v>3006.6251799799202</v>
      </c>
      <c r="F3068" s="47">
        <v>2245.10007813933</v>
      </c>
      <c r="G3068" s="47">
        <v>12204.091889056899</v>
      </c>
    </row>
    <row r="3069" spans="2:7" x14ac:dyDescent="0.25">
      <c r="B3069" s="49"/>
      <c r="C3069" s="89"/>
      <c r="D3069" s="89"/>
      <c r="E3069" s="47">
        <v>3021.3710849263098</v>
      </c>
      <c r="F3069" s="47">
        <v>2247.8649466775501</v>
      </c>
      <c r="G3069" s="47">
        <v>12289.8748714188</v>
      </c>
    </row>
    <row r="3070" spans="2:7" x14ac:dyDescent="0.25">
      <c r="B3070" s="49"/>
      <c r="C3070" s="89"/>
      <c r="D3070" s="89"/>
      <c r="E3070" s="47">
        <v>3040.1462151003102</v>
      </c>
      <c r="F3070" s="47">
        <v>2249.9381370712199</v>
      </c>
      <c r="G3070" s="47">
        <v>12360.753877585699</v>
      </c>
    </row>
    <row r="3071" spans="2:7" x14ac:dyDescent="0.25">
      <c r="B3071" s="49"/>
      <c r="C3071" s="89"/>
      <c r="D3071" s="89"/>
      <c r="E3071" s="47">
        <v>3063.4132867629201</v>
      </c>
      <c r="F3071" s="47">
        <v>2251.4890772742901</v>
      </c>
      <c r="G3071" s="47">
        <v>12421.612944316401</v>
      </c>
    </row>
    <row r="3072" spans="2:7" x14ac:dyDescent="0.25">
      <c r="B3072" s="49"/>
      <c r="C3072" s="89"/>
      <c r="D3072" s="89"/>
      <c r="E3072" s="47">
        <v>3091.5978534538999</v>
      </c>
      <c r="F3072" s="47">
        <v>2252.6255434444101</v>
      </c>
      <c r="G3072" s="47">
        <v>12475.668704862101</v>
      </c>
    </row>
    <row r="3073" spans="2:7" x14ac:dyDescent="0.25">
      <c r="B3073" s="49"/>
      <c r="C3073" s="89"/>
      <c r="D3073" s="89"/>
      <c r="E3073" s="47">
        <v>3125.1256844372901</v>
      </c>
      <c r="F3073" s="47">
        <v>2253.4208666325999</v>
      </c>
      <c r="G3073" s="47">
        <v>12525.2250893364</v>
      </c>
    </row>
    <row r="3074" spans="2:7" x14ac:dyDescent="0.25">
      <c r="B3074" s="49"/>
      <c r="C3074" s="89"/>
      <c r="D3074" s="89">
        <v>900</v>
      </c>
      <c r="E3074" s="47">
        <v>2977.7548502384402</v>
      </c>
      <c r="F3074" s="47">
        <v>2469.6439526341201</v>
      </c>
      <c r="G3074" s="47">
        <v>11890.940038967299</v>
      </c>
    </row>
    <row r="3075" spans="2:7" x14ac:dyDescent="0.25">
      <c r="B3075" s="49"/>
      <c r="C3075" s="89"/>
      <c r="D3075" s="89"/>
      <c r="E3075" s="47">
        <v>2979.8653620068999</v>
      </c>
      <c r="F3075" s="47">
        <v>2483.57552403314</v>
      </c>
      <c r="G3075" s="47">
        <v>12220.8444052094</v>
      </c>
    </row>
    <row r="3076" spans="2:7" x14ac:dyDescent="0.25">
      <c r="B3076" s="49"/>
      <c r="C3076" s="89"/>
      <c r="D3076" s="89"/>
      <c r="E3076" s="47">
        <v>2984.4603143465101</v>
      </c>
      <c r="F3076" s="47">
        <v>2492.5186766245201</v>
      </c>
      <c r="G3076" s="47">
        <v>12435.3587460093</v>
      </c>
    </row>
    <row r="3077" spans="2:7" x14ac:dyDescent="0.25">
      <c r="B3077" s="49"/>
      <c r="C3077" s="89"/>
      <c r="D3077" s="89"/>
      <c r="E3077" s="47">
        <v>2991.9262524527899</v>
      </c>
      <c r="F3077" s="47">
        <v>2498.7108323546599</v>
      </c>
      <c r="G3077" s="47">
        <v>12587.5179238858</v>
      </c>
    </row>
    <row r="3078" spans="2:7" x14ac:dyDescent="0.25">
      <c r="B3078" s="49"/>
      <c r="C3078" s="89"/>
      <c r="D3078" s="89"/>
      <c r="E3078" s="47">
        <v>3002.69660396468</v>
      </c>
      <c r="F3078" s="47">
        <v>2503.2002439339099</v>
      </c>
      <c r="G3078" s="47">
        <v>12702.3842568989</v>
      </c>
    </row>
    <row r="3079" spans="2:7" x14ac:dyDescent="0.25">
      <c r="B3079" s="49"/>
      <c r="C3079" s="89"/>
      <c r="D3079" s="89"/>
      <c r="E3079" s="47">
        <v>3017.1448569343702</v>
      </c>
      <c r="F3079" s="47">
        <v>2506.5458585902102</v>
      </c>
      <c r="G3079" s="47">
        <v>12793.438941332701</v>
      </c>
    </row>
    <row r="3080" spans="2:7" x14ac:dyDescent="0.25">
      <c r="B3080" s="49"/>
      <c r="C3080" s="89"/>
      <c r="D3080" s="89"/>
      <c r="E3080" s="47">
        <v>3035.6976110289002</v>
      </c>
      <c r="F3080" s="47">
        <v>2509.0707523324099</v>
      </c>
      <c r="G3080" s="47">
        <v>12868.654263546099</v>
      </c>
    </row>
    <row r="3081" spans="2:7" x14ac:dyDescent="0.25">
      <c r="B3081" s="49"/>
      <c r="C3081" s="89"/>
      <c r="D3081" s="89"/>
      <c r="E3081" s="47">
        <v>3058.7475924539799</v>
      </c>
      <c r="F3081" s="47">
        <v>2510.97689034008</v>
      </c>
      <c r="G3081" s="47">
        <v>12933.1188668011</v>
      </c>
    </row>
    <row r="3082" spans="2:7" x14ac:dyDescent="0.25">
      <c r="B3082" s="49"/>
      <c r="C3082" s="89"/>
      <c r="D3082" s="89"/>
      <c r="E3082" s="47">
        <v>3086.74814039783</v>
      </c>
      <c r="F3082" s="47">
        <v>2512.39223863505</v>
      </c>
      <c r="G3082" s="47">
        <v>12990.232657886299</v>
      </c>
    </row>
    <row r="3083" spans="2:7" x14ac:dyDescent="0.25">
      <c r="B3083" s="49"/>
      <c r="C3083" s="89"/>
      <c r="D3083" s="89"/>
      <c r="E3083" s="47">
        <v>3120.1336910162399</v>
      </c>
      <c r="F3083" s="47">
        <v>2513.40291391745</v>
      </c>
      <c r="G3083" s="47">
        <v>13042.392636674</v>
      </c>
    </row>
    <row r="3084" spans="2:7" x14ac:dyDescent="0.25">
      <c r="B3084" s="49"/>
      <c r="C3084" s="89"/>
      <c r="D3084" s="89">
        <v>1000</v>
      </c>
      <c r="E3084" s="47">
        <v>2975.0198992435498</v>
      </c>
      <c r="F3084" s="47">
        <v>2716.9955490419402</v>
      </c>
      <c r="G3084" s="47">
        <v>12347.6514723898</v>
      </c>
    </row>
    <row r="3085" spans="2:7" x14ac:dyDescent="0.25">
      <c r="B3085" s="49"/>
      <c r="C3085" s="89"/>
      <c r="D3085" s="89"/>
      <c r="E3085" s="47">
        <v>2975.3765822673599</v>
      </c>
      <c r="F3085" s="47">
        <v>2722.49597032358</v>
      </c>
      <c r="G3085" s="47">
        <v>12464.528587306701</v>
      </c>
    </row>
    <row r="3086" spans="2:7" x14ac:dyDescent="0.25">
      <c r="B3086" s="49"/>
      <c r="C3086" s="89"/>
      <c r="D3086" s="89"/>
      <c r="E3086" s="47">
        <v>2975.73326529116</v>
      </c>
      <c r="F3086" s="47">
        <v>2727.9963916052202</v>
      </c>
      <c r="G3086" s="47">
        <v>12581.405702223599</v>
      </c>
    </row>
    <row r="3087" spans="2:7" x14ac:dyDescent="0.25">
      <c r="B3087" s="49"/>
      <c r="C3087" s="89"/>
      <c r="D3087" s="89"/>
      <c r="E3087" s="47">
        <v>2976.0899483149601</v>
      </c>
      <c r="F3087" s="47">
        <v>2733.49681288686</v>
      </c>
      <c r="G3087" s="47">
        <v>12698.2828171405</v>
      </c>
    </row>
    <row r="3088" spans="2:7" x14ac:dyDescent="0.25">
      <c r="B3088" s="49"/>
      <c r="C3088" s="89"/>
      <c r="D3088" s="89"/>
      <c r="E3088" s="47">
        <v>2977.3895389689601</v>
      </c>
      <c r="F3088" s="47">
        <v>2737.02680640368</v>
      </c>
      <c r="G3088" s="47">
        <v>12774.194841984799</v>
      </c>
    </row>
    <row r="3089" spans="2:7" x14ac:dyDescent="0.25">
      <c r="B3089" s="49"/>
      <c r="C3089" s="89"/>
      <c r="D3089" s="89"/>
      <c r="E3089" s="47">
        <v>2978.6891296229601</v>
      </c>
      <c r="F3089" s="47">
        <v>2740.55679992051</v>
      </c>
      <c r="G3089" s="47">
        <v>12850.106866829101</v>
      </c>
    </row>
    <row r="3090" spans="2:7" x14ac:dyDescent="0.25">
      <c r="B3090" s="49"/>
      <c r="C3090" s="89"/>
      <c r="D3090" s="89"/>
      <c r="E3090" s="47">
        <v>2979.9887202769701</v>
      </c>
      <c r="F3090" s="47">
        <v>2744.08679343733</v>
      </c>
      <c r="G3090" s="47">
        <v>12926.018891673401</v>
      </c>
    </row>
    <row r="3091" spans="2:7" x14ac:dyDescent="0.25">
      <c r="B3091" s="49"/>
      <c r="C3091" s="89"/>
      <c r="D3091" s="89"/>
      <c r="E3091" s="47">
        <v>2982.33102526929</v>
      </c>
      <c r="F3091" s="47">
        <v>2746.52299182661</v>
      </c>
      <c r="G3091" s="47">
        <v>12979.6348005617</v>
      </c>
    </row>
    <row r="3092" spans="2:7" x14ac:dyDescent="0.25">
      <c r="B3092" s="49"/>
      <c r="C3092" s="89"/>
      <c r="D3092" s="89"/>
      <c r="E3092" s="47">
        <v>2984.6733302616099</v>
      </c>
      <c r="F3092" s="47">
        <v>2748.95919021589</v>
      </c>
      <c r="G3092" s="47">
        <v>13033.25070945</v>
      </c>
    </row>
    <row r="3093" spans="2:7" x14ac:dyDescent="0.25">
      <c r="B3093" s="49"/>
      <c r="C3093" s="89"/>
      <c r="D3093" s="89"/>
      <c r="E3093" s="47">
        <v>2987.0156352539302</v>
      </c>
      <c r="F3093" s="47">
        <v>2751.39538860517</v>
      </c>
      <c r="G3093" s="47">
        <v>13086.866618338399</v>
      </c>
    </row>
    <row r="3094" spans="2:7" x14ac:dyDescent="0.25">
      <c r="B3094" s="49"/>
      <c r="C3094" s="89"/>
      <c r="D3094" s="89">
        <v>1100</v>
      </c>
      <c r="E3094" s="47">
        <v>2971.0572318263298</v>
      </c>
      <c r="F3094" s="47">
        <v>2959.3030345443199</v>
      </c>
      <c r="G3094" s="47">
        <v>12810.3231192823</v>
      </c>
    </row>
    <row r="3095" spans="2:7" x14ac:dyDescent="0.25">
      <c r="B3095" s="49"/>
      <c r="C3095" s="89"/>
      <c r="D3095" s="89"/>
      <c r="E3095" s="47">
        <v>2971.0572318263298</v>
      </c>
      <c r="F3095" s="47">
        <v>2959.3030345443199</v>
      </c>
      <c r="G3095" s="47">
        <v>12810.3231192823</v>
      </c>
    </row>
    <row r="3096" spans="2:7" x14ac:dyDescent="0.25">
      <c r="B3096" s="49"/>
      <c r="C3096" s="89"/>
      <c r="D3096" s="89"/>
      <c r="E3096" s="47">
        <v>2971.0572318263298</v>
      </c>
      <c r="F3096" s="47">
        <v>2959.3030345443199</v>
      </c>
      <c r="G3096" s="47">
        <v>12810.3231192823</v>
      </c>
    </row>
    <row r="3097" spans="2:7" x14ac:dyDescent="0.25">
      <c r="B3097" s="49"/>
      <c r="C3097" s="89"/>
      <c r="D3097" s="89"/>
      <c r="E3097" s="47">
        <v>2971.0572318263298</v>
      </c>
      <c r="F3097" s="47">
        <v>2959.3030345443199</v>
      </c>
      <c r="G3097" s="47">
        <v>12810.3231192823</v>
      </c>
    </row>
    <row r="3098" spans="2:7" x14ac:dyDescent="0.25">
      <c r="B3098" s="49"/>
      <c r="C3098" s="89"/>
      <c r="D3098" s="89"/>
      <c r="E3098" s="47">
        <v>2971.0572318263298</v>
      </c>
      <c r="F3098" s="47">
        <v>2959.3030345443199</v>
      </c>
      <c r="G3098" s="47">
        <v>12810.3231192823</v>
      </c>
    </row>
    <row r="3099" spans="2:7" x14ac:dyDescent="0.25">
      <c r="B3099" s="49"/>
      <c r="C3099" s="89"/>
      <c r="D3099" s="89"/>
      <c r="E3099" s="47">
        <v>2971.0572318263298</v>
      </c>
      <c r="F3099" s="47">
        <v>2959.3030345443199</v>
      </c>
      <c r="G3099" s="47">
        <v>12810.3231192823</v>
      </c>
    </row>
    <row r="3100" spans="2:7" x14ac:dyDescent="0.25">
      <c r="B3100" s="49"/>
      <c r="C3100" s="89"/>
      <c r="D3100" s="89"/>
      <c r="E3100" s="47">
        <v>2971.0572318263298</v>
      </c>
      <c r="F3100" s="47">
        <v>2959.3030345443199</v>
      </c>
      <c r="G3100" s="47">
        <v>12810.3231192823</v>
      </c>
    </row>
    <row r="3101" spans="2:7" x14ac:dyDescent="0.25">
      <c r="B3101" s="49"/>
      <c r="C3101" s="89"/>
      <c r="D3101" s="89"/>
      <c r="E3101" s="47">
        <v>2971.0572318263298</v>
      </c>
      <c r="F3101" s="47">
        <v>2959.3030345443199</v>
      </c>
      <c r="G3101" s="47">
        <v>12810.3231192823</v>
      </c>
    </row>
    <row r="3102" spans="2:7" x14ac:dyDescent="0.25">
      <c r="B3102" s="49"/>
      <c r="C3102" s="89"/>
      <c r="D3102" s="89"/>
      <c r="E3102" s="47">
        <v>2971.0572318263298</v>
      </c>
      <c r="F3102" s="47">
        <v>2959.3030345443199</v>
      </c>
      <c r="G3102" s="47">
        <v>12810.3231192823</v>
      </c>
    </row>
    <row r="3103" spans="2:7" x14ac:dyDescent="0.25">
      <c r="B3103" s="49"/>
      <c r="C3103" s="89"/>
      <c r="D3103" s="89"/>
      <c r="E3103" s="47">
        <v>2971.0572318263298</v>
      </c>
      <c r="F3103" s="47">
        <v>2959.3030345443199</v>
      </c>
      <c r="G3103" s="47">
        <v>12810.3231192823</v>
      </c>
    </row>
  </sheetData>
  <mergeCells count="333">
    <mergeCell ref="C2984:C3103"/>
    <mergeCell ref="D2984:D2993"/>
    <mergeCell ref="D2994:D3003"/>
    <mergeCell ref="D3004:D3013"/>
    <mergeCell ref="D3014:D3023"/>
    <mergeCell ref="D3024:D3033"/>
    <mergeCell ref="D3034:D3043"/>
    <mergeCell ref="D3044:D3053"/>
    <mergeCell ref="D3054:D3063"/>
    <mergeCell ref="D3064:D3073"/>
    <mergeCell ref="D3074:D3083"/>
    <mergeCell ref="D3084:D3093"/>
    <mergeCell ref="D3094:D3103"/>
    <mergeCell ref="C2854:C2983"/>
    <mergeCell ref="D2854:D2863"/>
    <mergeCell ref="D2864:D2873"/>
    <mergeCell ref="D2874:D2883"/>
    <mergeCell ref="D2884:D2893"/>
    <mergeCell ref="D2894:D2903"/>
    <mergeCell ref="D2904:D2913"/>
    <mergeCell ref="D2914:D2923"/>
    <mergeCell ref="D2924:D2933"/>
    <mergeCell ref="D2934:D2943"/>
    <mergeCell ref="D2944:D2953"/>
    <mergeCell ref="D2954:D2963"/>
    <mergeCell ref="D2964:D2973"/>
    <mergeCell ref="D2974:D2983"/>
    <mergeCell ref="C2724:C2853"/>
    <mergeCell ref="D2724:D2733"/>
    <mergeCell ref="D2734:D2743"/>
    <mergeCell ref="D2744:D2753"/>
    <mergeCell ref="D2754:D2763"/>
    <mergeCell ref="D2764:D2773"/>
    <mergeCell ref="D2774:D2783"/>
    <mergeCell ref="D2784:D2793"/>
    <mergeCell ref="D2794:D2803"/>
    <mergeCell ref="D2804:D2813"/>
    <mergeCell ref="D2814:D2823"/>
    <mergeCell ref="D2824:D2833"/>
    <mergeCell ref="D2834:D2843"/>
    <mergeCell ref="D2844:D2853"/>
    <mergeCell ref="C2594:C2723"/>
    <mergeCell ref="D2594:D2603"/>
    <mergeCell ref="D2604:D2613"/>
    <mergeCell ref="D2614:D2623"/>
    <mergeCell ref="D2624:D2633"/>
    <mergeCell ref="D2634:D2643"/>
    <mergeCell ref="D2644:D2653"/>
    <mergeCell ref="D2654:D2663"/>
    <mergeCell ref="D2664:D2673"/>
    <mergeCell ref="D2674:D2683"/>
    <mergeCell ref="D2684:D2693"/>
    <mergeCell ref="D2694:D2703"/>
    <mergeCell ref="D2704:D2713"/>
    <mergeCell ref="D2714:D2723"/>
    <mergeCell ref="C2464:C2593"/>
    <mergeCell ref="D2464:D2473"/>
    <mergeCell ref="D2474:D2483"/>
    <mergeCell ref="D2484:D2493"/>
    <mergeCell ref="D2494:D2503"/>
    <mergeCell ref="D2504:D2513"/>
    <mergeCell ref="D2514:D2523"/>
    <mergeCell ref="D2524:D2533"/>
    <mergeCell ref="D2534:D2543"/>
    <mergeCell ref="D2544:D2553"/>
    <mergeCell ref="D2554:D2563"/>
    <mergeCell ref="D2564:D2573"/>
    <mergeCell ref="D2574:D2583"/>
    <mergeCell ref="D2584:D2593"/>
    <mergeCell ref="C2334:C2463"/>
    <mergeCell ref="D2334:D2343"/>
    <mergeCell ref="D2344:D2353"/>
    <mergeCell ref="D2354:D2363"/>
    <mergeCell ref="D2364:D2373"/>
    <mergeCell ref="D2374:D2383"/>
    <mergeCell ref="D2384:D2393"/>
    <mergeCell ref="D2394:D2403"/>
    <mergeCell ref="D2404:D2413"/>
    <mergeCell ref="D2414:D2423"/>
    <mergeCell ref="D2424:D2433"/>
    <mergeCell ref="D2434:D2443"/>
    <mergeCell ref="D2444:D2453"/>
    <mergeCell ref="D2454:D2463"/>
    <mergeCell ref="C2204:C2333"/>
    <mergeCell ref="D2204:D2213"/>
    <mergeCell ref="D2214:D2223"/>
    <mergeCell ref="D2224:D2233"/>
    <mergeCell ref="D2234:D2243"/>
    <mergeCell ref="D2244:D2253"/>
    <mergeCell ref="D2254:D2263"/>
    <mergeCell ref="D2264:D2273"/>
    <mergeCell ref="D2274:D2283"/>
    <mergeCell ref="D2284:D2293"/>
    <mergeCell ref="D2294:D2303"/>
    <mergeCell ref="D2304:D2313"/>
    <mergeCell ref="D2314:D2323"/>
    <mergeCell ref="D2324:D2333"/>
    <mergeCell ref="C2084:C2203"/>
    <mergeCell ref="D2084:D2093"/>
    <mergeCell ref="D2094:D2103"/>
    <mergeCell ref="D2104:D2113"/>
    <mergeCell ref="D2114:D2123"/>
    <mergeCell ref="D2124:D2133"/>
    <mergeCell ref="D2134:D2143"/>
    <mergeCell ref="D2144:D2153"/>
    <mergeCell ref="D2154:D2163"/>
    <mergeCell ref="D2164:D2173"/>
    <mergeCell ref="D2174:D2183"/>
    <mergeCell ref="D2184:D2193"/>
    <mergeCell ref="D2194:D2203"/>
    <mergeCell ref="C1984:C2083"/>
    <mergeCell ref="D1984:D1993"/>
    <mergeCell ref="D1994:D2003"/>
    <mergeCell ref="D2004:D2013"/>
    <mergeCell ref="D2014:D2023"/>
    <mergeCell ref="D2024:D2033"/>
    <mergeCell ref="D2034:D2043"/>
    <mergeCell ref="D2044:D2053"/>
    <mergeCell ref="D2054:D2063"/>
    <mergeCell ref="D2064:D2073"/>
    <mergeCell ref="D2074:D2083"/>
    <mergeCell ref="C1894:C1983"/>
    <mergeCell ref="D1894:D1903"/>
    <mergeCell ref="D1904:D1913"/>
    <mergeCell ref="D1914:D1923"/>
    <mergeCell ref="D1924:D1933"/>
    <mergeCell ref="D1934:D1943"/>
    <mergeCell ref="D1944:D1953"/>
    <mergeCell ref="D1954:D1963"/>
    <mergeCell ref="D1964:D1973"/>
    <mergeCell ref="D1974:D1983"/>
    <mergeCell ref="C1744:C1813"/>
    <mergeCell ref="D1744:D1753"/>
    <mergeCell ref="D1754:D1763"/>
    <mergeCell ref="D1764:D1773"/>
    <mergeCell ref="D1774:D1783"/>
    <mergeCell ref="D1784:D1793"/>
    <mergeCell ref="D1794:D1803"/>
    <mergeCell ref="D1804:D1813"/>
    <mergeCell ref="C1814:C1893"/>
    <mergeCell ref="D1814:D1823"/>
    <mergeCell ref="D1824:D1833"/>
    <mergeCell ref="D1834:D1843"/>
    <mergeCell ref="D1844:D1853"/>
    <mergeCell ref="D1854:D1863"/>
    <mergeCell ref="D1864:D1873"/>
    <mergeCell ref="D1874:D1883"/>
    <mergeCell ref="D1884:D1893"/>
    <mergeCell ref="C1610:C1739"/>
    <mergeCell ref="D1610:D1619"/>
    <mergeCell ref="D1620:D1629"/>
    <mergeCell ref="D1630:D1639"/>
    <mergeCell ref="D1640:D1649"/>
    <mergeCell ref="D1650:D1659"/>
    <mergeCell ref="D1660:D1669"/>
    <mergeCell ref="D1670:D1679"/>
    <mergeCell ref="D1680:D1689"/>
    <mergeCell ref="D1690:D1699"/>
    <mergeCell ref="D1700:D1709"/>
    <mergeCell ref="D1710:D1719"/>
    <mergeCell ref="D1720:D1729"/>
    <mergeCell ref="D1730:D1739"/>
    <mergeCell ref="C1480:C1609"/>
    <mergeCell ref="D1480:D1489"/>
    <mergeCell ref="D1490:D1499"/>
    <mergeCell ref="D1500:D1509"/>
    <mergeCell ref="D1510:D1519"/>
    <mergeCell ref="D1520:D1529"/>
    <mergeCell ref="D1530:D1539"/>
    <mergeCell ref="D1540:D1549"/>
    <mergeCell ref="D1550:D1559"/>
    <mergeCell ref="D1560:D1569"/>
    <mergeCell ref="D1570:D1579"/>
    <mergeCell ref="D1580:D1589"/>
    <mergeCell ref="D1590:D1599"/>
    <mergeCell ref="D1600:D1609"/>
    <mergeCell ref="C1350:C1479"/>
    <mergeCell ref="D1350:D1359"/>
    <mergeCell ref="D1360:D1369"/>
    <mergeCell ref="D1370:D1379"/>
    <mergeCell ref="D1380:D1389"/>
    <mergeCell ref="D1390:D1399"/>
    <mergeCell ref="D1400:D1409"/>
    <mergeCell ref="D1410:D1419"/>
    <mergeCell ref="D1420:D1429"/>
    <mergeCell ref="D1430:D1439"/>
    <mergeCell ref="D1440:D1449"/>
    <mergeCell ref="D1450:D1459"/>
    <mergeCell ref="D1460:D1469"/>
    <mergeCell ref="D1470:D1479"/>
    <mergeCell ref="D340:D349"/>
    <mergeCell ref="D350:D359"/>
    <mergeCell ref="D290:D299"/>
    <mergeCell ref="D300:D309"/>
    <mergeCell ref="D310:D319"/>
    <mergeCell ref="D320:D329"/>
    <mergeCell ref="D330:D339"/>
    <mergeCell ref="C290:C369"/>
    <mergeCell ref="C370:C469"/>
    <mergeCell ref="D380:D389"/>
    <mergeCell ref="D390:D399"/>
    <mergeCell ref="D400:D409"/>
    <mergeCell ref="D410:D419"/>
    <mergeCell ref="D420:D429"/>
    <mergeCell ref="D430:D439"/>
    <mergeCell ref="D440:D449"/>
    <mergeCell ref="D450:D459"/>
    <mergeCell ref="D460:D469"/>
    <mergeCell ref="D360:D369"/>
    <mergeCell ref="D370:D379"/>
    <mergeCell ref="C470:C579"/>
    <mergeCell ref="D470:D479"/>
    <mergeCell ref="D480:D489"/>
    <mergeCell ref="D490:D499"/>
    <mergeCell ref="D500:D509"/>
    <mergeCell ref="D510:D519"/>
    <mergeCell ref="D520:D529"/>
    <mergeCell ref="D530:D539"/>
    <mergeCell ref="D540:D549"/>
    <mergeCell ref="D550:D559"/>
    <mergeCell ref="D560:D569"/>
    <mergeCell ref="D570:D579"/>
    <mergeCell ref="C580:C699"/>
    <mergeCell ref="D580:D589"/>
    <mergeCell ref="D590:D599"/>
    <mergeCell ref="D600:D609"/>
    <mergeCell ref="D610:D619"/>
    <mergeCell ref="D620:D629"/>
    <mergeCell ref="D630:D639"/>
    <mergeCell ref="D640:D649"/>
    <mergeCell ref="D650:D659"/>
    <mergeCell ref="D660:D669"/>
    <mergeCell ref="D670:D679"/>
    <mergeCell ref="D680:D689"/>
    <mergeCell ref="D690:D699"/>
    <mergeCell ref="C700:C829"/>
    <mergeCell ref="D700:D709"/>
    <mergeCell ref="D710:D719"/>
    <mergeCell ref="D720:D729"/>
    <mergeCell ref="D730:D739"/>
    <mergeCell ref="D870:D879"/>
    <mergeCell ref="D880:D889"/>
    <mergeCell ref="D890:D899"/>
    <mergeCell ref="D900:D909"/>
    <mergeCell ref="D740:D749"/>
    <mergeCell ref="D750:D759"/>
    <mergeCell ref="D760:D769"/>
    <mergeCell ref="D770:D779"/>
    <mergeCell ref="D780:D789"/>
    <mergeCell ref="D790:D799"/>
    <mergeCell ref="D800:D809"/>
    <mergeCell ref="D810:D819"/>
    <mergeCell ref="D820:D829"/>
    <mergeCell ref="C830:C959"/>
    <mergeCell ref="D830:D839"/>
    <mergeCell ref="D840:D849"/>
    <mergeCell ref="D850:D859"/>
    <mergeCell ref="D860:D869"/>
    <mergeCell ref="D920:D929"/>
    <mergeCell ref="D910:D919"/>
    <mergeCell ref="D1270:D1279"/>
    <mergeCell ref="D1280:D1289"/>
    <mergeCell ref="D1290:D1299"/>
    <mergeCell ref="D1300:D1309"/>
    <mergeCell ref="D1310:D1319"/>
    <mergeCell ref="D1320:D1329"/>
    <mergeCell ref="D930:D939"/>
    <mergeCell ref="D940:D949"/>
    <mergeCell ref="D950:D959"/>
    <mergeCell ref="D1020:D1029"/>
    <mergeCell ref="D1030:D1039"/>
    <mergeCell ref="D1040:D1049"/>
    <mergeCell ref="D1100:D1109"/>
    <mergeCell ref="D1110:D1119"/>
    <mergeCell ref="D1120:D1129"/>
    <mergeCell ref="D1150:D1159"/>
    <mergeCell ref="D1160:D1169"/>
    <mergeCell ref="D1170:D1179"/>
    <mergeCell ref="D1180:D1189"/>
    <mergeCell ref="D1220:D1229"/>
    <mergeCell ref="D1230:D1239"/>
    <mergeCell ref="D1240:D1249"/>
    <mergeCell ref="D1250:D1259"/>
    <mergeCell ref="D1330:D1339"/>
    <mergeCell ref="D1340:D1349"/>
    <mergeCell ref="C960:C1089"/>
    <mergeCell ref="D1050:D1059"/>
    <mergeCell ref="D1060:D1069"/>
    <mergeCell ref="D1070:D1079"/>
    <mergeCell ref="D1080:D1089"/>
    <mergeCell ref="C1090:C1219"/>
    <mergeCell ref="D1090:D1099"/>
    <mergeCell ref="D1190:D1199"/>
    <mergeCell ref="D1200:D1209"/>
    <mergeCell ref="D1210:D1219"/>
    <mergeCell ref="D960:D969"/>
    <mergeCell ref="D970:D979"/>
    <mergeCell ref="D980:D989"/>
    <mergeCell ref="D990:D999"/>
    <mergeCell ref="D1000:D1009"/>
    <mergeCell ref="D1010:D1019"/>
    <mergeCell ref="D1130:D1139"/>
    <mergeCell ref="D1140:D1149"/>
    <mergeCell ref="C1220:C1349"/>
    <mergeCell ref="D1260:D1269"/>
    <mergeCell ref="C48:C56"/>
    <mergeCell ref="C57:C67"/>
    <mergeCell ref="C68:C79"/>
    <mergeCell ref="C80:C92"/>
    <mergeCell ref="C19:C20"/>
    <mergeCell ref="C21:C23"/>
    <mergeCell ref="C24:C27"/>
    <mergeCell ref="C28:C32"/>
    <mergeCell ref="C33:C39"/>
    <mergeCell ref="C40:C47"/>
    <mergeCell ref="C97:C98"/>
    <mergeCell ref="C99:C101"/>
    <mergeCell ref="C102:C105"/>
    <mergeCell ref="C106:C110"/>
    <mergeCell ref="C111:C117"/>
    <mergeCell ref="C118:C125"/>
    <mergeCell ref="C208:C220"/>
    <mergeCell ref="C221:C233"/>
    <mergeCell ref="C234:C246"/>
    <mergeCell ref="C247:C259"/>
    <mergeCell ref="C260:C272"/>
    <mergeCell ref="C273:C285"/>
    <mergeCell ref="C130:C142"/>
    <mergeCell ref="C143:C155"/>
    <mergeCell ref="C156:C168"/>
    <mergeCell ref="C169:C181"/>
    <mergeCell ref="C182:C194"/>
    <mergeCell ref="C195:C20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5"/>
  <sheetViews>
    <sheetView zoomScaleNormal="100" workbookViewId="0">
      <selection activeCell="A2" sqref="A2"/>
    </sheetView>
  </sheetViews>
  <sheetFormatPr defaultRowHeight="15" x14ac:dyDescent="0.25"/>
  <cols>
    <col min="2" max="2" width="12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17"/>
    <col min="13" max="13" width="19.42578125" bestFit="1" customWidth="1"/>
    <col min="14" max="14" width="17.28515625" customWidth="1"/>
    <col min="15" max="15" width="9.140625" style="17"/>
  </cols>
  <sheetData>
    <row r="1" spans="1:18" x14ac:dyDescent="0.25">
      <c r="A1" s="91" t="s">
        <v>10</v>
      </c>
      <c r="B1" s="91"/>
      <c r="C1" s="91"/>
      <c r="D1" s="91"/>
      <c r="E1" s="91"/>
      <c r="F1" s="91"/>
      <c r="G1" s="91"/>
      <c r="H1" s="91"/>
      <c r="I1" s="91"/>
      <c r="J1" s="91"/>
      <c r="L1" s="90" t="s">
        <v>11</v>
      </c>
      <c r="M1" s="90"/>
      <c r="N1" s="90"/>
      <c r="P1" s="4"/>
      <c r="Q1" s="4"/>
      <c r="R1" s="4"/>
    </row>
    <row r="2" spans="1:18" x14ac:dyDescent="0.25">
      <c r="B2" s="18" t="s">
        <v>12</v>
      </c>
      <c r="C2" s="18" t="s">
        <v>14</v>
      </c>
      <c r="D2" s="19" t="s">
        <v>13</v>
      </c>
      <c r="E2" s="18" t="s">
        <v>15</v>
      </c>
      <c r="F2" s="19" t="s">
        <v>16</v>
      </c>
      <c r="G2" s="18" t="s">
        <v>17</v>
      </c>
      <c r="H2" s="18" t="s">
        <v>18</v>
      </c>
      <c r="I2" s="18" t="s">
        <v>19</v>
      </c>
      <c r="J2" s="18" t="s">
        <v>22</v>
      </c>
      <c r="M2" s="18" t="s">
        <v>20</v>
      </c>
      <c r="N2" s="18" t="s">
        <v>21</v>
      </c>
    </row>
    <row r="3" spans="1:18" x14ac:dyDescent="0.25">
      <c r="A3" s="16" t="s">
        <v>50</v>
      </c>
      <c r="B3" s="20">
        <v>6000</v>
      </c>
      <c r="C3" s="20">
        <v>20000</v>
      </c>
      <c r="D3" s="20">
        <v>0.99</v>
      </c>
      <c r="E3" s="20">
        <v>20000</v>
      </c>
      <c r="F3" s="20">
        <v>0.99</v>
      </c>
      <c r="G3" s="20">
        <v>2E-3</v>
      </c>
      <c r="H3" s="20">
        <v>100</v>
      </c>
      <c r="I3" s="20">
        <v>0</v>
      </c>
      <c r="J3" s="20">
        <f t="shared" ref="J3:J4" si="0">I3*B3/100</f>
        <v>0</v>
      </c>
      <c r="L3" s="22" t="s">
        <v>3</v>
      </c>
      <c r="M3" s="21" t="s">
        <v>45</v>
      </c>
      <c r="N3" s="21" t="s">
        <v>45</v>
      </c>
    </row>
    <row r="4" spans="1:18" x14ac:dyDescent="0.25">
      <c r="A4" s="16" t="s">
        <v>3</v>
      </c>
      <c r="B4" s="20">
        <v>13500</v>
      </c>
      <c r="C4" s="20">
        <v>13500</v>
      </c>
      <c r="D4" s="20">
        <v>0.95</v>
      </c>
      <c r="E4" s="20">
        <v>13500</v>
      </c>
      <c r="F4" s="20">
        <v>0.95</v>
      </c>
      <c r="G4" s="20">
        <v>0</v>
      </c>
      <c r="H4" s="20">
        <v>90</v>
      </c>
      <c r="I4" s="20">
        <v>10</v>
      </c>
      <c r="J4" s="20">
        <f t="shared" si="0"/>
        <v>1350</v>
      </c>
    </row>
    <row r="5" spans="1:18" x14ac:dyDescent="0.25">
      <c r="A5" s="16" t="s">
        <v>4</v>
      </c>
      <c r="B5" s="20">
        <v>100000</v>
      </c>
      <c r="C5" s="20">
        <v>20000</v>
      </c>
      <c r="D5" s="20">
        <v>1</v>
      </c>
      <c r="E5" s="20">
        <v>0</v>
      </c>
      <c r="F5" s="20">
        <v>1</v>
      </c>
      <c r="G5" s="20">
        <v>0</v>
      </c>
      <c r="H5" s="20">
        <v>100</v>
      </c>
      <c r="I5" s="20">
        <v>0</v>
      </c>
      <c r="J5" s="20">
        <f t="shared" ref="J5" si="1">I5*B5/100</f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37"/>
  <sheetViews>
    <sheetView topLeftCell="A2" zoomScaleNormal="100" workbookViewId="0">
      <selection activeCell="I19" sqref="I19"/>
    </sheetView>
  </sheetViews>
  <sheetFormatPr defaultRowHeight="15" x14ac:dyDescent="0.25"/>
  <sheetData>
    <row r="1" spans="1:32" hidden="1" x14ac:dyDescent="0.25">
      <c r="A1" t="str">
        <f>ADDRESS(2, COLUMN(D:D),4)&amp;":"&amp;ADDRESS(LOOKUP(2,1/(D:D&lt;&gt;""),ROW(D:D)),LOOKUP(2,1/(4:4&lt;&gt;""),COLUMN(4:4)),4)</f>
        <v>D2:F37</v>
      </c>
    </row>
    <row r="2" spans="1:32" ht="15.75" x14ac:dyDescent="0.25">
      <c r="D2" s="23" t="s">
        <v>30</v>
      </c>
      <c r="E2" s="24" t="s">
        <v>11</v>
      </c>
      <c r="F2" s="12"/>
      <c r="G2" s="47"/>
      <c r="I2" s="47"/>
      <c r="J2" s="47"/>
    </row>
    <row r="3" spans="1:32" x14ac:dyDescent="0.25">
      <c r="D3" s="14" t="s">
        <v>47</v>
      </c>
      <c r="E3" s="25" t="s">
        <v>3</v>
      </c>
      <c r="F3" s="26"/>
    </row>
    <row r="4" spans="1:32" s="17" customFormat="1" ht="15.75" thickBot="1" x14ac:dyDescent="0.3">
      <c r="A4" s="27" t="s">
        <v>29</v>
      </c>
      <c r="B4" s="27" t="s">
        <v>0</v>
      </c>
      <c r="C4" s="27" t="s">
        <v>2</v>
      </c>
      <c r="D4" s="28" t="s">
        <v>23</v>
      </c>
      <c r="E4" s="29" t="s">
        <v>23</v>
      </c>
      <c r="F4" s="29" t="s">
        <v>24</v>
      </c>
    </row>
    <row r="5" spans="1:32" x14ac:dyDescent="0.25">
      <c r="A5" s="8">
        <v>1</v>
      </c>
      <c r="B5" s="8">
        <v>1</v>
      </c>
      <c r="C5" s="8">
        <v>8.3333333333333329E-2</v>
      </c>
      <c r="D5" s="46">
        <v>0</v>
      </c>
      <c r="E5" s="86">
        <v>1.3999999999999999E-4</v>
      </c>
      <c r="F5" s="86">
        <v>3.0000000000000001E-5</v>
      </c>
      <c r="J5" s="47"/>
      <c r="K5" s="47"/>
      <c r="AF5" s="9">
        <v>5.9499999999999997E-2</v>
      </c>
    </row>
    <row r="6" spans="1:32" x14ac:dyDescent="0.25">
      <c r="A6" s="8">
        <v>1</v>
      </c>
      <c r="B6" s="8">
        <v>2</v>
      </c>
      <c r="C6" s="8">
        <v>0.16666666666666666</v>
      </c>
      <c r="D6" s="46">
        <v>0</v>
      </c>
      <c r="E6" s="86">
        <v>1.3999999999999999E-4</v>
      </c>
      <c r="F6" s="86">
        <v>3.0000000000000001E-5</v>
      </c>
      <c r="J6" s="47"/>
      <c r="K6" s="47"/>
      <c r="AF6" s="9">
        <v>5.9400000000000001E-2</v>
      </c>
    </row>
    <row r="7" spans="1:32" x14ac:dyDescent="0.25">
      <c r="A7" s="8">
        <v>1</v>
      </c>
      <c r="B7" s="8">
        <v>3</v>
      </c>
      <c r="C7" s="8">
        <v>0.25</v>
      </c>
      <c r="D7" s="46">
        <v>0</v>
      </c>
      <c r="E7" s="86">
        <v>1.3999999999999999E-4</v>
      </c>
      <c r="F7" s="86">
        <v>3.0000000000000001E-5</v>
      </c>
      <c r="J7" s="47"/>
      <c r="K7" s="47"/>
      <c r="AF7" s="9">
        <v>0.05</v>
      </c>
    </row>
    <row r="8" spans="1:32" x14ac:dyDescent="0.25">
      <c r="A8" s="8">
        <v>1</v>
      </c>
      <c r="B8" s="8">
        <v>4</v>
      </c>
      <c r="C8" s="8">
        <v>0.33333333333333331</v>
      </c>
      <c r="D8" s="46">
        <v>0</v>
      </c>
      <c r="E8" s="86">
        <v>1.3999999999999999E-4</v>
      </c>
      <c r="F8" s="86">
        <v>3.0000000000000001E-5</v>
      </c>
      <c r="J8" s="47"/>
      <c r="K8" s="47"/>
      <c r="AF8" s="9">
        <v>0.04</v>
      </c>
    </row>
    <row r="9" spans="1:32" x14ac:dyDescent="0.25">
      <c r="A9" s="8">
        <v>1</v>
      </c>
      <c r="B9" s="8">
        <v>5</v>
      </c>
      <c r="C9" s="8">
        <v>0.41666666666666663</v>
      </c>
      <c r="D9" s="46">
        <v>0</v>
      </c>
      <c r="E9" s="86">
        <v>1.3999999999999999E-4</v>
      </c>
      <c r="F9" s="86">
        <v>3.0000000000000001E-5</v>
      </c>
      <c r="J9" s="47"/>
      <c r="K9" s="47"/>
      <c r="AF9" s="9">
        <v>3.5000000000000003E-2</v>
      </c>
    </row>
    <row r="10" spans="1:32" x14ac:dyDescent="0.25">
      <c r="A10" s="8">
        <v>1</v>
      </c>
      <c r="B10" s="8">
        <v>6</v>
      </c>
      <c r="C10" s="8">
        <v>0.5</v>
      </c>
      <c r="D10" s="46">
        <v>0</v>
      </c>
      <c r="E10" s="86">
        <v>1.3999999999999999E-4</v>
      </c>
      <c r="F10" s="86">
        <v>3.0000000000000001E-5</v>
      </c>
      <c r="J10" s="47"/>
      <c r="K10" s="47"/>
      <c r="AF10" s="9">
        <v>4.8979999999999996E-2</v>
      </c>
    </row>
    <row r="11" spans="1:32" x14ac:dyDescent="0.25">
      <c r="A11" s="8">
        <v>1</v>
      </c>
      <c r="B11" s="8">
        <v>7</v>
      </c>
      <c r="C11" s="8">
        <v>0.58333333333333326</v>
      </c>
      <c r="D11" s="46">
        <v>0</v>
      </c>
      <c r="E11" s="86">
        <v>1.3999999999999999E-4</v>
      </c>
      <c r="F11" s="86">
        <v>3.0000000000000001E-5</v>
      </c>
      <c r="J11" s="47"/>
      <c r="K11" s="47"/>
      <c r="AF11" s="9">
        <v>6.089E-2</v>
      </c>
    </row>
    <row r="12" spans="1:32" x14ac:dyDescent="0.25">
      <c r="A12" s="8">
        <v>1</v>
      </c>
      <c r="B12" s="8">
        <v>8</v>
      </c>
      <c r="C12" s="8">
        <v>0.66666666666666663</v>
      </c>
      <c r="D12" s="46">
        <v>0</v>
      </c>
      <c r="E12" s="86">
        <v>1.3999999999999999E-4</v>
      </c>
      <c r="F12" s="86">
        <v>3.0000000000000001E-5</v>
      </c>
      <c r="J12" s="47"/>
      <c r="K12" s="47"/>
      <c r="AF12" s="10">
        <v>7.1359999999999993E-2</v>
      </c>
    </row>
    <row r="13" spans="1:32" x14ac:dyDescent="0.25">
      <c r="A13" s="8">
        <v>1</v>
      </c>
      <c r="B13" s="8">
        <v>9</v>
      </c>
      <c r="C13" s="8">
        <v>0.75</v>
      </c>
      <c r="D13" s="46">
        <v>0</v>
      </c>
      <c r="E13" s="86">
        <v>1.3999999999999999E-4</v>
      </c>
      <c r="F13" s="86">
        <v>3.0000000000000001E-5</v>
      </c>
      <c r="J13" s="47"/>
      <c r="K13" s="47"/>
      <c r="AF13" s="11">
        <v>7.0000000000000007E-2</v>
      </c>
    </row>
    <row r="14" spans="1:32" x14ac:dyDescent="0.25">
      <c r="A14" s="8">
        <v>1</v>
      </c>
      <c r="B14" s="8">
        <v>10</v>
      </c>
      <c r="C14" s="8">
        <v>0.83333333333333326</v>
      </c>
      <c r="D14" s="46">
        <v>0</v>
      </c>
      <c r="E14" s="86">
        <v>1.3999999999999999E-4</v>
      </c>
      <c r="F14" s="86">
        <v>3.0000000000000001E-5</v>
      </c>
      <c r="J14" s="47"/>
      <c r="K14" s="47"/>
      <c r="AF14" s="11">
        <v>7.6680000000000012E-2</v>
      </c>
    </row>
    <row r="15" spans="1:32" x14ac:dyDescent="0.25">
      <c r="A15" s="8">
        <v>1</v>
      </c>
      <c r="B15" s="8">
        <v>11</v>
      </c>
      <c r="C15" s="8">
        <v>0.91666666666666663</v>
      </c>
      <c r="D15" s="46">
        <v>0</v>
      </c>
      <c r="E15" s="86">
        <v>1.3999999999999999E-4</v>
      </c>
      <c r="F15" s="86">
        <v>3.0000000000000001E-5</v>
      </c>
      <c r="J15" s="47"/>
      <c r="K15" s="47"/>
      <c r="AF15" s="11">
        <v>7.3459999999999998E-2</v>
      </c>
    </row>
    <row r="16" spans="1:32" x14ac:dyDescent="0.25">
      <c r="A16" s="8">
        <v>1</v>
      </c>
      <c r="B16" s="8">
        <v>12</v>
      </c>
      <c r="C16" s="8">
        <v>1</v>
      </c>
      <c r="D16" s="46">
        <v>0</v>
      </c>
      <c r="E16" s="86">
        <v>1.3999999999999999E-4</v>
      </c>
      <c r="F16" s="86">
        <v>3.0000000000000001E-5</v>
      </c>
      <c r="J16" s="47"/>
      <c r="K16" s="47"/>
      <c r="AF16" s="11">
        <v>8.0099999999999991E-2</v>
      </c>
    </row>
    <row r="17" spans="1:32" x14ac:dyDescent="0.25">
      <c r="A17" s="8">
        <v>1</v>
      </c>
      <c r="B17" s="8">
        <v>13</v>
      </c>
      <c r="C17" s="8">
        <v>1.0833333333333333</v>
      </c>
      <c r="D17" s="46">
        <v>0</v>
      </c>
      <c r="E17" s="86">
        <v>1.3999999999999999E-4</v>
      </c>
      <c r="F17" s="86">
        <v>3.0000000000000001E-5</v>
      </c>
      <c r="J17" s="47"/>
      <c r="K17" s="47"/>
      <c r="AF17" s="11">
        <v>6.5069999999999989E-2</v>
      </c>
    </row>
    <row r="18" spans="1:32" x14ac:dyDescent="0.25">
      <c r="A18" s="8">
        <v>1</v>
      </c>
      <c r="B18" s="8">
        <v>14</v>
      </c>
      <c r="C18" s="8">
        <v>1.1666666666666665</v>
      </c>
      <c r="D18" s="46">
        <v>0</v>
      </c>
      <c r="E18" s="86">
        <v>1.3999999999999999E-4</v>
      </c>
      <c r="F18" s="86">
        <v>3.0000000000000001E-5</v>
      </c>
      <c r="J18" s="47"/>
      <c r="K18" s="47"/>
      <c r="AF18" s="11">
        <v>6.1329999999999996E-2</v>
      </c>
    </row>
    <row r="19" spans="1:32" x14ac:dyDescent="0.25">
      <c r="A19" s="8">
        <v>1</v>
      </c>
      <c r="B19" s="8">
        <v>15</v>
      </c>
      <c r="C19" s="8">
        <v>1.25</v>
      </c>
      <c r="D19" s="46">
        <v>0</v>
      </c>
      <c r="E19" s="86">
        <v>1.3999999999999999E-4</v>
      </c>
      <c r="F19" s="86">
        <v>3.0000000000000001E-5</v>
      </c>
      <c r="J19" s="47"/>
      <c r="K19" s="47"/>
      <c r="AF19" s="11">
        <v>6.123E-2</v>
      </c>
    </row>
    <row r="20" spans="1:32" x14ac:dyDescent="0.25">
      <c r="A20" s="8">
        <v>1</v>
      </c>
      <c r="B20" s="8">
        <v>16</v>
      </c>
      <c r="C20" s="8">
        <v>1.3333333333333333</v>
      </c>
      <c r="D20" s="46">
        <v>0</v>
      </c>
      <c r="E20" s="86">
        <v>1.3999999999999999E-4</v>
      </c>
      <c r="F20" s="86">
        <v>3.0000000000000001E-5</v>
      </c>
      <c r="J20" s="47"/>
      <c r="K20" s="47"/>
      <c r="AF20" s="11">
        <v>6.2630000000000005E-2</v>
      </c>
    </row>
    <row r="21" spans="1:32" x14ac:dyDescent="0.25">
      <c r="A21" s="8">
        <v>1</v>
      </c>
      <c r="B21" s="8">
        <v>17</v>
      </c>
      <c r="C21" s="8">
        <v>1.4166666666666665</v>
      </c>
      <c r="D21" s="46">
        <v>0</v>
      </c>
      <c r="E21" s="86">
        <v>1.3999999999999999E-4</v>
      </c>
      <c r="F21" s="86">
        <v>3.0000000000000001E-5</v>
      </c>
      <c r="J21" s="47"/>
      <c r="K21" s="47"/>
      <c r="AF21" s="11">
        <v>6.5000000000000002E-2</v>
      </c>
    </row>
    <row r="22" spans="1:32" x14ac:dyDescent="0.25">
      <c r="A22" s="8">
        <v>1</v>
      </c>
      <c r="B22" s="8">
        <v>18</v>
      </c>
      <c r="C22" s="8">
        <v>1.5</v>
      </c>
      <c r="D22" s="46">
        <v>0</v>
      </c>
      <c r="E22" s="86">
        <v>1.3999999999999999E-4</v>
      </c>
      <c r="F22" s="86">
        <v>3.0000000000000001E-5</v>
      </c>
      <c r="J22" s="47"/>
      <c r="K22" s="47"/>
      <c r="AF22" s="11">
        <v>7.0379999999999998E-2</v>
      </c>
    </row>
    <row r="23" spans="1:32" x14ac:dyDescent="0.25">
      <c r="A23" s="8">
        <v>1</v>
      </c>
      <c r="B23" s="8">
        <v>19</v>
      </c>
      <c r="C23" s="8">
        <v>1.5833333333333333</v>
      </c>
      <c r="D23" s="46">
        <v>0</v>
      </c>
      <c r="E23" s="86">
        <v>1.3999999999999999E-4</v>
      </c>
      <c r="F23" s="86">
        <v>3.0000000000000001E-5</v>
      </c>
      <c r="J23" s="47"/>
      <c r="K23" s="47"/>
      <c r="AF23" s="11">
        <v>7.1999999999999995E-2</v>
      </c>
    </row>
    <row r="24" spans="1:32" x14ac:dyDescent="0.25">
      <c r="A24" s="8">
        <v>1</v>
      </c>
      <c r="B24" s="8">
        <v>20</v>
      </c>
      <c r="C24" s="8">
        <v>1.6666666666666665</v>
      </c>
      <c r="D24" s="46">
        <v>0</v>
      </c>
      <c r="E24" s="86">
        <v>1.3999999999999999E-4</v>
      </c>
      <c r="F24" s="86">
        <v>3.0000000000000001E-5</v>
      </c>
      <c r="J24" s="47"/>
      <c r="K24" s="47"/>
      <c r="AF24" s="10">
        <v>7.3439999999999991E-2</v>
      </c>
    </row>
    <row r="25" spans="1:32" x14ac:dyDescent="0.25">
      <c r="A25" s="8">
        <v>1</v>
      </c>
      <c r="B25" s="8">
        <v>21</v>
      </c>
      <c r="C25" s="8">
        <v>1.75</v>
      </c>
      <c r="D25" s="46">
        <v>0</v>
      </c>
      <c r="E25" s="86">
        <v>1.3999999999999999E-4</v>
      </c>
      <c r="F25" s="86">
        <v>3.0000000000000001E-5</v>
      </c>
      <c r="J25" s="47"/>
      <c r="K25" s="47"/>
      <c r="AF25" s="10">
        <v>6.9949999999999998E-2</v>
      </c>
    </row>
    <row r="26" spans="1:32" x14ac:dyDescent="0.25">
      <c r="A26" s="8">
        <v>1</v>
      </c>
      <c r="B26" s="8">
        <v>22</v>
      </c>
      <c r="C26" s="8">
        <v>1.8333333333333333</v>
      </c>
      <c r="D26" s="46">
        <v>0</v>
      </c>
      <c r="E26" s="86">
        <v>1.3999999999999999E-4</v>
      </c>
      <c r="F26" s="86">
        <v>3.0000000000000001E-5</v>
      </c>
      <c r="J26" s="47"/>
      <c r="K26" s="47"/>
      <c r="AF26" s="10">
        <v>6.4649999999999999E-2</v>
      </c>
    </row>
    <row r="27" spans="1:32" x14ac:dyDescent="0.25">
      <c r="A27" s="8">
        <v>1</v>
      </c>
      <c r="B27" s="8">
        <v>23</v>
      </c>
      <c r="C27" s="8">
        <v>1.9166666666666665</v>
      </c>
      <c r="D27" s="46">
        <v>0</v>
      </c>
      <c r="E27" s="86">
        <v>1.3999999999999999E-4</v>
      </c>
      <c r="F27" s="86">
        <v>3.0000000000000001E-5</v>
      </c>
      <c r="J27" s="47"/>
      <c r="K27" s="47"/>
      <c r="AF27" s="10">
        <v>6.1310000000000003E-2</v>
      </c>
    </row>
    <row r="28" spans="1:32" x14ac:dyDescent="0.25">
      <c r="A28" s="8">
        <v>1</v>
      </c>
      <c r="B28" s="8">
        <v>24</v>
      </c>
      <c r="C28" s="8">
        <v>2</v>
      </c>
      <c r="D28" s="46">
        <v>0</v>
      </c>
      <c r="E28" s="86">
        <v>1.3999999999999999E-4</v>
      </c>
      <c r="F28" s="86">
        <v>3.0000000000000001E-5</v>
      </c>
      <c r="J28" s="47"/>
      <c r="K28" s="47"/>
      <c r="AF28" s="9">
        <v>5.5E-2</v>
      </c>
    </row>
    <row r="29" spans="1:32" x14ac:dyDescent="0.25">
      <c r="A29" s="8">
        <v>1</v>
      </c>
      <c r="B29" s="8">
        <v>25</v>
      </c>
      <c r="C29" s="8">
        <v>2.083333333333333</v>
      </c>
      <c r="D29" s="46">
        <v>0</v>
      </c>
      <c r="E29" s="86">
        <v>1.3999999999999999E-4</v>
      </c>
      <c r="F29" s="86">
        <v>3.0000000000000001E-5</v>
      </c>
      <c r="J29" s="47"/>
      <c r="K29" s="47"/>
      <c r="AF29" s="9">
        <v>4.13076E-2</v>
      </c>
    </row>
    <row r="30" spans="1:32" x14ac:dyDescent="0.25">
      <c r="A30" s="8">
        <v>1</v>
      </c>
      <c r="B30" s="8">
        <v>26</v>
      </c>
      <c r="C30" s="8">
        <v>2.1666666666666665</v>
      </c>
      <c r="D30" s="46">
        <v>0</v>
      </c>
      <c r="E30" s="86">
        <v>1.3999999999999999E-4</v>
      </c>
      <c r="F30" s="86">
        <v>3.0000000000000001E-5</v>
      </c>
      <c r="J30" s="47"/>
      <c r="K30" s="47"/>
      <c r="AF30" s="9">
        <v>2.419E-2</v>
      </c>
    </row>
    <row r="31" spans="1:32" x14ac:dyDescent="0.25">
      <c r="A31" s="8">
        <v>1</v>
      </c>
      <c r="B31" s="8">
        <v>27</v>
      </c>
      <c r="C31" s="8">
        <v>2.25</v>
      </c>
      <c r="D31" s="46">
        <v>0</v>
      </c>
      <c r="E31" s="86">
        <v>1.3999999999999999E-4</v>
      </c>
      <c r="F31" s="86">
        <v>3.0000000000000001E-5</v>
      </c>
      <c r="J31" s="47"/>
      <c r="K31" s="47"/>
      <c r="AF31" s="9">
        <v>1.4930000000000001E-2</v>
      </c>
    </row>
    <row r="32" spans="1:32" x14ac:dyDescent="0.25">
      <c r="A32" s="8">
        <v>1</v>
      </c>
      <c r="B32" s="8">
        <v>28</v>
      </c>
      <c r="C32" s="8">
        <v>2.333333333333333</v>
      </c>
      <c r="D32" s="46">
        <v>0</v>
      </c>
      <c r="E32" s="86">
        <v>1.3999999999999999E-4</v>
      </c>
      <c r="F32" s="86">
        <v>3.0000000000000001E-5</v>
      </c>
      <c r="J32" s="47"/>
      <c r="K32" s="47"/>
      <c r="AF32" s="9">
        <v>9.2200000000000008E-3</v>
      </c>
    </row>
    <row r="33" spans="1:32" x14ac:dyDescent="0.25">
      <c r="A33" s="8">
        <v>1</v>
      </c>
      <c r="B33" s="8">
        <v>29</v>
      </c>
      <c r="C33" s="8">
        <v>2.4166666666666665</v>
      </c>
      <c r="D33" s="46">
        <v>0</v>
      </c>
      <c r="E33" s="86">
        <v>1.3999999999999999E-4</v>
      </c>
      <c r="F33" s="86">
        <v>3.0000000000000001E-5</v>
      </c>
      <c r="J33" s="47"/>
      <c r="K33" s="47"/>
      <c r="AF33" s="9">
        <v>8.7299999999999999E-3</v>
      </c>
    </row>
    <row r="34" spans="1:32" x14ac:dyDescent="0.25">
      <c r="A34" s="8">
        <v>1</v>
      </c>
      <c r="B34" s="8">
        <v>30</v>
      </c>
      <c r="C34" s="8">
        <v>2.5</v>
      </c>
      <c r="D34" s="46">
        <v>0</v>
      </c>
      <c r="E34" s="86">
        <v>1.3999999999999999E-4</v>
      </c>
      <c r="F34" s="86">
        <v>3.0000000000000001E-5</v>
      </c>
      <c r="J34" s="47"/>
      <c r="K34" s="47"/>
      <c r="AF34" s="9">
        <v>1.001E-2</v>
      </c>
    </row>
    <row r="35" spans="1:32" x14ac:dyDescent="0.25">
      <c r="A35" s="8">
        <v>1</v>
      </c>
      <c r="B35" s="8">
        <v>31</v>
      </c>
      <c r="C35" s="8">
        <v>2.583333333333333</v>
      </c>
      <c r="D35" s="46">
        <v>0</v>
      </c>
      <c r="E35" s="86">
        <v>1.3999999999999999E-4</v>
      </c>
      <c r="F35" s="86">
        <v>3.0000000000000001E-5</v>
      </c>
      <c r="J35" s="47"/>
      <c r="K35" s="47"/>
      <c r="AF35" s="9">
        <v>1.435E-2</v>
      </c>
    </row>
    <row r="36" spans="1:32" x14ac:dyDescent="0.25">
      <c r="A36" s="8">
        <v>1</v>
      </c>
      <c r="B36" s="8">
        <v>32</v>
      </c>
      <c r="C36" s="8">
        <v>2.6666666666666665</v>
      </c>
      <c r="D36" s="46">
        <v>0</v>
      </c>
      <c r="E36" s="86">
        <v>1.3999999999999999E-4</v>
      </c>
      <c r="F36" s="86">
        <v>3.0000000000000001E-5</v>
      </c>
      <c r="J36" s="47"/>
      <c r="K36" s="47"/>
      <c r="AF36" s="10">
        <v>1.7569999999999999E-2</v>
      </c>
    </row>
    <row r="37" spans="1:32" x14ac:dyDescent="0.25">
      <c r="A37" s="8">
        <v>1</v>
      </c>
      <c r="B37" s="8">
        <v>33</v>
      </c>
      <c r="C37" s="8">
        <v>2.75</v>
      </c>
      <c r="D37" s="46">
        <v>0</v>
      </c>
      <c r="E37" s="86">
        <v>1.3999999999999999E-4</v>
      </c>
      <c r="F37" s="86">
        <v>3.0000000000000001E-5</v>
      </c>
      <c r="J37" s="47"/>
      <c r="K37" s="47"/>
      <c r="AF37" s="11">
        <v>3.0329999999999999E-2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8"/>
  <sheetViews>
    <sheetView workbookViewId="0">
      <selection activeCell="M2" sqref="M2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13" x14ac:dyDescent="0.25">
      <c r="A1" t="s">
        <v>7</v>
      </c>
      <c r="B1" t="s">
        <v>5</v>
      </c>
      <c r="C1" t="s">
        <v>6</v>
      </c>
      <c r="D1" t="s">
        <v>9</v>
      </c>
      <c r="E1" t="s">
        <v>8</v>
      </c>
      <c r="F1" t="s">
        <v>25</v>
      </c>
      <c r="G1" t="s">
        <v>28</v>
      </c>
      <c r="H1" t="s">
        <v>41</v>
      </c>
    </row>
    <row r="2" spans="1:13" x14ac:dyDescent="0.25">
      <c r="A2" t="s">
        <v>56</v>
      </c>
      <c r="B2" t="s">
        <v>57</v>
      </c>
      <c r="C2" t="s">
        <v>58</v>
      </c>
      <c r="D2" t="s">
        <v>59</v>
      </c>
      <c r="E2" t="s">
        <v>60</v>
      </c>
      <c r="F2" t="s">
        <v>61</v>
      </c>
      <c r="G2" t="s">
        <v>62</v>
      </c>
      <c r="H2" t="s">
        <v>43</v>
      </c>
      <c r="M2" t="s">
        <v>63</v>
      </c>
    </row>
    <row r="3" spans="1:13" x14ac:dyDescent="0.25">
      <c r="A3" t="s">
        <v>64</v>
      </c>
      <c r="B3" t="s">
        <v>65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43</v>
      </c>
    </row>
    <row r="4" spans="1:13" x14ac:dyDescent="0.25">
      <c r="A4" t="s">
        <v>71</v>
      </c>
      <c r="B4" t="s">
        <v>72</v>
      </c>
      <c r="C4" t="s">
        <v>73</v>
      </c>
      <c r="D4" t="s">
        <v>75</v>
      </c>
      <c r="E4" t="s">
        <v>76</v>
      </c>
      <c r="F4" t="s">
        <v>77</v>
      </c>
      <c r="G4" t="s">
        <v>78</v>
      </c>
      <c r="H4" t="s">
        <v>74</v>
      </c>
    </row>
    <row r="5" spans="1:13" x14ac:dyDescent="0.25">
      <c r="A5" t="s">
        <v>79</v>
      </c>
      <c r="B5" t="s">
        <v>80</v>
      </c>
      <c r="C5" t="s">
        <v>81</v>
      </c>
      <c r="D5" t="s">
        <v>83</v>
      </c>
      <c r="E5" t="s">
        <v>84</v>
      </c>
      <c r="F5" t="s">
        <v>85</v>
      </c>
      <c r="G5" t="s">
        <v>86</v>
      </c>
      <c r="H5" t="s">
        <v>82</v>
      </c>
    </row>
    <row r="6" spans="1:13" x14ac:dyDescent="0.25">
      <c r="A6" t="s">
        <v>87</v>
      </c>
      <c r="B6" t="s">
        <v>88</v>
      </c>
      <c r="C6" t="s">
        <v>89</v>
      </c>
      <c r="D6" t="s">
        <v>91</v>
      </c>
      <c r="E6" t="s">
        <v>92</v>
      </c>
      <c r="F6" t="s">
        <v>93</v>
      </c>
      <c r="G6" t="s">
        <v>94</v>
      </c>
      <c r="H6" t="s">
        <v>90</v>
      </c>
    </row>
    <row r="7" spans="1:13" x14ac:dyDescent="0.25">
      <c r="A7" t="s">
        <v>95</v>
      </c>
      <c r="B7" t="s">
        <v>96</v>
      </c>
      <c r="C7" t="s">
        <v>97</v>
      </c>
      <c r="D7" t="s">
        <v>99</v>
      </c>
      <c r="E7" t="s">
        <v>100</v>
      </c>
      <c r="F7" t="s">
        <v>101</v>
      </c>
      <c r="G7" t="s">
        <v>102</v>
      </c>
      <c r="H7" t="s">
        <v>98</v>
      </c>
    </row>
    <row r="8" spans="1:13" x14ac:dyDescent="0.25">
      <c r="A8" t="s">
        <v>103</v>
      </c>
      <c r="B8" t="s">
        <v>104</v>
      </c>
      <c r="C8" t="s">
        <v>105</v>
      </c>
      <c r="D8" t="s">
        <v>107</v>
      </c>
      <c r="E8" t="s">
        <v>108</v>
      </c>
      <c r="F8" t="s">
        <v>109</v>
      </c>
      <c r="G8" t="s">
        <v>110</v>
      </c>
      <c r="H8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2018-06-17T18:16:24Z</dcterms:modified>
</cp:coreProperties>
</file>